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Input" sheetId="2" r:id="rId6"/>
    <sheet state="visible" name="Andrew" sheetId="3" r:id="rId7"/>
    <sheet state="visible" name="ChatGPT" sheetId="4" r:id="rId8"/>
    <sheet state="visible" name="Eileen" sheetId="5" r:id="rId9"/>
    <sheet state="visible" name="Iain" sheetId="6" r:id="rId10"/>
    <sheet state="visible" name="Kate" sheetId="7" r:id="rId11"/>
    <sheet state="visible" name="Rohan" sheetId="8" r:id="rId12"/>
    <sheet state="visible" name="Pete" sheetId="9" r:id="rId13"/>
    <sheet state="visible" name="Christine" sheetId="10" r:id="rId14"/>
    <sheet state="visible" name="Jac" sheetId="11" r:id="rId15"/>
    <sheet state="visible" name="James" sheetId="12" r:id="rId16"/>
    <sheet state="visible" name="Lachy" sheetId="13" r:id="rId17"/>
    <sheet state="visible" name="Gael" sheetId="14" r:id="rId18"/>
    <sheet state="visible" name="Bruce" sheetId="15" r:id="rId19"/>
  </sheets>
  <definedNames/>
  <calcPr/>
</workbook>
</file>

<file path=xl/sharedStrings.xml><?xml version="1.0" encoding="utf-8"?>
<sst xmlns="http://schemas.openxmlformats.org/spreadsheetml/2006/main" count="337" uniqueCount="109">
  <si>
    <t>Predictions resolved</t>
  </si>
  <si>
    <t>Predictions to come</t>
  </si>
  <si>
    <t>ID</t>
  </si>
  <si>
    <t>Prediction</t>
  </si>
  <si>
    <t>Category</t>
  </si>
  <si>
    <t>Proposer</t>
  </si>
  <si>
    <t>Clarifications</t>
  </si>
  <si>
    <t>Outcome (1 = true, 0 = false)</t>
  </si>
  <si>
    <t>Outcome comments</t>
  </si>
  <si>
    <t>Outcome supporting link</t>
  </si>
  <si>
    <t>Scores:</t>
  </si>
  <si>
    <t>Andrew</t>
  </si>
  <si>
    <t>ChatGPT</t>
  </si>
  <si>
    <t>Eileen</t>
  </si>
  <si>
    <t>Iain</t>
  </si>
  <si>
    <t>Kate</t>
  </si>
  <si>
    <t>Rohan</t>
  </si>
  <si>
    <t>Pete</t>
  </si>
  <si>
    <t>Christine</t>
  </si>
  <si>
    <t>Jac</t>
  </si>
  <si>
    <t>James</t>
  </si>
  <si>
    <t>Lachy</t>
  </si>
  <si>
    <t>Gael</t>
  </si>
  <si>
    <t>Bruce</t>
  </si>
  <si>
    <t>Cate Blanchett will win best actress in the Academy Awards.</t>
  </si>
  <si>
    <t>Entertainment</t>
  </si>
  <si>
    <t>The farthest paper airplane flight will be broken (as reported by Guinness World Records)</t>
  </si>
  <si>
    <t>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t>
  </si>
  <si>
    <t>There will be a scandal involving the BTS 10 year anniversary as reported by Korean MSM</t>
  </si>
  <si>
    <t>Twosetviolin (the Youtube channel) will make a video reporting fresh abuse from kpop fans (excluding Blackpink)</t>
  </si>
  <si>
    <t xml:space="preserve">Lee Min-ho will be the most followed Korean actor on Instagram by the end of 2023 </t>
  </si>
  <si>
    <t>LOONA will disband</t>
  </si>
  <si>
    <t>A new Korean show will get more than 140 million household views on Netflix</t>
  </si>
  <si>
    <t>(Squid game had 142m in the same year)</t>
  </si>
  <si>
    <t>Avatar The Way of Water will remain at 8.0 on IMDb by Christmas next year.</t>
  </si>
  <si>
    <t>Kanye West will have 0 twitter suspensions or bans.</t>
  </si>
  <si>
    <t>At either the Grammys, the Oscars, the Emmys or the game awards there will be a significant interruption comparable to the Will Smith Chris Rock slap or the game awards Bill Clinton kid.</t>
  </si>
  <si>
    <t>Francis will be the Pope on Christmas eve</t>
  </si>
  <si>
    <t>Rohan will not test positive for COVID in 2023</t>
  </si>
  <si>
    <t>Family</t>
  </si>
  <si>
    <t>Baby McCalman is less than 49cm at birth</t>
  </si>
  <si>
    <t>Length of 47.5cm</t>
  </si>
  <si>
    <t>Jac and Lachy’s baby will say ‘ma’ or make a similar ‘m’ sound by 24 December 2023.</t>
  </si>
  <si>
    <t>This will need some governance...</t>
  </si>
  <si>
    <t>Rohan will be at least 6'1"</t>
  </si>
  <si>
    <t>Andrew and Eileen will buy a house</t>
  </si>
  <si>
    <t>Lachy and Jac’s baby will be at least 68 cm by next Christmas.</t>
  </si>
  <si>
    <t>The annual inflation rate in Australia will be below 6% when the RBA releases its announcement of the October 2023 result</t>
  </si>
  <si>
    <t>Finance</t>
  </si>
  <si>
    <t>AUD falls below USD0.64</t>
  </si>
  <si>
    <t>Pro-GOP investor makes a meaningful (&gt;US$100m) investment in Twitter</t>
  </si>
  <si>
    <t>The Australian unemployment rate will be more than 4% at time of judging</t>
  </si>
  <si>
    <t>Binance will collapse slash go into bankruptcy</t>
  </si>
  <si>
    <t xml:space="preserve">Telsa will remain solvent and operating </t>
  </si>
  <si>
    <t>At least three class action proceedings (or equivalent eg. aggregate litigation) will be filed around the world against Elon Musk or Tesla about the self-driving technology in Tesla cars</t>
  </si>
  <si>
    <t>Law</t>
  </si>
  <si>
    <t>The case against David McBride will be dropped</t>
  </si>
  <si>
    <t>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t>
  </si>
  <si>
    <t>The New Zealand National party will form government after the next election.</t>
  </si>
  <si>
    <t>Politics</t>
  </si>
  <si>
    <t>The British Labour Party will be ahead in the polls in November 2023.</t>
  </si>
  <si>
    <t>Which polls in particular?</t>
  </si>
  <si>
    <t>Liz Cheney will not nominate for the presidency in 2023.</t>
  </si>
  <si>
    <t>China will eliminate at least one existing trade sanction against Australia</t>
  </si>
  <si>
    <t>China will not be admitted to full membership of the Comprehensive and Progressive Agreement for Trans-Pacific Partnership</t>
  </si>
  <si>
    <t>Henry Kissinger will die</t>
  </si>
  <si>
    <t>The Australian government will announce that the referendum for the Indigenous Voice to Parliament will occur in 2024</t>
  </si>
  <si>
    <t>Labor will win the NSW state election</t>
  </si>
  <si>
    <t>There will be international concerns about the validity of the results of the Myanmar general election e.g. being a 'fair election', counting irregularities (as reported in The Guardian or wikipedia)</t>
  </si>
  <si>
    <t>At least one senior public servant (Deputy Secretary or above) will face disciplinary action from the Robodebt royal commission</t>
  </si>
  <si>
    <t>https://www.theguardian.com/australia-news/2023/jul/20/senior-public-servant-kathryn-campbell-suspended-without-pay-after-robodebt-findings?CMP=Share_iOSApp_Other</t>
  </si>
  <si>
    <t>China invades Taiwan</t>
  </si>
  <si>
    <t>The war in Ukraine will be declared over over by MSM</t>
  </si>
  <si>
    <t>Chris Hipkins will be Prime Minister of NZ</t>
  </si>
  <si>
    <t>(At the time of resolution)</t>
  </si>
  <si>
    <t>Two or more republican presidential candidates will state their intention to build a wall on the southern border, and at least one will favorably compare their wall plan to the other candidate's, noting physical features such as height, building material, moats etc.</t>
  </si>
  <si>
    <t>Sunak will be British Prime Minister throughout 2023</t>
  </si>
  <si>
    <t>Nikii Haley will drop out of the running for president</t>
  </si>
  <si>
    <t>The Telstra  NATSIAA bark painting award will be won by an artist from the Buku-Larrnggay Mulka Centre</t>
  </si>
  <si>
    <t>Society</t>
  </si>
  <si>
    <t>Kanye West arrested or involved in police shooting</t>
  </si>
  <si>
    <t>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t>
  </si>
  <si>
    <t>According to ‘BabyCenter.com’, the name Harry ranked #607 in 2022. I predict that Harry will drop by at least 50 places in 2023 – when checked on 23 December 2023.</t>
  </si>
  <si>
    <t>According to ‘BabyCenter.com’, the name Meghan ranked #1,450 in 2022. I predict that Meghan will drop by at least 100 places in 2023 – when checked on 23 December 2023.'</t>
  </si>
  <si>
    <t>Rafa Nadal will announce his retirement from playing grand slam singles.</t>
  </si>
  <si>
    <t>Sport</t>
  </si>
  <si>
    <t>Australia will win the netball World Cup</t>
  </si>
  <si>
    <t>Ireland will win the Rugby World Cup</t>
  </si>
  <si>
    <t>Warner will have to be dropped as Test match opener sometime during 2023 if not before</t>
  </si>
  <si>
    <t>Boland will oust Hazlewood in at least one test during 2023</t>
  </si>
  <si>
    <t>Team Haas will be 7th or higher in the 2023 F1 constructor's championship</t>
  </si>
  <si>
    <t>Daniel Ricardo signs as a driver with an F1 Team for 2024</t>
  </si>
  <si>
    <t xml:space="preserve">At least 41% of NZ's energy comes from rewewable sources </t>
  </si>
  <si>
    <t>Technology</t>
  </si>
  <si>
    <t>https://www.energymix.co.nz/our-consumption/new-zealands-consumption</t>
  </si>
  <si>
    <t>An image or video scandal involving a public figure will be reported in the guardian, with the report (or the person themselves) raising the possibility that the images or video are 'deepfakes' or AI-generated</t>
  </si>
  <si>
    <t>The first orbital launch attempt of SpaceX's starship will occur in 2023, with the vehicle being destroyed on re-entry</t>
  </si>
  <si>
    <t>https://www.theguardian.com/science/2023/apr/20/elon-musks-spacex-launches-test-flight-for-rocket-that-could-bring-people-to-mars?CMP=Share_iOSApp_Other</t>
  </si>
  <si>
    <t>Elon Musk will commercially launch a virtual/altered reality software or piece of hardware.</t>
  </si>
  <si>
    <t>A country enshrines some form of rights/personhood/protection of AI systems motivated by the welfare of the system itself</t>
  </si>
  <si>
    <t>TOTAL</t>
  </si>
  <si>
    <t>Top score</t>
  </si>
  <si>
    <t>Bottom score</t>
  </si>
  <si>
    <t>Avg +ve</t>
  </si>
  <si>
    <t>Avg -ve</t>
  </si>
  <si>
    <t>avg mag.</t>
  </si>
  <si>
    <t>Top scorer: rohan (paper plane)</t>
  </si>
  <si>
    <t>Bottom scorer rohan (kanye west)</t>
  </si>
  <si>
    <t>Probability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</si>
</sst>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d/m/yyyy"/>
    <numFmt numFmtId="166" formatCode="d mmmm yyyy"/>
  </numFmts>
  <fonts count="8">
    <font>
      <sz val="10.0"/>
      <color rgb="FF000000"/>
      <name val="Arial"/>
      <scheme val="minor"/>
    </font>
    <font>
      <b/>
      <sz val="12.0"/>
      <color theme="1"/>
      <name val="Arial"/>
    </font>
    <font>
      <color theme="1"/>
      <name val="Arial"/>
    </font>
    <font>
      <b/>
      <color theme="1"/>
      <name val="Arial"/>
    </font>
    <font>
      <b/>
      <color theme="1"/>
      <name val="Arial"/>
      <scheme val="minor"/>
    </font>
    <font>
      <color theme="1"/>
      <name val="Arial"/>
      <scheme val="minor"/>
    </font>
    <font>
      <u/>
      <color rgb="FF0000FF"/>
    </font>
    <font>
      <sz val="9.0"/>
      <color rgb="FFF7981D"/>
      <name val="Arial"/>
      <scheme val="minor"/>
    </font>
  </fonts>
  <fills count="5">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F2CC"/>
        <bgColor rgb="FFFFF2CC"/>
      </patternFill>
    </fill>
  </fills>
  <borders count="4">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vertical="bottom"/>
    </xf>
    <xf borderId="0" fillId="2" fontId="1"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vertical="bottom"/>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Font="1"/>
    <xf borderId="0" fillId="0" fontId="5" numFmtId="0" xfId="0" applyAlignment="1" applyFont="1">
      <alignment readingOrder="0"/>
    </xf>
    <xf borderId="0" fillId="0" fontId="5" numFmtId="164" xfId="0" applyFont="1" applyNumberFormat="1"/>
    <xf borderId="0" fillId="0" fontId="5" numFmtId="164" xfId="0" applyFont="1" applyNumberFormat="1"/>
    <xf borderId="0" fillId="0" fontId="5" numFmtId="0" xfId="0" applyAlignment="1" applyFont="1">
      <alignment shrinkToFit="0" wrapText="1"/>
    </xf>
    <xf borderId="0" fillId="0" fontId="5" numFmtId="0" xfId="0" applyFont="1"/>
    <xf borderId="0" fillId="0" fontId="5" numFmtId="165" xfId="0" applyAlignment="1" applyFont="1" applyNumberFormat="1">
      <alignment readingOrder="0"/>
    </xf>
    <xf borderId="0" fillId="0" fontId="2" numFmtId="164" xfId="0" applyAlignment="1" applyFont="1" applyNumberFormat="1">
      <alignment shrinkToFit="0" vertical="bottom" wrapText="1"/>
    </xf>
    <xf borderId="0" fillId="0" fontId="5" numFmtId="166" xfId="0" applyAlignment="1" applyFont="1" applyNumberFormat="1">
      <alignment readingOrder="0"/>
    </xf>
    <xf borderId="0" fillId="0" fontId="6" numFmtId="0" xfId="0" applyAlignment="1" applyFont="1">
      <alignment readingOrder="0"/>
    </xf>
    <xf borderId="0" fillId="0" fontId="5" numFmtId="0" xfId="0" applyAlignment="1" applyFont="1">
      <alignment shrinkToFit="0" wrapText="1"/>
    </xf>
    <xf borderId="0" fillId="0" fontId="4" numFmtId="164" xfId="0" applyFont="1" applyNumberFormat="1"/>
    <xf borderId="0" fillId="0" fontId="4" numFmtId="0" xfId="0" applyFont="1"/>
    <xf borderId="0" fillId="0" fontId="5" numFmtId="0" xfId="0" applyFont="1"/>
    <xf borderId="0" fillId="0" fontId="7" numFmtId="164" xfId="0" applyFont="1" applyNumberFormat="1"/>
    <xf borderId="0" fillId="0" fontId="7" numFmtId="0" xfId="0" applyFont="1"/>
    <xf borderId="1" fillId="3" fontId="4" numFmtId="0" xfId="0" applyAlignment="1" applyBorder="1" applyFill="1" applyFont="1">
      <alignment readingOrder="0"/>
    </xf>
    <xf borderId="1" fillId="3" fontId="4" numFmtId="0" xfId="0" applyAlignment="1" applyBorder="1" applyFont="1">
      <alignment readingOrder="0" shrinkToFit="0" wrapText="1"/>
    </xf>
    <xf borderId="2" fillId="4" fontId="4" numFmtId="0" xfId="0" applyAlignment="1" applyBorder="1" applyFill="1" applyFont="1">
      <alignment readingOrder="0"/>
    </xf>
    <xf borderId="0" fillId="3" fontId="5" numFmtId="0" xfId="0" applyFont="1"/>
    <xf borderId="0" fillId="3" fontId="5" numFmtId="0" xfId="0" applyAlignment="1" applyFont="1">
      <alignment shrinkToFit="0" wrapText="1"/>
    </xf>
    <xf borderId="3" fillId="4" fontId="5" numFmtId="0" xfId="0" applyAlignment="1" applyBorder="1" applyFont="1">
      <alignment readingOrder="0"/>
    </xf>
    <xf borderId="0" fillId="3" fontId="5" numFmtId="164" xfId="0" applyAlignment="1" applyFont="1" applyNumberFormat="1">
      <alignment shrinkToFit="0" wrapText="1"/>
    </xf>
    <xf borderId="3" fillId="4" fontId="5" numFmtId="0" xfId="0" applyBorder="1" applyFont="1"/>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6">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3" pivot="0" name="Input-style">
      <tableStyleElement dxfId="1" type="headerRow"/>
      <tableStyleElement dxfId="2" type="firstRowStripe"/>
      <tableStyleElement dxfId="3" type="secondRowStripe"/>
    </tableStyle>
    <tableStyle count="3" pivot="0" name="Input-style 2">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Input!$J$1:$V$1</c:f>
            </c:strRef>
          </c:cat>
          <c:val>
            <c:numRef>
              <c:f>Input!$J$62:$V$62</c:f>
              <c:numCache/>
            </c:numRef>
          </c:val>
        </c:ser>
        <c:ser>
          <c:idx val="1"/>
          <c:order val="1"/>
          <c:spPr>
            <a:solidFill>
              <a:schemeClr val="accent2"/>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Input!$J$1:$V$1</c:f>
            </c:strRef>
          </c:cat>
          <c:val>
            <c:numRef>
              <c:f>Input!$J$63:$V$63</c:f>
              <c:numCache/>
            </c:numRef>
          </c:val>
        </c:ser>
        <c:axId val="1652310216"/>
        <c:axId val="1397823972"/>
      </c:barChart>
      <c:catAx>
        <c:axId val="1652310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97823972"/>
      </c:catAx>
      <c:valAx>
        <c:axId val="1397823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5231021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504825</xdr:colOff>
      <xdr:row>5</xdr:row>
      <xdr:rowOff>142875</xdr:rowOff>
    </xdr:from>
    <xdr:ext cx="572452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2:V63"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Inpu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X2:AJ62" displayName="Table_2" name="Table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Input-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heguardian.com/australia-news/2023/jul/20/senior-public-servant-kathryn-campbell-suspended-without-pay-after-robodebt-findings?CMP=Share_iOSApp_Other" TargetMode="External"/><Relationship Id="rId2" Type="http://schemas.openxmlformats.org/officeDocument/2006/relationships/hyperlink" Target="https://www.energymix.co.nz/our-consumption/new-zealands-consumption" TargetMode="External"/><Relationship Id="rId3" Type="http://schemas.openxmlformats.org/officeDocument/2006/relationships/hyperlink" Target="https://www.theguardian.com/science/2023/apr/20/elon-musks-spacex-launches-test-flight-for-rocket-that-could-bring-people-to-mars?CMP=Share_iOSApp_Other" TargetMode="External"/><Relationship Id="rId4" Type="http://schemas.openxmlformats.org/officeDocument/2006/relationships/drawing" Target="../drawings/drawing2.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f>COUNTIF(Input!F2:F61,0)+COUNTIF(Input!F2:F61,1)</f>
        <v>60</v>
      </c>
    </row>
    <row r="2">
      <c r="A2" s="1" t="s">
        <v>1</v>
      </c>
      <c r="B2" s="2"/>
      <c r="C2" s="3">
        <f>COUNTA(Input!A2:A103)-C1</f>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88"/>
    <col customWidth="1" min="2" max="2" width="81.75"/>
    <col customWidth="1" min="3" max="3" width="12.63"/>
    <col customWidth="1" min="4" max="4" width="9.75"/>
    <col customWidth="1" min="5" max="5" width="27.38"/>
    <col customWidth="1" min="6" max="6" width="23.88"/>
    <col customWidth="1" min="7" max="7" width="21.25"/>
    <col customWidth="1" min="8" max="8" width="21.88"/>
  </cols>
  <sheetData>
    <row r="1">
      <c r="A1" s="4" t="s">
        <v>2</v>
      </c>
      <c r="B1" s="5" t="s">
        <v>3</v>
      </c>
      <c r="C1" s="4" t="s">
        <v>4</v>
      </c>
      <c r="D1" s="4" t="s">
        <v>5</v>
      </c>
      <c r="E1" s="4" t="s">
        <v>6</v>
      </c>
      <c r="F1" s="6" t="s">
        <v>7</v>
      </c>
      <c r="G1" s="4" t="s">
        <v>8</v>
      </c>
      <c r="H1" s="4" t="s">
        <v>9</v>
      </c>
      <c r="I1" s="7" t="s">
        <v>10</v>
      </c>
      <c r="J1" s="7" t="s">
        <v>11</v>
      </c>
      <c r="K1" s="7" t="s">
        <v>12</v>
      </c>
      <c r="L1" s="7" t="s">
        <v>13</v>
      </c>
      <c r="M1" s="7" t="s">
        <v>14</v>
      </c>
      <c r="N1" s="7" t="s">
        <v>15</v>
      </c>
      <c r="O1" s="7" t="s">
        <v>16</v>
      </c>
      <c r="P1" s="7" t="s">
        <v>17</v>
      </c>
      <c r="Q1" s="7" t="s">
        <v>18</v>
      </c>
      <c r="R1" s="7" t="s">
        <v>19</v>
      </c>
      <c r="S1" s="8" t="s">
        <v>20</v>
      </c>
      <c r="T1" s="7" t="s">
        <v>21</v>
      </c>
      <c r="U1" s="7" t="s">
        <v>22</v>
      </c>
      <c r="V1" s="7" t="s">
        <v>23</v>
      </c>
      <c r="W1" s="9"/>
      <c r="X1" s="7" t="s">
        <v>11</v>
      </c>
      <c r="Y1" s="7" t="s">
        <v>12</v>
      </c>
      <c r="Z1" s="7" t="s">
        <v>13</v>
      </c>
      <c r="AA1" s="7" t="s">
        <v>14</v>
      </c>
      <c r="AB1" s="7" t="s">
        <v>15</v>
      </c>
      <c r="AC1" s="7" t="s">
        <v>16</v>
      </c>
      <c r="AD1" s="7" t="s">
        <v>17</v>
      </c>
      <c r="AE1" s="7" t="s">
        <v>18</v>
      </c>
      <c r="AF1" s="7" t="s">
        <v>19</v>
      </c>
      <c r="AG1" s="7" t="s">
        <v>20</v>
      </c>
      <c r="AH1" s="7" t="s">
        <v>21</v>
      </c>
      <c r="AI1" s="7" t="s">
        <v>22</v>
      </c>
      <c r="AJ1" s="7" t="s">
        <v>23</v>
      </c>
      <c r="AK1" s="10"/>
      <c r="AL1" s="10"/>
      <c r="AM1" s="10"/>
      <c r="AN1" s="10"/>
    </row>
    <row r="2">
      <c r="A2" s="11">
        <v>1.0</v>
      </c>
      <c r="B2" s="9" t="s">
        <v>24</v>
      </c>
      <c r="C2" s="11" t="s">
        <v>25</v>
      </c>
      <c r="D2" s="11" t="s">
        <v>22</v>
      </c>
      <c r="F2" s="11">
        <v>0.0</v>
      </c>
      <c r="J2" s="12">
        <f t="shared" ref="J2:V2" si="1">IF($F2=1,(LOG(X2,2)+1),IF($F2=0,(LOG(1-X2,2)+1),""))</f>
        <v>0.4854268272</v>
      </c>
      <c r="K2" s="12">
        <f t="shared" si="1"/>
        <v>0</v>
      </c>
      <c r="L2" s="12">
        <f t="shared" si="1"/>
        <v>0.2630344058</v>
      </c>
      <c r="M2" s="12">
        <f t="shared" si="1"/>
        <v>0</v>
      </c>
      <c r="N2" s="12">
        <f t="shared" si="1"/>
        <v>-1.321928095</v>
      </c>
      <c r="O2" s="12">
        <f t="shared" si="1"/>
        <v>0.3103401206</v>
      </c>
      <c r="P2" s="12">
        <f t="shared" si="1"/>
        <v>-0.7369655942</v>
      </c>
      <c r="Q2" s="12">
        <f t="shared" si="1"/>
        <v>0.8479969066</v>
      </c>
      <c r="R2" s="12">
        <f t="shared" si="1"/>
        <v>0</v>
      </c>
      <c r="S2" s="12">
        <f t="shared" si="1"/>
        <v>0</v>
      </c>
      <c r="T2" s="12">
        <f t="shared" si="1"/>
        <v>0</v>
      </c>
      <c r="U2" s="12">
        <f t="shared" si="1"/>
        <v>-2.321928095</v>
      </c>
      <c r="V2" s="12">
        <f t="shared" si="1"/>
        <v>-2.321928095</v>
      </c>
      <c r="W2" s="13"/>
      <c r="X2" s="12">
        <f>Andrew!D2</f>
        <v>0.3</v>
      </c>
      <c r="Y2" s="12">
        <f>ChatGPT!D2</f>
        <v>0.5</v>
      </c>
      <c r="Z2" s="12">
        <f>Eileen!D2</f>
        <v>0.4</v>
      </c>
      <c r="AA2" s="12">
        <f>Iain!D2</f>
        <v>0.5</v>
      </c>
      <c r="AB2" s="12">
        <f>Kate!D2</f>
        <v>0.8</v>
      </c>
      <c r="AC2" s="12">
        <f>Rohan!D2</f>
        <v>0.38</v>
      </c>
      <c r="AD2" s="12">
        <f>Pete!D2</f>
        <v>0.7</v>
      </c>
      <c r="AE2" s="12">
        <f>Christine!D2</f>
        <v>0.1</v>
      </c>
      <c r="AF2" s="12">
        <f>Jac!D2</f>
        <v>0.5</v>
      </c>
      <c r="AG2" s="12">
        <f>James!D2</f>
        <v>0.5</v>
      </c>
      <c r="AH2" s="12">
        <f>Lachy!D2</f>
        <v>0.5</v>
      </c>
      <c r="AI2" s="12">
        <f>Gael!D2</f>
        <v>0.9</v>
      </c>
      <c r="AJ2" s="12">
        <f>Bruce!D2</f>
        <v>0.9</v>
      </c>
    </row>
    <row r="3">
      <c r="A3" s="11">
        <v>2.0</v>
      </c>
      <c r="B3" s="9" t="s">
        <v>26</v>
      </c>
      <c r="C3" s="11" t="s">
        <v>25</v>
      </c>
      <c r="D3" s="11" t="s">
        <v>15</v>
      </c>
      <c r="F3" s="11">
        <v>1.0</v>
      </c>
      <c r="J3" s="12">
        <f t="shared" ref="J3:V3" si="2">IF($F3=1,(LOG(X3,2)+1),IF($F3=0,(LOG(1-X3,2)+1),""))</f>
        <v>0.6780719051</v>
      </c>
      <c r="K3" s="12">
        <f t="shared" si="2"/>
        <v>0</v>
      </c>
      <c r="L3" s="12">
        <f t="shared" si="2"/>
        <v>0.4854268272</v>
      </c>
      <c r="M3" s="12">
        <f t="shared" si="2"/>
        <v>0</v>
      </c>
      <c r="N3" s="12">
        <f t="shared" si="2"/>
        <v>0.6780719051</v>
      </c>
      <c r="O3" s="12">
        <f t="shared" si="2"/>
        <v>0.9985565831</v>
      </c>
      <c r="P3" s="12">
        <f t="shared" si="2"/>
        <v>0</v>
      </c>
      <c r="Q3" s="12">
        <f t="shared" si="2"/>
        <v>0</v>
      </c>
      <c r="R3" s="12">
        <f t="shared" si="2"/>
        <v>0.3785116233</v>
      </c>
      <c r="S3" s="12">
        <f t="shared" si="2"/>
        <v>0</v>
      </c>
      <c r="T3" s="12">
        <f t="shared" si="2"/>
        <v>0</v>
      </c>
      <c r="U3" s="12">
        <f t="shared" si="2"/>
        <v>0.4854268272</v>
      </c>
      <c r="V3" s="12">
        <f t="shared" si="2"/>
        <v>-2.321928095</v>
      </c>
      <c r="W3" s="13"/>
      <c r="X3" s="12">
        <f>Andrew!D3</f>
        <v>0.8</v>
      </c>
      <c r="Y3" s="12">
        <f>ChatGPT!D3</f>
        <v>0.5</v>
      </c>
      <c r="Z3" s="12">
        <f>Eileen!D3</f>
        <v>0.7</v>
      </c>
      <c r="AA3" s="12">
        <f>Iain!D3</f>
        <v>0.5</v>
      </c>
      <c r="AB3" s="12">
        <f>Kate!D3</f>
        <v>0.8</v>
      </c>
      <c r="AC3" s="12">
        <f>Rohan!D3</f>
        <v>0.999</v>
      </c>
      <c r="AD3" s="12">
        <f>Pete!D3</f>
        <v>0.5</v>
      </c>
      <c r="AE3" s="12">
        <f>Christine!D3</f>
        <v>0.5</v>
      </c>
      <c r="AF3" s="12">
        <f>Jac!D3</f>
        <v>0.65</v>
      </c>
      <c r="AG3" s="12">
        <f>James!D3</f>
        <v>0.5</v>
      </c>
      <c r="AH3" s="12">
        <f>Lachy!D3</f>
        <v>0.5</v>
      </c>
      <c r="AI3" s="12">
        <f>Gael!D3</f>
        <v>0.7</v>
      </c>
      <c r="AJ3" s="12">
        <f>Bruce!D3</f>
        <v>0.1</v>
      </c>
    </row>
    <row r="4">
      <c r="A4" s="11">
        <v>3.0</v>
      </c>
      <c r="B4" s="9" t="s">
        <v>27</v>
      </c>
      <c r="C4" s="11" t="s">
        <v>25</v>
      </c>
      <c r="D4" s="11" t="s">
        <v>21</v>
      </c>
      <c r="F4" s="11">
        <v>0.0</v>
      </c>
      <c r="J4" s="12">
        <f t="shared" ref="J4:V4" si="3">IF($F4=1,(LOG(X4,2)+1),IF($F4=0,(LOG(1-X4,2)+1),""))</f>
        <v>0.1375035237</v>
      </c>
      <c r="K4" s="12">
        <f t="shared" si="3"/>
        <v>0</v>
      </c>
      <c r="L4" s="12">
        <f t="shared" si="3"/>
        <v>0.2630344058</v>
      </c>
      <c r="M4" s="12">
        <f t="shared" si="3"/>
        <v>0.2630344058</v>
      </c>
      <c r="N4" s="12">
        <f t="shared" si="3"/>
        <v>-2.321928095</v>
      </c>
      <c r="O4" s="12">
        <f t="shared" si="3"/>
        <v>0</v>
      </c>
      <c r="P4" s="12">
        <f t="shared" si="3"/>
        <v>0.4854268272</v>
      </c>
      <c r="Q4" s="12">
        <f t="shared" si="3"/>
        <v>0.6780719051</v>
      </c>
      <c r="R4" s="12">
        <f t="shared" si="3"/>
        <v>-0.05889368905</v>
      </c>
      <c r="S4" s="12">
        <f t="shared" si="3"/>
        <v>0.3785116233</v>
      </c>
      <c r="T4" s="12">
        <f t="shared" si="3"/>
        <v>-0.7369655942</v>
      </c>
      <c r="U4" s="12">
        <f t="shared" si="3"/>
        <v>0</v>
      </c>
      <c r="V4" s="12">
        <f t="shared" si="3"/>
        <v>0.8479969066</v>
      </c>
      <c r="W4" s="13"/>
      <c r="X4" s="12">
        <f>Andrew!D4</f>
        <v>0.45</v>
      </c>
      <c r="Y4" s="12">
        <f>ChatGPT!D4</f>
        <v>0.5</v>
      </c>
      <c r="Z4" s="12">
        <f>Eileen!D4</f>
        <v>0.4</v>
      </c>
      <c r="AA4" s="12">
        <f>Iain!D4</f>
        <v>0.4</v>
      </c>
      <c r="AB4" s="12">
        <f>Kate!D4</f>
        <v>0.9</v>
      </c>
      <c r="AC4" s="12">
        <f>Rohan!D4</f>
        <v>0.5</v>
      </c>
      <c r="AD4" s="12">
        <f>Pete!D4</f>
        <v>0.3</v>
      </c>
      <c r="AE4" s="12">
        <f>Christine!D4</f>
        <v>0.2</v>
      </c>
      <c r="AF4" s="12">
        <f>Jac!D4</f>
        <v>0.52</v>
      </c>
      <c r="AG4" s="12">
        <f>James!D4</f>
        <v>0.35</v>
      </c>
      <c r="AH4" s="12">
        <f>Lachy!D4</f>
        <v>0.7</v>
      </c>
      <c r="AI4" s="12">
        <f>Gael!D4</f>
        <v>0.5</v>
      </c>
      <c r="AJ4" s="12">
        <f>Bruce!D4</f>
        <v>0.1</v>
      </c>
    </row>
    <row r="5">
      <c r="A5" s="11">
        <v>4.0</v>
      </c>
      <c r="B5" s="9" t="s">
        <v>28</v>
      </c>
      <c r="C5" s="11" t="s">
        <v>25</v>
      </c>
      <c r="D5" s="11" t="s">
        <v>13</v>
      </c>
      <c r="F5" s="11">
        <v>0.0</v>
      </c>
      <c r="J5" s="12">
        <f t="shared" ref="J5:V5" si="4">IF($F5=1,(LOG(X5,2)+1),IF($F5=0,(LOG(1-X5,2)+1),""))</f>
        <v>0.4854268272</v>
      </c>
      <c r="K5" s="12">
        <f t="shared" si="4"/>
        <v>1</v>
      </c>
      <c r="L5" s="12">
        <f t="shared" si="4"/>
        <v>0.2630344058</v>
      </c>
      <c r="M5" s="12">
        <f t="shared" si="4"/>
        <v>-0.3219280949</v>
      </c>
      <c r="N5" s="12">
        <f t="shared" si="4"/>
        <v>0</v>
      </c>
      <c r="O5" s="12">
        <f t="shared" si="4"/>
        <v>0.5058909297</v>
      </c>
      <c r="P5" s="12">
        <f t="shared" si="4"/>
        <v>0</v>
      </c>
      <c r="Q5" s="12">
        <f t="shared" si="4"/>
        <v>0</v>
      </c>
      <c r="R5" s="12">
        <f t="shared" si="4"/>
        <v>-0.1520030934</v>
      </c>
      <c r="S5" s="12">
        <f t="shared" si="4"/>
        <v>0.8479969066</v>
      </c>
      <c r="T5" s="12">
        <f t="shared" si="4"/>
        <v>-0.3219280949</v>
      </c>
      <c r="U5" s="12">
        <f t="shared" si="4"/>
        <v>0</v>
      </c>
      <c r="V5" s="12">
        <f t="shared" si="4"/>
        <v>0</v>
      </c>
      <c r="W5" s="13"/>
      <c r="X5" s="12">
        <f>Andrew!D5</f>
        <v>0.3</v>
      </c>
      <c r="Y5" s="12" t="str">
        <f>ChatGPT!D5</f>
        <v/>
      </c>
      <c r="Z5" s="12">
        <f>Eileen!D5</f>
        <v>0.4</v>
      </c>
      <c r="AA5" s="12">
        <f>Iain!D5</f>
        <v>0.6</v>
      </c>
      <c r="AB5" s="12">
        <f>Kate!D5</f>
        <v>0.5</v>
      </c>
      <c r="AC5" s="12">
        <f>Rohan!D5</f>
        <v>0.29</v>
      </c>
      <c r="AD5" s="12">
        <f>Pete!D5</f>
        <v>0.5</v>
      </c>
      <c r="AE5" s="12">
        <f>Christine!D5</f>
        <v>0.5</v>
      </c>
      <c r="AF5" s="12">
        <f>Jac!D5</f>
        <v>0.55</v>
      </c>
      <c r="AG5" s="12">
        <f>James!D5</f>
        <v>0.1</v>
      </c>
      <c r="AH5" s="12">
        <f>Lachy!D5</f>
        <v>0.6</v>
      </c>
      <c r="AI5" s="12">
        <f>Gael!D5</f>
        <v>0.5</v>
      </c>
      <c r="AJ5" s="12">
        <f>Bruce!D5</f>
        <v>0.5</v>
      </c>
    </row>
    <row r="6">
      <c r="A6" s="11">
        <v>5.0</v>
      </c>
      <c r="B6" s="9" t="s">
        <v>29</v>
      </c>
      <c r="C6" s="11" t="s">
        <v>25</v>
      </c>
      <c r="D6" s="11" t="s">
        <v>13</v>
      </c>
      <c r="F6" s="11">
        <v>0.0</v>
      </c>
      <c r="J6" s="12">
        <f t="shared" ref="J6:V6" si="5">IF($F6=1,(LOG(X6,2)+1),IF($F6=0,(LOG(1-X6,2)+1),""))</f>
        <v>-0.3219280949</v>
      </c>
      <c r="K6" s="12">
        <f t="shared" si="5"/>
        <v>1</v>
      </c>
      <c r="L6" s="12">
        <f t="shared" si="5"/>
        <v>-1.321928095</v>
      </c>
      <c r="M6" s="12">
        <f t="shared" si="5"/>
        <v>0</v>
      </c>
      <c r="N6" s="12">
        <f t="shared" si="5"/>
        <v>0</v>
      </c>
      <c r="O6" s="12">
        <f t="shared" si="5"/>
        <v>0.5058909297</v>
      </c>
      <c r="P6" s="12">
        <f t="shared" si="5"/>
        <v>0</v>
      </c>
      <c r="Q6" s="12">
        <f t="shared" si="5"/>
        <v>-2.321928095</v>
      </c>
      <c r="R6" s="12">
        <f t="shared" si="5"/>
        <v>0</v>
      </c>
      <c r="S6" s="12">
        <f t="shared" si="5"/>
        <v>0.2630344058</v>
      </c>
      <c r="T6" s="12">
        <f t="shared" si="5"/>
        <v>0</v>
      </c>
      <c r="U6" s="12">
        <f t="shared" si="5"/>
        <v>0</v>
      </c>
      <c r="V6" s="12">
        <f t="shared" si="5"/>
        <v>0</v>
      </c>
      <c r="W6" s="13"/>
      <c r="X6" s="12">
        <f>Andrew!D6</f>
        <v>0.6</v>
      </c>
      <c r="Y6" s="12" t="str">
        <f>ChatGPT!D6</f>
        <v/>
      </c>
      <c r="Z6" s="12">
        <f>Eileen!D6</f>
        <v>0.8</v>
      </c>
      <c r="AA6" s="12">
        <f>Iain!D6</f>
        <v>0.5</v>
      </c>
      <c r="AB6" s="12">
        <f>Kate!D6</f>
        <v>0.5</v>
      </c>
      <c r="AC6" s="12">
        <f>Rohan!D6</f>
        <v>0.29</v>
      </c>
      <c r="AD6" s="12">
        <f>Pete!D6</f>
        <v>0.5</v>
      </c>
      <c r="AE6" s="12">
        <f>Christine!D6</f>
        <v>0.9</v>
      </c>
      <c r="AF6" s="12">
        <f>Jac!D6</f>
        <v>0.5</v>
      </c>
      <c r="AG6" s="12">
        <f>James!D6</f>
        <v>0.4</v>
      </c>
      <c r="AH6" s="12">
        <f>Lachy!D6</f>
        <v>0.5</v>
      </c>
      <c r="AI6" s="12">
        <f>Gael!D6</f>
        <v>0.5</v>
      </c>
      <c r="AJ6" s="12">
        <f>Bruce!D6</f>
        <v>0.5</v>
      </c>
    </row>
    <row r="7">
      <c r="A7" s="11">
        <v>6.0</v>
      </c>
      <c r="B7" s="9" t="s">
        <v>30</v>
      </c>
      <c r="C7" s="11" t="s">
        <v>25</v>
      </c>
      <c r="D7" s="11" t="s">
        <v>13</v>
      </c>
      <c r="F7" s="11">
        <v>0.0</v>
      </c>
      <c r="J7" s="12">
        <f t="shared" ref="J7:V7" si="6">IF($F7=1,(LOG(X7,2)+1),IF($F7=0,(LOG(1-X7,2)+1),""))</f>
        <v>-0.7369655942</v>
      </c>
      <c r="K7" s="12">
        <f t="shared" si="6"/>
        <v>1</v>
      </c>
      <c r="L7" s="12">
        <f t="shared" si="6"/>
        <v>-0.7369655942</v>
      </c>
      <c r="M7" s="12">
        <f t="shared" si="6"/>
        <v>0</v>
      </c>
      <c r="N7" s="12">
        <f t="shared" si="6"/>
        <v>0</v>
      </c>
      <c r="O7" s="12">
        <f t="shared" si="6"/>
        <v>0.6780719051</v>
      </c>
      <c r="P7" s="12">
        <f t="shared" si="6"/>
        <v>0</v>
      </c>
      <c r="Q7" s="12">
        <f t="shared" si="6"/>
        <v>-0.7369655942</v>
      </c>
      <c r="R7" s="12">
        <f t="shared" si="6"/>
        <v>-0.05889368905</v>
      </c>
      <c r="S7" s="12">
        <f t="shared" si="6"/>
        <v>-0.3219280949</v>
      </c>
      <c r="T7" s="12">
        <f t="shared" si="6"/>
        <v>0</v>
      </c>
      <c r="U7" s="12">
        <f t="shared" si="6"/>
        <v>-0.3219280949</v>
      </c>
      <c r="V7" s="12">
        <f t="shared" si="6"/>
        <v>0</v>
      </c>
      <c r="W7" s="13"/>
      <c r="X7" s="12">
        <f>Andrew!D7</f>
        <v>0.7</v>
      </c>
      <c r="Y7" s="12" t="str">
        <f>ChatGPT!D7</f>
        <v/>
      </c>
      <c r="Z7" s="12">
        <f>Eileen!D7</f>
        <v>0.7</v>
      </c>
      <c r="AA7" s="12">
        <f>Iain!D7</f>
        <v>0.5</v>
      </c>
      <c r="AB7" s="12">
        <f>Kate!D7</f>
        <v>0.5</v>
      </c>
      <c r="AC7" s="12">
        <f>Rohan!D7</f>
        <v>0.2</v>
      </c>
      <c r="AD7" s="12">
        <f>Pete!D7</f>
        <v>0.5</v>
      </c>
      <c r="AE7" s="12">
        <f>Christine!D7</f>
        <v>0.7</v>
      </c>
      <c r="AF7" s="12">
        <f>Jac!D7</f>
        <v>0.52</v>
      </c>
      <c r="AG7" s="12">
        <f>James!D7</f>
        <v>0.6</v>
      </c>
      <c r="AH7" s="12">
        <f>Lachy!D7</f>
        <v>0.5</v>
      </c>
      <c r="AI7" s="12">
        <f>Gael!D7</f>
        <v>0.6</v>
      </c>
      <c r="AJ7" s="12">
        <f>Bruce!D7</f>
        <v>0.5</v>
      </c>
    </row>
    <row r="8">
      <c r="A8" s="11">
        <v>7.0</v>
      </c>
      <c r="B8" s="9" t="s">
        <v>31</v>
      </c>
      <c r="C8" s="11" t="s">
        <v>25</v>
      </c>
      <c r="D8" s="11" t="s">
        <v>13</v>
      </c>
      <c r="F8" s="11">
        <v>1.0</v>
      </c>
      <c r="J8" s="12">
        <f t="shared" ref="J8:V8" si="7">IF($F8=1,(LOG(X8,2)+1),IF($F8=0,(LOG(1-X8,2)+1),""))</f>
        <v>0.1375035237</v>
      </c>
      <c r="K8" s="12" t="str">
        <f t="shared" si="7"/>
        <v>#NUM!</v>
      </c>
      <c r="L8" s="12">
        <f t="shared" si="7"/>
        <v>-0.3219280949</v>
      </c>
      <c r="M8" s="12">
        <f t="shared" si="7"/>
        <v>0.2630344058</v>
      </c>
      <c r="N8" s="12">
        <f t="shared" si="7"/>
        <v>0</v>
      </c>
      <c r="O8" s="12">
        <f t="shared" si="7"/>
        <v>0.1375035237</v>
      </c>
      <c r="P8" s="12">
        <f t="shared" si="7"/>
        <v>0</v>
      </c>
      <c r="Q8" s="12">
        <f t="shared" si="7"/>
        <v>0.8479969066</v>
      </c>
      <c r="R8" s="12">
        <f t="shared" si="7"/>
        <v>0.7655347464</v>
      </c>
      <c r="S8" s="12">
        <f t="shared" si="7"/>
        <v>0.2630344058</v>
      </c>
      <c r="T8" s="12">
        <f t="shared" si="7"/>
        <v>0</v>
      </c>
      <c r="U8" s="12">
        <f t="shared" si="7"/>
        <v>0.2630344058</v>
      </c>
      <c r="V8" s="12">
        <f t="shared" si="7"/>
        <v>0.6780719051</v>
      </c>
      <c r="W8" s="13"/>
      <c r="X8" s="12">
        <f>Andrew!D8</f>
        <v>0.55</v>
      </c>
      <c r="Y8" s="12" t="str">
        <f>ChatGPT!D8</f>
        <v/>
      </c>
      <c r="Z8" s="12">
        <f>Eileen!D8</f>
        <v>0.4</v>
      </c>
      <c r="AA8" s="12">
        <f>Iain!D8</f>
        <v>0.6</v>
      </c>
      <c r="AB8" s="12">
        <f>Kate!D8</f>
        <v>0.5</v>
      </c>
      <c r="AC8" s="12">
        <f>Rohan!D8</f>
        <v>0.55</v>
      </c>
      <c r="AD8" s="12">
        <f>Pete!D8</f>
        <v>0.5</v>
      </c>
      <c r="AE8" s="12">
        <f>Christine!D8</f>
        <v>0.9</v>
      </c>
      <c r="AF8" s="12">
        <f>Jac!D8</f>
        <v>0.85</v>
      </c>
      <c r="AG8" s="12">
        <f>James!D8</f>
        <v>0.6</v>
      </c>
      <c r="AH8" s="12">
        <f>Lachy!D8</f>
        <v>0.5</v>
      </c>
      <c r="AI8" s="12">
        <f>Gael!D8</f>
        <v>0.6</v>
      </c>
      <c r="AJ8" s="12">
        <f>Bruce!D8</f>
        <v>0.8</v>
      </c>
    </row>
    <row r="9">
      <c r="A9" s="11">
        <v>8.0</v>
      </c>
      <c r="B9" s="9" t="s">
        <v>32</v>
      </c>
      <c r="C9" s="11" t="s">
        <v>25</v>
      </c>
      <c r="D9" s="11" t="s">
        <v>13</v>
      </c>
      <c r="E9" s="11" t="s">
        <v>33</v>
      </c>
      <c r="F9" s="11">
        <v>0.0</v>
      </c>
      <c r="J9" s="12">
        <f t="shared" ref="J9:V9" si="8">IF($F9=1,(LOG(X9,2)+1),IF($F9=0,(LOG(1-X9,2)+1),""))</f>
        <v>0.2630344058</v>
      </c>
      <c r="K9" s="12">
        <f t="shared" si="8"/>
        <v>1</v>
      </c>
      <c r="L9" s="12">
        <f t="shared" si="8"/>
        <v>-0.7369655942</v>
      </c>
      <c r="M9" s="12">
        <f t="shared" si="8"/>
        <v>-0.7369655942</v>
      </c>
      <c r="N9" s="12">
        <f t="shared" si="8"/>
        <v>0.6780719051</v>
      </c>
      <c r="O9" s="12">
        <f t="shared" si="8"/>
        <v>0.2630344058</v>
      </c>
      <c r="P9" s="12">
        <f t="shared" si="8"/>
        <v>0.2630344058</v>
      </c>
      <c r="Q9" s="12">
        <f t="shared" si="8"/>
        <v>-2.321928095</v>
      </c>
      <c r="R9" s="12">
        <f t="shared" si="8"/>
        <v>0.8479969066</v>
      </c>
      <c r="S9" s="12">
        <f t="shared" si="8"/>
        <v>0.4854268272</v>
      </c>
      <c r="T9" s="12">
        <f t="shared" si="8"/>
        <v>-0.7369655942</v>
      </c>
      <c r="U9" s="12">
        <f t="shared" si="8"/>
        <v>-0.7369655942</v>
      </c>
      <c r="V9" s="12">
        <f t="shared" si="8"/>
        <v>0</v>
      </c>
      <c r="W9" s="13"/>
      <c r="X9" s="12">
        <f>Andrew!D9</f>
        <v>0.4</v>
      </c>
      <c r="Y9" s="12" t="str">
        <f>ChatGPT!D9</f>
        <v/>
      </c>
      <c r="Z9" s="12">
        <f>Eileen!D9</f>
        <v>0.7</v>
      </c>
      <c r="AA9" s="12">
        <f>Iain!D9</f>
        <v>0.7</v>
      </c>
      <c r="AB9" s="12">
        <f>Kate!D9</f>
        <v>0.2</v>
      </c>
      <c r="AC9" s="12">
        <f>Rohan!D9</f>
        <v>0.4</v>
      </c>
      <c r="AD9" s="12">
        <f>Pete!D9</f>
        <v>0.4</v>
      </c>
      <c r="AE9" s="12">
        <f>Christine!D9</f>
        <v>0.9</v>
      </c>
      <c r="AF9" s="12">
        <f>Jac!D9</f>
        <v>0.1</v>
      </c>
      <c r="AG9" s="12">
        <f>James!D9</f>
        <v>0.3</v>
      </c>
      <c r="AH9" s="12">
        <f>Lachy!D9</f>
        <v>0.7</v>
      </c>
      <c r="AI9" s="12">
        <f>Gael!D9</f>
        <v>0.7</v>
      </c>
      <c r="AJ9" s="12">
        <f>Bruce!D9</f>
        <v>0.5</v>
      </c>
    </row>
    <row r="10">
      <c r="A10" s="11">
        <v>9.0</v>
      </c>
      <c r="B10" s="14" t="s">
        <v>34</v>
      </c>
      <c r="C10" s="11" t="s">
        <v>25</v>
      </c>
      <c r="D10" s="11" t="s">
        <v>16</v>
      </c>
      <c r="F10" s="11">
        <v>0.0</v>
      </c>
      <c r="J10" s="12">
        <f t="shared" ref="J10:V10" si="9">IF($F10=1,(LOG(X10,2)+1),IF($F10=0,(LOG(1-X10,2)+1),""))</f>
        <v>0.7655347464</v>
      </c>
      <c r="K10" s="12">
        <f t="shared" si="9"/>
        <v>1</v>
      </c>
      <c r="L10" s="12">
        <f t="shared" si="9"/>
        <v>0.4854268272</v>
      </c>
      <c r="M10" s="12">
        <f t="shared" si="9"/>
        <v>0.2630344058</v>
      </c>
      <c r="N10" s="12">
        <f t="shared" si="9"/>
        <v>0.4854268272</v>
      </c>
      <c r="O10" s="12">
        <f t="shared" si="9"/>
        <v>0.9259994186</v>
      </c>
      <c r="P10" s="12">
        <f t="shared" si="9"/>
        <v>0</v>
      </c>
      <c r="Q10" s="12">
        <f t="shared" si="9"/>
        <v>-0.7369655942</v>
      </c>
      <c r="R10" s="12">
        <f t="shared" si="9"/>
        <v>0.8479969066</v>
      </c>
      <c r="S10" s="12">
        <f t="shared" si="9"/>
        <v>0.9855004303</v>
      </c>
      <c r="T10" s="12">
        <f t="shared" si="9"/>
        <v>0.2630344058</v>
      </c>
      <c r="U10" s="12">
        <f t="shared" si="9"/>
        <v>0</v>
      </c>
      <c r="V10" s="12">
        <f t="shared" si="9"/>
        <v>0.4854268272</v>
      </c>
      <c r="W10" s="13"/>
      <c r="X10" s="12">
        <f>Andrew!D10</f>
        <v>0.15</v>
      </c>
      <c r="Y10" s="12" t="str">
        <f>ChatGPT!D10</f>
        <v/>
      </c>
      <c r="Z10" s="12">
        <f>Eileen!D10</f>
        <v>0.3</v>
      </c>
      <c r="AA10" s="12">
        <f>Iain!D10</f>
        <v>0.4</v>
      </c>
      <c r="AB10" s="12">
        <f>Kate!D10</f>
        <v>0.3</v>
      </c>
      <c r="AC10" s="12">
        <f>Rohan!D10</f>
        <v>0.05</v>
      </c>
      <c r="AD10" s="12">
        <f>Pete!D10</f>
        <v>0.5</v>
      </c>
      <c r="AE10" s="12">
        <f>Christine!D10</f>
        <v>0.7</v>
      </c>
      <c r="AF10" s="12">
        <f>Jac!D10</f>
        <v>0.1</v>
      </c>
      <c r="AG10" s="12">
        <f>James!D10</f>
        <v>0.01</v>
      </c>
      <c r="AH10" s="12">
        <f>Lachy!D10</f>
        <v>0.4</v>
      </c>
      <c r="AI10" s="12">
        <f>Gael!D10</f>
        <v>0.5</v>
      </c>
      <c r="AJ10" s="12">
        <f>Bruce!D10</f>
        <v>0.3</v>
      </c>
    </row>
    <row r="11">
      <c r="A11" s="11">
        <v>10.0</v>
      </c>
      <c r="B11" s="14" t="s">
        <v>35</v>
      </c>
      <c r="C11" s="11" t="s">
        <v>25</v>
      </c>
      <c r="D11" s="11" t="s">
        <v>16</v>
      </c>
      <c r="F11" s="11">
        <v>0.0</v>
      </c>
      <c r="J11" s="12">
        <f t="shared" ref="J11:V11" si="10">IF($F11=1,(LOG(X11,2)+1),IF($F11=0,(LOG(1-X11,2)+1),""))</f>
        <v>0.9259994186</v>
      </c>
      <c r="K11" s="12">
        <f t="shared" si="10"/>
        <v>1</v>
      </c>
      <c r="L11" s="12">
        <f t="shared" si="10"/>
        <v>0.6780719051</v>
      </c>
      <c r="M11" s="12">
        <f t="shared" si="10"/>
        <v>0.8479969066</v>
      </c>
      <c r="N11" s="12">
        <f t="shared" si="10"/>
        <v>-2.321928095</v>
      </c>
      <c r="O11" s="12">
        <f t="shared" si="10"/>
        <v>-5.64385619</v>
      </c>
      <c r="P11" s="12">
        <f t="shared" si="10"/>
        <v>0</v>
      </c>
      <c r="Q11" s="12">
        <f t="shared" si="10"/>
        <v>-1.321928095</v>
      </c>
      <c r="R11" s="12">
        <f t="shared" si="10"/>
        <v>-0.1520030934</v>
      </c>
      <c r="S11" s="12">
        <f t="shared" si="10"/>
        <v>0</v>
      </c>
      <c r="T11" s="12">
        <f t="shared" si="10"/>
        <v>0</v>
      </c>
      <c r="U11" s="12">
        <f t="shared" si="10"/>
        <v>0.2630344058</v>
      </c>
      <c r="V11" s="12">
        <f t="shared" si="10"/>
        <v>-0.7369655942</v>
      </c>
      <c r="W11" s="13"/>
      <c r="X11" s="12">
        <f>Andrew!D11</f>
        <v>0.05</v>
      </c>
      <c r="Y11" s="12" t="str">
        <f>ChatGPT!D11</f>
        <v/>
      </c>
      <c r="Z11" s="12">
        <f>Eileen!D11</f>
        <v>0.2</v>
      </c>
      <c r="AA11" s="12">
        <f>Iain!D11</f>
        <v>0.1</v>
      </c>
      <c r="AB11" s="12">
        <f>Kate!D11</f>
        <v>0.9</v>
      </c>
      <c r="AC11" s="12">
        <f>Rohan!D11</f>
        <v>0.99</v>
      </c>
      <c r="AD11" s="12">
        <f>Pete!D11</f>
        <v>0.5</v>
      </c>
      <c r="AE11" s="12">
        <f>Christine!D11</f>
        <v>0.8</v>
      </c>
      <c r="AF11" s="12">
        <f>Jac!D11</f>
        <v>0.55</v>
      </c>
      <c r="AG11" s="12">
        <f>James!D11</f>
        <v>0.5</v>
      </c>
      <c r="AH11" s="12">
        <f>Lachy!D11</f>
        <v>0.5</v>
      </c>
      <c r="AI11" s="12">
        <f>Gael!D11</f>
        <v>0.4</v>
      </c>
      <c r="AJ11" s="12">
        <f>Bruce!D11</f>
        <v>0.7</v>
      </c>
    </row>
    <row r="12">
      <c r="A12" s="11">
        <v>11.0</v>
      </c>
      <c r="B12" s="14" t="s">
        <v>36</v>
      </c>
      <c r="C12" s="11" t="s">
        <v>25</v>
      </c>
      <c r="D12" s="11" t="s">
        <v>16</v>
      </c>
      <c r="F12" s="11">
        <v>0.0</v>
      </c>
      <c r="J12" s="12">
        <f t="shared" ref="J12:V12" si="11">IF($F12=1,(LOG(X12,2)+1),IF($F12=0,(LOG(1-X12,2)+1),""))</f>
        <v>-0.7369655942</v>
      </c>
      <c r="K12" s="12">
        <f t="shared" si="11"/>
        <v>1</v>
      </c>
      <c r="L12" s="12">
        <f t="shared" si="11"/>
        <v>0.2630344058</v>
      </c>
      <c r="M12" s="12">
        <f t="shared" si="11"/>
        <v>0.8479969066</v>
      </c>
      <c r="N12" s="12">
        <f t="shared" si="11"/>
        <v>-1.321928095</v>
      </c>
      <c r="O12" s="12">
        <f t="shared" si="11"/>
        <v>0.7655347464</v>
      </c>
      <c r="P12" s="12">
        <f t="shared" si="11"/>
        <v>0.4854268272</v>
      </c>
      <c r="Q12" s="12">
        <f t="shared" si="11"/>
        <v>0.8479969066</v>
      </c>
      <c r="R12" s="12">
        <f t="shared" si="11"/>
        <v>0.3785116233</v>
      </c>
      <c r="S12" s="12">
        <f t="shared" si="11"/>
        <v>0.4854268272</v>
      </c>
      <c r="T12" s="12">
        <f t="shared" si="11"/>
        <v>0.8479969066</v>
      </c>
      <c r="U12" s="12">
        <f t="shared" si="11"/>
        <v>0.4854268272</v>
      </c>
      <c r="V12" s="12">
        <f t="shared" si="11"/>
        <v>0.6780719051</v>
      </c>
      <c r="W12" s="13"/>
      <c r="X12" s="12">
        <f>Andrew!D12</f>
        <v>0.7</v>
      </c>
      <c r="Y12" s="12" t="str">
        <f>ChatGPT!D12</f>
        <v/>
      </c>
      <c r="Z12" s="12">
        <f>Eileen!D12</f>
        <v>0.4</v>
      </c>
      <c r="AA12" s="12">
        <f>Iain!D12</f>
        <v>0.1</v>
      </c>
      <c r="AB12" s="12">
        <f>Kate!D12</f>
        <v>0.8</v>
      </c>
      <c r="AC12" s="12">
        <f>Rohan!D12</f>
        <v>0.15</v>
      </c>
      <c r="AD12" s="12">
        <f>Pete!D12</f>
        <v>0.3</v>
      </c>
      <c r="AE12" s="12">
        <f>Christine!D12</f>
        <v>0.1</v>
      </c>
      <c r="AF12" s="12">
        <f>Jac!D12</f>
        <v>0.35</v>
      </c>
      <c r="AG12" s="12">
        <f>James!D12</f>
        <v>0.3</v>
      </c>
      <c r="AH12" s="12">
        <f>Lachy!D12</f>
        <v>0.1</v>
      </c>
      <c r="AI12" s="12">
        <f>Gael!D12</f>
        <v>0.3</v>
      </c>
      <c r="AJ12" s="12">
        <f>Bruce!D12</f>
        <v>0.2</v>
      </c>
    </row>
    <row r="13">
      <c r="A13" s="11">
        <v>12.0</v>
      </c>
      <c r="B13" s="9" t="s">
        <v>37</v>
      </c>
      <c r="C13" s="11" t="s">
        <v>25</v>
      </c>
      <c r="D13" s="11" t="s">
        <v>17</v>
      </c>
      <c r="F13" s="11">
        <v>1.0</v>
      </c>
      <c r="J13" s="12">
        <f t="shared" ref="J13:V13" si="12">IF($F13=1,(LOG(X13,2)+1),IF($F13=0,(LOG(1-X13,2)+1),""))</f>
        <v>0.2630344058</v>
      </c>
      <c r="K13" s="12" t="str">
        <f t="shared" si="12"/>
        <v>#NUM!</v>
      </c>
      <c r="L13" s="12">
        <f t="shared" si="12"/>
        <v>-1.321928095</v>
      </c>
      <c r="M13" s="12">
        <f t="shared" si="12"/>
        <v>0.4854268272</v>
      </c>
      <c r="N13" s="12">
        <f t="shared" si="12"/>
        <v>0.8479969066</v>
      </c>
      <c r="O13" s="12">
        <f t="shared" si="12"/>
        <v>0.5849625007</v>
      </c>
      <c r="P13" s="12">
        <f t="shared" si="12"/>
        <v>-0.3219280949</v>
      </c>
      <c r="Q13" s="12">
        <f t="shared" si="12"/>
        <v>0</v>
      </c>
      <c r="R13" s="12">
        <f t="shared" si="12"/>
        <v>-0.3219280949</v>
      </c>
      <c r="S13" s="12">
        <f t="shared" si="12"/>
        <v>0.4854268272</v>
      </c>
      <c r="T13" s="12">
        <f t="shared" si="12"/>
        <v>0.6780719051</v>
      </c>
      <c r="U13" s="12">
        <f t="shared" si="12"/>
        <v>0.4854268272</v>
      </c>
      <c r="V13" s="12">
        <f t="shared" si="12"/>
        <v>0.8479969066</v>
      </c>
      <c r="W13" s="13"/>
      <c r="X13" s="12">
        <f>Andrew!D13</f>
        <v>0.6</v>
      </c>
      <c r="Y13" s="12" t="str">
        <f>ChatGPT!D13</f>
        <v/>
      </c>
      <c r="Z13" s="12">
        <f>Eileen!D13</f>
        <v>0.2</v>
      </c>
      <c r="AA13" s="12">
        <f>Iain!D13</f>
        <v>0.7</v>
      </c>
      <c r="AB13" s="12">
        <f>Kate!D13</f>
        <v>0.9</v>
      </c>
      <c r="AC13" s="12">
        <f>Rohan!D13</f>
        <v>0.75</v>
      </c>
      <c r="AD13" s="12">
        <f>Pete!D13</f>
        <v>0.4</v>
      </c>
      <c r="AE13" s="12">
        <f>Christine!D13</f>
        <v>0.5</v>
      </c>
      <c r="AF13" s="12">
        <f>Jac!D13</f>
        <v>0.4</v>
      </c>
      <c r="AG13" s="12">
        <f>James!D13</f>
        <v>0.7</v>
      </c>
      <c r="AH13" s="12">
        <f>Lachy!D13</f>
        <v>0.8</v>
      </c>
      <c r="AI13" s="12">
        <f>Gael!D13</f>
        <v>0.7</v>
      </c>
      <c r="AJ13" s="12">
        <f>Bruce!D13</f>
        <v>0.9</v>
      </c>
    </row>
    <row r="14">
      <c r="A14" s="11">
        <v>13.0</v>
      </c>
      <c r="B14" s="15" t="s">
        <v>38</v>
      </c>
      <c r="C14" s="11" t="s">
        <v>39</v>
      </c>
      <c r="D14" s="11" t="s">
        <v>15</v>
      </c>
      <c r="F14" s="11">
        <v>1.0</v>
      </c>
      <c r="J14" s="12">
        <f t="shared" ref="J14:V14" si="13">IF($F14=1,(LOG(X14,2)+1),IF($F14=0,(LOG(1-X14,2)+1),""))</f>
        <v>-0.3219280949</v>
      </c>
      <c r="K14" s="12" t="str">
        <f t="shared" si="13"/>
        <v>#NUM!</v>
      </c>
      <c r="L14" s="12">
        <f t="shared" si="13"/>
        <v>-0.3219280949</v>
      </c>
      <c r="M14" s="12">
        <f t="shared" si="13"/>
        <v>0.2630344058</v>
      </c>
      <c r="N14" s="12">
        <f t="shared" si="13"/>
        <v>0.4854268272</v>
      </c>
      <c r="O14" s="12">
        <f t="shared" si="13"/>
        <v>0.8479969066</v>
      </c>
      <c r="P14" s="12">
        <f t="shared" si="13"/>
        <v>0.6780719051</v>
      </c>
      <c r="Q14" s="12">
        <f t="shared" si="13"/>
        <v>0</v>
      </c>
      <c r="R14" s="12">
        <f t="shared" si="13"/>
        <v>0.2630344058</v>
      </c>
      <c r="S14" s="12">
        <f t="shared" si="13"/>
        <v>0.4854268272</v>
      </c>
      <c r="T14" s="12">
        <f t="shared" si="13"/>
        <v>0.2630344058</v>
      </c>
      <c r="U14" s="12">
        <f t="shared" si="13"/>
        <v>0.6780719051</v>
      </c>
      <c r="V14" s="12">
        <f t="shared" si="13"/>
        <v>0.2630344058</v>
      </c>
      <c r="W14" s="13"/>
      <c r="X14" s="12">
        <f>Andrew!D14</f>
        <v>0.4</v>
      </c>
      <c r="Y14" s="12" t="str">
        <f>ChatGPT!D14</f>
        <v/>
      </c>
      <c r="Z14" s="12">
        <f>Eileen!D14</f>
        <v>0.4</v>
      </c>
      <c r="AA14" s="12">
        <f>Iain!D14</f>
        <v>0.6</v>
      </c>
      <c r="AB14" s="12">
        <f>Kate!D14</f>
        <v>0.7</v>
      </c>
      <c r="AC14" s="12">
        <f>Rohan!D14</f>
        <v>0.9</v>
      </c>
      <c r="AD14" s="12">
        <f>Pete!D14</f>
        <v>0.8</v>
      </c>
      <c r="AE14" s="12">
        <f>Christine!D14</f>
        <v>0.5</v>
      </c>
      <c r="AF14" s="12">
        <f>Jac!D14</f>
        <v>0.6</v>
      </c>
      <c r="AG14" s="12">
        <f>James!D14</f>
        <v>0.7</v>
      </c>
      <c r="AH14" s="12">
        <f>Lachy!D14</f>
        <v>0.6</v>
      </c>
      <c r="AI14" s="12">
        <f>Gael!D14</f>
        <v>0.8</v>
      </c>
      <c r="AJ14" s="12">
        <f>Bruce!D14</f>
        <v>0.6</v>
      </c>
    </row>
    <row r="15">
      <c r="A15" s="11">
        <v>14.0</v>
      </c>
      <c r="B15" s="9" t="s">
        <v>40</v>
      </c>
      <c r="C15" s="11" t="s">
        <v>39</v>
      </c>
      <c r="D15" s="11" t="s">
        <v>20</v>
      </c>
      <c r="F15" s="11">
        <v>1.0</v>
      </c>
      <c r="G15" s="11" t="s">
        <v>41</v>
      </c>
      <c r="J15" s="12">
        <f t="shared" ref="J15:V15" si="14">IF($F15=1,(LOG(X15,2)+1),IF($F15=0,(LOG(1-X15,2)+1),""))</f>
        <v>0.1375035237</v>
      </c>
      <c r="K15" s="12" t="str">
        <f t="shared" si="14"/>
        <v>#NUM!</v>
      </c>
      <c r="L15" s="12">
        <f t="shared" si="14"/>
        <v>0.2630344058</v>
      </c>
      <c r="M15" s="12">
        <f t="shared" si="14"/>
        <v>0</v>
      </c>
      <c r="N15" s="12">
        <f t="shared" si="14"/>
        <v>0.6780719051</v>
      </c>
      <c r="O15" s="12">
        <f t="shared" si="14"/>
        <v>-0.3219280949</v>
      </c>
      <c r="P15" s="12">
        <f t="shared" si="14"/>
        <v>0.4854268272</v>
      </c>
      <c r="Q15" s="12">
        <f t="shared" si="14"/>
        <v>-0.7369655942</v>
      </c>
      <c r="R15" s="12">
        <f t="shared" si="14"/>
        <v>0</v>
      </c>
      <c r="S15" s="12">
        <f t="shared" si="14"/>
        <v>0.4854268272</v>
      </c>
      <c r="T15" s="12">
        <f t="shared" si="14"/>
        <v>0</v>
      </c>
      <c r="U15" s="12">
        <f t="shared" si="14"/>
        <v>0.2630344058</v>
      </c>
      <c r="V15" s="12">
        <f t="shared" si="14"/>
        <v>0.7655347464</v>
      </c>
      <c r="W15" s="13"/>
      <c r="X15" s="12">
        <f>Andrew!D15</f>
        <v>0.55</v>
      </c>
      <c r="Y15" s="12" t="str">
        <f>ChatGPT!D15</f>
        <v/>
      </c>
      <c r="Z15" s="12">
        <f>Eileen!D15</f>
        <v>0.6</v>
      </c>
      <c r="AA15" s="12">
        <f>Iain!D15</f>
        <v>0.5</v>
      </c>
      <c r="AB15" s="12">
        <f>Kate!D15</f>
        <v>0.8</v>
      </c>
      <c r="AC15" s="12">
        <f>Rohan!D15</f>
        <v>0.4</v>
      </c>
      <c r="AD15" s="12">
        <f>Pete!D15</f>
        <v>0.7</v>
      </c>
      <c r="AE15" s="12">
        <f>Christine!D15</f>
        <v>0.3</v>
      </c>
      <c r="AF15" s="12">
        <f>Jac!D15</f>
        <v>0.5</v>
      </c>
      <c r="AG15" s="12">
        <f>James!D15</f>
        <v>0.7</v>
      </c>
      <c r="AH15" s="12">
        <f>Lachy!D15</f>
        <v>0.5</v>
      </c>
      <c r="AI15" s="12">
        <f>Gael!D15</f>
        <v>0.6</v>
      </c>
      <c r="AJ15" s="12">
        <f>Bruce!D15</f>
        <v>0.85</v>
      </c>
    </row>
    <row r="16">
      <c r="A16" s="11">
        <v>15.0</v>
      </c>
      <c r="B16" s="9" t="s">
        <v>42</v>
      </c>
      <c r="C16" s="11" t="s">
        <v>39</v>
      </c>
      <c r="D16" s="11" t="s">
        <v>18</v>
      </c>
      <c r="E16" s="11" t="s">
        <v>43</v>
      </c>
      <c r="F16" s="11">
        <v>1.0</v>
      </c>
      <c r="J16" s="12">
        <f t="shared" ref="J16:V16" si="15">IF($F16=1,(LOG(X16,2)+1),IF($F16=0,(LOG(1-X16,2)+1),""))</f>
        <v>-1</v>
      </c>
      <c r="K16" s="12" t="str">
        <f t="shared" si="15"/>
        <v>#NUM!</v>
      </c>
      <c r="L16" s="12">
        <f t="shared" si="15"/>
        <v>0.4854268272</v>
      </c>
      <c r="M16" s="12">
        <f t="shared" si="15"/>
        <v>0.6780719051</v>
      </c>
      <c r="N16" s="12">
        <f t="shared" si="15"/>
        <v>-0.3219280949</v>
      </c>
      <c r="O16" s="12">
        <f t="shared" si="15"/>
        <v>0.7655347464</v>
      </c>
      <c r="P16" s="12">
        <f t="shared" si="15"/>
        <v>0.6780719051</v>
      </c>
      <c r="Q16" s="12">
        <f t="shared" si="15"/>
        <v>0.6780719051</v>
      </c>
      <c r="R16" s="12">
        <f t="shared" si="15"/>
        <v>0.4854268272</v>
      </c>
      <c r="S16" s="12">
        <f t="shared" si="15"/>
        <v>-0.7369655942</v>
      </c>
      <c r="T16" s="12">
        <f t="shared" si="15"/>
        <v>0.4854268272</v>
      </c>
      <c r="U16" s="12">
        <f t="shared" si="15"/>
        <v>0.6780719051</v>
      </c>
      <c r="V16" s="12">
        <f t="shared" si="15"/>
        <v>0.6780719051</v>
      </c>
      <c r="W16" s="13"/>
      <c r="X16" s="12">
        <f>Andrew!D16</f>
        <v>0.25</v>
      </c>
      <c r="Y16" s="12" t="str">
        <f>ChatGPT!D16</f>
        <v/>
      </c>
      <c r="Z16" s="12">
        <f>Eileen!D16</f>
        <v>0.7</v>
      </c>
      <c r="AA16" s="12">
        <f>Iain!D16</f>
        <v>0.8</v>
      </c>
      <c r="AB16" s="12">
        <f>Kate!D16</f>
        <v>0.4</v>
      </c>
      <c r="AC16" s="12">
        <f>Rohan!D16</f>
        <v>0.85</v>
      </c>
      <c r="AD16" s="12">
        <f>Pete!D16</f>
        <v>0.8</v>
      </c>
      <c r="AE16" s="12">
        <f>Christine!D16</f>
        <v>0.8</v>
      </c>
      <c r="AF16" s="12">
        <f>Jac!D16</f>
        <v>0.7</v>
      </c>
      <c r="AG16" s="12">
        <f>James!D16</f>
        <v>0.3</v>
      </c>
      <c r="AH16" s="12">
        <f>Lachy!D16</f>
        <v>0.7</v>
      </c>
      <c r="AI16" s="12">
        <f>Gael!D16</f>
        <v>0.8</v>
      </c>
      <c r="AJ16" s="12">
        <f>Bruce!D16</f>
        <v>0.8</v>
      </c>
    </row>
    <row r="17">
      <c r="A17" s="11">
        <v>16.0</v>
      </c>
      <c r="B17" s="9" t="s">
        <v>44</v>
      </c>
      <c r="C17" s="11" t="s">
        <v>39</v>
      </c>
      <c r="D17" s="11" t="s">
        <v>11</v>
      </c>
      <c r="F17" s="11">
        <v>0.0</v>
      </c>
      <c r="J17" s="12">
        <f t="shared" ref="J17:V17" si="16">IF($F17=1,(LOG(X17,2)+1),IF($F17=0,(LOG(1-X17,2)+1),""))</f>
        <v>0.6780719051</v>
      </c>
      <c r="K17" s="12">
        <f t="shared" si="16"/>
        <v>0.8479969066</v>
      </c>
      <c r="L17" s="12">
        <f t="shared" si="16"/>
        <v>0.4854268272</v>
      </c>
      <c r="M17" s="12">
        <f t="shared" si="16"/>
        <v>-0.3219280949</v>
      </c>
      <c r="N17" s="12">
        <f t="shared" si="16"/>
        <v>0.4854268272</v>
      </c>
      <c r="O17" s="12">
        <f t="shared" si="16"/>
        <v>0.1375035237</v>
      </c>
      <c r="P17" s="12">
        <f t="shared" si="16"/>
        <v>-0.7369655942</v>
      </c>
      <c r="Q17" s="12">
        <f t="shared" si="16"/>
        <v>-0.7369655942</v>
      </c>
      <c r="R17" s="12">
        <f t="shared" si="16"/>
        <v>0.3785116233</v>
      </c>
      <c r="S17" s="12">
        <f t="shared" si="16"/>
        <v>0</v>
      </c>
      <c r="T17" s="12">
        <f t="shared" si="16"/>
        <v>0.4854268272</v>
      </c>
      <c r="U17" s="12">
        <f t="shared" si="16"/>
        <v>0.2630344058</v>
      </c>
      <c r="V17" s="12">
        <f t="shared" si="16"/>
        <v>0.8479969066</v>
      </c>
      <c r="W17" s="13"/>
      <c r="X17" s="12">
        <f>Andrew!D17</f>
        <v>0.2</v>
      </c>
      <c r="Y17" s="12">
        <f>ChatGPT!D17</f>
        <v>0.1</v>
      </c>
      <c r="Z17" s="12">
        <f>Eileen!D17</f>
        <v>0.3</v>
      </c>
      <c r="AA17" s="12">
        <f>Iain!D17</f>
        <v>0.6</v>
      </c>
      <c r="AB17" s="12">
        <f>Kate!D17</f>
        <v>0.3</v>
      </c>
      <c r="AC17" s="12">
        <f>Rohan!D17</f>
        <v>0.45</v>
      </c>
      <c r="AD17" s="12">
        <f>Pete!D17</f>
        <v>0.7</v>
      </c>
      <c r="AE17" s="12">
        <f>Christine!D17</f>
        <v>0.7</v>
      </c>
      <c r="AF17" s="12">
        <f>Jac!D17</f>
        <v>0.35</v>
      </c>
      <c r="AG17" s="12">
        <f>James!D17</f>
        <v>0.5</v>
      </c>
      <c r="AH17" s="12">
        <f>Lachy!D17</f>
        <v>0.3</v>
      </c>
      <c r="AI17" s="12">
        <f>Gael!D17</f>
        <v>0.4</v>
      </c>
      <c r="AJ17" s="12">
        <f>Bruce!D17</f>
        <v>0.1</v>
      </c>
    </row>
    <row r="18">
      <c r="A18" s="11">
        <v>17.0</v>
      </c>
      <c r="B18" s="9" t="s">
        <v>45</v>
      </c>
      <c r="C18" s="11" t="s">
        <v>39</v>
      </c>
      <c r="D18" s="11" t="s">
        <v>14</v>
      </c>
      <c r="F18" s="11">
        <v>1.0</v>
      </c>
      <c r="J18" s="12">
        <f t="shared" ref="J18:V18" si="17">IF($F18=1,(LOG(X18,2)+1),IF($F18=0,(LOG(1-X18,2)+1),""))</f>
        <v>0.9855004303</v>
      </c>
      <c r="K18" s="12" t="str">
        <f t="shared" si="17"/>
        <v>#NUM!</v>
      </c>
      <c r="L18" s="12">
        <f t="shared" si="17"/>
        <v>0.9855004303</v>
      </c>
      <c r="M18" s="12">
        <f t="shared" si="17"/>
        <v>0.4854268272</v>
      </c>
      <c r="N18" s="12">
        <f t="shared" si="17"/>
        <v>0.8479969066</v>
      </c>
      <c r="O18" s="12">
        <f t="shared" si="17"/>
        <v>0.3785116233</v>
      </c>
      <c r="P18" s="12">
        <f t="shared" si="17"/>
        <v>0</v>
      </c>
      <c r="Q18" s="12">
        <f t="shared" si="17"/>
        <v>0</v>
      </c>
      <c r="R18" s="12">
        <f t="shared" si="17"/>
        <v>0.4854268272</v>
      </c>
      <c r="S18" s="12">
        <f t="shared" si="17"/>
        <v>0</v>
      </c>
      <c r="T18" s="12">
        <f t="shared" si="17"/>
        <v>0.8479969066</v>
      </c>
      <c r="U18" s="12">
        <f t="shared" si="17"/>
        <v>0.4854268272</v>
      </c>
      <c r="V18" s="12">
        <f t="shared" si="17"/>
        <v>0.4854268272</v>
      </c>
      <c r="W18" s="13"/>
      <c r="X18" s="12">
        <f>Andrew!D18</f>
        <v>0.99</v>
      </c>
      <c r="Y18" s="12" t="str">
        <f>ChatGPT!D18</f>
        <v/>
      </c>
      <c r="Z18" s="12">
        <f>Eileen!D18</f>
        <v>0.99</v>
      </c>
      <c r="AA18" s="12">
        <f>Iain!D18</f>
        <v>0.7</v>
      </c>
      <c r="AB18" s="12">
        <f>Kate!D18</f>
        <v>0.9</v>
      </c>
      <c r="AC18" s="12">
        <f>Rohan!D18</f>
        <v>0.65</v>
      </c>
      <c r="AD18" s="12">
        <f>Pete!D18</f>
        <v>0.5</v>
      </c>
      <c r="AE18" s="12">
        <f>Christine!D18</f>
        <v>0.5</v>
      </c>
      <c r="AF18" s="12">
        <f>Jac!D18</f>
        <v>0.7</v>
      </c>
      <c r="AG18" s="12">
        <f>James!D18</f>
        <v>0.5</v>
      </c>
      <c r="AH18" s="12">
        <f>Lachy!D18</f>
        <v>0.9</v>
      </c>
      <c r="AI18" s="12">
        <f>Gael!D18</f>
        <v>0.7</v>
      </c>
      <c r="AJ18" s="12">
        <f>Bruce!D18</f>
        <v>0.7</v>
      </c>
    </row>
    <row r="19">
      <c r="A19" s="11">
        <v>18.0</v>
      </c>
      <c r="B19" s="14" t="s">
        <v>46</v>
      </c>
      <c r="C19" s="11" t="s">
        <v>39</v>
      </c>
      <c r="D19" s="11" t="s">
        <v>16</v>
      </c>
      <c r="F19" s="11">
        <v>0.0</v>
      </c>
      <c r="J19" s="12">
        <f t="shared" ref="J19:V19" si="18">IF($F19=1,(LOG(X19,2)+1),IF($F19=0,(LOG(1-X19,2)+1),""))</f>
        <v>-0.1520030934</v>
      </c>
      <c r="K19" s="12">
        <f t="shared" si="18"/>
        <v>1</v>
      </c>
      <c r="L19" s="12">
        <f t="shared" si="18"/>
        <v>0.1375035237</v>
      </c>
      <c r="M19" s="12">
        <f t="shared" si="18"/>
        <v>0.2630344058</v>
      </c>
      <c r="N19" s="12">
        <f t="shared" si="18"/>
        <v>-0.3219280949</v>
      </c>
      <c r="O19" s="12">
        <f t="shared" si="18"/>
        <v>-0.1520030934</v>
      </c>
      <c r="P19" s="12">
        <f t="shared" si="18"/>
        <v>-1.321928095</v>
      </c>
      <c r="Q19" s="12">
        <f t="shared" si="18"/>
        <v>-1.321928095</v>
      </c>
      <c r="R19" s="12">
        <f t="shared" si="18"/>
        <v>-1.736965594</v>
      </c>
      <c r="S19" s="12">
        <f t="shared" si="18"/>
        <v>0</v>
      </c>
      <c r="T19" s="12">
        <f t="shared" si="18"/>
        <v>0</v>
      </c>
      <c r="U19" s="12">
        <f t="shared" si="18"/>
        <v>-0.7369655942</v>
      </c>
      <c r="V19" s="12">
        <f t="shared" si="18"/>
        <v>-0.3219280949</v>
      </c>
      <c r="W19" s="13"/>
      <c r="X19" s="12">
        <f>Andrew!D19</f>
        <v>0.55</v>
      </c>
      <c r="Y19" s="12" t="str">
        <f>ChatGPT!D19</f>
        <v/>
      </c>
      <c r="Z19" s="12">
        <f>Eileen!D19</f>
        <v>0.45</v>
      </c>
      <c r="AA19" s="12">
        <f>Iain!D19</f>
        <v>0.4</v>
      </c>
      <c r="AB19" s="12">
        <f>Kate!D19</f>
        <v>0.6</v>
      </c>
      <c r="AC19" s="12">
        <f>Rohan!D19</f>
        <v>0.55</v>
      </c>
      <c r="AD19" s="12">
        <f>Pete!D19</f>
        <v>0.8</v>
      </c>
      <c r="AE19" s="12">
        <f>Christine!D19</f>
        <v>0.8</v>
      </c>
      <c r="AF19" s="12">
        <f>Jac!D19</f>
        <v>0.85</v>
      </c>
      <c r="AG19" s="12">
        <f>James!D19</f>
        <v>0.5</v>
      </c>
      <c r="AH19" s="12">
        <f>Lachy!D19</f>
        <v>0.5</v>
      </c>
      <c r="AI19" s="12">
        <f>Gael!D19</f>
        <v>0.7</v>
      </c>
      <c r="AJ19" s="12">
        <f>Bruce!D19</f>
        <v>0.6</v>
      </c>
    </row>
    <row r="20">
      <c r="A20" s="11">
        <v>19.0</v>
      </c>
      <c r="B20" s="14" t="s">
        <v>47</v>
      </c>
      <c r="C20" s="11" t="s">
        <v>48</v>
      </c>
      <c r="D20" s="11" t="s">
        <v>23</v>
      </c>
      <c r="F20" s="11">
        <v>1.0</v>
      </c>
      <c r="J20" s="12">
        <f t="shared" ref="J20:V20" si="19">IF($F20=1,(LOG(X20,2)+1),IF($F20=0,(LOG(1-X20,2)+1),""))</f>
        <v>-0.7369655942</v>
      </c>
      <c r="K20" s="12" t="str">
        <f t="shared" si="19"/>
        <v>#NUM!</v>
      </c>
      <c r="L20" s="12">
        <f t="shared" si="19"/>
        <v>0.4854268272</v>
      </c>
      <c r="M20" s="12">
        <f t="shared" si="19"/>
        <v>-1.321928095</v>
      </c>
      <c r="N20" s="12">
        <f t="shared" si="19"/>
        <v>-0.3219280949</v>
      </c>
      <c r="O20" s="12">
        <f t="shared" si="19"/>
        <v>0</v>
      </c>
      <c r="P20" s="12">
        <f t="shared" si="19"/>
        <v>0</v>
      </c>
      <c r="Q20" s="12">
        <f t="shared" si="19"/>
        <v>0</v>
      </c>
      <c r="R20" s="12">
        <f t="shared" si="19"/>
        <v>0.8479969066</v>
      </c>
      <c r="S20" s="12">
        <f t="shared" si="19"/>
        <v>0</v>
      </c>
      <c r="T20" s="12">
        <f t="shared" si="19"/>
        <v>0.4854268272</v>
      </c>
      <c r="U20" s="12">
        <f t="shared" si="19"/>
        <v>0.4854268272</v>
      </c>
      <c r="V20" s="12">
        <f t="shared" si="19"/>
        <v>0.5849625007</v>
      </c>
      <c r="W20" s="13"/>
      <c r="X20" s="12">
        <f>Andrew!D20</f>
        <v>0.3</v>
      </c>
      <c r="Y20" s="12" t="str">
        <f>ChatGPT!D20</f>
        <v/>
      </c>
      <c r="Z20" s="12">
        <f>Eileen!D20</f>
        <v>0.7</v>
      </c>
      <c r="AA20" s="12">
        <f>Iain!D20</f>
        <v>0.2</v>
      </c>
      <c r="AB20" s="12">
        <f>Kate!D20</f>
        <v>0.4</v>
      </c>
      <c r="AC20" s="12">
        <f>Rohan!D20</f>
        <v>0.5</v>
      </c>
      <c r="AD20" s="12">
        <f>Pete!D20</f>
        <v>0.5</v>
      </c>
      <c r="AE20" s="12">
        <f>Christine!D20</f>
        <v>0.5</v>
      </c>
      <c r="AF20" s="12">
        <f>Jac!D20</f>
        <v>0.9</v>
      </c>
      <c r="AG20" s="12">
        <f>James!D20</f>
        <v>0.5</v>
      </c>
      <c r="AH20" s="12">
        <f>Lachy!D20</f>
        <v>0.7</v>
      </c>
      <c r="AI20" s="12">
        <f>Gael!D20</f>
        <v>0.7</v>
      </c>
      <c r="AJ20" s="12">
        <f>Bruce!D20</f>
        <v>0.75</v>
      </c>
    </row>
    <row r="21">
      <c r="A21" s="11">
        <v>20.0</v>
      </c>
      <c r="B21" s="9" t="s">
        <v>49</v>
      </c>
      <c r="C21" s="11" t="s">
        <v>48</v>
      </c>
      <c r="D21" s="11" t="s">
        <v>20</v>
      </c>
      <c r="F21" s="11">
        <v>1.0</v>
      </c>
      <c r="J21" s="12">
        <f t="shared" ref="J21:V21" si="20">IF($F21=1,(LOG(X21,2)+1),IF($F21=0,(LOG(1-X21,2)+1),""))</f>
        <v>0.3561438102</v>
      </c>
      <c r="K21" s="12" t="str">
        <f t="shared" si="20"/>
        <v>#NUM!</v>
      </c>
      <c r="L21" s="12">
        <f t="shared" si="20"/>
        <v>0.3785116233</v>
      </c>
      <c r="M21" s="12">
        <f t="shared" si="20"/>
        <v>0</v>
      </c>
      <c r="N21" s="12">
        <f t="shared" si="20"/>
        <v>0</v>
      </c>
      <c r="O21" s="12">
        <f t="shared" si="20"/>
        <v>0</v>
      </c>
      <c r="P21" s="12">
        <f t="shared" si="20"/>
        <v>0</v>
      </c>
      <c r="Q21" s="12">
        <f t="shared" si="20"/>
        <v>0</v>
      </c>
      <c r="R21" s="12">
        <f t="shared" si="20"/>
        <v>-0.5145731728</v>
      </c>
      <c r="S21" s="12">
        <f t="shared" si="20"/>
        <v>0</v>
      </c>
      <c r="T21" s="12">
        <f t="shared" si="20"/>
        <v>0</v>
      </c>
      <c r="U21" s="12">
        <f t="shared" si="20"/>
        <v>0.4854268272</v>
      </c>
      <c r="V21" s="12">
        <f t="shared" si="20"/>
        <v>-1</v>
      </c>
      <c r="W21" s="13"/>
      <c r="X21" s="12">
        <f>Andrew!D21</f>
        <v>0.64</v>
      </c>
      <c r="Y21" s="12" t="str">
        <f>ChatGPT!D21</f>
        <v/>
      </c>
      <c r="Z21" s="12">
        <f>Eileen!D21</f>
        <v>0.65</v>
      </c>
      <c r="AA21" s="12">
        <f>Iain!D21</f>
        <v>0.5</v>
      </c>
      <c r="AB21" s="12">
        <f>Kate!D21</f>
        <v>0.5</v>
      </c>
      <c r="AC21" s="12">
        <f>Rohan!D21</f>
        <v>0.5</v>
      </c>
      <c r="AD21" s="12">
        <f>Pete!D21</f>
        <v>0.5</v>
      </c>
      <c r="AE21" s="12">
        <f>Christine!D21</f>
        <v>0.5</v>
      </c>
      <c r="AF21" s="12">
        <f>Jac!D21</f>
        <v>0.35</v>
      </c>
      <c r="AG21" s="12">
        <f>James!D21</f>
        <v>0.5</v>
      </c>
      <c r="AH21" s="12">
        <f>Lachy!D21</f>
        <v>0.5</v>
      </c>
      <c r="AI21" s="12">
        <f>Gael!D21</f>
        <v>0.7</v>
      </c>
      <c r="AJ21" s="12">
        <f>Bruce!D21</f>
        <v>0.25</v>
      </c>
    </row>
    <row r="22">
      <c r="A22" s="11">
        <v>21.0</v>
      </c>
      <c r="B22" s="9" t="s">
        <v>50</v>
      </c>
      <c r="C22" s="11" t="s">
        <v>48</v>
      </c>
      <c r="D22" s="11" t="s">
        <v>20</v>
      </c>
      <c r="F22" s="11">
        <v>0.0</v>
      </c>
      <c r="J22" s="12">
        <f t="shared" ref="J22:V22" si="21">IF($F22=1,(LOG(X22,2)+1),IF($F22=0,(LOG(1-X22,2)+1),""))</f>
        <v>-0.1520030934</v>
      </c>
      <c r="K22" s="12">
        <f t="shared" si="21"/>
        <v>1</v>
      </c>
      <c r="L22" s="12">
        <f t="shared" si="21"/>
        <v>0.4854268272</v>
      </c>
      <c r="M22" s="12">
        <f t="shared" si="21"/>
        <v>0.4854268272</v>
      </c>
      <c r="N22" s="12">
        <f t="shared" si="21"/>
        <v>-0.3219280949</v>
      </c>
      <c r="O22" s="12">
        <f t="shared" si="21"/>
        <v>0.08406426479</v>
      </c>
      <c r="P22" s="12">
        <f t="shared" si="21"/>
        <v>0</v>
      </c>
      <c r="Q22" s="12">
        <f t="shared" si="21"/>
        <v>0</v>
      </c>
      <c r="R22" s="12">
        <f t="shared" si="21"/>
        <v>0.7655347464</v>
      </c>
      <c r="S22" s="12">
        <f t="shared" si="21"/>
        <v>-0.3219280949</v>
      </c>
      <c r="T22" s="12">
        <f t="shared" si="21"/>
        <v>0.4854268272</v>
      </c>
      <c r="U22" s="12">
        <f t="shared" si="21"/>
        <v>-0.7369655942</v>
      </c>
      <c r="V22" s="12">
        <f t="shared" si="21"/>
        <v>0.4854268272</v>
      </c>
      <c r="W22" s="13"/>
      <c r="X22" s="12">
        <f>Andrew!D22</f>
        <v>0.55</v>
      </c>
      <c r="Y22" s="12" t="str">
        <f>ChatGPT!D22</f>
        <v/>
      </c>
      <c r="Z22" s="12">
        <f>Eileen!D22</f>
        <v>0.3</v>
      </c>
      <c r="AA22" s="12">
        <f>Iain!D22</f>
        <v>0.3</v>
      </c>
      <c r="AB22" s="12">
        <f>Kate!D22</f>
        <v>0.6</v>
      </c>
      <c r="AC22" s="12">
        <f>Rohan!D22</f>
        <v>0.47</v>
      </c>
      <c r="AD22" s="12">
        <f>Pete!D22</f>
        <v>0.5</v>
      </c>
      <c r="AE22" s="12">
        <f>Christine!D22</f>
        <v>0.5</v>
      </c>
      <c r="AF22" s="12">
        <f>Jac!D22</f>
        <v>0.15</v>
      </c>
      <c r="AG22" s="12">
        <f>James!D22</f>
        <v>0.6</v>
      </c>
      <c r="AH22" s="12">
        <f>Lachy!D22</f>
        <v>0.3</v>
      </c>
      <c r="AI22" s="12">
        <f>Gael!D22</f>
        <v>0.7</v>
      </c>
      <c r="AJ22" s="12">
        <f>Bruce!D22</f>
        <v>0.3</v>
      </c>
    </row>
    <row r="23">
      <c r="A23" s="11">
        <v>22.0</v>
      </c>
      <c r="B23" s="9" t="s">
        <v>51</v>
      </c>
      <c r="C23" s="11" t="s">
        <v>48</v>
      </c>
      <c r="D23" s="11" t="s">
        <v>11</v>
      </c>
      <c r="F23" s="11">
        <v>0.0</v>
      </c>
      <c r="J23" s="12">
        <f t="shared" ref="J23:V23" si="22">IF($F23=1,(LOG(X23,2)+1),IF($F23=0,(LOG(1-X23,2)+1),""))</f>
        <v>0.4854268272</v>
      </c>
      <c r="K23" s="12">
        <f t="shared" si="22"/>
        <v>1</v>
      </c>
      <c r="L23" s="12">
        <f t="shared" si="22"/>
        <v>0.3785116233</v>
      </c>
      <c r="M23" s="12">
        <f t="shared" si="22"/>
        <v>-0.3219280949</v>
      </c>
      <c r="N23" s="12">
        <f t="shared" si="22"/>
        <v>0.4854268272</v>
      </c>
      <c r="O23" s="12">
        <f t="shared" si="22"/>
        <v>0.4854268272</v>
      </c>
      <c r="P23" s="12">
        <f t="shared" si="22"/>
        <v>0.4854268272</v>
      </c>
      <c r="Q23" s="12">
        <f t="shared" si="22"/>
        <v>0</v>
      </c>
      <c r="R23" s="12">
        <f t="shared" si="22"/>
        <v>0.4854268272</v>
      </c>
      <c r="S23" s="12">
        <f t="shared" si="22"/>
        <v>-0.3219280949</v>
      </c>
      <c r="T23" s="12">
        <f t="shared" si="22"/>
        <v>0.6780719051</v>
      </c>
      <c r="U23" s="12">
        <f t="shared" si="22"/>
        <v>-0.3219280949</v>
      </c>
      <c r="V23" s="12">
        <f t="shared" si="22"/>
        <v>-0.7369655942</v>
      </c>
      <c r="W23" s="13"/>
      <c r="X23" s="12">
        <f>Andrew!D23</f>
        <v>0.3</v>
      </c>
      <c r="Y23" s="12" t="str">
        <f>ChatGPT!D23</f>
        <v/>
      </c>
      <c r="Z23" s="12">
        <f>Eileen!D23</f>
        <v>0.35</v>
      </c>
      <c r="AA23" s="12">
        <f>Iain!D23</f>
        <v>0.6</v>
      </c>
      <c r="AB23" s="12">
        <f>Kate!D23</f>
        <v>0.3</v>
      </c>
      <c r="AC23" s="12">
        <f>Rohan!D23</f>
        <v>0.3</v>
      </c>
      <c r="AD23" s="12">
        <f>Pete!D23</f>
        <v>0.3</v>
      </c>
      <c r="AE23" s="12">
        <f>Christine!D23</f>
        <v>0.5</v>
      </c>
      <c r="AF23" s="12">
        <f>Jac!D23</f>
        <v>0.3</v>
      </c>
      <c r="AG23" s="12">
        <f>James!D23</f>
        <v>0.6</v>
      </c>
      <c r="AH23" s="12">
        <f>Lachy!D23</f>
        <v>0.2</v>
      </c>
      <c r="AI23" s="12">
        <f>Gael!D23</f>
        <v>0.6</v>
      </c>
      <c r="AJ23" s="12">
        <f>Bruce!D23</f>
        <v>0.7</v>
      </c>
    </row>
    <row r="24">
      <c r="A24" s="11">
        <v>23.0</v>
      </c>
      <c r="B24" s="9" t="s">
        <v>52</v>
      </c>
      <c r="C24" s="11" t="s">
        <v>48</v>
      </c>
      <c r="D24" s="11" t="s">
        <v>21</v>
      </c>
      <c r="F24" s="11">
        <v>0.0</v>
      </c>
      <c r="J24" s="12">
        <f t="shared" ref="J24:V24" si="23">IF($F24=1,(LOG(X24,2)+1),IF($F24=0,(LOG(1-X24,2)+1),""))</f>
        <v>-0.3219280949</v>
      </c>
      <c r="K24" s="12">
        <f t="shared" si="23"/>
        <v>1</v>
      </c>
      <c r="L24" s="12">
        <f t="shared" si="23"/>
        <v>-0.3219280949</v>
      </c>
      <c r="M24" s="12">
        <f t="shared" si="23"/>
        <v>-0.7369655942</v>
      </c>
      <c r="N24" s="12">
        <f t="shared" si="23"/>
        <v>0</v>
      </c>
      <c r="O24" s="12">
        <f t="shared" si="23"/>
        <v>-0.02914634566</v>
      </c>
      <c r="P24" s="12">
        <f t="shared" si="23"/>
        <v>0</v>
      </c>
      <c r="Q24" s="12">
        <f t="shared" si="23"/>
        <v>-0.7369655942</v>
      </c>
      <c r="R24" s="12">
        <f t="shared" si="23"/>
        <v>-2.321928095</v>
      </c>
      <c r="S24" s="12">
        <f t="shared" si="23"/>
        <v>-0.7369655942</v>
      </c>
      <c r="T24" s="12">
        <f t="shared" si="23"/>
        <v>0.2630344058</v>
      </c>
      <c r="U24" s="12">
        <f t="shared" si="23"/>
        <v>0</v>
      </c>
      <c r="V24" s="12">
        <f t="shared" si="23"/>
        <v>0.6780719051</v>
      </c>
      <c r="W24" s="13"/>
      <c r="X24" s="12">
        <f>Andrew!D24</f>
        <v>0.6</v>
      </c>
      <c r="Y24" s="12" t="str">
        <f>ChatGPT!D24</f>
        <v/>
      </c>
      <c r="Z24" s="12">
        <f>Eileen!D24</f>
        <v>0.6</v>
      </c>
      <c r="AA24" s="12">
        <f>Iain!D24</f>
        <v>0.7</v>
      </c>
      <c r="AB24" s="12">
        <f>Kate!D24</f>
        <v>0.5</v>
      </c>
      <c r="AC24" s="12">
        <f>Rohan!D24</f>
        <v>0.51</v>
      </c>
      <c r="AD24" s="12">
        <f>Pete!D24</f>
        <v>0.5</v>
      </c>
      <c r="AE24" s="12">
        <f>Christine!D24</f>
        <v>0.7</v>
      </c>
      <c r="AF24" s="12">
        <f>Jac!D24</f>
        <v>0.9</v>
      </c>
      <c r="AG24" s="12">
        <f>James!D24</f>
        <v>0.7</v>
      </c>
      <c r="AH24" s="12">
        <f>Lachy!D24</f>
        <v>0.4</v>
      </c>
      <c r="AI24" s="12">
        <f>Gael!D24</f>
        <v>0.5</v>
      </c>
      <c r="AJ24" s="12">
        <f>Bruce!D24</f>
        <v>0.2</v>
      </c>
    </row>
    <row r="25">
      <c r="A25" s="11">
        <v>24.0</v>
      </c>
      <c r="B25" s="9" t="s">
        <v>53</v>
      </c>
      <c r="C25" s="11" t="s">
        <v>48</v>
      </c>
      <c r="D25" s="11" t="s">
        <v>17</v>
      </c>
      <c r="F25" s="11">
        <v>1.0</v>
      </c>
      <c r="J25" s="12">
        <f t="shared" ref="J25:V25" si="24">IF($F25=1,(LOG(X25,2)+1),IF($F25=0,(LOG(1-X25,2)+1),""))</f>
        <v>0.7655347464</v>
      </c>
      <c r="K25" s="12" t="str">
        <f t="shared" si="24"/>
        <v>#NUM!</v>
      </c>
      <c r="L25" s="12">
        <f t="shared" si="24"/>
        <v>0.6780719051</v>
      </c>
      <c r="M25" s="12">
        <f t="shared" si="24"/>
        <v>0.2630344058</v>
      </c>
      <c r="N25" s="12">
        <f t="shared" si="24"/>
        <v>0.6780719051</v>
      </c>
      <c r="O25" s="12">
        <f t="shared" si="24"/>
        <v>0.9259994186</v>
      </c>
      <c r="P25" s="12">
        <f t="shared" si="24"/>
        <v>0.8479969066</v>
      </c>
      <c r="Q25" s="12">
        <f t="shared" si="24"/>
        <v>0.4854268272</v>
      </c>
      <c r="R25" s="12">
        <f t="shared" si="24"/>
        <v>0.7655347464</v>
      </c>
      <c r="S25" s="12">
        <f t="shared" si="24"/>
        <v>0.8479969066</v>
      </c>
      <c r="T25" s="12">
        <f t="shared" si="24"/>
        <v>0.4854268272</v>
      </c>
      <c r="U25" s="12">
        <f t="shared" si="24"/>
        <v>0.6780719051</v>
      </c>
      <c r="V25" s="12">
        <f t="shared" si="24"/>
        <v>0.9855004303</v>
      </c>
      <c r="W25" s="13"/>
      <c r="X25" s="12">
        <f>Andrew!D25</f>
        <v>0.85</v>
      </c>
      <c r="Y25" s="12" t="str">
        <f>ChatGPT!D25</f>
        <v/>
      </c>
      <c r="Z25" s="12">
        <f>Eileen!D25</f>
        <v>0.8</v>
      </c>
      <c r="AA25" s="12">
        <f>Iain!D25</f>
        <v>0.6</v>
      </c>
      <c r="AB25" s="12">
        <f>Kate!D25</f>
        <v>0.8</v>
      </c>
      <c r="AC25" s="12">
        <f>Rohan!D25</f>
        <v>0.95</v>
      </c>
      <c r="AD25" s="12">
        <f>Pete!D25</f>
        <v>0.9</v>
      </c>
      <c r="AE25" s="12">
        <f>Christine!D25</f>
        <v>0.7</v>
      </c>
      <c r="AF25" s="12">
        <f>Jac!D25</f>
        <v>0.85</v>
      </c>
      <c r="AG25" s="12">
        <f>James!D25</f>
        <v>0.9</v>
      </c>
      <c r="AH25" s="12">
        <f>Lachy!D25</f>
        <v>0.7</v>
      </c>
      <c r="AI25" s="12">
        <f>Gael!D25</f>
        <v>0.8</v>
      </c>
      <c r="AJ25" s="12">
        <f>Bruce!D25</f>
        <v>0.99</v>
      </c>
    </row>
    <row r="26">
      <c r="A26" s="11">
        <v>25.0</v>
      </c>
      <c r="B26" s="9" t="s">
        <v>54</v>
      </c>
      <c r="C26" s="11" t="s">
        <v>55</v>
      </c>
      <c r="D26" s="11" t="s">
        <v>19</v>
      </c>
      <c r="F26" s="11">
        <v>0.0</v>
      </c>
      <c r="J26" s="12">
        <f t="shared" ref="J26:V26" si="25">IF($F26=1,(LOG(X26,2)+1),IF($F26=0,(LOG(1-X26,2)+1),""))</f>
        <v>0.1375035237</v>
      </c>
      <c r="K26" s="12">
        <f t="shared" si="25"/>
        <v>1</v>
      </c>
      <c r="L26" s="12">
        <f t="shared" si="25"/>
        <v>0.2630344058</v>
      </c>
      <c r="M26" s="12">
        <f t="shared" si="25"/>
        <v>-0.3219280949</v>
      </c>
      <c r="N26" s="12">
        <f t="shared" si="25"/>
        <v>-0.3219280949</v>
      </c>
      <c r="O26" s="12">
        <f t="shared" si="25"/>
        <v>-0.02914634566</v>
      </c>
      <c r="P26" s="12">
        <f t="shared" si="25"/>
        <v>-0.3219280949</v>
      </c>
      <c r="Q26" s="12">
        <f t="shared" si="25"/>
        <v>-0.7369655942</v>
      </c>
      <c r="R26" s="12">
        <f t="shared" si="25"/>
        <v>-2.321928095</v>
      </c>
      <c r="S26" s="12">
        <f t="shared" si="25"/>
        <v>-0.3219280949</v>
      </c>
      <c r="T26" s="12">
        <f t="shared" si="25"/>
        <v>0</v>
      </c>
      <c r="U26" s="12">
        <f t="shared" si="25"/>
        <v>-0.7369655942</v>
      </c>
      <c r="V26" s="12">
        <f t="shared" si="25"/>
        <v>-2.321928095</v>
      </c>
      <c r="W26" s="13"/>
      <c r="X26" s="12">
        <f>Andrew!D26</f>
        <v>0.45</v>
      </c>
      <c r="Y26" s="12" t="str">
        <f>ChatGPT!D26</f>
        <v/>
      </c>
      <c r="Z26" s="12">
        <f>Eileen!D26</f>
        <v>0.4</v>
      </c>
      <c r="AA26" s="12">
        <f>Iain!D26</f>
        <v>0.6</v>
      </c>
      <c r="AB26" s="12">
        <f>Kate!D26</f>
        <v>0.6</v>
      </c>
      <c r="AC26" s="12">
        <f>Rohan!D26</f>
        <v>0.51</v>
      </c>
      <c r="AD26" s="12">
        <f>Pete!D26</f>
        <v>0.6</v>
      </c>
      <c r="AE26" s="12">
        <f>Christine!D26</f>
        <v>0.7</v>
      </c>
      <c r="AF26" s="12">
        <f>Jac!D26</f>
        <v>0.9</v>
      </c>
      <c r="AG26" s="12">
        <f>James!D26</f>
        <v>0.6</v>
      </c>
      <c r="AH26" s="12">
        <f>Lachy!D26</f>
        <v>0.5</v>
      </c>
      <c r="AI26" s="12">
        <f>Gael!D26</f>
        <v>0.7</v>
      </c>
      <c r="AJ26" s="12">
        <f>Bruce!D26</f>
        <v>0.9</v>
      </c>
    </row>
    <row r="27">
      <c r="A27" s="11">
        <v>26.0</v>
      </c>
      <c r="B27" s="9" t="s">
        <v>56</v>
      </c>
      <c r="C27" s="11" t="s">
        <v>55</v>
      </c>
      <c r="D27" s="11" t="s">
        <v>19</v>
      </c>
      <c r="F27" s="11">
        <v>0.0</v>
      </c>
      <c r="J27" s="12">
        <f t="shared" ref="J27:V27" si="26">IF($F27=1,(LOG(X27,2)+1),IF($F27=0,(LOG(1-X27,2)+1),""))</f>
        <v>0.7655347464</v>
      </c>
      <c r="K27" s="12">
        <f t="shared" si="26"/>
        <v>1</v>
      </c>
      <c r="L27" s="12">
        <f t="shared" si="26"/>
        <v>0.4854268272</v>
      </c>
      <c r="M27" s="12">
        <f t="shared" si="26"/>
        <v>0.2630344058</v>
      </c>
      <c r="N27" s="12">
        <f t="shared" si="26"/>
        <v>-0.3219280949</v>
      </c>
      <c r="O27" s="12">
        <f t="shared" si="26"/>
        <v>0.08406426479</v>
      </c>
      <c r="P27" s="12">
        <f t="shared" si="26"/>
        <v>-1.321928095</v>
      </c>
      <c r="Q27" s="12">
        <f t="shared" si="26"/>
        <v>0</v>
      </c>
      <c r="R27" s="12">
        <f t="shared" si="26"/>
        <v>0.8479969066</v>
      </c>
      <c r="S27" s="12">
        <f t="shared" si="26"/>
        <v>0.2630344058</v>
      </c>
      <c r="T27" s="12">
        <f t="shared" si="26"/>
        <v>0.6780719051</v>
      </c>
      <c r="U27" s="12">
        <f t="shared" si="26"/>
        <v>-1.321928095</v>
      </c>
      <c r="V27" s="12">
        <f t="shared" si="26"/>
        <v>0.4854268272</v>
      </c>
      <c r="W27" s="13"/>
      <c r="X27" s="12">
        <f>Andrew!D27</f>
        <v>0.15</v>
      </c>
      <c r="Y27" s="12" t="str">
        <f>ChatGPT!D27</f>
        <v/>
      </c>
      <c r="Z27" s="12">
        <f>Eileen!D27</f>
        <v>0.3</v>
      </c>
      <c r="AA27" s="12">
        <f>Iain!D27</f>
        <v>0.4</v>
      </c>
      <c r="AB27" s="12">
        <f>Kate!D27</f>
        <v>0.6</v>
      </c>
      <c r="AC27" s="12">
        <f>Rohan!D27</f>
        <v>0.47</v>
      </c>
      <c r="AD27" s="12">
        <f>Pete!D27</f>
        <v>0.8</v>
      </c>
      <c r="AE27" s="12">
        <f>Christine!D27</f>
        <v>0.5</v>
      </c>
      <c r="AF27" s="12">
        <f>Jac!D27</f>
        <v>0.1</v>
      </c>
      <c r="AG27" s="12">
        <f>James!D27</f>
        <v>0.4</v>
      </c>
      <c r="AH27" s="12">
        <f>Lachy!D27</f>
        <v>0.2</v>
      </c>
      <c r="AI27" s="12">
        <f>Gael!D27</f>
        <v>0.8</v>
      </c>
      <c r="AJ27" s="12">
        <f>Bruce!D27</f>
        <v>0.3</v>
      </c>
    </row>
    <row r="28">
      <c r="A28" s="11">
        <v>27.0</v>
      </c>
      <c r="B28" s="9" t="s">
        <v>57</v>
      </c>
      <c r="C28" s="11" t="s">
        <v>55</v>
      </c>
      <c r="D28" s="11" t="s">
        <v>18</v>
      </c>
      <c r="F28" s="11">
        <v>0.0</v>
      </c>
      <c r="J28" s="12">
        <f t="shared" ref="J28:V28" si="27">IF($F28=1,(LOG(X28,2)+1),IF($F28=0,(LOG(1-X28,2)+1),""))</f>
        <v>0.1375035237</v>
      </c>
      <c r="K28" s="12">
        <f t="shared" si="27"/>
        <v>1</v>
      </c>
      <c r="L28" s="12">
        <f t="shared" si="27"/>
        <v>0.1375035237</v>
      </c>
      <c r="M28" s="12">
        <f t="shared" si="27"/>
        <v>-0.3219280949</v>
      </c>
      <c r="N28" s="12">
        <f t="shared" si="27"/>
        <v>0.4854268272</v>
      </c>
      <c r="O28" s="12">
        <f t="shared" si="27"/>
        <v>0.2630344058</v>
      </c>
      <c r="P28" s="12">
        <f t="shared" si="27"/>
        <v>0</v>
      </c>
      <c r="Q28" s="12">
        <f t="shared" si="27"/>
        <v>-0.7369655942</v>
      </c>
      <c r="R28" s="12">
        <f t="shared" si="27"/>
        <v>-0.1520030934</v>
      </c>
      <c r="S28" s="12">
        <f t="shared" si="27"/>
        <v>-0.3219280949</v>
      </c>
      <c r="T28" s="12">
        <f t="shared" si="27"/>
        <v>-0.3219280949</v>
      </c>
      <c r="U28" s="12">
        <f t="shared" si="27"/>
        <v>-1.321928095</v>
      </c>
      <c r="V28" s="12">
        <f t="shared" si="27"/>
        <v>0.2630344058</v>
      </c>
      <c r="W28" s="13"/>
      <c r="X28" s="12">
        <f>Andrew!D28</f>
        <v>0.45</v>
      </c>
      <c r="Y28" s="12" t="str">
        <f>ChatGPT!D28</f>
        <v/>
      </c>
      <c r="Z28" s="12">
        <f>Eileen!D28</f>
        <v>0.45</v>
      </c>
      <c r="AA28" s="12">
        <f>Iain!D28</f>
        <v>0.6</v>
      </c>
      <c r="AB28" s="12">
        <f>Kate!D28</f>
        <v>0.3</v>
      </c>
      <c r="AC28" s="12">
        <f>Rohan!D28</f>
        <v>0.4</v>
      </c>
      <c r="AD28" s="12">
        <f>Pete!D28</f>
        <v>0.5</v>
      </c>
      <c r="AE28" s="12">
        <f>Christine!D28</f>
        <v>0.7</v>
      </c>
      <c r="AF28" s="12">
        <f>Jac!D28</f>
        <v>0.55</v>
      </c>
      <c r="AG28" s="12">
        <f>James!D28</f>
        <v>0.6</v>
      </c>
      <c r="AH28" s="12">
        <f>Lachy!D28</f>
        <v>0.6</v>
      </c>
      <c r="AI28" s="12">
        <f>Gael!D28</f>
        <v>0.8</v>
      </c>
      <c r="AJ28" s="12">
        <f>Bruce!D28</f>
        <v>0.4</v>
      </c>
    </row>
    <row r="29">
      <c r="A29" s="11">
        <v>28.0</v>
      </c>
      <c r="B29" s="9" t="s">
        <v>58</v>
      </c>
      <c r="C29" s="11" t="s">
        <v>59</v>
      </c>
      <c r="D29" s="11" t="s">
        <v>22</v>
      </c>
      <c r="F29" s="11">
        <v>1.0</v>
      </c>
      <c r="J29" s="12">
        <f t="shared" ref="J29:V29" si="28">IF($F29=1,(LOG(X29,2)+1),IF($F29=0,(LOG(1-X29,2)+1),""))</f>
        <v>-0.5145731728</v>
      </c>
      <c r="K29" s="12" t="str">
        <f t="shared" si="28"/>
        <v>#NUM!</v>
      </c>
      <c r="L29" s="12">
        <f t="shared" si="28"/>
        <v>-0.1520030934</v>
      </c>
      <c r="M29" s="12">
        <f t="shared" si="28"/>
        <v>0.2630344058</v>
      </c>
      <c r="N29" s="12">
        <f t="shared" si="28"/>
        <v>-0.7369655942</v>
      </c>
      <c r="O29" s="12">
        <f t="shared" si="28"/>
        <v>-5.64385619</v>
      </c>
      <c r="P29" s="12">
        <f t="shared" si="28"/>
        <v>-3.321928095</v>
      </c>
      <c r="Q29" s="12">
        <f t="shared" si="28"/>
        <v>0</v>
      </c>
      <c r="R29" s="12">
        <f t="shared" si="28"/>
        <v>-1.321928095</v>
      </c>
      <c r="S29" s="12">
        <f t="shared" si="28"/>
        <v>0</v>
      </c>
      <c r="T29" s="12">
        <f t="shared" si="28"/>
        <v>0.4854268272</v>
      </c>
      <c r="U29" s="12">
        <f t="shared" si="28"/>
        <v>0.6780719051</v>
      </c>
      <c r="V29" s="12">
        <f t="shared" si="28"/>
        <v>0.4854268272</v>
      </c>
      <c r="W29" s="13"/>
      <c r="X29" s="12">
        <f>Andrew!D29</f>
        <v>0.35</v>
      </c>
      <c r="Y29" s="12" t="str">
        <f>ChatGPT!D29</f>
        <v/>
      </c>
      <c r="Z29" s="12">
        <f>Eileen!D29</f>
        <v>0.45</v>
      </c>
      <c r="AA29" s="12">
        <f>Iain!D29</f>
        <v>0.6</v>
      </c>
      <c r="AB29" s="12">
        <f>Kate!D29</f>
        <v>0.3</v>
      </c>
      <c r="AC29" s="12">
        <f>Rohan!D29</f>
        <v>0.01</v>
      </c>
      <c r="AD29" s="12">
        <f>Pete!D29</f>
        <v>0.05</v>
      </c>
      <c r="AE29" s="12">
        <f>Christine!D29</f>
        <v>0.5</v>
      </c>
      <c r="AF29" s="12">
        <f>Jac!D29</f>
        <v>0.2</v>
      </c>
      <c r="AG29" s="12">
        <f>James!D29</f>
        <v>0.5</v>
      </c>
      <c r="AH29" s="12">
        <f>Lachy!D29</f>
        <v>0.7</v>
      </c>
      <c r="AI29" s="12">
        <f>Gael!D29</f>
        <v>0.8</v>
      </c>
      <c r="AJ29" s="12">
        <f>Bruce!D29</f>
        <v>0.7</v>
      </c>
    </row>
    <row r="30">
      <c r="A30" s="11">
        <v>29.0</v>
      </c>
      <c r="B30" s="9" t="s">
        <v>60</v>
      </c>
      <c r="C30" s="11" t="s">
        <v>59</v>
      </c>
      <c r="D30" s="11" t="s">
        <v>22</v>
      </c>
      <c r="E30" s="11" t="s">
        <v>61</v>
      </c>
      <c r="F30" s="11">
        <v>1.0</v>
      </c>
      <c r="J30" s="12">
        <f t="shared" ref="J30:V30" si="29">IF($F30=1,(LOG(X30,2)+1),IF($F30=0,(LOG(1-X30,2)+1),""))</f>
        <v>0.4854268272</v>
      </c>
      <c r="K30" s="12" t="str">
        <f t="shared" si="29"/>
        <v>#NUM!</v>
      </c>
      <c r="L30" s="12">
        <f t="shared" si="29"/>
        <v>0.4854268272</v>
      </c>
      <c r="M30" s="12">
        <f t="shared" si="29"/>
        <v>0.2630344058</v>
      </c>
      <c r="N30" s="12">
        <f t="shared" si="29"/>
        <v>0.4854268272</v>
      </c>
      <c r="O30" s="12">
        <f t="shared" si="29"/>
        <v>0.1375035237</v>
      </c>
      <c r="P30" s="12">
        <f t="shared" si="29"/>
        <v>0.4854268272</v>
      </c>
      <c r="Q30" s="12">
        <f t="shared" si="29"/>
        <v>0</v>
      </c>
      <c r="R30" s="12">
        <f t="shared" si="29"/>
        <v>0.3785116233</v>
      </c>
      <c r="S30" s="12">
        <f t="shared" si="29"/>
        <v>0</v>
      </c>
      <c r="T30" s="12">
        <f t="shared" si="29"/>
        <v>-0.7369655942</v>
      </c>
      <c r="U30" s="12">
        <f t="shared" si="29"/>
        <v>0.8479969066</v>
      </c>
      <c r="V30" s="12">
        <f t="shared" si="29"/>
        <v>0.6780719051</v>
      </c>
      <c r="W30" s="13"/>
      <c r="X30" s="12">
        <f>Andrew!D30</f>
        <v>0.7</v>
      </c>
      <c r="Y30" s="12" t="str">
        <f>ChatGPT!D30</f>
        <v/>
      </c>
      <c r="Z30" s="12">
        <f>Eileen!D30</f>
        <v>0.7</v>
      </c>
      <c r="AA30" s="12">
        <f>Iain!D30</f>
        <v>0.6</v>
      </c>
      <c r="AB30" s="12">
        <f>Kate!D30</f>
        <v>0.7</v>
      </c>
      <c r="AC30" s="12">
        <f>Rohan!D30</f>
        <v>0.55</v>
      </c>
      <c r="AD30" s="12">
        <f>Pete!D30</f>
        <v>0.7</v>
      </c>
      <c r="AE30" s="12">
        <f>Christine!D30</f>
        <v>0.5</v>
      </c>
      <c r="AF30" s="12">
        <f>Jac!D30</f>
        <v>0.65</v>
      </c>
      <c r="AG30" s="12">
        <f>James!D30</f>
        <v>0.5</v>
      </c>
      <c r="AH30" s="12">
        <f>Lachy!D30</f>
        <v>0.3</v>
      </c>
      <c r="AI30" s="12">
        <f>Gael!D30</f>
        <v>0.9</v>
      </c>
      <c r="AJ30" s="12">
        <f>Bruce!D30</f>
        <v>0.8</v>
      </c>
    </row>
    <row r="31">
      <c r="A31" s="11">
        <v>30.0</v>
      </c>
      <c r="B31" s="9" t="s">
        <v>62</v>
      </c>
      <c r="C31" s="11" t="s">
        <v>59</v>
      </c>
      <c r="D31" s="11" t="s">
        <v>22</v>
      </c>
      <c r="F31" s="11">
        <v>1.0</v>
      </c>
      <c r="J31" s="12">
        <f t="shared" ref="J31:V31" si="30">IF($F31=1,(LOG(X31,2)+1),IF($F31=0,(LOG(1-X31,2)+1),""))</f>
        <v>0.1375035237</v>
      </c>
      <c r="K31" s="12" t="str">
        <f t="shared" si="30"/>
        <v>#NUM!</v>
      </c>
      <c r="L31" s="12">
        <f t="shared" si="30"/>
        <v>-0.1520030934</v>
      </c>
      <c r="M31" s="12">
        <f t="shared" si="30"/>
        <v>0.2630344058</v>
      </c>
      <c r="N31" s="12">
        <f t="shared" si="30"/>
        <v>0.6780719051</v>
      </c>
      <c r="O31" s="12">
        <f t="shared" si="30"/>
        <v>-0.3219280949</v>
      </c>
      <c r="P31" s="12">
        <f t="shared" si="30"/>
        <v>-0.7369655942</v>
      </c>
      <c r="Q31" s="12">
        <f t="shared" si="30"/>
        <v>0</v>
      </c>
      <c r="R31" s="12">
        <f t="shared" si="30"/>
        <v>0.3785116233</v>
      </c>
      <c r="S31" s="12">
        <f t="shared" si="30"/>
        <v>0.2630344058</v>
      </c>
      <c r="T31" s="12">
        <f t="shared" si="30"/>
        <v>0.6780719051</v>
      </c>
      <c r="U31" s="12">
        <f t="shared" si="30"/>
        <v>0.8479969066</v>
      </c>
      <c r="V31" s="12">
        <f t="shared" si="30"/>
        <v>0.6780719051</v>
      </c>
      <c r="W31" s="13"/>
      <c r="X31" s="12">
        <f>Andrew!D31</f>
        <v>0.55</v>
      </c>
      <c r="Y31" s="12" t="str">
        <f>ChatGPT!D31</f>
        <v/>
      </c>
      <c r="Z31" s="12">
        <f>Eileen!D31</f>
        <v>0.45</v>
      </c>
      <c r="AA31" s="12">
        <f>Iain!D31</f>
        <v>0.6</v>
      </c>
      <c r="AB31" s="12">
        <f>Kate!D31</f>
        <v>0.8</v>
      </c>
      <c r="AC31" s="12">
        <f>Rohan!D31</f>
        <v>0.4</v>
      </c>
      <c r="AD31" s="12">
        <f>Pete!D31</f>
        <v>0.3</v>
      </c>
      <c r="AE31" s="12">
        <f>Christine!D31</f>
        <v>0.5</v>
      </c>
      <c r="AF31" s="12">
        <f>Jac!D31</f>
        <v>0.65</v>
      </c>
      <c r="AG31" s="12">
        <f>James!D31</f>
        <v>0.6</v>
      </c>
      <c r="AH31" s="12">
        <f>Lachy!D31</f>
        <v>0.8</v>
      </c>
      <c r="AI31" s="12">
        <f>Gael!D31</f>
        <v>0.9</v>
      </c>
      <c r="AJ31" s="12">
        <f>Bruce!D31</f>
        <v>0.8</v>
      </c>
    </row>
    <row r="32">
      <c r="A32" s="11">
        <v>31.0</v>
      </c>
      <c r="B32" s="14" t="s">
        <v>63</v>
      </c>
      <c r="C32" s="11" t="s">
        <v>59</v>
      </c>
      <c r="D32" s="11" t="s">
        <v>23</v>
      </c>
      <c r="F32" s="11">
        <v>1.0</v>
      </c>
      <c r="G32" s="16">
        <v>45065.0</v>
      </c>
      <c r="J32" s="12">
        <f t="shared" ref="J32:V32" si="31">IF($F32=1,(LOG(X32,2)+1),IF($F32=0,(LOG(1-X32,2)+1),""))</f>
        <v>-0.3219280949</v>
      </c>
      <c r="K32" s="12" t="str">
        <f t="shared" si="31"/>
        <v>#NUM!</v>
      </c>
      <c r="L32" s="12">
        <f t="shared" si="31"/>
        <v>-1.321928095</v>
      </c>
      <c r="M32" s="12">
        <f t="shared" si="31"/>
        <v>0.4854268272</v>
      </c>
      <c r="N32" s="12">
        <f t="shared" si="31"/>
        <v>0.2630344058</v>
      </c>
      <c r="O32" s="12">
        <f t="shared" si="31"/>
        <v>0</v>
      </c>
      <c r="P32" s="12">
        <f t="shared" si="31"/>
        <v>0.2630344058</v>
      </c>
      <c r="Q32" s="12">
        <f t="shared" si="31"/>
        <v>0</v>
      </c>
      <c r="R32" s="12">
        <f t="shared" si="31"/>
        <v>-1.321928095</v>
      </c>
      <c r="S32" s="12">
        <f t="shared" si="31"/>
        <v>0</v>
      </c>
      <c r="T32" s="12">
        <f t="shared" si="31"/>
        <v>-0.3219280949</v>
      </c>
      <c r="U32" s="12">
        <f t="shared" si="31"/>
        <v>0.8479969066</v>
      </c>
      <c r="V32" s="12">
        <f t="shared" si="31"/>
        <v>0.8479969066</v>
      </c>
      <c r="W32" s="13"/>
      <c r="X32" s="12">
        <f>Andrew!D32</f>
        <v>0.4</v>
      </c>
      <c r="Y32" s="12" t="str">
        <f>ChatGPT!D32</f>
        <v/>
      </c>
      <c r="Z32" s="12">
        <f>Eileen!D32</f>
        <v>0.2</v>
      </c>
      <c r="AA32" s="12">
        <f>Iain!D32</f>
        <v>0.7</v>
      </c>
      <c r="AB32" s="12">
        <f>Kate!D32</f>
        <v>0.6</v>
      </c>
      <c r="AC32" s="12">
        <f>Rohan!D32</f>
        <v>0.5</v>
      </c>
      <c r="AD32" s="12">
        <f>Pete!D32</f>
        <v>0.6</v>
      </c>
      <c r="AE32" s="12">
        <f>Christine!D32</f>
        <v>0.5</v>
      </c>
      <c r="AF32" s="12">
        <f>Jac!D32</f>
        <v>0.2</v>
      </c>
      <c r="AG32" s="12">
        <f>James!D32</f>
        <v>0.5</v>
      </c>
      <c r="AH32" s="12">
        <f>Lachy!D32</f>
        <v>0.4</v>
      </c>
      <c r="AI32" s="12">
        <f>Gael!D32</f>
        <v>0.9</v>
      </c>
      <c r="AJ32" s="12">
        <f>Bruce!D32</f>
        <v>0.9</v>
      </c>
    </row>
    <row r="33">
      <c r="A33" s="11">
        <v>32.0</v>
      </c>
      <c r="B33" s="15" t="s">
        <v>64</v>
      </c>
      <c r="C33" s="11" t="s">
        <v>59</v>
      </c>
      <c r="D33" s="11" t="s">
        <v>23</v>
      </c>
      <c r="F33" s="11">
        <v>1.0</v>
      </c>
      <c r="J33" s="12">
        <f t="shared" ref="J33:V33" si="32">IF($F33=1,(LOG(X33,2)+1),IF($F33=0,(LOG(1-X33,2)+1),""))</f>
        <v>0.2630344058</v>
      </c>
      <c r="K33" s="12" t="str">
        <f t="shared" si="32"/>
        <v>#NUM!</v>
      </c>
      <c r="L33" s="12">
        <f t="shared" si="32"/>
        <v>-0.3219280949</v>
      </c>
      <c r="M33" s="12">
        <f t="shared" si="32"/>
        <v>0</v>
      </c>
      <c r="N33" s="12">
        <f t="shared" si="32"/>
        <v>0.6780719051</v>
      </c>
      <c r="O33" s="12">
        <f t="shared" si="32"/>
        <v>-0.02914634566</v>
      </c>
      <c r="P33" s="12">
        <f t="shared" si="32"/>
        <v>-0.3219280949</v>
      </c>
      <c r="Q33" s="12">
        <f t="shared" si="32"/>
        <v>0.4854268272</v>
      </c>
      <c r="R33" s="12">
        <f t="shared" si="32"/>
        <v>0.4854268272</v>
      </c>
      <c r="S33" s="12">
        <f t="shared" si="32"/>
        <v>0.4854268272</v>
      </c>
      <c r="T33" s="12">
        <f t="shared" si="32"/>
        <v>0.6780719051</v>
      </c>
      <c r="U33" s="12">
        <f t="shared" si="32"/>
        <v>-0.3219280949</v>
      </c>
      <c r="V33" s="12">
        <f t="shared" si="32"/>
        <v>0.9259994186</v>
      </c>
      <c r="W33" s="13"/>
      <c r="X33" s="12">
        <f>Andrew!D33</f>
        <v>0.6</v>
      </c>
      <c r="Y33" s="12" t="str">
        <f>ChatGPT!D33</f>
        <v/>
      </c>
      <c r="Z33" s="12">
        <f>Eileen!D33</f>
        <v>0.4</v>
      </c>
      <c r="AA33" s="12">
        <f>Iain!D33</f>
        <v>0.5</v>
      </c>
      <c r="AB33" s="12">
        <f>Kate!D33</f>
        <v>0.8</v>
      </c>
      <c r="AC33" s="12">
        <f>Rohan!D33</f>
        <v>0.49</v>
      </c>
      <c r="AD33" s="12">
        <f>Pete!D33</f>
        <v>0.4</v>
      </c>
      <c r="AE33" s="12">
        <f>Christine!D33</f>
        <v>0.7</v>
      </c>
      <c r="AF33" s="12">
        <f>Jac!D33</f>
        <v>0.7</v>
      </c>
      <c r="AG33" s="12">
        <f>James!D33</f>
        <v>0.7</v>
      </c>
      <c r="AH33" s="12">
        <f>Lachy!D33</f>
        <v>0.8</v>
      </c>
      <c r="AI33" s="12">
        <f>Gael!D33</f>
        <v>0.4</v>
      </c>
      <c r="AJ33" s="12">
        <f>Bruce!D33</f>
        <v>0.95</v>
      </c>
    </row>
    <row r="34">
      <c r="A34" s="11">
        <v>33.0</v>
      </c>
      <c r="B34" s="14" t="s">
        <v>65</v>
      </c>
      <c r="C34" s="11" t="s">
        <v>59</v>
      </c>
      <c r="D34" s="11" t="s">
        <v>15</v>
      </c>
      <c r="F34" s="11">
        <v>1.0</v>
      </c>
      <c r="J34" s="12">
        <f t="shared" ref="J34:V34" si="33">IF($F34=1,(LOG(X34,2)+1),IF($F34=0,(LOG(1-X34,2)+1),""))</f>
        <v>-0.5994620704</v>
      </c>
      <c r="K34" s="12" t="str">
        <f t="shared" si="33"/>
        <v>#NUM!</v>
      </c>
      <c r="L34" s="12">
        <f t="shared" si="33"/>
        <v>-0.7369655942</v>
      </c>
      <c r="M34" s="12">
        <f t="shared" si="33"/>
        <v>-0.7369655942</v>
      </c>
      <c r="N34" s="12">
        <f t="shared" si="33"/>
        <v>0.8479969066</v>
      </c>
      <c r="O34" s="12">
        <f t="shared" si="33"/>
        <v>0.2630344058</v>
      </c>
      <c r="P34" s="12">
        <f t="shared" si="33"/>
        <v>0.4854268272</v>
      </c>
      <c r="Q34" s="12">
        <f t="shared" si="33"/>
        <v>0.4854268272</v>
      </c>
      <c r="R34" s="12">
        <f t="shared" si="33"/>
        <v>0</v>
      </c>
      <c r="S34" s="12">
        <f t="shared" si="33"/>
        <v>0.2630344058</v>
      </c>
      <c r="T34" s="12">
        <f t="shared" si="33"/>
        <v>0</v>
      </c>
      <c r="U34" s="12">
        <f t="shared" si="33"/>
        <v>0.8479969066</v>
      </c>
      <c r="V34" s="12">
        <f t="shared" si="33"/>
        <v>0.4854268272</v>
      </c>
      <c r="W34" s="13"/>
      <c r="X34" s="12">
        <f>Andrew!D34</f>
        <v>0.33</v>
      </c>
      <c r="Y34" s="12" t="str">
        <f>ChatGPT!D34</f>
        <v/>
      </c>
      <c r="Z34" s="12">
        <f>Eileen!D34</f>
        <v>0.3</v>
      </c>
      <c r="AA34" s="12">
        <f>Iain!D34</f>
        <v>0.3</v>
      </c>
      <c r="AB34" s="12">
        <f>Kate!D34</f>
        <v>0.9</v>
      </c>
      <c r="AC34" s="12">
        <f>Rohan!D34</f>
        <v>0.6</v>
      </c>
      <c r="AD34" s="12">
        <f>Pete!D34</f>
        <v>0.7</v>
      </c>
      <c r="AE34" s="12">
        <f>Christine!D34</f>
        <v>0.7</v>
      </c>
      <c r="AF34" s="12">
        <f>Jac!D34</f>
        <v>0.5</v>
      </c>
      <c r="AG34" s="12">
        <f>James!D34</f>
        <v>0.6</v>
      </c>
      <c r="AH34" s="12">
        <f>Lachy!D34</f>
        <v>0.5</v>
      </c>
      <c r="AI34" s="12">
        <f>Gael!D34</f>
        <v>0.9</v>
      </c>
      <c r="AJ34" s="12">
        <f>Bruce!D34</f>
        <v>0.7</v>
      </c>
    </row>
    <row r="35">
      <c r="A35" s="11">
        <v>34.0</v>
      </c>
      <c r="B35" s="17" t="s">
        <v>66</v>
      </c>
      <c r="C35" s="11" t="s">
        <v>59</v>
      </c>
      <c r="D35" s="11" t="s">
        <v>15</v>
      </c>
      <c r="F35" s="11">
        <v>0.0</v>
      </c>
      <c r="J35" s="12">
        <f t="shared" ref="J35:V35" si="34">IF($F35=1,(LOG(X35,2)+1),IF($F35=0,(LOG(1-X35,2)+1),""))</f>
        <v>0.6780719051</v>
      </c>
      <c r="K35" s="12">
        <f t="shared" si="34"/>
        <v>1</v>
      </c>
      <c r="L35" s="12">
        <f t="shared" si="34"/>
        <v>0.1375035237</v>
      </c>
      <c r="M35" s="12">
        <f t="shared" si="34"/>
        <v>0.6780719051</v>
      </c>
      <c r="N35" s="12">
        <f t="shared" si="34"/>
        <v>-2.321928095</v>
      </c>
      <c r="O35" s="12">
        <f t="shared" si="34"/>
        <v>0.0285691522</v>
      </c>
      <c r="P35" s="12">
        <f t="shared" si="34"/>
        <v>-1.321928095</v>
      </c>
      <c r="Q35" s="12">
        <f t="shared" si="34"/>
        <v>-0.7369655942</v>
      </c>
      <c r="R35" s="12">
        <f t="shared" si="34"/>
        <v>0.7655347464</v>
      </c>
      <c r="S35" s="12">
        <f t="shared" si="34"/>
        <v>-0.7369655942</v>
      </c>
      <c r="T35" s="12">
        <f t="shared" si="34"/>
        <v>-0.7369655942</v>
      </c>
      <c r="U35" s="12">
        <f t="shared" si="34"/>
        <v>-1.321928095</v>
      </c>
      <c r="V35" s="12">
        <f t="shared" si="34"/>
        <v>0.4854268272</v>
      </c>
      <c r="W35" s="13"/>
      <c r="X35" s="12">
        <f>Andrew!D35</f>
        <v>0.2</v>
      </c>
      <c r="Y35" s="12" t="str">
        <f>ChatGPT!D35</f>
        <v/>
      </c>
      <c r="Z35" s="12">
        <f>Eileen!D35</f>
        <v>0.45</v>
      </c>
      <c r="AA35" s="12">
        <f>Iain!D35</f>
        <v>0.2</v>
      </c>
      <c r="AB35" s="12">
        <f>Kate!D35</f>
        <v>0.9</v>
      </c>
      <c r="AC35" s="12">
        <f>Rohan!D35</f>
        <v>0.49</v>
      </c>
      <c r="AD35" s="12">
        <f>Pete!D35</f>
        <v>0.8</v>
      </c>
      <c r="AE35" s="12">
        <f>Christine!D35</f>
        <v>0.7</v>
      </c>
      <c r="AF35" s="12">
        <f>Jac!D35</f>
        <v>0.15</v>
      </c>
      <c r="AG35" s="12">
        <f>James!D35</f>
        <v>0.7</v>
      </c>
      <c r="AH35" s="12">
        <f>Lachy!D35</f>
        <v>0.7</v>
      </c>
      <c r="AI35" s="12">
        <f>Gael!D35</f>
        <v>0.8</v>
      </c>
      <c r="AJ35" s="12">
        <f>Bruce!D35</f>
        <v>0.3</v>
      </c>
    </row>
    <row r="36">
      <c r="A36" s="11">
        <v>35.0</v>
      </c>
      <c r="B36" s="17" t="s">
        <v>67</v>
      </c>
      <c r="C36" s="11" t="s">
        <v>59</v>
      </c>
      <c r="D36" s="11" t="s">
        <v>19</v>
      </c>
      <c r="F36" s="11">
        <v>1.0</v>
      </c>
      <c r="J36" s="12">
        <f t="shared" ref="J36:V36" si="35">IF($F36=1,(LOG(X36,2)+1),IF($F36=0,(LOG(1-X36,2)+1),""))</f>
        <v>0.1375035237</v>
      </c>
      <c r="K36" s="12" t="str">
        <f t="shared" si="35"/>
        <v>#NUM!</v>
      </c>
      <c r="L36" s="12">
        <f t="shared" si="35"/>
        <v>-0.1520030934</v>
      </c>
      <c r="M36" s="12">
        <f t="shared" si="35"/>
        <v>-0.3219280949</v>
      </c>
      <c r="N36" s="12">
        <f t="shared" si="35"/>
        <v>-0.3219280949</v>
      </c>
      <c r="O36" s="12">
        <f t="shared" si="35"/>
        <v>0.1375035237</v>
      </c>
      <c r="P36" s="12">
        <f t="shared" si="35"/>
        <v>0.6780719051</v>
      </c>
      <c r="Q36" s="12">
        <f t="shared" si="35"/>
        <v>0.4854268272</v>
      </c>
      <c r="R36" s="12">
        <f t="shared" si="35"/>
        <v>0</v>
      </c>
      <c r="S36" s="12">
        <f t="shared" si="35"/>
        <v>0</v>
      </c>
      <c r="T36" s="12">
        <f t="shared" si="35"/>
        <v>0.4854268272</v>
      </c>
      <c r="U36" s="12">
        <f t="shared" si="35"/>
        <v>0.2630344058</v>
      </c>
      <c r="V36" s="12">
        <f t="shared" si="35"/>
        <v>0.4854268272</v>
      </c>
      <c r="W36" s="13"/>
      <c r="X36" s="12">
        <f>Andrew!D36</f>
        <v>0.55</v>
      </c>
      <c r="Y36" s="12" t="str">
        <f>ChatGPT!D36</f>
        <v/>
      </c>
      <c r="Z36" s="12">
        <f>Eileen!D36</f>
        <v>0.45</v>
      </c>
      <c r="AA36" s="12">
        <f>Iain!D36</f>
        <v>0.4</v>
      </c>
      <c r="AB36" s="12">
        <f>Kate!D36</f>
        <v>0.4</v>
      </c>
      <c r="AC36" s="12">
        <f>Rohan!D36</f>
        <v>0.55</v>
      </c>
      <c r="AD36" s="12">
        <f>Pete!D36</f>
        <v>0.8</v>
      </c>
      <c r="AE36" s="12">
        <f>Christine!D36</f>
        <v>0.7</v>
      </c>
      <c r="AF36" s="12">
        <f>Jac!D36</f>
        <v>0.5</v>
      </c>
      <c r="AG36" s="12">
        <f>James!D36</f>
        <v>0.5</v>
      </c>
      <c r="AH36" s="12">
        <f>Lachy!D36</f>
        <v>0.7</v>
      </c>
      <c r="AI36" s="12">
        <f>Gael!D36</f>
        <v>0.6</v>
      </c>
      <c r="AJ36" s="12">
        <f>Bruce!D36</f>
        <v>0.7</v>
      </c>
    </row>
    <row r="37">
      <c r="A37" s="11">
        <v>36.0</v>
      </c>
      <c r="B37" s="9" t="s">
        <v>68</v>
      </c>
      <c r="C37" s="11" t="s">
        <v>59</v>
      </c>
      <c r="D37" s="11" t="s">
        <v>19</v>
      </c>
      <c r="F37" s="11">
        <v>0.0</v>
      </c>
      <c r="J37" s="12">
        <f t="shared" ref="J37:V37" si="36">IF($F37=1,(LOG(X37,2)+1),IF($F37=0,(LOG(1-X37,2)+1),""))</f>
        <v>-0.3219280949</v>
      </c>
      <c r="K37" s="12">
        <f t="shared" si="36"/>
        <v>1</v>
      </c>
      <c r="L37" s="12">
        <f t="shared" si="36"/>
        <v>-0.7369655942</v>
      </c>
      <c r="M37" s="12">
        <f t="shared" si="36"/>
        <v>-0.3219280949</v>
      </c>
      <c r="N37" s="12">
        <f t="shared" si="36"/>
        <v>-1.321928095</v>
      </c>
      <c r="O37" s="12">
        <f t="shared" si="36"/>
        <v>0.0285691522</v>
      </c>
      <c r="P37" s="12">
        <f t="shared" si="36"/>
        <v>-0.7369655942</v>
      </c>
      <c r="Q37" s="12">
        <f t="shared" si="36"/>
        <v>-0.7369655942</v>
      </c>
      <c r="R37" s="12">
        <f t="shared" si="36"/>
        <v>0</v>
      </c>
      <c r="S37" s="12">
        <f t="shared" si="36"/>
        <v>-1.321928095</v>
      </c>
      <c r="T37" s="12">
        <f t="shared" si="36"/>
        <v>-2.321928095</v>
      </c>
      <c r="U37" s="12">
        <f t="shared" si="36"/>
        <v>-2.321928095</v>
      </c>
      <c r="V37" s="12">
        <f t="shared" si="36"/>
        <v>-2.321928095</v>
      </c>
      <c r="W37" s="13"/>
      <c r="X37" s="12">
        <f>Andrew!D37</f>
        <v>0.6</v>
      </c>
      <c r="Y37" s="12" t="str">
        <f>ChatGPT!D37</f>
        <v/>
      </c>
      <c r="Z37" s="12">
        <f>Eileen!D37</f>
        <v>0.7</v>
      </c>
      <c r="AA37" s="12">
        <f>Iain!D37</f>
        <v>0.6</v>
      </c>
      <c r="AB37" s="12">
        <f>Kate!D37</f>
        <v>0.8</v>
      </c>
      <c r="AC37" s="12">
        <f>Rohan!D37</f>
        <v>0.49</v>
      </c>
      <c r="AD37" s="12">
        <f>Pete!D37</f>
        <v>0.7</v>
      </c>
      <c r="AE37" s="12">
        <f>Christine!D37</f>
        <v>0.7</v>
      </c>
      <c r="AF37" s="12">
        <f>Jac!D37</f>
        <v>0.5</v>
      </c>
      <c r="AG37" s="12">
        <f>James!D37</f>
        <v>0.8</v>
      </c>
      <c r="AH37" s="12">
        <f>Lachy!D37</f>
        <v>0.9</v>
      </c>
      <c r="AI37" s="12">
        <f>Gael!D37</f>
        <v>0.9</v>
      </c>
      <c r="AJ37" s="12">
        <f>Bruce!D37</f>
        <v>0.9</v>
      </c>
    </row>
    <row r="38">
      <c r="A38" s="11">
        <v>37.0</v>
      </c>
      <c r="B38" s="9" t="s">
        <v>69</v>
      </c>
      <c r="C38" s="11" t="s">
        <v>59</v>
      </c>
      <c r="D38" s="11" t="s">
        <v>19</v>
      </c>
      <c r="F38" s="11">
        <v>1.0</v>
      </c>
      <c r="G38" s="18">
        <v>45127.0</v>
      </c>
      <c r="H38" s="19" t="s">
        <v>70</v>
      </c>
      <c r="J38" s="12">
        <f t="shared" ref="J38:V38" si="37">IF($F38=1,(LOG(X38,2)+1),IF($F38=0,(LOG(1-X38,2)+1),""))</f>
        <v>-0.1520030934</v>
      </c>
      <c r="K38" s="12" t="str">
        <f t="shared" si="37"/>
        <v>#NUM!</v>
      </c>
      <c r="L38" s="12">
        <f t="shared" si="37"/>
        <v>-0.3219280949</v>
      </c>
      <c r="M38" s="12">
        <f t="shared" si="37"/>
        <v>0.2630344058</v>
      </c>
      <c r="N38" s="12">
        <f t="shared" si="37"/>
        <v>0.2630344058</v>
      </c>
      <c r="O38" s="12">
        <f t="shared" si="37"/>
        <v>0.1375035237</v>
      </c>
      <c r="P38" s="12">
        <f t="shared" si="37"/>
        <v>0.6780719051</v>
      </c>
      <c r="Q38" s="12">
        <f t="shared" si="37"/>
        <v>0.4854268272</v>
      </c>
      <c r="R38" s="12">
        <f t="shared" si="37"/>
        <v>-0.5145731728</v>
      </c>
      <c r="S38" s="12">
        <f t="shared" si="37"/>
        <v>0.2630344058</v>
      </c>
      <c r="T38" s="12">
        <f t="shared" si="37"/>
        <v>0.8479969066</v>
      </c>
      <c r="U38" s="12">
        <f t="shared" si="37"/>
        <v>0.8479969066</v>
      </c>
      <c r="V38" s="12">
        <f t="shared" si="37"/>
        <v>0.2630344058</v>
      </c>
      <c r="W38" s="13"/>
      <c r="X38" s="12">
        <f>Andrew!D38</f>
        <v>0.45</v>
      </c>
      <c r="Y38" s="12" t="str">
        <f>ChatGPT!D38</f>
        <v/>
      </c>
      <c r="Z38" s="12">
        <f>Eileen!D38</f>
        <v>0.4</v>
      </c>
      <c r="AA38" s="12">
        <f>Iain!D38</f>
        <v>0.6</v>
      </c>
      <c r="AB38" s="12">
        <f>Kate!D38</f>
        <v>0.6</v>
      </c>
      <c r="AC38" s="12">
        <f>Rohan!D38</f>
        <v>0.55</v>
      </c>
      <c r="AD38" s="12">
        <f>Pete!D38</f>
        <v>0.8</v>
      </c>
      <c r="AE38" s="12">
        <f>Christine!D38</f>
        <v>0.7</v>
      </c>
      <c r="AF38" s="12">
        <f>Jac!D38</f>
        <v>0.35</v>
      </c>
      <c r="AG38" s="12">
        <f>James!D38</f>
        <v>0.6</v>
      </c>
      <c r="AH38" s="12">
        <f>Lachy!D38</f>
        <v>0.9</v>
      </c>
      <c r="AI38" s="12">
        <f>Gael!D38</f>
        <v>0.9</v>
      </c>
      <c r="AJ38" s="12">
        <f>Bruce!D38</f>
        <v>0.6</v>
      </c>
    </row>
    <row r="39">
      <c r="A39" s="11">
        <v>38.0</v>
      </c>
      <c r="B39" s="9" t="s">
        <v>71</v>
      </c>
      <c r="C39" s="11" t="s">
        <v>59</v>
      </c>
      <c r="D39" s="11" t="s">
        <v>20</v>
      </c>
      <c r="F39" s="11">
        <v>0.0</v>
      </c>
      <c r="J39" s="12">
        <f t="shared" ref="J39:V39" si="38">IF($F39=1,(LOG(X39,2)+1),IF($F39=0,(LOG(1-X39,2)+1),""))</f>
        <v>0.8479969066</v>
      </c>
      <c r="K39" s="12">
        <f t="shared" si="38"/>
        <v>1</v>
      </c>
      <c r="L39" s="12">
        <f t="shared" si="38"/>
        <v>0.4854268272</v>
      </c>
      <c r="M39" s="12">
        <f t="shared" si="38"/>
        <v>0.6780719051</v>
      </c>
      <c r="N39" s="12">
        <f t="shared" si="38"/>
        <v>0.6780719051</v>
      </c>
      <c r="O39" s="12">
        <f t="shared" si="38"/>
        <v>0.3785116233</v>
      </c>
      <c r="P39" s="12">
        <f t="shared" si="38"/>
        <v>0.2630344058</v>
      </c>
      <c r="Q39" s="12">
        <f t="shared" si="38"/>
        <v>0.6780719051</v>
      </c>
      <c r="R39" s="12">
        <f t="shared" si="38"/>
        <v>0.9855004303</v>
      </c>
      <c r="S39" s="12">
        <f t="shared" si="38"/>
        <v>-0.3219280949</v>
      </c>
      <c r="T39" s="12">
        <f t="shared" si="38"/>
        <v>0.9855004303</v>
      </c>
      <c r="U39" s="12">
        <f t="shared" si="38"/>
        <v>0.6780719051</v>
      </c>
      <c r="V39" s="12">
        <f t="shared" si="38"/>
        <v>0.6780719051</v>
      </c>
      <c r="W39" s="13"/>
      <c r="X39" s="12">
        <f>Andrew!D39</f>
        <v>0.1</v>
      </c>
      <c r="Y39" s="12" t="str">
        <f>ChatGPT!D39</f>
        <v/>
      </c>
      <c r="Z39" s="12">
        <f>Eileen!D39</f>
        <v>0.3</v>
      </c>
      <c r="AA39" s="12">
        <f>Iain!D39</f>
        <v>0.2</v>
      </c>
      <c r="AB39" s="12">
        <f>Kate!D39</f>
        <v>0.2</v>
      </c>
      <c r="AC39" s="12">
        <f>Rohan!D39</f>
        <v>0.35</v>
      </c>
      <c r="AD39" s="12">
        <f>Pete!D39</f>
        <v>0.4</v>
      </c>
      <c r="AE39" s="12">
        <f>Christine!D39</f>
        <v>0.2</v>
      </c>
      <c r="AF39" s="12">
        <f>Jac!D39</f>
        <v>0.01</v>
      </c>
      <c r="AG39" s="12">
        <f>James!D39</f>
        <v>0.6</v>
      </c>
      <c r="AH39" s="12">
        <f>Lachy!D39</f>
        <v>0.01</v>
      </c>
      <c r="AI39" s="12">
        <f>Gael!D39</f>
        <v>0.2</v>
      </c>
      <c r="AJ39" s="12">
        <f>Bruce!D39</f>
        <v>0.2</v>
      </c>
    </row>
    <row r="40">
      <c r="A40" s="11">
        <v>39.0</v>
      </c>
      <c r="B40" s="9" t="s">
        <v>72</v>
      </c>
      <c r="C40" s="11" t="s">
        <v>59</v>
      </c>
      <c r="D40" s="11" t="s">
        <v>11</v>
      </c>
      <c r="F40" s="11">
        <v>0.0</v>
      </c>
      <c r="J40" s="12">
        <f t="shared" ref="J40:V40" si="39">IF($F40=1,(LOG(X40,2)+1),IF($F40=0,(LOG(1-X40,2)+1),""))</f>
        <v>0.6780719051</v>
      </c>
      <c r="K40" s="12">
        <f t="shared" si="39"/>
        <v>1</v>
      </c>
      <c r="L40" s="12">
        <f t="shared" si="39"/>
        <v>0.4854268272</v>
      </c>
      <c r="M40" s="12">
        <f t="shared" si="39"/>
        <v>0.2630344058</v>
      </c>
      <c r="N40" s="12">
        <f t="shared" si="39"/>
        <v>0.6780719051</v>
      </c>
      <c r="O40" s="12">
        <f t="shared" si="39"/>
        <v>0.8479969066</v>
      </c>
      <c r="P40" s="12">
        <f t="shared" si="39"/>
        <v>0</v>
      </c>
      <c r="Q40" s="12">
        <f t="shared" si="39"/>
        <v>-0.7369655942</v>
      </c>
      <c r="R40" s="12">
        <f t="shared" si="39"/>
        <v>0.3785116233</v>
      </c>
      <c r="S40" s="12">
        <f t="shared" si="39"/>
        <v>0.4854268272</v>
      </c>
      <c r="T40" s="12">
        <f t="shared" si="39"/>
        <v>0.4854268272</v>
      </c>
      <c r="U40" s="12">
        <f t="shared" si="39"/>
        <v>-0.7369655942</v>
      </c>
      <c r="V40" s="12">
        <f t="shared" si="39"/>
        <v>0.8479969066</v>
      </c>
      <c r="W40" s="13"/>
      <c r="X40" s="12">
        <f>Andrew!D40</f>
        <v>0.2</v>
      </c>
      <c r="Y40" s="12" t="str">
        <f>ChatGPT!D40</f>
        <v/>
      </c>
      <c r="Z40" s="12">
        <f>Eileen!D40</f>
        <v>0.3</v>
      </c>
      <c r="AA40" s="12">
        <f>Iain!D40</f>
        <v>0.4</v>
      </c>
      <c r="AB40" s="12">
        <f>Kate!D40</f>
        <v>0.2</v>
      </c>
      <c r="AC40" s="12">
        <f>Rohan!D40</f>
        <v>0.1</v>
      </c>
      <c r="AD40" s="12">
        <f>Pete!D40</f>
        <v>0.5</v>
      </c>
      <c r="AE40" s="12">
        <f>Christine!D40</f>
        <v>0.7</v>
      </c>
      <c r="AF40" s="12">
        <f>Jac!D40</f>
        <v>0.35</v>
      </c>
      <c r="AG40" s="12">
        <f>James!D40</f>
        <v>0.3</v>
      </c>
      <c r="AH40" s="12">
        <f>Lachy!D40</f>
        <v>0.3</v>
      </c>
      <c r="AI40" s="12">
        <f>Gael!D40</f>
        <v>0.7</v>
      </c>
      <c r="AJ40" s="12">
        <f>Bruce!D40</f>
        <v>0.1</v>
      </c>
    </row>
    <row r="41">
      <c r="A41" s="11">
        <v>40.0</v>
      </c>
      <c r="B41" s="9" t="s">
        <v>73</v>
      </c>
      <c r="C41" s="11" t="s">
        <v>59</v>
      </c>
      <c r="D41" s="11" t="s">
        <v>11</v>
      </c>
      <c r="E41" s="11" t="s">
        <v>74</v>
      </c>
      <c r="F41" s="11">
        <v>0.0</v>
      </c>
      <c r="J41" s="12">
        <f t="shared" ref="J41:V41" si="40">IF($F41=1,(LOG(X41,2)+1),IF($F41=0,(LOG(1-X41,2)+1),""))</f>
        <v>-0.5145731728</v>
      </c>
      <c r="K41" s="12">
        <f t="shared" si="40"/>
        <v>1</v>
      </c>
      <c r="L41" s="12">
        <f t="shared" si="40"/>
        <v>-0.3219280949</v>
      </c>
      <c r="M41" s="12">
        <f t="shared" si="40"/>
        <v>0</v>
      </c>
      <c r="N41" s="12">
        <f t="shared" si="40"/>
        <v>-1.321928095</v>
      </c>
      <c r="O41" s="12">
        <f t="shared" si="40"/>
        <v>-2.836501268</v>
      </c>
      <c r="P41" s="12">
        <f t="shared" si="40"/>
        <v>0</v>
      </c>
      <c r="Q41" s="12">
        <f t="shared" si="40"/>
        <v>0</v>
      </c>
      <c r="R41" s="12">
        <f t="shared" si="40"/>
        <v>-0.3219280949</v>
      </c>
      <c r="S41" s="12">
        <f t="shared" si="40"/>
        <v>0</v>
      </c>
      <c r="T41" s="12">
        <f t="shared" si="40"/>
        <v>0</v>
      </c>
      <c r="U41" s="12">
        <f t="shared" si="40"/>
        <v>-2.321928095</v>
      </c>
      <c r="V41" s="12">
        <f t="shared" si="40"/>
        <v>0.4854268272</v>
      </c>
      <c r="W41" s="13"/>
      <c r="X41" s="12">
        <f>Andrew!D41</f>
        <v>0.65</v>
      </c>
      <c r="Y41" s="12" t="str">
        <f>ChatGPT!D41</f>
        <v/>
      </c>
      <c r="Z41" s="12">
        <f>Eileen!D41</f>
        <v>0.6</v>
      </c>
      <c r="AA41" s="12">
        <f>Iain!D41</f>
        <v>0.5</v>
      </c>
      <c r="AB41" s="12">
        <f>Kate!D41</f>
        <v>0.8</v>
      </c>
      <c r="AC41" s="12">
        <f>Rohan!D41</f>
        <v>0.93</v>
      </c>
      <c r="AD41" s="12">
        <f>Pete!D41</f>
        <v>0.5</v>
      </c>
      <c r="AE41" s="12">
        <f>Christine!D41</f>
        <v>0.5</v>
      </c>
      <c r="AF41" s="12">
        <f>Jac!D41</f>
        <v>0.6</v>
      </c>
      <c r="AG41" s="12">
        <f>James!D41</f>
        <v>0.5</v>
      </c>
      <c r="AH41" s="12">
        <f>Lachy!D41</f>
        <v>0.5</v>
      </c>
      <c r="AI41" s="12">
        <f>Gael!D41</f>
        <v>0.9</v>
      </c>
      <c r="AJ41" s="12">
        <f>Bruce!D41</f>
        <v>0.3</v>
      </c>
    </row>
    <row r="42">
      <c r="A42" s="11">
        <v>41.0</v>
      </c>
      <c r="B42" s="9" t="s">
        <v>75</v>
      </c>
      <c r="C42" s="11" t="s">
        <v>59</v>
      </c>
      <c r="D42" s="11" t="s">
        <v>21</v>
      </c>
      <c r="F42" s="11">
        <v>0.0</v>
      </c>
      <c r="J42" s="12">
        <f t="shared" ref="J42:V42" si="41">IF($F42=1,(LOG(X42,2)+1),IF($F42=0,(LOG(1-X42,2)+1),""))</f>
        <v>0.2630344058</v>
      </c>
      <c r="K42" s="12">
        <f t="shared" si="41"/>
        <v>1</v>
      </c>
      <c r="L42" s="12">
        <f t="shared" si="41"/>
        <v>0.6780719051</v>
      </c>
      <c r="M42" s="12">
        <f t="shared" si="41"/>
        <v>0.4854268272</v>
      </c>
      <c r="N42" s="12">
        <f t="shared" si="41"/>
        <v>-2.321928095</v>
      </c>
      <c r="O42" s="12">
        <f t="shared" si="41"/>
        <v>0.1375035237</v>
      </c>
      <c r="P42" s="12">
        <f t="shared" si="41"/>
        <v>-0.3219280949</v>
      </c>
      <c r="Q42" s="12">
        <f t="shared" si="41"/>
        <v>0.8479969066</v>
      </c>
      <c r="R42" s="12">
        <f t="shared" si="41"/>
        <v>0.7655347464</v>
      </c>
      <c r="S42" s="12">
        <f t="shared" si="41"/>
        <v>0</v>
      </c>
      <c r="T42" s="12">
        <f t="shared" si="41"/>
        <v>-0.7369655942</v>
      </c>
      <c r="U42" s="12">
        <f t="shared" si="41"/>
        <v>-0.7369655942</v>
      </c>
      <c r="V42" s="12">
        <f t="shared" si="41"/>
        <v>-0.3219280949</v>
      </c>
      <c r="W42" s="13"/>
      <c r="X42" s="12">
        <f>Andrew!D42</f>
        <v>0.4</v>
      </c>
      <c r="Y42" s="12" t="str">
        <f>ChatGPT!D42</f>
        <v/>
      </c>
      <c r="Z42" s="12">
        <f>Eileen!D42</f>
        <v>0.2</v>
      </c>
      <c r="AA42" s="12">
        <f>Iain!D42</f>
        <v>0.3</v>
      </c>
      <c r="AB42" s="12">
        <f>Kate!D42</f>
        <v>0.9</v>
      </c>
      <c r="AC42" s="12">
        <f>Rohan!D42</f>
        <v>0.45</v>
      </c>
      <c r="AD42" s="12">
        <f>Pete!D42</f>
        <v>0.6</v>
      </c>
      <c r="AE42" s="12">
        <f>Christine!D42</f>
        <v>0.1</v>
      </c>
      <c r="AF42" s="12">
        <f>Jac!D42</f>
        <v>0.15</v>
      </c>
      <c r="AG42" s="12">
        <f>James!D42</f>
        <v>0.5</v>
      </c>
      <c r="AH42" s="12">
        <f>Lachy!D42</f>
        <v>0.7</v>
      </c>
      <c r="AI42" s="12">
        <f>Gael!D42</f>
        <v>0.7</v>
      </c>
      <c r="AJ42" s="12">
        <f>Bruce!D42</f>
        <v>0.6</v>
      </c>
    </row>
    <row r="43">
      <c r="A43" s="11">
        <v>42.0</v>
      </c>
      <c r="B43" s="9" t="s">
        <v>76</v>
      </c>
      <c r="C43" s="11" t="s">
        <v>59</v>
      </c>
      <c r="D43" s="11" t="s">
        <v>14</v>
      </c>
      <c r="F43" s="11">
        <v>1.0</v>
      </c>
      <c r="J43" s="12">
        <f t="shared" ref="J43:V43" si="42">IF($F43=1,(LOG(X43,2)+1),IF($F43=0,(LOG(1-X43,2)+1),""))</f>
        <v>-0.3219280949</v>
      </c>
      <c r="K43" s="12">
        <f t="shared" si="42"/>
        <v>0</v>
      </c>
      <c r="L43" s="12">
        <f t="shared" si="42"/>
        <v>0.6780719051</v>
      </c>
      <c r="M43" s="12">
        <f t="shared" si="42"/>
        <v>0.2630344058</v>
      </c>
      <c r="N43" s="12">
        <f t="shared" si="42"/>
        <v>0.8479969066</v>
      </c>
      <c r="O43" s="12">
        <f t="shared" si="42"/>
        <v>0</v>
      </c>
      <c r="P43" s="12">
        <f t="shared" si="42"/>
        <v>0.6780719051</v>
      </c>
      <c r="Q43" s="12">
        <f t="shared" si="42"/>
        <v>0</v>
      </c>
      <c r="R43" s="12">
        <f t="shared" si="42"/>
        <v>0.3785116233</v>
      </c>
      <c r="S43" s="12">
        <f t="shared" si="42"/>
        <v>0.4854268272</v>
      </c>
      <c r="T43" s="12">
        <f t="shared" si="42"/>
        <v>0.6780719051</v>
      </c>
      <c r="U43" s="12">
        <f t="shared" si="42"/>
        <v>0.6780719051</v>
      </c>
      <c r="V43" s="12">
        <f t="shared" si="42"/>
        <v>0.9855004303</v>
      </c>
      <c r="W43" s="13"/>
      <c r="X43" s="12">
        <f>Andrew!D43</f>
        <v>0.4</v>
      </c>
      <c r="Y43" s="12">
        <f>ChatGPT!D43</f>
        <v>0.5</v>
      </c>
      <c r="Z43" s="12">
        <f>Eileen!D43</f>
        <v>0.8</v>
      </c>
      <c r="AA43" s="12">
        <f>Iain!D43</f>
        <v>0.6</v>
      </c>
      <c r="AB43" s="12">
        <f>Kate!D43</f>
        <v>0.9</v>
      </c>
      <c r="AC43" s="12">
        <f>Rohan!D43</f>
        <v>0.5</v>
      </c>
      <c r="AD43" s="12">
        <f>Pete!D43</f>
        <v>0.8</v>
      </c>
      <c r="AE43" s="12">
        <f>Christine!D43</f>
        <v>0.5</v>
      </c>
      <c r="AF43" s="12">
        <f>Jac!D43</f>
        <v>0.65</v>
      </c>
      <c r="AG43" s="12">
        <f>James!D43</f>
        <v>0.7</v>
      </c>
      <c r="AH43" s="12">
        <f>Lachy!D43</f>
        <v>0.8</v>
      </c>
      <c r="AI43" s="12">
        <f>Gael!D43</f>
        <v>0.8</v>
      </c>
      <c r="AJ43" s="12">
        <f>Bruce!D43</f>
        <v>0.99</v>
      </c>
    </row>
    <row r="44">
      <c r="A44" s="11">
        <v>43.0</v>
      </c>
      <c r="B44" s="9" t="s">
        <v>77</v>
      </c>
      <c r="C44" s="11" t="s">
        <v>59</v>
      </c>
      <c r="D44" s="11" t="s">
        <v>14</v>
      </c>
      <c r="F44" s="11">
        <v>0.0</v>
      </c>
      <c r="J44" s="12">
        <f t="shared" ref="J44:V44" si="43">IF($F44=1,(LOG(X44,2)+1),IF($F44=0,(LOG(1-X44,2)+1),""))</f>
        <v>-1.321928095</v>
      </c>
      <c r="K44" s="12">
        <f t="shared" si="43"/>
        <v>1</v>
      </c>
      <c r="L44" s="12">
        <f t="shared" si="43"/>
        <v>-1.736965594</v>
      </c>
      <c r="M44" s="12">
        <f t="shared" si="43"/>
        <v>-0.3219280949</v>
      </c>
      <c r="N44" s="12">
        <f t="shared" si="43"/>
        <v>-2.321928095</v>
      </c>
      <c r="O44" s="12">
        <f t="shared" si="43"/>
        <v>0.05658352837</v>
      </c>
      <c r="P44" s="12">
        <f t="shared" si="43"/>
        <v>0</v>
      </c>
      <c r="Q44" s="12">
        <f t="shared" si="43"/>
        <v>0</v>
      </c>
      <c r="R44" s="12">
        <f t="shared" si="43"/>
        <v>0.3785116233</v>
      </c>
      <c r="S44" s="12">
        <f t="shared" si="43"/>
        <v>0</v>
      </c>
      <c r="T44" s="12">
        <f t="shared" si="43"/>
        <v>0.6780719051</v>
      </c>
      <c r="U44" s="12">
        <f t="shared" si="43"/>
        <v>-0.7369655942</v>
      </c>
      <c r="V44" s="12">
        <f t="shared" si="43"/>
        <v>0.7655347464</v>
      </c>
      <c r="W44" s="13"/>
      <c r="X44" s="12">
        <f>Andrew!D44</f>
        <v>0.8</v>
      </c>
      <c r="Y44" s="12" t="str">
        <f>ChatGPT!D44</f>
        <v/>
      </c>
      <c r="Z44" s="12">
        <f>Eileen!D44</f>
        <v>0.85</v>
      </c>
      <c r="AA44" s="12">
        <f>Iain!D44</f>
        <v>0.6</v>
      </c>
      <c r="AB44" s="12">
        <f>Kate!D44</f>
        <v>0.9</v>
      </c>
      <c r="AC44" s="12">
        <f>Rohan!D44</f>
        <v>0.48</v>
      </c>
      <c r="AD44" s="12">
        <f>Pete!D44</f>
        <v>0.5</v>
      </c>
      <c r="AE44" s="12">
        <f>Christine!D44</f>
        <v>0.5</v>
      </c>
      <c r="AF44" s="12">
        <f>Jac!D44</f>
        <v>0.35</v>
      </c>
      <c r="AG44" s="12">
        <f>James!D44</f>
        <v>0.5</v>
      </c>
      <c r="AH44" s="12">
        <f>Lachy!D44</f>
        <v>0.2</v>
      </c>
      <c r="AI44" s="12">
        <f>Gael!D44</f>
        <v>0.7</v>
      </c>
      <c r="AJ44" s="12">
        <f>Bruce!D44</f>
        <v>0.15</v>
      </c>
    </row>
    <row r="45">
      <c r="A45" s="11">
        <v>44.0</v>
      </c>
      <c r="B45" s="14" t="s">
        <v>78</v>
      </c>
      <c r="C45" s="11" t="s">
        <v>79</v>
      </c>
      <c r="D45" s="11" t="s">
        <v>23</v>
      </c>
      <c r="F45" s="11">
        <v>0.0</v>
      </c>
      <c r="J45" s="12">
        <f t="shared" ref="J45:V45" si="44">IF($F45=1,(LOG(X45,2)+1),IF($F45=0,(LOG(1-X45,2)+1),""))</f>
        <v>0</v>
      </c>
      <c r="K45" s="12">
        <f t="shared" si="44"/>
        <v>1</v>
      </c>
      <c r="L45" s="12">
        <f t="shared" si="44"/>
        <v>0.4854268272</v>
      </c>
      <c r="M45" s="12">
        <f t="shared" si="44"/>
        <v>0</v>
      </c>
      <c r="N45" s="12">
        <f t="shared" si="44"/>
        <v>0</v>
      </c>
      <c r="O45" s="12">
        <f t="shared" si="44"/>
        <v>0.0285691522</v>
      </c>
      <c r="P45" s="12">
        <f t="shared" si="44"/>
        <v>0</v>
      </c>
      <c r="Q45" s="12">
        <f t="shared" si="44"/>
        <v>0</v>
      </c>
      <c r="R45" s="12">
        <f t="shared" si="44"/>
        <v>0.3785116233</v>
      </c>
      <c r="S45" s="12">
        <f t="shared" si="44"/>
        <v>0</v>
      </c>
      <c r="T45" s="12">
        <f t="shared" si="44"/>
        <v>0.4854268272</v>
      </c>
      <c r="U45" s="12">
        <f t="shared" si="44"/>
        <v>-0.7369655942</v>
      </c>
      <c r="V45" s="12">
        <f t="shared" si="44"/>
        <v>-0.3219280949</v>
      </c>
      <c r="W45" s="13"/>
      <c r="X45" s="12">
        <f>Andrew!D45</f>
        <v>0.5</v>
      </c>
      <c r="Y45" s="12" t="str">
        <f>ChatGPT!D45</f>
        <v/>
      </c>
      <c r="Z45" s="12">
        <f>Eileen!D45</f>
        <v>0.3</v>
      </c>
      <c r="AA45" s="12">
        <f>Iain!D45</f>
        <v>0.5</v>
      </c>
      <c r="AB45" s="12">
        <f>Kate!D45</f>
        <v>0.5</v>
      </c>
      <c r="AC45" s="12">
        <f>Rohan!D45</f>
        <v>0.49</v>
      </c>
      <c r="AD45" s="12">
        <f>Pete!D45</f>
        <v>0.5</v>
      </c>
      <c r="AE45" s="12">
        <f>Christine!D45</f>
        <v>0.5</v>
      </c>
      <c r="AF45" s="12">
        <f>Jac!D45</f>
        <v>0.35</v>
      </c>
      <c r="AG45" s="12">
        <f>James!D45</f>
        <v>0.5</v>
      </c>
      <c r="AH45" s="12">
        <f>Lachy!D45</f>
        <v>0.3</v>
      </c>
      <c r="AI45" s="12">
        <f>Gael!D45</f>
        <v>0.7</v>
      </c>
      <c r="AJ45" s="12">
        <f>Bruce!D45</f>
        <v>0.6</v>
      </c>
    </row>
    <row r="46">
      <c r="A46" s="11">
        <v>45.0</v>
      </c>
      <c r="B46" s="9" t="s">
        <v>80</v>
      </c>
      <c r="C46" s="11" t="s">
        <v>79</v>
      </c>
      <c r="D46" s="11" t="s">
        <v>20</v>
      </c>
      <c r="F46" s="11">
        <v>0.0</v>
      </c>
      <c r="J46" s="12">
        <f t="shared" ref="J46:V46" si="45">IF($F46=1,(LOG(X46,2)+1),IF($F46=0,(LOG(1-X46,2)+1),""))</f>
        <v>0.7655347464</v>
      </c>
      <c r="K46" s="12">
        <f t="shared" si="45"/>
        <v>1</v>
      </c>
      <c r="L46" s="12">
        <f t="shared" si="45"/>
        <v>0.6780719051</v>
      </c>
      <c r="M46" s="12">
        <f t="shared" si="45"/>
        <v>0.4854268272</v>
      </c>
      <c r="N46" s="12">
        <f t="shared" si="45"/>
        <v>0</v>
      </c>
      <c r="O46" s="12">
        <f t="shared" si="45"/>
        <v>0.9855004303</v>
      </c>
      <c r="P46" s="12">
        <f t="shared" si="45"/>
        <v>0</v>
      </c>
      <c r="Q46" s="12">
        <f t="shared" si="45"/>
        <v>-0.7369655942</v>
      </c>
      <c r="R46" s="12">
        <f t="shared" si="45"/>
        <v>-0.5145731728</v>
      </c>
      <c r="S46" s="12">
        <f t="shared" si="45"/>
        <v>-0.3219280949</v>
      </c>
      <c r="T46" s="12">
        <f t="shared" si="45"/>
        <v>0.8479969066</v>
      </c>
      <c r="U46" s="12">
        <f t="shared" si="45"/>
        <v>0.4854268272</v>
      </c>
      <c r="V46" s="12">
        <f t="shared" si="45"/>
        <v>0.8479969066</v>
      </c>
      <c r="W46" s="13"/>
      <c r="X46" s="12">
        <f>Andrew!D46</f>
        <v>0.15</v>
      </c>
      <c r="Y46" s="12" t="str">
        <f>ChatGPT!D46</f>
        <v/>
      </c>
      <c r="Z46" s="12">
        <f>Eileen!D46</f>
        <v>0.2</v>
      </c>
      <c r="AA46" s="12">
        <f>Iain!D46</f>
        <v>0.3</v>
      </c>
      <c r="AB46" s="12">
        <f>Kate!D46</f>
        <v>0.5</v>
      </c>
      <c r="AC46" s="12">
        <f>Rohan!D46</f>
        <v>0.01</v>
      </c>
      <c r="AD46" s="12">
        <f>Pete!D46</f>
        <v>0.5</v>
      </c>
      <c r="AE46" s="12">
        <f>Christine!D46</f>
        <v>0.7</v>
      </c>
      <c r="AF46" s="12">
        <f>Jac!D46</f>
        <v>0.65</v>
      </c>
      <c r="AG46" s="12">
        <f>James!D46</f>
        <v>0.6</v>
      </c>
      <c r="AH46" s="12">
        <f>Lachy!D46</f>
        <v>0.1</v>
      </c>
      <c r="AI46" s="12">
        <f>Gael!D46</f>
        <v>0.3</v>
      </c>
      <c r="AJ46" s="12">
        <f>Bruce!D46</f>
        <v>0.1</v>
      </c>
    </row>
    <row r="47">
      <c r="A47" s="11">
        <v>46.0</v>
      </c>
      <c r="B47" s="14" t="s">
        <v>81</v>
      </c>
      <c r="C47" s="11" t="s">
        <v>79</v>
      </c>
      <c r="D47" s="11" t="s">
        <v>18</v>
      </c>
      <c r="F47" s="11">
        <v>0.0</v>
      </c>
      <c r="J47" s="12">
        <f t="shared" ref="J47:V47" si="46">IF($F47=1,(LOG(X47,2)+1),IF($F47=0,(LOG(1-X47,2)+1),""))</f>
        <v>-0.7369655942</v>
      </c>
      <c r="K47" s="12">
        <f t="shared" si="46"/>
        <v>1</v>
      </c>
      <c r="L47" s="12">
        <f t="shared" si="46"/>
        <v>0.6780719051</v>
      </c>
      <c r="M47" s="12">
        <f t="shared" si="46"/>
        <v>0.4854268272</v>
      </c>
      <c r="N47" s="12">
        <f t="shared" si="46"/>
        <v>-0.7369655942</v>
      </c>
      <c r="O47" s="12">
        <f t="shared" si="46"/>
        <v>-0.02914634566</v>
      </c>
      <c r="P47" s="12">
        <f t="shared" si="46"/>
        <v>0.2630344058</v>
      </c>
      <c r="Q47" s="12">
        <f t="shared" si="46"/>
        <v>-0.7369655942</v>
      </c>
      <c r="R47" s="12">
        <f t="shared" si="46"/>
        <v>0.3785116233</v>
      </c>
      <c r="S47" s="12">
        <f t="shared" si="46"/>
        <v>-0.3219280949</v>
      </c>
      <c r="T47" s="12">
        <f t="shared" si="46"/>
        <v>-0.3219280949</v>
      </c>
      <c r="U47" s="12">
        <f t="shared" si="46"/>
        <v>-0.7369655942</v>
      </c>
      <c r="V47" s="12">
        <f t="shared" si="46"/>
        <v>0.2630344058</v>
      </c>
      <c r="W47" s="13"/>
      <c r="X47" s="12">
        <f>Andrew!D47</f>
        <v>0.7</v>
      </c>
      <c r="Y47" s="12" t="str">
        <f>ChatGPT!D47</f>
        <v/>
      </c>
      <c r="Z47" s="12">
        <f>Eileen!D47</f>
        <v>0.2</v>
      </c>
      <c r="AA47" s="12">
        <f>Iain!D47</f>
        <v>0.3</v>
      </c>
      <c r="AB47" s="12">
        <f>Kate!D47</f>
        <v>0.7</v>
      </c>
      <c r="AC47" s="12">
        <f>Rohan!D47</f>
        <v>0.51</v>
      </c>
      <c r="AD47" s="12">
        <f>Pete!D47</f>
        <v>0.4</v>
      </c>
      <c r="AE47" s="12">
        <f>Christine!D47</f>
        <v>0.7</v>
      </c>
      <c r="AF47" s="12">
        <f>Jac!D47</f>
        <v>0.35</v>
      </c>
      <c r="AG47" s="12">
        <f>James!D47</f>
        <v>0.6</v>
      </c>
      <c r="AH47" s="12">
        <f>Lachy!D47</f>
        <v>0.6</v>
      </c>
      <c r="AI47" s="12">
        <f>Gael!D47</f>
        <v>0.7</v>
      </c>
      <c r="AJ47" s="12">
        <f>Bruce!D47</f>
        <v>0.4</v>
      </c>
    </row>
    <row r="48">
      <c r="A48" s="11">
        <v>47.0</v>
      </c>
      <c r="B48" s="9" t="s">
        <v>82</v>
      </c>
      <c r="C48" s="9" t="s">
        <v>79</v>
      </c>
      <c r="D48" s="11" t="s">
        <v>18</v>
      </c>
      <c r="F48" s="11">
        <v>1.0</v>
      </c>
      <c r="J48" s="12">
        <f t="shared" ref="J48:V48" si="47">IF($F48=1,(LOG(X48,2)+1),IF($F48=0,(LOG(1-X48,2)+1),""))</f>
        <v>0.1375035237</v>
      </c>
      <c r="K48" s="12" t="str">
        <f t="shared" si="47"/>
        <v>#NUM!</v>
      </c>
      <c r="L48" s="12">
        <f t="shared" si="47"/>
        <v>-0.3219280949</v>
      </c>
      <c r="M48" s="12">
        <f t="shared" si="47"/>
        <v>0.2630344058</v>
      </c>
      <c r="N48" s="12">
        <f t="shared" si="47"/>
        <v>0.8479969066</v>
      </c>
      <c r="O48" s="12">
        <f t="shared" si="47"/>
        <v>-0.3959286763</v>
      </c>
      <c r="P48" s="12">
        <f t="shared" si="47"/>
        <v>0.4854268272</v>
      </c>
      <c r="Q48" s="12">
        <f t="shared" si="47"/>
        <v>0.6780719051</v>
      </c>
      <c r="R48" s="12">
        <f t="shared" si="47"/>
        <v>0.3785116233</v>
      </c>
      <c r="S48" s="12">
        <f t="shared" si="47"/>
        <v>0.2630344058</v>
      </c>
      <c r="T48" s="12">
        <f t="shared" si="47"/>
        <v>0.4854268272</v>
      </c>
      <c r="U48" s="12">
        <f t="shared" si="47"/>
        <v>0.4854268272</v>
      </c>
      <c r="V48" s="12">
        <f t="shared" si="47"/>
        <v>-1.321928095</v>
      </c>
      <c r="W48" s="13"/>
      <c r="X48" s="12">
        <f>Andrew!D48</f>
        <v>0.55</v>
      </c>
      <c r="Y48" s="12" t="str">
        <f>ChatGPT!D48</f>
        <v/>
      </c>
      <c r="Z48" s="12">
        <f>Eileen!D48</f>
        <v>0.4</v>
      </c>
      <c r="AA48" s="12">
        <f>Iain!D48</f>
        <v>0.6</v>
      </c>
      <c r="AB48" s="12">
        <f>Kate!D48</f>
        <v>0.9</v>
      </c>
      <c r="AC48" s="12">
        <f>Rohan!D48</f>
        <v>0.38</v>
      </c>
      <c r="AD48" s="12">
        <f>Pete!D48</f>
        <v>0.7</v>
      </c>
      <c r="AE48" s="12">
        <f>Christine!D48</f>
        <v>0.8</v>
      </c>
      <c r="AF48" s="12">
        <f>Jac!D48</f>
        <v>0.65</v>
      </c>
      <c r="AG48" s="12">
        <f>James!D48</f>
        <v>0.6</v>
      </c>
      <c r="AH48" s="12">
        <f>Lachy!D48</f>
        <v>0.7</v>
      </c>
      <c r="AI48" s="12">
        <f>Gael!D48</f>
        <v>0.7</v>
      </c>
      <c r="AJ48" s="12">
        <f>Bruce!D48</f>
        <v>0.2</v>
      </c>
    </row>
    <row r="49">
      <c r="A49" s="11">
        <v>48.0</v>
      </c>
      <c r="B49" s="9" t="s">
        <v>83</v>
      </c>
      <c r="C49" s="11" t="s">
        <v>79</v>
      </c>
      <c r="D49" s="11" t="s">
        <v>18</v>
      </c>
      <c r="F49" s="11">
        <v>0.0</v>
      </c>
      <c r="J49" s="12">
        <f t="shared" ref="J49:V49" si="48">IF($F49=1,(LOG(X49,2)+1),IF($F49=0,(LOG(1-X49,2)+1),""))</f>
        <v>0.1375035237</v>
      </c>
      <c r="K49" s="12">
        <f t="shared" si="48"/>
        <v>1</v>
      </c>
      <c r="L49" s="12">
        <f t="shared" si="48"/>
        <v>0.2630344058</v>
      </c>
      <c r="M49" s="12">
        <f t="shared" si="48"/>
        <v>-0.7369655942</v>
      </c>
      <c r="N49" s="12">
        <f t="shared" si="48"/>
        <v>0.2630344058</v>
      </c>
      <c r="O49" s="12">
        <f t="shared" si="48"/>
        <v>0</v>
      </c>
      <c r="P49" s="12">
        <f t="shared" si="48"/>
        <v>-0.7369655942</v>
      </c>
      <c r="Q49" s="12">
        <f t="shared" si="48"/>
        <v>-1.321928095</v>
      </c>
      <c r="R49" s="12">
        <f t="shared" si="48"/>
        <v>-0.5145731728</v>
      </c>
      <c r="S49" s="12">
        <f t="shared" si="48"/>
        <v>-0.3219280949</v>
      </c>
      <c r="T49" s="12">
        <f t="shared" si="48"/>
        <v>-1.321928095</v>
      </c>
      <c r="U49" s="12">
        <f t="shared" si="48"/>
        <v>-0.7369655942</v>
      </c>
      <c r="V49" s="12">
        <f t="shared" si="48"/>
        <v>0.6780719051</v>
      </c>
      <c r="W49" s="13"/>
      <c r="X49" s="12">
        <f>Andrew!D49</f>
        <v>0.45</v>
      </c>
      <c r="Y49" s="12" t="str">
        <f>ChatGPT!D49</f>
        <v/>
      </c>
      <c r="Z49" s="12">
        <f>Eileen!D49</f>
        <v>0.4</v>
      </c>
      <c r="AA49" s="12">
        <f>Iain!D49</f>
        <v>0.7</v>
      </c>
      <c r="AB49" s="12">
        <f>Kate!D49</f>
        <v>0.4</v>
      </c>
      <c r="AC49" s="12">
        <f>Rohan!D49</f>
        <v>0.5</v>
      </c>
      <c r="AD49" s="12">
        <f>Pete!D49</f>
        <v>0.7</v>
      </c>
      <c r="AE49" s="12">
        <f>Christine!D49</f>
        <v>0.8</v>
      </c>
      <c r="AF49" s="12">
        <f>Jac!D49</f>
        <v>0.65</v>
      </c>
      <c r="AG49" s="12">
        <f>James!D49</f>
        <v>0.6</v>
      </c>
      <c r="AH49" s="12">
        <f>Lachy!D49</f>
        <v>0.8</v>
      </c>
      <c r="AI49" s="12">
        <f>Gael!D49</f>
        <v>0.7</v>
      </c>
      <c r="AJ49" s="12">
        <f>Bruce!D49</f>
        <v>0.2</v>
      </c>
    </row>
    <row r="50">
      <c r="A50" s="11">
        <v>49.0</v>
      </c>
      <c r="B50" s="9" t="s">
        <v>84</v>
      </c>
      <c r="C50" s="11" t="s">
        <v>85</v>
      </c>
      <c r="D50" s="11" t="s">
        <v>22</v>
      </c>
      <c r="F50" s="11">
        <v>0.0</v>
      </c>
      <c r="J50" s="12">
        <f t="shared" ref="J50:V50" si="49">IF($F50=1,(LOG(X50,2)+1),IF($F50=0,(LOG(1-X50,2)+1),""))</f>
        <v>0.4854268272</v>
      </c>
      <c r="K50" s="12">
        <f t="shared" si="49"/>
        <v>1</v>
      </c>
      <c r="L50" s="12">
        <f t="shared" si="49"/>
        <v>0.4854268272</v>
      </c>
      <c r="M50" s="12">
        <f t="shared" si="49"/>
        <v>-0.3219280949</v>
      </c>
      <c r="N50" s="12">
        <f t="shared" si="49"/>
        <v>-0.7369655942</v>
      </c>
      <c r="O50" s="12">
        <f t="shared" si="49"/>
        <v>0.5260688117</v>
      </c>
      <c r="P50" s="12">
        <f t="shared" si="49"/>
        <v>-1.321928095</v>
      </c>
      <c r="Q50" s="12">
        <f t="shared" si="49"/>
        <v>0</v>
      </c>
      <c r="R50" s="12">
        <f t="shared" si="49"/>
        <v>0.7655347464</v>
      </c>
      <c r="S50" s="12">
        <f t="shared" si="49"/>
        <v>-0.3219280949</v>
      </c>
      <c r="T50" s="12">
        <f t="shared" si="49"/>
        <v>0.2630344058</v>
      </c>
      <c r="U50" s="12">
        <f t="shared" si="49"/>
        <v>-2.321928095</v>
      </c>
      <c r="V50" s="12">
        <f t="shared" si="49"/>
        <v>-1.321928095</v>
      </c>
      <c r="W50" s="13"/>
      <c r="X50" s="12">
        <f>Andrew!D50</f>
        <v>0.3</v>
      </c>
      <c r="Y50" s="12" t="str">
        <f>ChatGPT!D50</f>
        <v/>
      </c>
      <c r="Z50" s="12">
        <f>Eileen!D50</f>
        <v>0.3</v>
      </c>
      <c r="AA50" s="12">
        <f>Iain!D50</f>
        <v>0.6</v>
      </c>
      <c r="AB50" s="12">
        <f>Kate!D50</f>
        <v>0.7</v>
      </c>
      <c r="AC50" s="12">
        <f>Rohan!D50</f>
        <v>0.28</v>
      </c>
      <c r="AD50" s="12">
        <f>Pete!D50</f>
        <v>0.8</v>
      </c>
      <c r="AE50" s="12">
        <f>Christine!D50</f>
        <v>0.5</v>
      </c>
      <c r="AF50" s="12">
        <f>Jac!D50</f>
        <v>0.15</v>
      </c>
      <c r="AG50" s="12">
        <f>James!D50</f>
        <v>0.6</v>
      </c>
      <c r="AH50" s="12">
        <f>Lachy!D50</f>
        <v>0.4</v>
      </c>
      <c r="AI50" s="12">
        <f>Gael!D50</f>
        <v>0.9</v>
      </c>
      <c r="AJ50" s="12">
        <f>Bruce!D50</f>
        <v>0.8</v>
      </c>
    </row>
    <row r="51">
      <c r="A51" s="11">
        <v>50.0</v>
      </c>
      <c r="B51" s="14" t="s">
        <v>86</v>
      </c>
      <c r="C51" s="11" t="s">
        <v>85</v>
      </c>
      <c r="D51" s="11" t="s">
        <v>23</v>
      </c>
      <c r="F51" s="11">
        <v>1.0</v>
      </c>
      <c r="J51" s="12">
        <f t="shared" ref="J51:V51" si="50">IF($F51=1,(LOG(X51,2)+1),IF($F51=0,(LOG(1-X51,2)+1),""))</f>
        <v>0.4854268272</v>
      </c>
      <c r="K51" s="12" t="str">
        <f t="shared" si="50"/>
        <v>#NUM!</v>
      </c>
      <c r="L51" s="12">
        <f t="shared" si="50"/>
        <v>-0.3219280949</v>
      </c>
      <c r="M51" s="12">
        <f t="shared" si="50"/>
        <v>-0.7369655942</v>
      </c>
      <c r="N51" s="12">
        <f t="shared" si="50"/>
        <v>0.2630344058</v>
      </c>
      <c r="O51" s="12">
        <f t="shared" si="50"/>
        <v>0.3785116233</v>
      </c>
      <c r="P51" s="12">
        <f t="shared" si="50"/>
        <v>0.6780719051</v>
      </c>
      <c r="Q51" s="12">
        <f t="shared" si="50"/>
        <v>0</v>
      </c>
      <c r="R51" s="12">
        <f t="shared" si="50"/>
        <v>0.3785116233</v>
      </c>
      <c r="S51" s="12">
        <f t="shared" si="50"/>
        <v>0</v>
      </c>
      <c r="T51" s="12">
        <f t="shared" si="50"/>
        <v>0.6780719051</v>
      </c>
      <c r="U51" s="12">
        <f t="shared" si="50"/>
        <v>0.6780719051</v>
      </c>
      <c r="V51" s="12">
        <f t="shared" si="50"/>
        <v>0.4854268272</v>
      </c>
      <c r="W51" s="13"/>
      <c r="X51" s="12">
        <f>Andrew!D51</f>
        <v>0.7</v>
      </c>
      <c r="Y51" s="12" t="str">
        <f>ChatGPT!D51</f>
        <v/>
      </c>
      <c r="Z51" s="12">
        <f>Eileen!D51</f>
        <v>0.4</v>
      </c>
      <c r="AA51" s="12">
        <f>Iain!D51</f>
        <v>0.3</v>
      </c>
      <c r="AB51" s="12">
        <f>Kate!D51</f>
        <v>0.6</v>
      </c>
      <c r="AC51" s="12">
        <f>Rohan!D51</f>
        <v>0.65</v>
      </c>
      <c r="AD51" s="12">
        <f>Pete!D51</f>
        <v>0.8</v>
      </c>
      <c r="AE51" s="12">
        <f>Christine!D51</f>
        <v>0.5</v>
      </c>
      <c r="AF51" s="12">
        <f>Jac!D51</f>
        <v>0.65</v>
      </c>
      <c r="AG51" s="12">
        <f>James!D51</f>
        <v>0.5</v>
      </c>
      <c r="AH51" s="12">
        <f>Lachy!D51</f>
        <v>0.8</v>
      </c>
      <c r="AI51" s="12">
        <f>Gael!D51</f>
        <v>0.8</v>
      </c>
      <c r="AJ51" s="12">
        <f>Bruce!D51</f>
        <v>0.7</v>
      </c>
    </row>
    <row r="52">
      <c r="A52" s="11">
        <v>51.0</v>
      </c>
      <c r="B52" s="14" t="s">
        <v>87</v>
      </c>
      <c r="C52" s="11" t="s">
        <v>85</v>
      </c>
      <c r="D52" s="11" t="s">
        <v>15</v>
      </c>
      <c r="F52" s="11">
        <v>0.0</v>
      </c>
      <c r="J52" s="12">
        <f t="shared" ref="J52:V52" si="51">IF($F52=1,(LOG(X52,2)+1),IF($F52=0,(LOG(1-X52,2)+1),""))</f>
        <v>0.4854268272</v>
      </c>
      <c r="K52" s="12">
        <f t="shared" si="51"/>
        <v>0</v>
      </c>
      <c r="L52" s="12">
        <f t="shared" si="51"/>
        <v>-0.3219280949</v>
      </c>
      <c r="M52" s="12">
        <f t="shared" si="51"/>
        <v>-0.3219280949</v>
      </c>
      <c r="N52" s="12">
        <f t="shared" si="51"/>
        <v>0.8479969066</v>
      </c>
      <c r="O52" s="12">
        <f t="shared" si="51"/>
        <v>0.9259994186</v>
      </c>
      <c r="P52" s="12">
        <f t="shared" si="51"/>
        <v>0.2630344058</v>
      </c>
      <c r="Q52" s="12">
        <f t="shared" si="51"/>
        <v>0</v>
      </c>
      <c r="R52" s="12">
        <f t="shared" si="51"/>
        <v>0.8479969066</v>
      </c>
      <c r="S52" s="12">
        <f t="shared" si="51"/>
        <v>0.8479969066</v>
      </c>
      <c r="T52" s="12">
        <f t="shared" si="51"/>
        <v>0.6780719051</v>
      </c>
      <c r="U52" s="12">
        <f t="shared" si="51"/>
        <v>-0.7369655942</v>
      </c>
      <c r="V52" s="12">
        <f t="shared" si="51"/>
        <v>0.6780719051</v>
      </c>
      <c r="W52" s="13"/>
      <c r="X52" s="12">
        <f>Andrew!D52</f>
        <v>0.3</v>
      </c>
      <c r="Y52" s="12">
        <f>ChatGPT!D52</f>
        <v>0.5</v>
      </c>
      <c r="Z52" s="12">
        <f>Eileen!D52</f>
        <v>0.6</v>
      </c>
      <c r="AA52" s="12">
        <f>Iain!D52</f>
        <v>0.6</v>
      </c>
      <c r="AB52" s="12">
        <f>Kate!D52</f>
        <v>0.1</v>
      </c>
      <c r="AC52" s="12">
        <f>Rohan!D52</f>
        <v>0.05</v>
      </c>
      <c r="AD52" s="12">
        <f>Pete!D52</f>
        <v>0.4</v>
      </c>
      <c r="AE52" s="12">
        <f>Christine!D52</f>
        <v>0.5</v>
      </c>
      <c r="AF52" s="12">
        <f>Jac!D52</f>
        <v>0.1</v>
      </c>
      <c r="AG52" s="12">
        <f>James!D52</f>
        <v>0.1</v>
      </c>
      <c r="AH52" s="12">
        <f>Lachy!D52</f>
        <v>0.2</v>
      </c>
      <c r="AI52" s="12">
        <f>Gael!D52</f>
        <v>0.7</v>
      </c>
      <c r="AJ52" s="12">
        <f>Bruce!D52</f>
        <v>0.2</v>
      </c>
    </row>
    <row r="53">
      <c r="A53" s="11">
        <v>52.0</v>
      </c>
      <c r="B53" s="11" t="s">
        <v>88</v>
      </c>
      <c r="C53" s="11" t="s">
        <v>85</v>
      </c>
      <c r="D53" s="11" t="s">
        <v>14</v>
      </c>
      <c r="F53" s="11">
        <v>1.0</v>
      </c>
      <c r="J53" s="12">
        <f t="shared" ref="J53:V53" si="52">IF($F53=1,(LOG(X53,2)+1),IF($F53=0,(LOG(1-X53,2)+1),""))</f>
        <v>0</v>
      </c>
      <c r="K53" s="12" t="str">
        <f t="shared" si="52"/>
        <v>#NUM!</v>
      </c>
      <c r="L53" s="12">
        <f t="shared" si="52"/>
        <v>0</v>
      </c>
      <c r="M53" s="12">
        <f t="shared" si="52"/>
        <v>0.4854268272</v>
      </c>
      <c r="N53" s="12">
        <f t="shared" si="52"/>
        <v>0.8479969066</v>
      </c>
      <c r="O53" s="12">
        <f t="shared" si="52"/>
        <v>-2.321928095</v>
      </c>
      <c r="P53" s="12">
        <f t="shared" si="52"/>
        <v>-0.7369655942</v>
      </c>
      <c r="Q53" s="12">
        <f t="shared" si="52"/>
        <v>0</v>
      </c>
      <c r="R53" s="12">
        <f t="shared" si="52"/>
        <v>0.3785116233</v>
      </c>
      <c r="S53" s="12">
        <f t="shared" si="52"/>
        <v>0</v>
      </c>
      <c r="T53" s="12">
        <f t="shared" si="52"/>
        <v>-1.321928095</v>
      </c>
      <c r="U53" s="12">
        <f t="shared" si="52"/>
        <v>0.2630344058</v>
      </c>
      <c r="V53" s="12">
        <f t="shared" si="52"/>
        <v>0.8479969066</v>
      </c>
      <c r="W53" s="13"/>
      <c r="X53" s="12">
        <f>Andrew!D53</f>
        <v>0.5</v>
      </c>
      <c r="Y53" s="12" t="str">
        <f>ChatGPT!D53</f>
        <v/>
      </c>
      <c r="Z53" s="12">
        <f>Eileen!D53</f>
        <v>0.5</v>
      </c>
      <c r="AA53" s="12">
        <f>Iain!D53</f>
        <v>0.7</v>
      </c>
      <c r="AB53" s="12">
        <f>Kate!D53</f>
        <v>0.9</v>
      </c>
      <c r="AC53" s="12">
        <f>Rohan!D53</f>
        <v>0.1</v>
      </c>
      <c r="AD53" s="12">
        <f>Pete!D53</f>
        <v>0.3</v>
      </c>
      <c r="AE53" s="12">
        <f>Christine!D53</f>
        <v>0.5</v>
      </c>
      <c r="AF53" s="12">
        <f>Jac!D53</f>
        <v>0.65</v>
      </c>
      <c r="AG53" s="12">
        <f>James!D53</f>
        <v>0.5</v>
      </c>
      <c r="AH53" s="12">
        <f>Lachy!D53</f>
        <v>0.2</v>
      </c>
      <c r="AI53" s="12">
        <f>Gael!D53</f>
        <v>0.6</v>
      </c>
      <c r="AJ53" s="12">
        <f>Bruce!D53</f>
        <v>0.9</v>
      </c>
    </row>
    <row r="54">
      <c r="A54" s="11">
        <v>53.0</v>
      </c>
      <c r="B54" s="9" t="s">
        <v>89</v>
      </c>
      <c r="C54" s="11" t="s">
        <v>85</v>
      </c>
      <c r="D54" s="11" t="s">
        <v>14</v>
      </c>
      <c r="F54" s="11">
        <v>1.0</v>
      </c>
      <c r="J54" s="12">
        <f t="shared" ref="J54:V54" si="53">IF($F54=1,(LOG(X54,2)+1),IF($F54=0,(LOG(1-X54,2)+1),""))</f>
        <v>0.1375035237</v>
      </c>
      <c r="K54" s="12" t="str">
        <f t="shared" si="53"/>
        <v>#NUM!</v>
      </c>
      <c r="L54" s="12">
        <f t="shared" si="53"/>
        <v>0</v>
      </c>
      <c r="M54" s="12">
        <f t="shared" si="53"/>
        <v>0</v>
      </c>
      <c r="N54" s="12">
        <f t="shared" si="53"/>
        <v>0.8479969066</v>
      </c>
      <c r="O54" s="12">
        <f t="shared" si="53"/>
        <v>-0.02914634566</v>
      </c>
      <c r="P54" s="12">
        <f t="shared" si="53"/>
        <v>-0.3219280949</v>
      </c>
      <c r="Q54" s="12">
        <f t="shared" si="53"/>
        <v>0</v>
      </c>
      <c r="R54" s="12">
        <f t="shared" si="53"/>
        <v>0</v>
      </c>
      <c r="S54" s="12">
        <f t="shared" si="53"/>
        <v>0</v>
      </c>
      <c r="T54" s="12">
        <f t="shared" si="53"/>
        <v>0.4854268272</v>
      </c>
      <c r="U54" s="12">
        <f t="shared" si="53"/>
        <v>0.2630344058</v>
      </c>
      <c r="V54" s="12">
        <f t="shared" si="53"/>
        <v>-1.321928095</v>
      </c>
      <c r="W54" s="13"/>
      <c r="X54" s="12">
        <f>Andrew!D54</f>
        <v>0.55</v>
      </c>
      <c r="Z54" s="12">
        <f>Eileen!D54</f>
        <v>0.5</v>
      </c>
      <c r="AA54" s="12">
        <f>Iain!D54</f>
        <v>0.5</v>
      </c>
      <c r="AB54" s="12">
        <f>Kate!D54</f>
        <v>0.9</v>
      </c>
      <c r="AC54" s="12">
        <f>Rohan!D54</f>
        <v>0.49</v>
      </c>
      <c r="AD54" s="12">
        <f>Pete!D54</f>
        <v>0.4</v>
      </c>
      <c r="AE54" s="12">
        <f>Christine!D54</f>
        <v>0.5</v>
      </c>
      <c r="AF54" s="12">
        <f>Jac!D54</f>
        <v>0.5</v>
      </c>
      <c r="AG54" s="12">
        <f>James!D54</f>
        <v>0.5</v>
      </c>
      <c r="AH54" s="12">
        <f>Lachy!D54</f>
        <v>0.7</v>
      </c>
      <c r="AI54" s="12">
        <f>Gael!D54</f>
        <v>0.6</v>
      </c>
      <c r="AJ54" s="12">
        <f>Bruce!D54</f>
        <v>0.2</v>
      </c>
    </row>
    <row r="55">
      <c r="A55" s="11">
        <v>54.0</v>
      </c>
      <c r="B55" s="9" t="s">
        <v>90</v>
      </c>
      <c r="C55" s="11" t="s">
        <v>85</v>
      </c>
      <c r="D55" s="11" t="s">
        <v>17</v>
      </c>
      <c r="F55" s="11">
        <v>0.0</v>
      </c>
      <c r="J55" s="12">
        <f t="shared" ref="J55:J61" si="55">IF($F55=1,(LOG(X55,2)+1),IF($F55=0,(LOG(1-X55,2)+1),""))</f>
        <v>0</v>
      </c>
      <c r="K55" s="12" t="str">
        <f>IF($F55=1,(LOG(#REF!,2)+1),IF($F55=0,(LOG(1-#REF!,2)+1),""))</f>
        <v>#REF!</v>
      </c>
      <c r="L55" s="12">
        <f t="shared" ref="L55:V55" si="54">IF($F55=1,(LOG(Z55,2)+1),IF($F55=0,(LOG(1-Z55,2)+1),""))</f>
        <v>-0.1520030934</v>
      </c>
      <c r="M55" s="12">
        <f t="shared" si="54"/>
        <v>0.4854268272</v>
      </c>
      <c r="N55" s="12">
        <f t="shared" si="54"/>
        <v>0.6780719051</v>
      </c>
      <c r="O55" s="12">
        <f t="shared" si="54"/>
        <v>0.1375035237</v>
      </c>
      <c r="P55" s="12">
        <f t="shared" si="54"/>
        <v>0.2630344058</v>
      </c>
      <c r="Q55" s="12">
        <f t="shared" si="54"/>
        <v>0</v>
      </c>
      <c r="R55" s="12">
        <f t="shared" si="54"/>
        <v>-0.5145731728</v>
      </c>
      <c r="S55" s="12">
        <f t="shared" si="54"/>
        <v>0</v>
      </c>
      <c r="T55" s="12">
        <f t="shared" si="54"/>
        <v>-0.3219280949</v>
      </c>
      <c r="U55" s="12">
        <f t="shared" si="54"/>
        <v>0</v>
      </c>
      <c r="V55" s="12">
        <f t="shared" si="54"/>
        <v>0.4854268272</v>
      </c>
      <c r="W55" s="13"/>
      <c r="X55" s="12">
        <f>Andrew!D55</f>
        <v>0.5</v>
      </c>
      <c r="Z55" s="12">
        <f>Eileen!D55</f>
        <v>0.55</v>
      </c>
      <c r="AA55" s="12">
        <f>Iain!D55</f>
        <v>0.3</v>
      </c>
      <c r="AB55" s="12">
        <f>Kate!D55</f>
        <v>0.2</v>
      </c>
      <c r="AC55" s="12">
        <f>Rohan!D55</f>
        <v>0.45</v>
      </c>
      <c r="AD55" s="12">
        <f>Pete!D55</f>
        <v>0.4</v>
      </c>
      <c r="AE55" s="12">
        <f>Christine!D55</f>
        <v>0.5</v>
      </c>
      <c r="AF55" s="12">
        <f>Jac!D55</f>
        <v>0.65</v>
      </c>
      <c r="AG55" s="12">
        <f>James!D55</f>
        <v>0.5</v>
      </c>
      <c r="AH55" s="12">
        <f>Lachy!D55</f>
        <v>0.6</v>
      </c>
      <c r="AI55" s="12">
        <f>Gael!D55</f>
        <v>0.5</v>
      </c>
      <c r="AJ55" s="12">
        <f>Bruce!D55</f>
        <v>0.3</v>
      </c>
    </row>
    <row r="56">
      <c r="A56" s="11">
        <v>55.0</v>
      </c>
      <c r="B56" s="9" t="s">
        <v>91</v>
      </c>
      <c r="C56" s="11" t="s">
        <v>85</v>
      </c>
      <c r="D56" s="11" t="s">
        <v>17</v>
      </c>
      <c r="F56" s="11">
        <v>1.0</v>
      </c>
      <c r="J56" s="12">
        <f t="shared" si="55"/>
        <v>0.2630344058</v>
      </c>
      <c r="K56" s="12">
        <f t="shared" ref="K56:V56" si="56">IF($F56=1,(LOG(Y56,2)+1),IF($F56=0,(LOG(1-Y56,2)+1),""))</f>
        <v>0.8479969066</v>
      </c>
      <c r="L56" s="12">
        <f t="shared" si="56"/>
        <v>0.1375035237</v>
      </c>
      <c r="M56" s="12">
        <f t="shared" si="56"/>
        <v>-0.3219280949</v>
      </c>
      <c r="N56" s="12">
        <f t="shared" si="56"/>
        <v>-2.321928095</v>
      </c>
      <c r="O56" s="12">
        <f t="shared" si="56"/>
        <v>-0.3219280949</v>
      </c>
      <c r="P56" s="12">
        <f t="shared" si="56"/>
        <v>0.6780719051</v>
      </c>
      <c r="Q56" s="12">
        <f t="shared" si="56"/>
        <v>0</v>
      </c>
      <c r="R56" s="12">
        <f t="shared" si="56"/>
        <v>0.3785116233</v>
      </c>
      <c r="S56" s="12">
        <f t="shared" si="56"/>
        <v>-0.3219280949</v>
      </c>
      <c r="T56" s="12">
        <f t="shared" si="56"/>
        <v>-1.321928095</v>
      </c>
      <c r="U56" s="12">
        <f t="shared" si="56"/>
        <v>0.4854268272</v>
      </c>
      <c r="V56" s="12">
        <f t="shared" si="56"/>
        <v>-1.321928095</v>
      </c>
      <c r="W56" s="13"/>
      <c r="X56" s="12">
        <f>Andrew!D56</f>
        <v>0.6</v>
      </c>
      <c r="Y56" s="12">
        <f>ChatGPT!D56</f>
        <v>0.9</v>
      </c>
      <c r="Z56" s="12">
        <f>Eileen!D56</f>
        <v>0.55</v>
      </c>
      <c r="AA56" s="12">
        <f>Iain!D56</f>
        <v>0.4</v>
      </c>
      <c r="AB56" s="12">
        <f>Kate!D56</f>
        <v>0.1</v>
      </c>
      <c r="AC56" s="12">
        <f>Rohan!D56</f>
        <v>0.4</v>
      </c>
      <c r="AD56" s="12">
        <f>Pete!D56</f>
        <v>0.8</v>
      </c>
      <c r="AE56" s="12">
        <f>Christine!D56</f>
        <v>0.5</v>
      </c>
      <c r="AF56" s="12">
        <f>Jac!D56</f>
        <v>0.65</v>
      </c>
      <c r="AG56" s="12">
        <f>James!D56</f>
        <v>0.4</v>
      </c>
      <c r="AH56" s="12">
        <f>Lachy!D56</f>
        <v>0.2</v>
      </c>
      <c r="AI56" s="12">
        <f>Gael!D56</f>
        <v>0.7</v>
      </c>
      <c r="AJ56" s="12">
        <f>Bruce!D56</f>
        <v>0.2</v>
      </c>
    </row>
    <row r="57">
      <c r="A57" s="11">
        <v>56.0</v>
      </c>
      <c r="B57" s="9" t="s">
        <v>92</v>
      </c>
      <c r="C57" s="11" t="s">
        <v>93</v>
      </c>
      <c r="D57" s="11" t="s">
        <v>11</v>
      </c>
      <c r="E57" s="19" t="s">
        <v>94</v>
      </c>
      <c r="F57" s="11">
        <v>0.0</v>
      </c>
      <c r="J57" s="12">
        <f t="shared" si="55"/>
        <v>-0.3219280949</v>
      </c>
      <c r="K57" s="12">
        <f t="shared" ref="K57:V57" si="57">IF($F57=1,(LOG(Y57,2)+1),IF($F57=0,(LOG(1-Y57,2)+1),""))</f>
        <v>1</v>
      </c>
      <c r="L57" s="12">
        <f t="shared" si="57"/>
        <v>-0.7369655942</v>
      </c>
      <c r="M57" s="12">
        <f t="shared" si="57"/>
        <v>-0.7369655942</v>
      </c>
      <c r="N57" s="12">
        <f t="shared" si="57"/>
        <v>-0.7369655942</v>
      </c>
      <c r="O57" s="12">
        <f t="shared" si="57"/>
        <v>-0.02914634566</v>
      </c>
      <c r="P57" s="12">
        <f t="shared" si="57"/>
        <v>0.2630344058</v>
      </c>
      <c r="Q57" s="12">
        <f t="shared" si="57"/>
        <v>-0.3219280949</v>
      </c>
      <c r="R57" s="12">
        <f t="shared" si="57"/>
        <v>-1.736965594</v>
      </c>
      <c r="S57" s="12">
        <f t="shared" si="57"/>
        <v>-0.3219280949</v>
      </c>
      <c r="T57" s="12">
        <f t="shared" si="57"/>
        <v>0</v>
      </c>
      <c r="U57" s="12">
        <f t="shared" si="57"/>
        <v>-0.7369655942</v>
      </c>
      <c r="V57" s="12">
        <f t="shared" si="57"/>
        <v>-1.321928095</v>
      </c>
      <c r="W57" s="13"/>
      <c r="X57" s="12">
        <f>Andrew!D57</f>
        <v>0.6</v>
      </c>
      <c r="Y57" s="12" t="str">
        <f>ChatGPT!D57</f>
        <v/>
      </c>
      <c r="Z57" s="12">
        <f>Eileen!D57</f>
        <v>0.7</v>
      </c>
      <c r="AA57" s="12">
        <f>Iain!D57</f>
        <v>0.7</v>
      </c>
      <c r="AB57" s="12">
        <f>Kate!D57</f>
        <v>0.7</v>
      </c>
      <c r="AC57" s="12">
        <f>Rohan!D57</f>
        <v>0.51</v>
      </c>
      <c r="AD57" s="12">
        <f>Pete!D57</f>
        <v>0.4</v>
      </c>
      <c r="AE57" s="12">
        <f>Christine!D57</f>
        <v>0.6</v>
      </c>
      <c r="AF57" s="12">
        <f>Jac!D57</f>
        <v>0.85</v>
      </c>
      <c r="AG57" s="12">
        <f>James!D57</f>
        <v>0.6</v>
      </c>
      <c r="AH57" s="12">
        <f>Lachy!D57</f>
        <v>0.5</v>
      </c>
      <c r="AI57" s="12">
        <f>Gael!D57</f>
        <v>0.7</v>
      </c>
      <c r="AJ57" s="12">
        <f>Bruce!D57</f>
        <v>0.8</v>
      </c>
    </row>
    <row r="58">
      <c r="A58" s="11">
        <v>57.0</v>
      </c>
      <c r="B58" s="9" t="s">
        <v>95</v>
      </c>
      <c r="C58" s="11" t="s">
        <v>93</v>
      </c>
      <c r="D58" s="11" t="s">
        <v>21</v>
      </c>
      <c r="F58" s="11">
        <v>0.0</v>
      </c>
      <c r="J58" s="12">
        <f t="shared" si="55"/>
        <v>-0.5145731728</v>
      </c>
      <c r="K58" s="12">
        <f t="shared" ref="K58:V58" si="58">IF($F58=1,(LOG(Y58,2)+1),IF($F58=0,(LOG(1-Y58,2)+1),""))</f>
        <v>1</v>
      </c>
      <c r="L58" s="12">
        <f t="shared" si="58"/>
        <v>-1</v>
      </c>
      <c r="M58" s="12">
        <f t="shared" si="58"/>
        <v>-0.3219280949</v>
      </c>
      <c r="N58" s="12">
        <f t="shared" si="58"/>
        <v>-0.3219280949</v>
      </c>
      <c r="O58" s="12">
        <f t="shared" si="58"/>
        <v>-0.3219280949</v>
      </c>
      <c r="P58" s="12">
        <f t="shared" si="58"/>
        <v>0.4854268272</v>
      </c>
      <c r="Q58" s="12">
        <f t="shared" si="58"/>
        <v>-0.7369655942</v>
      </c>
      <c r="R58" s="12">
        <f t="shared" si="58"/>
        <v>-0.5145731728</v>
      </c>
      <c r="S58" s="12">
        <f t="shared" si="58"/>
        <v>-0.3219280949</v>
      </c>
      <c r="T58" s="12">
        <f t="shared" si="58"/>
        <v>-1.321928095</v>
      </c>
      <c r="U58" s="12">
        <f t="shared" si="58"/>
        <v>-1.321928095</v>
      </c>
      <c r="V58" s="12">
        <f t="shared" si="58"/>
        <v>0</v>
      </c>
      <c r="W58" s="13"/>
      <c r="X58" s="12">
        <f>Andrew!D58</f>
        <v>0.65</v>
      </c>
      <c r="Y58" s="12" t="str">
        <f>ChatGPT!D58</f>
        <v/>
      </c>
      <c r="Z58" s="12">
        <f>Eileen!D58</f>
        <v>0.75</v>
      </c>
      <c r="AA58" s="12">
        <f>Iain!D58</f>
        <v>0.6</v>
      </c>
      <c r="AB58" s="12">
        <f>Kate!D58</f>
        <v>0.6</v>
      </c>
      <c r="AC58" s="12">
        <f>Rohan!D58</f>
        <v>0.6</v>
      </c>
      <c r="AD58" s="12">
        <f>Pete!D58</f>
        <v>0.3</v>
      </c>
      <c r="AE58" s="12">
        <f>Christine!D58</f>
        <v>0.7</v>
      </c>
      <c r="AF58" s="12">
        <f>Jac!D58</f>
        <v>0.65</v>
      </c>
      <c r="AG58" s="12">
        <f>James!D58</f>
        <v>0.6</v>
      </c>
      <c r="AH58" s="12">
        <f>Lachy!D58</f>
        <v>0.8</v>
      </c>
      <c r="AI58" s="12">
        <f>Gael!D58</f>
        <v>0.8</v>
      </c>
      <c r="AJ58" s="12">
        <f>Bruce!D58</f>
        <v>0.5</v>
      </c>
    </row>
    <row r="59">
      <c r="A59" s="11">
        <v>58.0</v>
      </c>
      <c r="B59" s="9" t="s">
        <v>96</v>
      </c>
      <c r="C59" s="11" t="s">
        <v>93</v>
      </c>
      <c r="D59" s="11" t="s">
        <v>21</v>
      </c>
      <c r="E59" s="11"/>
      <c r="F59" s="11">
        <v>0.0</v>
      </c>
      <c r="G59" s="16">
        <v>45036.0</v>
      </c>
      <c r="H59" s="19" t="s">
        <v>97</v>
      </c>
      <c r="J59" s="12">
        <f t="shared" si="55"/>
        <v>-0.1520030934</v>
      </c>
      <c r="K59" s="12">
        <f t="shared" ref="K59:V59" si="59">IF($F59=1,(LOG(Y59,2)+1),IF($F59=0,(LOG(1-Y59,2)+1),""))</f>
        <v>1</v>
      </c>
      <c r="L59" s="12">
        <f t="shared" si="59"/>
        <v>-0.5145731728</v>
      </c>
      <c r="M59" s="12">
        <f t="shared" si="59"/>
        <v>0.2630344058</v>
      </c>
      <c r="N59" s="12">
        <f t="shared" si="59"/>
        <v>0.4854268272</v>
      </c>
      <c r="O59" s="12">
        <f t="shared" si="59"/>
        <v>0.3785116233</v>
      </c>
      <c r="P59" s="12">
        <f t="shared" si="59"/>
        <v>-0.7369655942</v>
      </c>
      <c r="Q59" s="12">
        <f t="shared" si="59"/>
        <v>0</v>
      </c>
      <c r="R59" s="12">
        <f t="shared" si="59"/>
        <v>-0.5145731728</v>
      </c>
      <c r="S59" s="12">
        <f t="shared" si="59"/>
        <v>0</v>
      </c>
      <c r="T59" s="12">
        <f t="shared" si="59"/>
        <v>-0.7369655942</v>
      </c>
      <c r="U59" s="12">
        <f t="shared" si="59"/>
        <v>0</v>
      </c>
      <c r="V59" s="12">
        <f t="shared" si="59"/>
        <v>0.6780719051</v>
      </c>
      <c r="W59" s="13"/>
      <c r="X59" s="12">
        <f>Andrew!D59</f>
        <v>0.55</v>
      </c>
      <c r="Y59" s="12" t="str">
        <f>ChatGPT!D59</f>
        <v/>
      </c>
      <c r="Z59" s="12">
        <f>Eileen!D59</f>
        <v>0.65</v>
      </c>
      <c r="AA59" s="12">
        <f>Iain!D59</f>
        <v>0.4</v>
      </c>
      <c r="AB59" s="12">
        <f>Kate!D59</f>
        <v>0.3</v>
      </c>
      <c r="AC59" s="12">
        <f>Rohan!D59</f>
        <v>0.35</v>
      </c>
      <c r="AD59" s="12">
        <f>Pete!D59</f>
        <v>0.7</v>
      </c>
      <c r="AE59" s="12">
        <f>Christine!D59</f>
        <v>0.5</v>
      </c>
      <c r="AF59" s="12">
        <f>Jac!D59</f>
        <v>0.65</v>
      </c>
      <c r="AG59" s="12">
        <f>James!D59</f>
        <v>0.5</v>
      </c>
      <c r="AH59" s="12">
        <f>Lachy!D59</f>
        <v>0.7</v>
      </c>
      <c r="AI59" s="12">
        <f>Gael!D59</f>
        <v>0.5</v>
      </c>
      <c r="AJ59" s="12">
        <f>Bruce!D59</f>
        <v>0.2</v>
      </c>
    </row>
    <row r="60">
      <c r="A60" s="11">
        <v>59.0</v>
      </c>
      <c r="B60" s="14" t="s">
        <v>98</v>
      </c>
      <c r="C60" s="11" t="s">
        <v>93</v>
      </c>
      <c r="D60" s="11" t="s">
        <v>16</v>
      </c>
      <c r="F60" s="11">
        <v>0.0</v>
      </c>
      <c r="J60" s="12">
        <f t="shared" si="55"/>
        <v>0.1375035237</v>
      </c>
      <c r="K60" s="12">
        <f t="shared" ref="K60:V60" si="60">IF($F60=1,(LOG(Y60,2)+1),IF($F60=0,(LOG(1-Y60,2)+1),""))</f>
        <v>1</v>
      </c>
      <c r="L60" s="12">
        <f t="shared" si="60"/>
        <v>0.4854268272</v>
      </c>
      <c r="M60" s="12">
        <f t="shared" si="60"/>
        <v>0.2630344058</v>
      </c>
      <c r="N60" s="12">
        <f t="shared" si="60"/>
        <v>-1.321928095</v>
      </c>
      <c r="O60" s="12">
        <f t="shared" si="60"/>
        <v>0.6780719051</v>
      </c>
      <c r="P60" s="12">
        <f t="shared" si="60"/>
        <v>0.2630344058</v>
      </c>
      <c r="Q60" s="12">
        <f t="shared" si="60"/>
        <v>-0.3219280949</v>
      </c>
      <c r="R60" s="12">
        <f t="shared" si="60"/>
        <v>0.3785116233</v>
      </c>
      <c r="S60" s="12">
        <f t="shared" si="60"/>
        <v>0.4854268272</v>
      </c>
      <c r="T60" s="12">
        <f t="shared" si="60"/>
        <v>0.6780719051</v>
      </c>
      <c r="U60" s="12">
        <f t="shared" si="60"/>
        <v>-0.7369655942</v>
      </c>
      <c r="V60" s="12">
        <f t="shared" si="60"/>
        <v>0</v>
      </c>
      <c r="W60" s="13"/>
      <c r="X60" s="12">
        <f>Andrew!D60</f>
        <v>0.45</v>
      </c>
      <c r="Y60" s="12" t="str">
        <f>ChatGPT!D60</f>
        <v/>
      </c>
      <c r="Z60" s="12">
        <f>Eileen!D60</f>
        <v>0.3</v>
      </c>
      <c r="AA60" s="12">
        <f>Iain!D60</f>
        <v>0.4</v>
      </c>
      <c r="AB60" s="12">
        <f>Kate!D60</f>
        <v>0.8</v>
      </c>
      <c r="AC60" s="12">
        <f>Rohan!D60</f>
        <v>0.2</v>
      </c>
      <c r="AD60" s="12">
        <f>Pete!D60</f>
        <v>0.4</v>
      </c>
      <c r="AE60" s="12">
        <f>Christine!D60</f>
        <v>0.6</v>
      </c>
      <c r="AF60" s="12">
        <f>Jac!D60</f>
        <v>0.35</v>
      </c>
      <c r="AG60" s="12">
        <f>James!D60</f>
        <v>0.3</v>
      </c>
      <c r="AH60" s="12">
        <f>Lachy!D60</f>
        <v>0.2</v>
      </c>
      <c r="AI60" s="12">
        <f>Gael!D60</f>
        <v>0.7</v>
      </c>
      <c r="AJ60" s="12">
        <f>Bruce!D60</f>
        <v>0.5</v>
      </c>
    </row>
    <row r="61">
      <c r="A61" s="11">
        <v>60.0</v>
      </c>
      <c r="B61" s="9" t="s">
        <v>99</v>
      </c>
      <c r="C61" s="11" t="s">
        <v>93</v>
      </c>
      <c r="D61" s="11" t="s">
        <v>17</v>
      </c>
      <c r="F61" s="11">
        <v>0.0</v>
      </c>
      <c r="J61" s="12">
        <f t="shared" si="55"/>
        <v>0.5849625007</v>
      </c>
      <c r="K61" s="12">
        <f t="shared" ref="K61:V61" si="61">IF($F61=1,(LOG(Y61,2)+1),IF($F61=0,(LOG(1-Y61,2)+1),""))</f>
        <v>1</v>
      </c>
      <c r="L61" s="12">
        <f t="shared" si="61"/>
        <v>0.8479969066</v>
      </c>
      <c r="M61" s="12">
        <f t="shared" si="61"/>
        <v>0.2630344058</v>
      </c>
      <c r="N61" s="12">
        <f t="shared" si="61"/>
        <v>0.8479969066</v>
      </c>
      <c r="O61" s="12">
        <f t="shared" si="61"/>
        <v>0.2630344058</v>
      </c>
      <c r="P61" s="12">
        <f t="shared" si="61"/>
        <v>0</v>
      </c>
      <c r="Q61" s="12">
        <f t="shared" si="61"/>
        <v>0.4854268272</v>
      </c>
      <c r="R61" s="12">
        <f t="shared" si="61"/>
        <v>0.7655347464</v>
      </c>
      <c r="S61" s="12">
        <f t="shared" si="61"/>
        <v>0.8479969066</v>
      </c>
      <c r="T61" s="12">
        <f t="shared" si="61"/>
        <v>0.4854268272</v>
      </c>
      <c r="U61" s="12">
        <f t="shared" si="61"/>
        <v>0.4854268272</v>
      </c>
      <c r="V61" s="12">
        <f t="shared" si="61"/>
        <v>0.6780719051</v>
      </c>
      <c r="X61" s="12">
        <f>Andrew!D61</f>
        <v>0.25</v>
      </c>
      <c r="Y61" s="12" t="str">
        <f>ChatGPT!D61</f>
        <v/>
      </c>
      <c r="Z61" s="12">
        <f>Eileen!D61</f>
        <v>0.1</v>
      </c>
      <c r="AA61" s="12">
        <f>Iain!D61</f>
        <v>0.4</v>
      </c>
      <c r="AB61" s="12">
        <f>Kate!D61</f>
        <v>0.1</v>
      </c>
      <c r="AC61" s="12">
        <f>Rohan!D61</f>
        <v>0.4</v>
      </c>
      <c r="AD61" s="12">
        <f>Pete!D61</f>
        <v>0.5</v>
      </c>
      <c r="AE61" s="12">
        <f>Christine!D61</f>
        <v>0.3</v>
      </c>
      <c r="AF61" s="12">
        <f>Jac!D61</f>
        <v>0.15</v>
      </c>
      <c r="AG61" s="12">
        <f>James!D61</f>
        <v>0.1</v>
      </c>
      <c r="AH61" s="12">
        <f>Lachy!D61</f>
        <v>0.3</v>
      </c>
      <c r="AI61" s="12">
        <f>Gael!D61</f>
        <v>0.3</v>
      </c>
      <c r="AJ61" s="12">
        <f>Bruce!D61</f>
        <v>0.2</v>
      </c>
    </row>
    <row r="62">
      <c r="B62" s="20"/>
      <c r="I62" s="7" t="s">
        <v>100</v>
      </c>
      <c r="J62" s="21">
        <f t="shared" ref="J62:V62" si="62">IF(SUM(J2:J61)&gt;=0,SUM(J2:J61),"")</f>
        <v>5.426247154</v>
      </c>
      <c r="K62" s="22" t="str">
        <f t="shared" si="62"/>
        <v>#NUM!</v>
      </c>
      <c r="L62" s="21">
        <f t="shared" si="62"/>
        <v>0.9532394528</v>
      </c>
      <c r="M62" s="21">
        <f t="shared" si="62"/>
        <v>2.963777074</v>
      </c>
      <c r="N62" s="22" t="str">
        <f t="shared" si="62"/>
        <v/>
      </c>
      <c r="O62" s="22" t="str">
        <f t="shared" si="62"/>
        <v/>
      </c>
      <c r="P62" s="22" t="str">
        <f t="shared" si="62"/>
        <v/>
      </c>
      <c r="Q62" s="22" t="str">
        <f t="shared" si="62"/>
        <v/>
      </c>
      <c r="R62" s="21">
        <f t="shared" si="62"/>
        <v>2.885335625</v>
      </c>
      <c r="S62" s="21">
        <f t="shared" si="62"/>
        <v>3.248191854</v>
      </c>
      <c r="T62" s="21">
        <f t="shared" si="62"/>
        <v>4.394392143</v>
      </c>
      <c r="U62" s="22" t="str">
        <f t="shared" si="62"/>
        <v/>
      </c>
      <c r="V62" s="21">
        <f t="shared" si="62"/>
        <v>5.46256597</v>
      </c>
      <c r="W62" s="22"/>
      <c r="X62" s="23"/>
      <c r="Y62" s="23"/>
      <c r="Z62" s="23"/>
      <c r="AA62" s="23"/>
      <c r="AB62" s="23"/>
      <c r="AC62" s="23"/>
      <c r="AD62" s="23"/>
      <c r="AE62" s="23"/>
      <c r="AF62" s="23"/>
      <c r="AG62" s="23"/>
      <c r="AH62" s="23"/>
      <c r="AI62" s="23"/>
      <c r="AJ62" s="23"/>
    </row>
    <row r="63">
      <c r="B63" s="20"/>
      <c r="J63" s="22" t="str">
        <f t="shared" ref="J63:W63" si="63">IF(SUM(J2:J61)&lt;0,SUM(J2:J61),"")</f>
        <v/>
      </c>
      <c r="K63" s="22" t="str">
        <f t="shared" si="63"/>
        <v>#NUM!</v>
      </c>
      <c r="L63" s="22" t="str">
        <f t="shared" si="63"/>
        <v/>
      </c>
      <c r="M63" s="22" t="str">
        <f t="shared" si="63"/>
        <v/>
      </c>
      <c r="N63" s="21">
        <f t="shared" si="63"/>
        <v>-7.879751461</v>
      </c>
      <c r="O63" s="21">
        <f t="shared" si="63"/>
        <v>-2.353693164</v>
      </c>
      <c r="P63" s="21">
        <f t="shared" si="63"/>
        <v>-3.795850002</v>
      </c>
      <c r="Q63" s="21">
        <f t="shared" si="63"/>
        <v>-9.817213179</v>
      </c>
      <c r="R63" s="22" t="str">
        <f t="shared" si="63"/>
        <v/>
      </c>
      <c r="S63" s="22" t="str">
        <f t="shared" si="63"/>
        <v/>
      </c>
      <c r="T63" s="22" t="str">
        <f t="shared" si="63"/>
        <v/>
      </c>
      <c r="U63" s="21">
        <f t="shared" si="63"/>
        <v>-9.439764787</v>
      </c>
      <c r="V63" s="22" t="str">
        <f t="shared" si="63"/>
        <v/>
      </c>
      <c r="W63" s="22" t="str">
        <f t="shared" si="63"/>
        <v/>
      </c>
    </row>
    <row r="64">
      <c r="B64" s="20"/>
    </row>
    <row r="65">
      <c r="B65" s="20"/>
    </row>
    <row r="66">
      <c r="B66" s="20"/>
    </row>
    <row r="67">
      <c r="B67" s="20"/>
    </row>
    <row r="68">
      <c r="B68" s="9" t="s">
        <v>101</v>
      </c>
      <c r="J68" s="13">
        <f t="shared" ref="J68:V68" si="64">MAX(J2:J61)</f>
        <v>0.9855004303</v>
      </c>
      <c r="K68" s="15" t="str">
        <f t="shared" si="64"/>
        <v>#NUM!</v>
      </c>
      <c r="L68" s="13">
        <f t="shared" si="64"/>
        <v>0.9855004303</v>
      </c>
      <c r="M68" s="13">
        <f t="shared" si="64"/>
        <v>0.8479969066</v>
      </c>
      <c r="N68" s="13">
        <f t="shared" si="64"/>
        <v>0.8479969066</v>
      </c>
      <c r="O68" s="13">
        <f t="shared" si="64"/>
        <v>0.9985565831</v>
      </c>
      <c r="P68" s="13">
        <f t="shared" si="64"/>
        <v>0.8479969066</v>
      </c>
      <c r="Q68" s="13">
        <f t="shared" si="64"/>
        <v>0.8479969066</v>
      </c>
      <c r="R68" s="13">
        <f t="shared" si="64"/>
        <v>0.9855004303</v>
      </c>
      <c r="S68" s="13">
        <f t="shared" si="64"/>
        <v>0.9855004303</v>
      </c>
      <c r="T68" s="13">
        <f t="shared" si="64"/>
        <v>0.9855004303</v>
      </c>
      <c r="U68" s="13">
        <f t="shared" si="64"/>
        <v>0.8479969066</v>
      </c>
      <c r="V68" s="13">
        <f t="shared" si="64"/>
        <v>0.9855004303</v>
      </c>
    </row>
    <row r="69">
      <c r="B69" s="9" t="s">
        <v>102</v>
      </c>
      <c r="J69" s="13">
        <f t="shared" ref="J69:V69" si="65">MIN(J2:J61)</f>
        <v>-1.321928095</v>
      </c>
      <c r="K69" s="15" t="str">
        <f t="shared" si="65"/>
        <v>#NUM!</v>
      </c>
      <c r="L69" s="13">
        <f t="shared" si="65"/>
        <v>-1.736965594</v>
      </c>
      <c r="M69" s="13">
        <f t="shared" si="65"/>
        <v>-1.321928095</v>
      </c>
      <c r="N69" s="13">
        <f t="shared" si="65"/>
        <v>-2.321928095</v>
      </c>
      <c r="O69" s="13">
        <f t="shared" si="65"/>
        <v>-5.64385619</v>
      </c>
      <c r="P69" s="13">
        <f t="shared" si="65"/>
        <v>-3.321928095</v>
      </c>
      <c r="Q69" s="13">
        <f t="shared" si="65"/>
        <v>-2.321928095</v>
      </c>
      <c r="R69" s="13">
        <f t="shared" si="65"/>
        <v>-2.321928095</v>
      </c>
      <c r="S69" s="13">
        <f t="shared" si="65"/>
        <v>-1.321928095</v>
      </c>
      <c r="T69" s="13">
        <f t="shared" si="65"/>
        <v>-2.321928095</v>
      </c>
      <c r="U69" s="13">
        <f t="shared" si="65"/>
        <v>-2.321928095</v>
      </c>
      <c r="V69" s="13">
        <f t="shared" si="65"/>
        <v>-2.321928095</v>
      </c>
    </row>
    <row r="70">
      <c r="B70" s="9" t="s">
        <v>103</v>
      </c>
      <c r="J70" s="13">
        <f>IFERROR(__xludf.DUMMYFUNCTION("AVERAGE(FILTER(J2:J61, J2:J61 &gt; 0)) "),0.436131340357636)</f>
        <v>0.4361313404</v>
      </c>
      <c r="K70" s="13">
        <f>IFERROR(__xludf.DUMMYFUNCTION("AVERAGE(FILTER(K2:K61, K2:K61 &gt; 0)) "),0.9907876913063607)</f>
        <v>0.9907876913</v>
      </c>
      <c r="L70" s="13">
        <f>IFERROR(__xludf.DUMMYFUNCTION("AVERAGE(FILTER(L2:L61, L2:L61 &gt; 0)) "),0.4517869324438989)</f>
        <v>0.4517869324</v>
      </c>
      <c r="M70" s="13">
        <f>IFERROR(__xludf.DUMMYFUNCTION("AVERAGE(FILTER(M2:M61, M2:M61 &gt; 0)) "),0.40550438297272534)</f>
        <v>0.405504383</v>
      </c>
      <c r="N70" s="13">
        <f>IFERROR(__xludf.DUMMYFUNCTION("AVERAGE(FILTER(N2:N61, N2:N61 &gt; 0)) "),0.6270601627081089)</f>
        <v>0.6270601627</v>
      </c>
      <c r="O70" s="13">
        <f>IFERROR(__xludf.DUMMYFUNCTION("AVERAGE(FILTER(O2:O61, O2:O61 &gt; 0)) "),0.42376238952445605)</f>
        <v>0.4237623895</v>
      </c>
      <c r="P70" s="13">
        <f>IFERROR(__xludf.DUMMYFUNCTION("AVERAGE(FILTER(P2:P61, P2:P61 &gt; 0)) "),0.4825912544323208)</f>
        <v>0.4825912544</v>
      </c>
      <c r="Q70" s="13">
        <f>IFERROR(__xludf.DUMMYFUNCTION("AVERAGE(FILTER(Q2:Q61, Q2:Q61 &gt; 0)) "),0.6440597292637003)</f>
        <v>0.6440597293</v>
      </c>
      <c r="R70" s="13">
        <f>IFERROR(__xludf.DUMMYFUNCTION("AVERAGE(FILTER(R2:R61, R2:R61 &gt; 0)) "),0.5595952803315508)</f>
        <v>0.5595952803</v>
      </c>
      <c r="S70" s="13">
        <f>IFERROR(__xludf.DUMMYFUNCTION("AVERAGE(FILTER(S2:S61, S2:S61 &gt; 0)) "),0.49845827114305225)</f>
        <v>0.4984582711</v>
      </c>
      <c r="T70" s="13">
        <f>IFERROR(__xludf.DUMMYFUNCTION("AVERAGE(FILTER(T2:T61, T2:T61 &gt; 0)) "),0.58178924700094)</f>
        <v>0.581789247</v>
      </c>
      <c r="U70" s="13">
        <f>IFERROR(__xludf.DUMMYFUNCTION("AVERAGE(FILTER(U2:U61, U2:U61 &gt; 0)) "),0.5407585165897308)</f>
        <v>0.5407585166</v>
      </c>
      <c r="V70" s="13">
        <f>IFERROR(__xludf.DUMMYFUNCTION("AVERAGE(FILTER(V2:V61, V2:V61 &gt; 0)) "),0.6358880588960155)</f>
        <v>0.6358880589</v>
      </c>
    </row>
    <row r="71">
      <c r="B71" s="9" t="s">
        <v>104</v>
      </c>
      <c r="J71" s="24">
        <f>IFERROR(__xludf.DUMMYFUNCTION("AVERAGE(FILTER(J2:J61, J2:J61 &lt; 0)) "),-0.4892610046880699)</f>
        <v>-0.4892610047</v>
      </c>
      <c r="K71" s="25" t="str">
        <f>IFERROR(__xludf.DUMMYFUNCTION("AVERAGE(FILTER(K2:K61, K2:K61 &lt; 0)) "),"#N/A")</f>
        <v>#N/A</v>
      </c>
      <c r="L71" s="24">
        <f>IFERROR(__xludf.DUMMYFUNCTION("AVERAGE(FILTER(L2:L61, L2:L61 &lt; 0)) "),-0.6003131770939807)</f>
        <v>-0.6003131771</v>
      </c>
      <c r="M71" s="24">
        <f>IFERROR(__xludf.DUMMYFUNCTION("AVERAGE(FILTER(M2:M61, M2:M61 &lt; 0)) "),-0.5056241472912075)</f>
        <v>-0.5056241473</v>
      </c>
      <c r="N71" s="24">
        <f>IFERROR(__xludf.DUMMYFUNCTION("AVERAGE(FILTER(N2:N61, N2:N61 &lt; 0)) "),-1.1332389643271612)</f>
        <v>-1.133238964</v>
      </c>
      <c r="O71" s="24">
        <f>IFERROR(__xludf.DUMMYFUNCTION("AVERAGE(FILTER(O2:O61, O2:O61 &lt; 0)) "),-1.1535414978397915)</f>
        <v>-1.153541498</v>
      </c>
      <c r="P71" s="24">
        <f>IFERROR(__xludf.DUMMYFUNCTION("AVERAGE(FILTER(P2:P61, P2:P61 &lt; 0)) "),-0.9045905945904155)</f>
        <v>-0.9045905946</v>
      </c>
      <c r="Q71" s="24">
        <f>IFERROR(__xludf.DUMMYFUNCTION("AVERAGE(FILTER(Q2:Q61, Q2:Q61 &lt; 0)) "),-0.9417024694186106)</f>
        <v>-0.9417024694</v>
      </c>
      <c r="R71" s="24">
        <f>IFERROR(__xludf.DUMMYFUNCTION("AVERAGE(FILTER(R2:R61, R2:R61 &lt; 0)) "),-0.7790654312953589)</f>
        <v>-0.7790654313</v>
      </c>
      <c r="S71" s="24">
        <f>IFERROR(__xludf.DUMMYFUNCTION("AVERAGE(FILTER(S2:S61, S2:S61 &lt; 0)) "),-0.4539935359365698)</f>
        <v>-0.4539935359</v>
      </c>
      <c r="T71" s="24">
        <f>IFERROR(__xludf.DUMMYFUNCTION("AVERAGE(FILTER(T2:T61, T2:T61 &lt; 0)) "),-0.8525671571169285)</f>
        <v>-0.8525671571</v>
      </c>
      <c r="U71" s="24">
        <f>IFERROR(__xludf.DUMMYFUNCTION("AVERAGE(FILTER(U2:U61, U2:U61 &lt; 0)) "),-1.046740073663403)</f>
        <v>-1.046740074</v>
      </c>
      <c r="V71" s="24">
        <f>IFERROR(__xludf.DUMMYFUNCTION("AVERAGE(FILTER(V2:V61, V2:V61 &lt; 0)) "),-1.2891378884653837)</f>
        <v>-1.289137888</v>
      </c>
    </row>
    <row r="72">
      <c r="B72" s="9" t="s">
        <v>105</v>
      </c>
    </row>
    <row r="73">
      <c r="B73" s="20"/>
    </row>
    <row r="74">
      <c r="B74" s="20"/>
    </row>
    <row r="75">
      <c r="B75" s="20"/>
      <c r="O75" s="11" t="s">
        <v>106</v>
      </c>
    </row>
    <row r="76">
      <c r="B76" s="20"/>
      <c r="O76" s="11" t="s">
        <v>107</v>
      </c>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sheetData>
  <hyperlinks>
    <hyperlink r:id="rId1" ref="H38"/>
    <hyperlink r:id="rId2" ref="E57"/>
    <hyperlink r:id="rId3" ref="H59"/>
  </hyperlinks>
  <drawing r:id="rId4"/>
  <tableParts count="2">
    <tablePart r:id="rId7"/>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0.3</v>
      </c>
    </row>
    <row r="3">
      <c r="A3" s="29">
        <f>Input!A3</f>
        <v>2</v>
      </c>
      <c r="B3" s="30" t="str">
        <f>Input!B3</f>
        <v>The farthest paper airplane flight will be broken (as reported by Guinness World Records)</v>
      </c>
      <c r="C3" s="29" t="str">
        <f>Input!C3</f>
        <v>Entertainment</v>
      </c>
      <c r="D3" s="31">
        <v>0.8</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0.45</v>
      </c>
    </row>
    <row r="5">
      <c r="A5" s="29">
        <f>Input!A5</f>
        <v>4</v>
      </c>
      <c r="B5" s="30" t="str">
        <f>Input!B5</f>
        <v>There will be a scandal involving the BTS 10 year anniversary as reported by Korean MSM</v>
      </c>
      <c r="C5" s="29" t="str">
        <f>Input!C5</f>
        <v>Entertainment</v>
      </c>
      <c r="D5" s="31">
        <v>0.3</v>
      </c>
    </row>
    <row r="6">
      <c r="A6" s="29">
        <f>Input!A6</f>
        <v>5</v>
      </c>
      <c r="B6" s="30" t="str">
        <f>Input!B6</f>
        <v>Twosetviolin (the Youtube channel) will make a video reporting fresh abuse from kpop fans (excluding Blackpink)</v>
      </c>
      <c r="C6" s="29" t="str">
        <f>Input!C6</f>
        <v>Entertainment</v>
      </c>
      <c r="D6" s="31">
        <v>0.6</v>
      </c>
    </row>
    <row r="7">
      <c r="A7" s="29">
        <f>Input!A7</f>
        <v>6</v>
      </c>
      <c r="B7" s="30" t="str">
        <f>Input!B7</f>
        <v>Lee Min-ho will be the most followed Korean actor on Instagram by the end of 2023 </v>
      </c>
      <c r="C7" s="29" t="str">
        <f>Input!C7</f>
        <v>Entertainment</v>
      </c>
      <c r="D7" s="31">
        <v>0.7</v>
      </c>
    </row>
    <row r="8">
      <c r="A8" s="29">
        <f>Input!A8</f>
        <v>7</v>
      </c>
      <c r="B8" s="30" t="str">
        <f>Input!B8</f>
        <v>LOONA will disband</v>
      </c>
      <c r="C8" s="29" t="str">
        <f>Input!C8</f>
        <v>Entertainment</v>
      </c>
      <c r="D8" s="31">
        <v>0.55</v>
      </c>
    </row>
    <row r="9">
      <c r="A9" s="29">
        <f>Input!A9</f>
        <v>8</v>
      </c>
      <c r="B9" s="30" t="str">
        <f>Input!B9</f>
        <v>A new Korean show will get more than 140 million household views on Netflix</v>
      </c>
      <c r="C9" s="29" t="str">
        <f>Input!C9</f>
        <v>Entertainment</v>
      </c>
      <c r="D9" s="31">
        <v>0.4</v>
      </c>
    </row>
    <row r="10">
      <c r="A10" s="29">
        <f>Input!A10</f>
        <v>9</v>
      </c>
      <c r="B10" s="30" t="str">
        <f>Input!B10</f>
        <v>Avatar The Way of Water will remain at 8.0 on IMDb by Christmas next year.</v>
      </c>
      <c r="C10" s="29" t="str">
        <f>Input!C10</f>
        <v>Entertainment</v>
      </c>
      <c r="D10" s="31">
        <v>0.15</v>
      </c>
    </row>
    <row r="11">
      <c r="A11" s="29">
        <f>Input!A11</f>
        <v>10</v>
      </c>
      <c r="B11" s="30" t="str">
        <f>Input!B11</f>
        <v>Kanye West will have 0 twitter suspensions or bans.</v>
      </c>
      <c r="C11" s="29" t="str">
        <f>Input!C11</f>
        <v>Entertainment</v>
      </c>
      <c r="D11" s="31">
        <v>0.05</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0.7</v>
      </c>
    </row>
    <row r="13">
      <c r="A13" s="29">
        <f>Input!A13</f>
        <v>12</v>
      </c>
      <c r="B13" s="30" t="str">
        <f>Input!B13</f>
        <v>Francis will be the Pope on Christmas eve</v>
      </c>
      <c r="C13" s="29" t="str">
        <f>Input!C13</f>
        <v>Entertainment</v>
      </c>
      <c r="D13" s="31">
        <v>0.6</v>
      </c>
    </row>
    <row r="14">
      <c r="A14" s="29">
        <f>Input!A14</f>
        <v>13</v>
      </c>
      <c r="B14" s="30" t="str">
        <f>Input!B14</f>
        <v>Rohan will not test positive for COVID in 2023</v>
      </c>
      <c r="C14" s="29" t="str">
        <f>Input!C14</f>
        <v>Family</v>
      </c>
      <c r="D14" s="31">
        <v>0.4</v>
      </c>
    </row>
    <row r="15">
      <c r="A15" s="29">
        <f>Input!A15</f>
        <v>14</v>
      </c>
      <c r="B15" s="30" t="str">
        <f>Input!B15</f>
        <v>Baby McCalman is less than 49cm at birth</v>
      </c>
      <c r="C15" s="29" t="str">
        <f>Input!C15</f>
        <v>Family</v>
      </c>
      <c r="D15" s="31">
        <v>0.55</v>
      </c>
    </row>
    <row r="16">
      <c r="A16" s="29">
        <f>Input!A16</f>
        <v>15</v>
      </c>
      <c r="B16" s="30" t="str">
        <f>Input!B16</f>
        <v>Jac and Lachy’s baby will say ‘ma’ or make a similar ‘m’ sound by 24 December 2023.</v>
      </c>
      <c r="C16" s="29" t="str">
        <f>Input!C16</f>
        <v>Family</v>
      </c>
      <c r="D16" s="31">
        <v>0.25</v>
      </c>
    </row>
    <row r="17">
      <c r="A17" s="29">
        <f>Input!A17</f>
        <v>16</v>
      </c>
      <c r="B17" s="30" t="str">
        <f>Input!B17</f>
        <v>Rohan will be at least 6'1"</v>
      </c>
      <c r="C17" s="29" t="str">
        <f>Input!C17</f>
        <v>Family</v>
      </c>
      <c r="D17" s="31">
        <v>0.2</v>
      </c>
    </row>
    <row r="18">
      <c r="A18" s="29">
        <f>Input!A18</f>
        <v>17</v>
      </c>
      <c r="B18" s="30" t="str">
        <f>Input!B18</f>
        <v>Andrew and Eileen will buy a house</v>
      </c>
      <c r="C18" s="29" t="str">
        <f>Input!C18</f>
        <v>Family</v>
      </c>
      <c r="D18" s="31">
        <v>0.99</v>
      </c>
    </row>
    <row r="19">
      <c r="A19" s="29">
        <f>Input!A19</f>
        <v>18</v>
      </c>
      <c r="B19" s="30" t="str">
        <f>Input!B19</f>
        <v>Lachy and Jac’s baby will be at least 68 cm by next Christmas.</v>
      </c>
      <c r="C19" s="29" t="str">
        <f>Input!C19</f>
        <v>Family</v>
      </c>
      <c r="D19" s="31">
        <v>0.55</v>
      </c>
    </row>
    <row r="20">
      <c r="A20" s="29">
        <f>Input!A20</f>
        <v>19</v>
      </c>
      <c r="B20" s="30" t="str">
        <f>Input!B20</f>
        <v>The annual inflation rate in Australia will be below 6% when the RBA releases its announcement of the October 2023 result</v>
      </c>
      <c r="C20" s="29" t="str">
        <f>Input!C20</f>
        <v>Finance</v>
      </c>
      <c r="D20" s="31">
        <v>0.3</v>
      </c>
    </row>
    <row r="21">
      <c r="A21" s="29">
        <f>Input!A21</f>
        <v>20</v>
      </c>
      <c r="B21" s="30" t="str">
        <f>Input!B21</f>
        <v>AUD falls below USD0.64</v>
      </c>
      <c r="C21" s="29" t="str">
        <f>Input!C21</f>
        <v>Finance</v>
      </c>
      <c r="D21" s="31">
        <v>0.64</v>
      </c>
    </row>
    <row r="22">
      <c r="A22" s="29">
        <f>Input!A22</f>
        <v>21</v>
      </c>
      <c r="B22" s="30" t="str">
        <f>Input!B22</f>
        <v>Pro-GOP investor makes a meaningful (&gt;US$100m) investment in Twitter</v>
      </c>
      <c r="C22" s="29" t="str">
        <f>Input!C22</f>
        <v>Finance</v>
      </c>
      <c r="D22" s="31">
        <v>0.55</v>
      </c>
    </row>
    <row r="23">
      <c r="A23" s="29">
        <f>Input!A23</f>
        <v>22</v>
      </c>
      <c r="B23" s="30" t="str">
        <f>Input!B23</f>
        <v>The Australian unemployment rate will be more than 4% at time of judging</v>
      </c>
      <c r="C23" s="29" t="str">
        <f>Input!C23</f>
        <v>Finance</v>
      </c>
      <c r="D23" s="31">
        <v>0.3</v>
      </c>
    </row>
    <row r="24">
      <c r="A24" s="29">
        <f>Input!A24</f>
        <v>23</v>
      </c>
      <c r="B24" s="30" t="str">
        <f>Input!B24</f>
        <v>Binance will collapse slash go into bankruptcy</v>
      </c>
      <c r="C24" s="29" t="str">
        <f>Input!C24</f>
        <v>Finance</v>
      </c>
      <c r="D24" s="31">
        <v>0.6</v>
      </c>
    </row>
    <row r="25">
      <c r="A25" s="29">
        <f>Input!A25</f>
        <v>24</v>
      </c>
      <c r="B25" s="30" t="str">
        <f>Input!B25</f>
        <v>Telsa will remain solvent and operating </v>
      </c>
      <c r="C25" s="29" t="str">
        <f>Input!C25</f>
        <v>Finance</v>
      </c>
      <c r="D25" s="31">
        <v>0.85</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0.45</v>
      </c>
    </row>
    <row r="27">
      <c r="A27" s="29">
        <f>Input!A27</f>
        <v>26</v>
      </c>
      <c r="B27" s="30" t="str">
        <f>Input!B27</f>
        <v>The case against David McBride will be dropped</v>
      </c>
      <c r="C27" s="29" t="str">
        <f>Input!C27</f>
        <v>Law</v>
      </c>
      <c r="D27" s="31">
        <v>0.15</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0.45</v>
      </c>
    </row>
    <row r="29">
      <c r="A29" s="29">
        <f>Input!A29</f>
        <v>28</v>
      </c>
      <c r="B29" s="30" t="str">
        <f>Input!B29</f>
        <v>The New Zealand National party will form government after the next election.</v>
      </c>
      <c r="C29" s="29" t="str">
        <f>Input!C29</f>
        <v>Politics</v>
      </c>
      <c r="D29" s="31">
        <v>0.35</v>
      </c>
    </row>
    <row r="30">
      <c r="A30" s="29">
        <f>Input!A30</f>
        <v>29</v>
      </c>
      <c r="B30" s="30" t="str">
        <f>Input!B30</f>
        <v>The British Labour Party will be ahead in the polls in November 2023.</v>
      </c>
      <c r="C30" s="29" t="str">
        <f>Input!C30</f>
        <v>Politics</v>
      </c>
      <c r="D30" s="31">
        <v>0.7</v>
      </c>
    </row>
    <row r="31">
      <c r="A31" s="29">
        <f>Input!A31</f>
        <v>30</v>
      </c>
      <c r="B31" s="30" t="str">
        <f>Input!B31</f>
        <v>Liz Cheney will not nominate for the presidency in 2023.</v>
      </c>
      <c r="C31" s="29" t="str">
        <f>Input!C31</f>
        <v>Politics</v>
      </c>
      <c r="D31" s="31">
        <v>0.55</v>
      </c>
    </row>
    <row r="32">
      <c r="A32" s="29">
        <f>Input!A32</f>
        <v>31</v>
      </c>
      <c r="B32" s="30" t="str">
        <f>Input!B32</f>
        <v>China will eliminate at least one existing trade sanction against Australia</v>
      </c>
      <c r="C32" s="29" t="str">
        <f>Input!C32</f>
        <v>Politics</v>
      </c>
      <c r="D32" s="31">
        <v>0.4</v>
      </c>
    </row>
    <row r="33">
      <c r="A33" s="29">
        <f>Input!A33</f>
        <v>32</v>
      </c>
      <c r="B33" s="30" t="str">
        <f>Input!B33</f>
        <v>China will not be admitted to full membership of the Comprehensive and Progressive Agreement for Trans-Pacific Partnership</v>
      </c>
      <c r="C33" s="29" t="str">
        <f>Input!C33</f>
        <v>Politics</v>
      </c>
      <c r="D33" s="31">
        <v>0.6</v>
      </c>
    </row>
    <row r="34">
      <c r="A34" s="29">
        <f>Input!A34</f>
        <v>33</v>
      </c>
      <c r="B34" s="30" t="str">
        <f>Input!B34</f>
        <v>Henry Kissinger will die</v>
      </c>
      <c r="C34" s="29" t="str">
        <f>Input!C34</f>
        <v>Politics</v>
      </c>
      <c r="D34" s="31">
        <v>0.33</v>
      </c>
    </row>
    <row r="35">
      <c r="A35" s="29">
        <f>Input!A35</f>
        <v>34</v>
      </c>
      <c r="B35" s="32" t="str">
        <f>Input!B35</f>
        <v>The Australian government will announce that the referendum for the Indigenous Voice to Parliament will occur in 2024</v>
      </c>
      <c r="C35" s="29" t="str">
        <f>Input!C35</f>
        <v>Politics</v>
      </c>
      <c r="D35" s="31">
        <v>0.2</v>
      </c>
    </row>
    <row r="36">
      <c r="A36" s="29">
        <f>Input!A36</f>
        <v>35</v>
      </c>
      <c r="B36" s="32" t="str">
        <f>Input!B36</f>
        <v>Labor will win the NSW state election</v>
      </c>
      <c r="C36" s="29" t="str">
        <f>Input!C36</f>
        <v>Politics</v>
      </c>
      <c r="D36" s="31">
        <v>0.55</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0.6</v>
      </c>
    </row>
    <row r="38">
      <c r="A38" s="29">
        <f>Input!A38</f>
        <v>37</v>
      </c>
      <c r="B38" s="30" t="str">
        <f>Input!B38</f>
        <v>At least one senior public servant (Deputy Secretary or above) will face disciplinary action from the Robodebt royal commission</v>
      </c>
      <c r="C38" s="29" t="str">
        <f>Input!C38</f>
        <v>Politics</v>
      </c>
      <c r="D38" s="31">
        <v>0.45</v>
      </c>
    </row>
    <row r="39">
      <c r="A39" s="29">
        <f>Input!A39</f>
        <v>38</v>
      </c>
      <c r="B39" s="30" t="str">
        <f>Input!B39</f>
        <v>China invades Taiwan</v>
      </c>
      <c r="C39" s="29" t="str">
        <f>Input!C39</f>
        <v>Politics</v>
      </c>
      <c r="D39" s="31">
        <v>0.1</v>
      </c>
    </row>
    <row r="40">
      <c r="A40" s="29">
        <f>Input!A40</f>
        <v>39</v>
      </c>
      <c r="B40" s="30" t="str">
        <f>Input!B40</f>
        <v>The war in Ukraine will be declared over over by MSM</v>
      </c>
      <c r="C40" s="29" t="str">
        <f>Input!C40</f>
        <v>Politics</v>
      </c>
      <c r="D40" s="31">
        <v>0.2</v>
      </c>
    </row>
    <row r="41">
      <c r="A41" s="29">
        <f>Input!A41</f>
        <v>40</v>
      </c>
      <c r="B41" s="30" t="str">
        <f>Input!B41</f>
        <v>Chris Hipkins will be Prime Minister of NZ</v>
      </c>
      <c r="C41" s="29" t="str">
        <f>Input!C41</f>
        <v>Politics</v>
      </c>
      <c r="D41" s="31">
        <v>0.65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0.4</v>
      </c>
    </row>
    <row r="43">
      <c r="A43" s="29">
        <f>Input!A43</f>
        <v>42</v>
      </c>
      <c r="B43" s="30" t="str">
        <f>Input!B43</f>
        <v>Sunak will be British Prime Minister throughout 2023</v>
      </c>
      <c r="C43" s="29" t="str">
        <f>Input!C43</f>
        <v>Politics</v>
      </c>
      <c r="D43" s="31">
        <v>0.4</v>
      </c>
    </row>
    <row r="44">
      <c r="A44" s="29">
        <f>Input!A44</f>
        <v>43</v>
      </c>
      <c r="B44" s="30" t="str">
        <f>Input!B44</f>
        <v>Nikii Haley will drop out of the running for president</v>
      </c>
      <c r="C44" s="29" t="str">
        <f>Input!C44</f>
        <v>Politics</v>
      </c>
      <c r="D44" s="31">
        <v>0.8</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0.15</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0.7</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0.55</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0.45</v>
      </c>
    </row>
    <row r="50">
      <c r="A50" s="29">
        <f>Input!A50</f>
        <v>49</v>
      </c>
      <c r="B50" s="30" t="str">
        <f>Input!B50</f>
        <v>Rafa Nadal will announce his retirement from playing grand slam singles.</v>
      </c>
      <c r="C50" s="29" t="str">
        <f>Input!C50</f>
        <v>Sport</v>
      </c>
      <c r="D50" s="31">
        <v>0.3</v>
      </c>
    </row>
    <row r="51">
      <c r="A51" s="29">
        <f>Input!A51</f>
        <v>50</v>
      </c>
      <c r="B51" s="30" t="str">
        <f>Input!B51</f>
        <v>Australia will win the netball World Cup</v>
      </c>
      <c r="C51" s="29" t="str">
        <f>Input!C51</f>
        <v>Sport</v>
      </c>
      <c r="D51" s="31">
        <v>0.7</v>
      </c>
    </row>
    <row r="52">
      <c r="A52" s="29">
        <f>Input!A52</f>
        <v>51</v>
      </c>
      <c r="B52" s="30" t="str">
        <f>Input!B52</f>
        <v>Ireland will win the Rugby World Cup</v>
      </c>
      <c r="C52" s="29" t="str">
        <f>Input!C52</f>
        <v>Sport</v>
      </c>
      <c r="D52" s="31">
        <v>0.3</v>
      </c>
    </row>
    <row r="53">
      <c r="A53" s="29">
        <f>Input!A53</f>
        <v>52</v>
      </c>
      <c r="B53" s="30" t="str">
        <f>Input!B53</f>
        <v>Warner will have to be dropped as Test match opener sometime during 2023 if not before</v>
      </c>
      <c r="C53" s="29" t="str">
        <f>Input!C53</f>
        <v>Sport</v>
      </c>
      <c r="D53" s="31">
        <v>0.5</v>
      </c>
    </row>
    <row r="54">
      <c r="A54" s="29">
        <f>Input!A54</f>
        <v>53</v>
      </c>
      <c r="B54" s="30" t="str">
        <f>Input!B54</f>
        <v>Boland will oust Hazlewood in at least one test during 2023</v>
      </c>
      <c r="C54" s="29" t="str">
        <f>Input!C54</f>
        <v>Sport</v>
      </c>
      <c r="D54" s="31">
        <v>0.55</v>
      </c>
    </row>
    <row r="55">
      <c r="A55" s="29">
        <f>Input!A55</f>
        <v>54</v>
      </c>
      <c r="B55" s="30" t="str">
        <f>Input!B55</f>
        <v>Team Haas will be 7th or higher in the 2023 F1 constructor's championship</v>
      </c>
      <c r="C55" s="29" t="str">
        <f>Input!C55</f>
        <v>Sport</v>
      </c>
      <c r="D55" s="31">
        <v>0.5</v>
      </c>
    </row>
    <row r="56">
      <c r="A56" s="29">
        <f>Input!A56</f>
        <v>55</v>
      </c>
      <c r="B56" s="30" t="str">
        <f>Input!B56</f>
        <v>Daniel Ricardo signs as a driver with an F1 Team for 2024</v>
      </c>
      <c r="C56" s="29" t="str">
        <f>Input!C56</f>
        <v>Sport</v>
      </c>
      <c r="D56" s="31">
        <v>0.6</v>
      </c>
    </row>
    <row r="57">
      <c r="A57" s="29">
        <f>Input!A57</f>
        <v>56</v>
      </c>
      <c r="B57" s="30" t="str">
        <f>Input!B57</f>
        <v>At least 41% of NZ's energy comes from rewewable sources </v>
      </c>
      <c r="C57" s="29" t="str">
        <f>Input!C57</f>
        <v>Technology</v>
      </c>
      <c r="D57" s="31">
        <v>0.6</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0.65</v>
      </c>
    </row>
    <row r="59">
      <c r="A59" s="29">
        <f>Input!A59</f>
        <v>58</v>
      </c>
      <c r="B59" s="30" t="str">
        <f>Input!B59</f>
        <v>The first orbital launch attempt of SpaceX's starship will occur in 2023, with the vehicle being destroyed on re-entry</v>
      </c>
      <c r="C59" s="29" t="str">
        <f>Input!C59</f>
        <v>Technology</v>
      </c>
      <c r="D59" s="31">
        <v>0.55</v>
      </c>
    </row>
    <row r="60">
      <c r="A60" s="29">
        <f>Input!A60</f>
        <v>59</v>
      </c>
      <c r="B60" s="30" t="str">
        <f>Input!B60</f>
        <v>Elon Musk will commercially launch a virtual/altered reality software or piece of hardware.</v>
      </c>
      <c r="C60" s="29" t="str">
        <f>Input!C60</f>
        <v>Technology</v>
      </c>
      <c r="D60" s="31">
        <v>0.45</v>
      </c>
    </row>
    <row r="61">
      <c r="A61" s="29">
        <f>Input!A61</f>
        <v>60</v>
      </c>
      <c r="B61" s="30" t="str">
        <f>Input!B61</f>
        <v>A country enshrines some form of rights/personhood/protection of AI systems motivated by the welfare of the system itself</v>
      </c>
      <c r="C61" s="29" t="str">
        <f>Input!C61</f>
        <v>Technology</v>
      </c>
      <c r="D61" s="31">
        <v>0.25</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29" t="str">
        <f>Input!A67</f>
        <v/>
      </c>
      <c r="B67" s="30" t="str">
        <f>Input!B67</f>
        <v/>
      </c>
      <c r="C67" s="29" t="str">
        <f>Input!C67</f>
        <v/>
      </c>
      <c r="D67" s="33"/>
    </row>
    <row r="68">
      <c r="A68" s="29" t="str">
        <f>Input!A68</f>
        <v/>
      </c>
      <c r="B68" s="30" t="str">
        <f>Input!B68</f>
        <v>Top score</v>
      </c>
      <c r="C68" s="29" t="str">
        <f>Input!C68</f>
        <v/>
      </c>
      <c r="D68" s="33"/>
    </row>
    <row r="69">
      <c r="A69" s="29" t="str">
        <f>Input!A69</f>
        <v/>
      </c>
      <c r="B69" s="30" t="str">
        <f>Input!B69</f>
        <v>Bottom score</v>
      </c>
      <c r="C69" s="29" t="str">
        <f>Input!C69</f>
        <v/>
      </c>
      <c r="D69" s="33"/>
    </row>
    <row r="70">
      <c r="A70" s="29" t="str">
        <f>Input!A70</f>
        <v/>
      </c>
      <c r="B70" s="30" t="str">
        <f>Input!B70</f>
        <v>Avg +ve</v>
      </c>
      <c r="C70" s="29" t="str">
        <f>Input!C70</f>
        <v/>
      </c>
      <c r="D70" s="33"/>
    </row>
    <row r="71">
      <c r="A71" s="15" t="str">
        <f>Input!A67</f>
        <v/>
      </c>
      <c r="B71" s="20" t="str">
        <f>Input!B67</f>
        <v/>
      </c>
      <c r="C71" s="15" t="str">
        <f>Input!C67</f>
        <v/>
      </c>
    </row>
    <row r="72">
      <c r="A72" s="15" t="str">
        <f>Input!A68</f>
        <v/>
      </c>
      <c r="B72" s="20" t="str">
        <f>Input!B68</f>
        <v>Top score</v>
      </c>
      <c r="C72" s="15" t="str">
        <f>Input!C68</f>
        <v/>
      </c>
    </row>
    <row r="73">
      <c r="A73" s="15" t="str">
        <f>Input!A69</f>
        <v/>
      </c>
      <c r="B73" s="20" t="str">
        <f>Input!B69</f>
        <v>Bottom score</v>
      </c>
      <c r="C73" s="15" t="str">
        <f>Input!C69</f>
        <v/>
      </c>
    </row>
    <row r="74">
      <c r="A74" s="15" t="str">
        <f>Input!A70</f>
        <v/>
      </c>
      <c r="B74" s="20" t="str">
        <f>Input!B70</f>
        <v>Avg +ve</v>
      </c>
      <c r="C74" s="15" t="str">
        <f>Input!C70</f>
        <v/>
      </c>
    </row>
    <row r="75">
      <c r="A75" s="15" t="str">
        <f>Input!A71</f>
        <v/>
      </c>
      <c r="B75" s="20" t="str">
        <f>Input!B71</f>
        <v>Avg -ve</v>
      </c>
      <c r="C75" s="15" t="str">
        <f>Input!C71</f>
        <v/>
      </c>
    </row>
    <row r="76">
      <c r="A76" s="15" t="str">
        <f>Input!A72</f>
        <v/>
      </c>
      <c r="B76" s="20" t="str">
        <f>Input!B72</f>
        <v>avg mag.</v>
      </c>
      <c r="C76" s="15" t="str">
        <f>Input!C72</f>
        <v/>
      </c>
    </row>
    <row r="77">
      <c r="A77" s="15" t="str">
        <f>Input!A73</f>
        <v/>
      </c>
      <c r="B77" s="20" t="str">
        <f>Input!B73</f>
        <v/>
      </c>
      <c r="C77" s="15" t="str">
        <f>Input!C73</f>
        <v/>
      </c>
    </row>
    <row r="78">
      <c r="A78" s="15" t="str">
        <f>Input!A74</f>
        <v/>
      </c>
      <c r="B78" s="20" t="str">
        <f>Input!B74</f>
        <v/>
      </c>
      <c r="C78" s="15" t="str">
        <f>Input!C74</f>
        <v/>
      </c>
    </row>
    <row r="79">
      <c r="A79" s="15" t="str">
        <f>Input!A75</f>
        <v/>
      </c>
      <c r="B79" s="20" t="str">
        <f>Input!B75</f>
        <v/>
      </c>
      <c r="C79" s="15" t="str">
        <f>Input!C75</f>
        <v/>
      </c>
    </row>
    <row r="80">
      <c r="A80" s="15" t="str">
        <f>Input!A76</f>
        <v/>
      </c>
      <c r="B80" s="20" t="str">
        <f>Input!B76</f>
        <v/>
      </c>
      <c r="C80" s="15" t="str">
        <f>Input!C76</f>
        <v/>
      </c>
    </row>
    <row r="81">
      <c r="A81" s="15" t="str">
        <f>Input!A77</f>
        <v/>
      </c>
      <c r="B81" s="20" t="str">
        <f>Input!B77</f>
        <v/>
      </c>
      <c r="C81" s="15" t="str">
        <f>Input!C77</f>
        <v/>
      </c>
    </row>
    <row r="82">
      <c r="A82" s="15" t="str">
        <f>Input!A78</f>
        <v/>
      </c>
      <c r="B82" s="20" t="str">
        <f>Input!B78</f>
        <v/>
      </c>
      <c r="C82" s="15" t="str">
        <f>Input!C78</f>
        <v/>
      </c>
    </row>
    <row r="83">
      <c r="A83" s="15" t="str">
        <f>Input!A79</f>
        <v/>
      </c>
      <c r="B83" s="20" t="str">
        <f>Input!B79</f>
        <v/>
      </c>
      <c r="C83" s="15" t="str">
        <f>Input!C79</f>
        <v/>
      </c>
    </row>
    <row r="84">
      <c r="A84" s="15" t="str">
        <f>Input!A80</f>
        <v/>
      </c>
      <c r="B84" s="20" t="str">
        <f>Input!B80</f>
        <v/>
      </c>
      <c r="C84" s="15" t="str">
        <f>Input!C80</f>
        <v/>
      </c>
    </row>
    <row r="85">
      <c r="A85" s="15" t="str">
        <f>Input!A81</f>
        <v/>
      </c>
      <c r="B85" s="20" t="str">
        <f>Input!B81</f>
        <v/>
      </c>
      <c r="C85" s="15" t="str">
        <f>Input!C81</f>
        <v/>
      </c>
    </row>
    <row r="86">
      <c r="A86" s="15" t="str">
        <f>Input!A82</f>
        <v/>
      </c>
      <c r="B86" s="20" t="str">
        <f>Input!B82</f>
        <v/>
      </c>
      <c r="C86" s="15" t="str">
        <f>Input!C82</f>
        <v/>
      </c>
    </row>
    <row r="87">
      <c r="A87" s="15" t="str">
        <f>Input!A83</f>
        <v/>
      </c>
      <c r="B87" s="20" t="str">
        <f>Input!B83</f>
        <v/>
      </c>
      <c r="C87" s="15" t="str">
        <f>Input!C83</f>
        <v/>
      </c>
    </row>
    <row r="88">
      <c r="A88" s="15" t="str">
        <f>Input!A84</f>
        <v/>
      </c>
      <c r="B88" s="20" t="str">
        <f>Input!B84</f>
        <v/>
      </c>
      <c r="C88" s="15" t="str">
        <f>Input!C84</f>
        <v/>
      </c>
    </row>
    <row r="89">
      <c r="A89" s="15" t="str">
        <f>Input!A85</f>
        <v/>
      </c>
      <c r="B89" s="20" t="str">
        <f>Input!B85</f>
        <v/>
      </c>
      <c r="C89" s="15" t="str">
        <f>Input!C85</f>
        <v/>
      </c>
    </row>
    <row r="90">
      <c r="A90" s="15" t="str">
        <f>Input!A86</f>
        <v/>
      </c>
      <c r="B90" s="20" t="str">
        <f>Input!B86</f>
        <v/>
      </c>
      <c r="C90" s="15" t="str">
        <f>Input!C86</f>
        <v/>
      </c>
    </row>
    <row r="91">
      <c r="A91" s="15" t="str">
        <f>Input!A87</f>
        <v/>
      </c>
      <c r="B91" s="20" t="str">
        <f>Input!B87</f>
        <v/>
      </c>
      <c r="C91" s="15" t="str">
        <f>Input!C87</f>
        <v/>
      </c>
    </row>
    <row r="92">
      <c r="A92" s="15" t="str">
        <f>Input!A88</f>
        <v/>
      </c>
      <c r="B92" s="20" t="str">
        <f>Input!B88</f>
        <v/>
      </c>
      <c r="C92" s="15" t="str">
        <f>Input!C88</f>
        <v/>
      </c>
    </row>
    <row r="93">
      <c r="A93" s="15" t="str">
        <f>Input!A89</f>
        <v/>
      </c>
      <c r="B93" s="20" t="str">
        <f>Input!B89</f>
        <v/>
      </c>
      <c r="C93" s="15" t="str">
        <f>Input!C89</f>
        <v/>
      </c>
    </row>
    <row r="94">
      <c r="A94" s="15" t="str">
        <f>Input!A90</f>
        <v/>
      </c>
      <c r="B94" s="20" t="str">
        <f>Input!B90</f>
        <v/>
      </c>
      <c r="C94" s="15" t="str">
        <f>Input!C90</f>
        <v/>
      </c>
    </row>
    <row r="95">
      <c r="A95" s="15" t="str">
        <f>Input!A91</f>
        <v/>
      </c>
      <c r="B95" s="20" t="str">
        <f>Input!B91</f>
        <v/>
      </c>
      <c r="C95" s="15" t="str">
        <f>Input!C91</f>
        <v/>
      </c>
    </row>
    <row r="96">
      <c r="A96" s="15" t="str">
        <f>Input!A92</f>
        <v/>
      </c>
      <c r="B96" s="20" t="str">
        <f>Input!B92</f>
        <v/>
      </c>
      <c r="C96" s="15" t="str">
        <f>Input!C92</f>
        <v/>
      </c>
    </row>
    <row r="97">
      <c r="A97" s="15" t="str">
        <f>Input!A93</f>
        <v/>
      </c>
      <c r="B97" s="20" t="str">
        <f>Input!B93</f>
        <v/>
      </c>
      <c r="C97" s="15" t="str">
        <f>Input!C93</f>
        <v/>
      </c>
    </row>
    <row r="98">
      <c r="A98" s="15" t="str">
        <f>Input!A94</f>
        <v/>
      </c>
      <c r="B98" s="20" t="str">
        <f>Input!B94</f>
        <v/>
      </c>
      <c r="C98" s="15" t="str">
        <f>Input!C94</f>
        <v/>
      </c>
    </row>
    <row r="99">
      <c r="A99" s="15" t="str">
        <f>Input!A95</f>
        <v/>
      </c>
      <c r="B99" s="20" t="str">
        <f>Input!B95</f>
        <v/>
      </c>
      <c r="C99" s="15" t="str">
        <f>Input!C95</f>
        <v/>
      </c>
    </row>
    <row r="100">
      <c r="A100" s="15" t="str">
        <f>Input!A96</f>
        <v/>
      </c>
      <c r="B100" s="20" t="str">
        <f>Input!B96</f>
        <v/>
      </c>
      <c r="C100" s="15" t="str">
        <f>Input!C96</f>
        <v/>
      </c>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0.5</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0.5</v>
      </c>
    </row>
    <row r="5">
      <c r="A5" s="29">
        <f>Input!A5</f>
        <v>4</v>
      </c>
      <c r="B5" s="30" t="str">
        <f>Input!B5</f>
        <v>There will be a scandal involving the BTS 10 year anniversary as reported by Korean MSM</v>
      </c>
      <c r="C5" s="29" t="str">
        <f>Input!C5</f>
        <v>Entertainment</v>
      </c>
      <c r="D5" s="33"/>
    </row>
    <row r="6">
      <c r="A6" s="29">
        <f>Input!A6</f>
        <v>5</v>
      </c>
      <c r="B6" s="30" t="str">
        <f>Input!B6</f>
        <v>Twosetviolin (the Youtube channel) will make a video reporting fresh abuse from kpop fans (excluding Blackpink)</v>
      </c>
      <c r="C6" s="29" t="str">
        <f>Input!C6</f>
        <v>Entertainment</v>
      </c>
      <c r="D6" s="33"/>
    </row>
    <row r="7">
      <c r="A7" s="29">
        <f>Input!A7</f>
        <v>6</v>
      </c>
      <c r="B7" s="30" t="str">
        <f>Input!B7</f>
        <v>Lee Min-ho will be the most followed Korean actor on Instagram by the end of 2023 </v>
      </c>
      <c r="C7" s="29" t="str">
        <f>Input!C7</f>
        <v>Entertainment</v>
      </c>
      <c r="D7" s="33"/>
    </row>
    <row r="8">
      <c r="A8" s="29">
        <f>Input!A8</f>
        <v>7</v>
      </c>
      <c r="B8" s="30" t="str">
        <f>Input!B8</f>
        <v>LOONA will disband</v>
      </c>
      <c r="C8" s="29" t="str">
        <f>Input!C8</f>
        <v>Entertainment</v>
      </c>
      <c r="D8" s="33"/>
    </row>
    <row r="9">
      <c r="A9" s="29">
        <f>Input!A9</f>
        <v>8</v>
      </c>
      <c r="B9" s="30" t="str">
        <f>Input!B9</f>
        <v>A new Korean show will get more than 140 million household views on Netflix</v>
      </c>
      <c r="C9" s="29" t="str">
        <f>Input!C9</f>
        <v>Entertainment</v>
      </c>
      <c r="D9" s="33"/>
    </row>
    <row r="10">
      <c r="A10" s="29">
        <f>Input!A10</f>
        <v>9</v>
      </c>
      <c r="B10" s="30" t="str">
        <f>Input!B10</f>
        <v>Avatar The Way of Water will remain at 8.0 on IMDb by Christmas next year.</v>
      </c>
      <c r="C10" s="29" t="str">
        <f>Input!C10</f>
        <v>Entertainment</v>
      </c>
      <c r="D10" s="33"/>
    </row>
    <row r="11">
      <c r="A11" s="29">
        <f>Input!A11</f>
        <v>10</v>
      </c>
      <c r="B11" s="30" t="str">
        <f>Input!B11</f>
        <v>Kanye West will have 0 twitter suspensions or bans.</v>
      </c>
      <c r="C11" s="29" t="str">
        <f>Input!C11</f>
        <v>Entertainment</v>
      </c>
      <c r="D11" s="33"/>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3"/>
    </row>
    <row r="13">
      <c r="A13" s="29">
        <f>Input!A13</f>
        <v>12</v>
      </c>
      <c r="B13" s="30" t="str">
        <f>Input!B13</f>
        <v>Francis will be the Pope on Christmas eve</v>
      </c>
      <c r="C13" s="29" t="str">
        <f>Input!C13</f>
        <v>Entertainment</v>
      </c>
      <c r="D13" s="33"/>
    </row>
    <row r="14">
      <c r="A14" s="29">
        <f>Input!A14</f>
        <v>13</v>
      </c>
      <c r="B14" s="30" t="str">
        <f>Input!W1</f>
        <v/>
      </c>
      <c r="C14" s="29" t="str">
        <f>Input!C14</f>
        <v>Family</v>
      </c>
      <c r="D14" s="33"/>
    </row>
    <row r="15">
      <c r="A15" s="29">
        <f>Input!A15</f>
        <v>14</v>
      </c>
      <c r="B15" s="30" t="str">
        <f>Input!B15</f>
        <v>Baby McCalman is less than 49cm at birth</v>
      </c>
      <c r="C15" s="29" t="str">
        <f>Input!C15</f>
        <v>Family</v>
      </c>
      <c r="D15" s="33"/>
    </row>
    <row r="16">
      <c r="A16" s="29">
        <f>Input!A16</f>
        <v>15</v>
      </c>
      <c r="B16" s="30" t="str">
        <f>Input!B16</f>
        <v>Jac and Lachy’s baby will say ‘ma’ or make a similar ‘m’ sound by 24 December 2023.</v>
      </c>
      <c r="C16" s="29" t="str">
        <f>Input!C16</f>
        <v>Family</v>
      </c>
      <c r="D16" s="33"/>
    </row>
    <row r="17">
      <c r="A17" s="29">
        <f>Input!A17</f>
        <v>16</v>
      </c>
      <c r="B17" s="30" t="str">
        <f>Input!B17</f>
        <v>Rohan will be at least 6'1"</v>
      </c>
      <c r="C17" s="29" t="str">
        <f>Input!C17</f>
        <v>Family</v>
      </c>
      <c r="D17" s="31">
        <v>0.1</v>
      </c>
    </row>
    <row r="18">
      <c r="A18" s="29">
        <f>Input!A18</f>
        <v>17</v>
      </c>
      <c r="B18" s="30" t="str">
        <f>Input!B18</f>
        <v>Andrew and Eileen will buy a house</v>
      </c>
      <c r="C18" s="29" t="str">
        <f>Input!C18</f>
        <v>Family</v>
      </c>
      <c r="D18" s="33"/>
    </row>
    <row r="19">
      <c r="A19" s="29">
        <f>Input!A19</f>
        <v>18</v>
      </c>
      <c r="B19" s="30" t="str">
        <f>Input!B19</f>
        <v>Lachy and Jac’s baby will be at least 68 cm by next Christmas.</v>
      </c>
      <c r="C19" s="29" t="str">
        <f>Input!C19</f>
        <v>Family</v>
      </c>
      <c r="D19" s="33"/>
    </row>
    <row r="20">
      <c r="A20" s="29">
        <f>Input!A20</f>
        <v>19</v>
      </c>
      <c r="B20" s="30" t="str">
        <f>Input!B20</f>
        <v>The annual inflation rate in Australia will be below 6% when the RBA releases its announcement of the October 2023 result</v>
      </c>
      <c r="C20" s="29" t="str">
        <f>Input!C20</f>
        <v>Finance</v>
      </c>
      <c r="D20" s="33"/>
    </row>
    <row r="21">
      <c r="A21" s="29">
        <f>Input!A21</f>
        <v>20</v>
      </c>
      <c r="B21" s="30" t="str">
        <f>Input!B21</f>
        <v>AUD falls below USD0.64</v>
      </c>
      <c r="C21" s="29" t="str">
        <f>Input!C21</f>
        <v>Finance</v>
      </c>
      <c r="D21" s="33"/>
    </row>
    <row r="22">
      <c r="A22" s="29">
        <f>Input!A22</f>
        <v>21</v>
      </c>
      <c r="B22" s="30" t="str">
        <f>Input!B22</f>
        <v>Pro-GOP investor makes a meaningful (&gt;US$100m) investment in Twitter</v>
      </c>
      <c r="C22" s="29" t="str">
        <f>Input!C22</f>
        <v>Finance</v>
      </c>
      <c r="D22" s="33"/>
    </row>
    <row r="23">
      <c r="A23" s="29">
        <f>Input!A23</f>
        <v>22</v>
      </c>
      <c r="B23" s="30" t="str">
        <f t="shared" ref="B23:C23" si="1">#REF!</f>
        <v>#REF!</v>
      </c>
      <c r="C23" s="29" t="str">
        <f t="shared" si="1"/>
        <v>#REF!</v>
      </c>
      <c r="D23" s="33"/>
    </row>
    <row r="24">
      <c r="A24" s="29">
        <f>Input!A24</f>
        <v>23</v>
      </c>
      <c r="B24" s="30" t="str">
        <f>Input!B24</f>
        <v>Binance will collapse slash go into bankruptcy</v>
      </c>
      <c r="C24" s="29" t="str">
        <f>Input!C23</f>
        <v>Finance</v>
      </c>
      <c r="D24" s="33"/>
    </row>
    <row r="25">
      <c r="A25" s="29">
        <f>Input!A25</f>
        <v>24</v>
      </c>
      <c r="B25" s="30" t="str">
        <f>Input!B25</f>
        <v>Telsa will remain solvent and operating </v>
      </c>
      <c r="C25" s="29" t="str">
        <f>Input!C25</f>
        <v>Finance</v>
      </c>
      <c r="D25" s="33"/>
    </row>
    <row r="26">
      <c r="A26" s="29">
        <f>Input!A26</f>
        <v>25</v>
      </c>
      <c r="B26" s="30" t="str">
        <f>Input!B23</f>
        <v>The Australian unemployment rate will be more than 4% at time of judging</v>
      </c>
      <c r="C26" s="29" t="str">
        <f>Input!C26</f>
        <v>Law</v>
      </c>
      <c r="D26" s="33"/>
    </row>
    <row r="27">
      <c r="A27" s="29">
        <f>Input!A27</f>
        <v>26</v>
      </c>
      <c r="B27" s="30" t="str">
        <f>Input!B27</f>
        <v>The case against David McBride will be dropped</v>
      </c>
      <c r="C27" s="29" t="str">
        <f>Input!C27</f>
        <v>Law</v>
      </c>
      <c r="D27" s="33"/>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3"/>
    </row>
    <row r="29">
      <c r="A29" s="29">
        <f>Input!A29</f>
        <v>28</v>
      </c>
      <c r="B29" s="30" t="str">
        <f>Input!B29</f>
        <v>The New Zealand National party will form government after the next election.</v>
      </c>
      <c r="C29" s="29" t="str">
        <f>Input!C29</f>
        <v>Politics</v>
      </c>
      <c r="D29" s="33"/>
    </row>
    <row r="30">
      <c r="A30" s="29">
        <f>Input!A30</f>
        <v>29</v>
      </c>
      <c r="B30" s="30" t="str">
        <f>Input!B30</f>
        <v>The British Labour Party will be ahead in the polls in November 2023.</v>
      </c>
      <c r="C30" s="29" t="str">
        <f>Input!C30</f>
        <v>Politics</v>
      </c>
      <c r="D30" s="33"/>
    </row>
    <row r="31">
      <c r="A31" s="29">
        <f>Input!A31</f>
        <v>30</v>
      </c>
      <c r="B31" s="30" t="str">
        <f>Input!B31</f>
        <v>Liz Cheney will not nominate for the presidency in 2023.</v>
      </c>
      <c r="C31" s="29" t="str">
        <f>Input!C31</f>
        <v>Politics</v>
      </c>
      <c r="D31" s="33"/>
    </row>
    <row r="32">
      <c r="A32" s="29">
        <f>Input!A32</f>
        <v>31</v>
      </c>
      <c r="B32" s="30" t="str">
        <f>Input!B32</f>
        <v>China will eliminate at least one existing trade sanction against Australia</v>
      </c>
      <c r="C32" s="29" t="str">
        <f>Input!C32</f>
        <v>Politics</v>
      </c>
      <c r="D32" s="33"/>
    </row>
    <row r="33">
      <c r="A33" s="29">
        <f>Input!A33</f>
        <v>32</v>
      </c>
      <c r="B33" s="30" t="str">
        <f>Input!S1</f>
        <v>James</v>
      </c>
      <c r="C33" s="29" t="str">
        <f>Input!C33</f>
        <v>Politics</v>
      </c>
      <c r="D33" s="33"/>
    </row>
    <row r="34">
      <c r="A34" s="29">
        <f>Input!A34</f>
        <v>33</v>
      </c>
      <c r="B34" s="30" t="str">
        <f>Input!B34</f>
        <v>Henry Kissinger will die</v>
      </c>
      <c r="C34" s="29" t="str">
        <f>Input!C34</f>
        <v>Politics</v>
      </c>
      <c r="D34" s="33"/>
    </row>
    <row r="35">
      <c r="A35" s="29">
        <f>Input!A35</f>
        <v>34</v>
      </c>
      <c r="B35" s="30" t="str">
        <f t="shared" ref="B35:B36" si="2">#REF!</f>
        <v>#REF!</v>
      </c>
      <c r="C35" s="29" t="str">
        <f>Input!C35</f>
        <v>Politics</v>
      </c>
      <c r="D35" s="33"/>
    </row>
    <row r="36">
      <c r="A36" s="29">
        <f>Input!A36</f>
        <v>35</v>
      </c>
      <c r="B36" s="30" t="str">
        <f t="shared" si="2"/>
        <v>#REF!</v>
      </c>
      <c r="C36" s="29" t="str">
        <f>Input!C36</f>
        <v>Politics</v>
      </c>
      <c r="D36" s="33"/>
    </row>
    <row r="37">
      <c r="A37" s="29" t="str">
        <f t="shared" ref="A37:A38" si="3">#REF!</f>
        <v>#REF!</v>
      </c>
      <c r="B37" s="30" t="str">
        <f>Input!B37</f>
        <v>There will be international concerns about the validity of the results of the Myanmar general election e.g. being a 'fair election', counting irregularities (as reported in The Guardian or wikipedia)</v>
      </c>
      <c r="C37" s="29" t="str">
        <f>Input!C37</f>
        <v>Politics</v>
      </c>
      <c r="D37" s="33"/>
    </row>
    <row r="38">
      <c r="A38" s="29" t="str">
        <f t="shared" si="3"/>
        <v>#REF!</v>
      </c>
      <c r="B38" s="30" t="str">
        <f>Input!B38</f>
        <v>At least one senior public servant (Deputy Secretary or above) will face disciplinary action from the Robodebt royal commission</v>
      </c>
      <c r="C38" s="29" t="str">
        <f>Input!C38</f>
        <v>Politics</v>
      </c>
      <c r="D38" s="33"/>
    </row>
    <row r="39">
      <c r="A39" s="29">
        <f>Input!A39</f>
        <v>38</v>
      </c>
      <c r="B39" s="30" t="str">
        <f>Input!B39</f>
        <v>China invades Taiwan</v>
      </c>
      <c r="C39" s="29" t="str">
        <f>Input!C39</f>
        <v>Politics</v>
      </c>
      <c r="D39" s="33"/>
    </row>
    <row r="40">
      <c r="A40" s="29">
        <f>Input!A40</f>
        <v>39</v>
      </c>
      <c r="B40" s="30" t="str">
        <f>Input!B40</f>
        <v>The war in Ukraine will be declared over over by MSM</v>
      </c>
      <c r="C40" s="29" t="str">
        <f>Input!C40</f>
        <v>Politics</v>
      </c>
      <c r="D40" s="33"/>
    </row>
    <row r="41">
      <c r="A41" s="29">
        <f>Input!A41</f>
        <v>40</v>
      </c>
      <c r="B41" s="30" t="str">
        <f>Input!B41</f>
        <v>Chris Hipkins will be Prime Minister of NZ</v>
      </c>
      <c r="C41" s="29" t="str">
        <f>Input!C41</f>
        <v>Politics</v>
      </c>
      <c r="D41" s="33"/>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3"/>
    </row>
    <row r="43">
      <c r="A43" s="29">
        <f>Input!A43</f>
        <v>42</v>
      </c>
      <c r="B43" s="30" t="str">
        <f>Input!B43</f>
        <v>Sunak will be British Prime Minister throughout 2023</v>
      </c>
      <c r="C43" s="29" t="str">
        <f>Input!C43</f>
        <v>Politics</v>
      </c>
      <c r="D43" s="31">
        <v>0.5</v>
      </c>
    </row>
    <row r="44">
      <c r="A44" s="29">
        <f>Input!A44</f>
        <v>43</v>
      </c>
      <c r="B44" s="30" t="str">
        <f>Input!B44</f>
        <v>Nikii Haley will drop out of the running for president</v>
      </c>
      <c r="C44" s="29" t="str">
        <f>Input!C44</f>
        <v>Politics</v>
      </c>
      <c r="D44" s="33"/>
    </row>
    <row r="45">
      <c r="A45" s="29">
        <f>Input!A45</f>
        <v>44</v>
      </c>
      <c r="B45" s="30" t="str">
        <f>Input!B45</f>
        <v>The Telstra  NATSIAA bark painting award will be won by an artist from the Buku-Larrnggay Mulka Centre</v>
      </c>
      <c r="C45" s="29" t="str">
        <f>Input!C45</f>
        <v>Society</v>
      </c>
      <c r="D45" s="33"/>
    </row>
    <row r="46">
      <c r="A46" s="29">
        <f>Input!A46</f>
        <v>45</v>
      </c>
      <c r="B46"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6" s="29" t="str">
        <f>Input!C46</f>
        <v>Society</v>
      </c>
      <c r="D46" s="33"/>
    </row>
    <row r="47">
      <c r="A47" s="29">
        <f>Input!A47</f>
        <v>46</v>
      </c>
      <c r="B47" s="30" t="str">
        <f>Input!B48</f>
        <v>According to ‘BabyCenter.com’, the name Harry ranked #607 in 2022. I predict that Harry will drop by at least 50 places in 2023 – when checked on 23 December 2023.</v>
      </c>
      <c r="C47" s="29" t="str">
        <f t="shared" ref="C47:C48" si="4">#REF!</f>
        <v>#REF!</v>
      </c>
      <c r="D47" s="33"/>
    </row>
    <row r="48">
      <c r="A48" s="29">
        <f>Input!A48</f>
        <v>47</v>
      </c>
      <c r="B48" s="30" t="str">
        <f>Input!C48</f>
        <v>Society</v>
      </c>
      <c r="C48" s="29" t="str">
        <f t="shared" si="4"/>
        <v>#REF!</v>
      </c>
      <c r="D48" s="33"/>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3"/>
    </row>
    <row r="50">
      <c r="A50" s="29">
        <f>Input!A50</f>
        <v>49</v>
      </c>
      <c r="B50" s="30" t="str">
        <f>Input!B50</f>
        <v>Rafa Nadal will announce his retirement from playing grand slam singles.</v>
      </c>
      <c r="C50" s="29" t="str">
        <f>Input!C50</f>
        <v>Sport</v>
      </c>
      <c r="D50" s="33"/>
    </row>
    <row r="51">
      <c r="A51" s="29">
        <f>Input!A51</f>
        <v>50</v>
      </c>
      <c r="B51" s="30" t="str">
        <f>Input!B51</f>
        <v>Australia will win the netball World Cup</v>
      </c>
      <c r="C51" s="29" t="str">
        <f>Input!C51</f>
        <v>Sport</v>
      </c>
      <c r="D51" s="33"/>
    </row>
    <row r="52">
      <c r="A52" s="29">
        <f>Input!A52</f>
        <v>51</v>
      </c>
      <c r="B52" s="30" t="str">
        <f>Input!B52</f>
        <v>Ireland will win the Rugby World Cup</v>
      </c>
      <c r="C52" s="29" t="str">
        <f>Input!C52</f>
        <v>Sport</v>
      </c>
      <c r="D52" s="31">
        <v>0.5</v>
      </c>
    </row>
    <row r="53">
      <c r="A53" s="29">
        <f>Input!A53</f>
        <v>52</v>
      </c>
      <c r="B53" s="30" t="str">
        <f>#REF!</f>
        <v>#REF!</v>
      </c>
      <c r="C53" s="29" t="str">
        <f>Input!C53</f>
        <v>Sport</v>
      </c>
      <c r="D53" s="33"/>
    </row>
    <row r="54">
      <c r="A54" s="29">
        <f>Input!A54</f>
        <v>53</v>
      </c>
      <c r="B54" s="30" t="str">
        <f>Input!B54</f>
        <v>Boland will oust Hazlewood in at least one test during 2023</v>
      </c>
      <c r="C54" s="29" t="str">
        <f>Input!C54</f>
        <v>Sport</v>
      </c>
      <c r="D54" s="33"/>
    </row>
    <row r="55">
      <c r="A55" s="29">
        <f>Input!A55</f>
        <v>54</v>
      </c>
      <c r="B55" s="30" t="str">
        <f>Input!B55</f>
        <v>Team Haas will be 7th or higher in the 2023 F1 constructor's championship</v>
      </c>
      <c r="C55" s="29" t="str">
        <f>Input!C55</f>
        <v>Sport</v>
      </c>
      <c r="D55" s="31">
        <v>0.5</v>
      </c>
    </row>
    <row r="56">
      <c r="A56" s="29">
        <f>Input!A56</f>
        <v>55</v>
      </c>
      <c r="B56" s="30" t="str">
        <f>Input!B56</f>
        <v>Daniel Ricardo signs as a driver with an F1 Team for 2024</v>
      </c>
      <c r="C56" s="29" t="str">
        <f>Input!C56</f>
        <v>Sport</v>
      </c>
      <c r="D56" s="31">
        <v>0.9</v>
      </c>
    </row>
    <row r="57">
      <c r="A57" s="29">
        <f>Input!A57</f>
        <v>56</v>
      </c>
      <c r="B57" s="30" t="str">
        <f>Input!B57</f>
        <v>At least 41% of NZ's energy comes from rewewable sources </v>
      </c>
      <c r="C57" s="29" t="str">
        <f>Input!C57</f>
        <v>Technology</v>
      </c>
      <c r="D57" s="33"/>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3"/>
    </row>
    <row r="59">
      <c r="A59" s="29">
        <f>Input!A59</f>
        <v>58</v>
      </c>
      <c r="B59" s="30" t="str">
        <f>Input!B59</f>
        <v>The first orbital launch attempt of SpaceX's starship will occur in 2023, with the vehicle being destroyed on re-entry</v>
      </c>
      <c r="C59" s="29" t="str">
        <f>Input!C59</f>
        <v>Technology</v>
      </c>
      <c r="D59" s="33"/>
    </row>
    <row r="60">
      <c r="A60" s="29">
        <f>Input!A60</f>
        <v>59</v>
      </c>
      <c r="B60" s="30" t="str">
        <f>Input!B60</f>
        <v>Elon Musk will commercially launch a virtual/altered reality software or piece of hardware.</v>
      </c>
      <c r="C60" s="29" t="str">
        <f>Input!C60</f>
        <v>Technology</v>
      </c>
      <c r="D60" s="33"/>
    </row>
    <row r="61">
      <c r="A61" s="29">
        <f>Input!A61</f>
        <v>60</v>
      </c>
      <c r="B61" s="30" t="str">
        <f>Input!B61</f>
        <v>A country enshrines some form of rights/personhood/protection of AI systems motivated by the welfare of the system itself</v>
      </c>
      <c r="C61" s="29" t="str">
        <f>Input!C61</f>
        <v>Technology</v>
      </c>
      <c r="D61" s="33"/>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29" t="str">
        <f>Input!A67</f>
        <v/>
      </c>
      <c r="B67" s="30" t="str">
        <f>Input!B67</f>
        <v/>
      </c>
      <c r="C67" s="29" t="str">
        <f>Input!C67</f>
        <v/>
      </c>
      <c r="D67" s="33"/>
    </row>
    <row r="68">
      <c r="A68" s="29" t="str">
        <f>Input!A68</f>
        <v/>
      </c>
      <c r="B68" s="30" t="str">
        <f>Input!B68</f>
        <v>Top score</v>
      </c>
      <c r="C68" s="29" t="str">
        <f>Input!C68</f>
        <v/>
      </c>
      <c r="D68" s="33"/>
    </row>
    <row r="69">
      <c r="A69" s="29" t="str">
        <f>Input!A69</f>
        <v/>
      </c>
      <c r="B69" s="30" t="str">
        <f>Input!B69</f>
        <v>Bottom score</v>
      </c>
      <c r="C69" s="29" t="str">
        <f>Input!C69</f>
        <v/>
      </c>
      <c r="D69" s="33"/>
    </row>
    <row r="70">
      <c r="A70" s="29" t="str">
        <f>Input!A70</f>
        <v/>
      </c>
      <c r="B70" s="30" t="str">
        <f>Input!B70</f>
        <v>Avg +ve</v>
      </c>
      <c r="C70" s="29" t="str">
        <f>Input!C70</f>
        <v/>
      </c>
      <c r="D70" s="33"/>
    </row>
    <row r="71">
      <c r="A71" s="26" t="s">
        <v>2</v>
      </c>
      <c r="B71" s="27" t="s">
        <v>3</v>
      </c>
      <c r="C71" s="26" t="s">
        <v>4</v>
      </c>
      <c r="D71" s="28" t="s">
        <v>108</v>
      </c>
    </row>
    <row r="72">
      <c r="A72" s="29" t="str">
        <f>Input!A72</f>
        <v/>
      </c>
      <c r="B72" s="30" t="str">
        <f>Input!B72</f>
        <v>avg mag.</v>
      </c>
      <c r="C72" s="29" t="str">
        <f>Input!C72</f>
        <v/>
      </c>
      <c r="D72" s="33"/>
    </row>
    <row r="73">
      <c r="A73" s="29" t="str">
        <f>Input!A73</f>
        <v/>
      </c>
      <c r="B73" s="30" t="str">
        <f>Input!B73</f>
        <v/>
      </c>
      <c r="C73" s="29" t="str">
        <f>Input!C73</f>
        <v/>
      </c>
      <c r="D73" s="33"/>
    </row>
    <row r="74">
      <c r="A74" s="29" t="str">
        <f>Input!A74</f>
        <v/>
      </c>
      <c r="B74" s="30" t="str">
        <f>Input!B74</f>
        <v/>
      </c>
      <c r="C74" s="29" t="str">
        <f>Input!C74</f>
        <v/>
      </c>
      <c r="D74" s="33"/>
    </row>
    <row r="75">
      <c r="A75" s="29" t="str">
        <f>Input!A75</f>
        <v/>
      </c>
      <c r="B75" s="30" t="str">
        <f>Input!B75</f>
        <v/>
      </c>
      <c r="C75" s="29" t="str">
        <f>Input!C75</f>
        <v/>
      </c>
      <c r="D75" s="33"/>
    </row>
    <row r="76">
      <c r="A76" s="29" t="str">
        <f>Input!A76</f>
        <v/>
      </c>
      <c r="B76" s="30" t="str">
        <f>Input!B76</f>
        <v/>
      </c>
      <c r="C76" s="29" t="str">
        <f>Input!C76</f>
        <v/>
      </c>
      <c r="D76" s="33"/>
    </row>
    <row r="77">
      <c r="A77" s="29" t="str">
        <f>Input!A77</f>
        <v/>
      </c>
      <c r="B77" s="30" t="str">
        <f>Input!B77</f>
        <v/>
      </c>
      <c r="C77" s="29" t="str">
        <f>Input!C77</f>
        <v/>
      </c>
      <c r="D77" s="33"/>
    </row>
    <row r="78">
      <c r="A78" s="29" t="str">
        <f>Input!A78</f>
        <v/>
      </c>
      <c r="B78" s="30" t="str">
        <f>Input!B78</f>
        <v/>
      </c>
      <c r="C78" s="29" t="str">
        <f>Input!C78</f>
        <v/>
      </c>
      <c r="D78" s="33"/>
    </row>
    <row r="79">
      <c r="A79" s="29" t="str">
        <f>Input!A79</f>
        <v/>
      </c>
      <c r="B79" s="30" t="str">
        <f>Input!B79</f>
        <v/>
      </c>
      <c r="C79" s="29" t="str">
        <f>Input!C79</f>
        <v/>
      </c>
      <c r="D79" s="33"/>
    </row>
    <row r="80">
      <c r="A80" s="29" t="str">
        <f>Input!A80</f>
        <v/>
      </c>
      <c r="B80" s="30" t="str">
        <f>Input!B80</f>
        <v/>
      </c>
      <c r="C80" s="29" t="str">
        <f>Input!C80</f>
        <v/>
      </c>
      <c r="D80" s="33"/>
    </row>
    <row r="81">
      <c r="A81" s="29" t="str">
        <f>Input!A81</f>
        <v/>
      </c>
      <c r="B81" s="30" t="str">
        <f>Input!B81</f>
        <v/>
      </c>
      <c r="C81" s="29" t="str">
        <f>Input!C81</f>
        <v/>
      </c>
      <c r="D81" s="33"/>
    </row>
    <row r="82">
      <c r="A82" s="29" t="str">
        <f>Input!A82</f>
        <v/>
      </c>
      <c r="B82" s="30" t="str">
        <f>Input!B82</f>
        <v/>
      </c>
      <c r="C82" s="29" t="str">
        <f>Input!C82</f>
        <v/>
      </c>
      <c r="D82" s="33"/>
    </row>
    <row r="83">
      <c r="A83" s="29" t="str">
        <f>Input!A83</f>
        <v/>
      </c>
      <c r="B83" s="30" t="str">
        <f>Input!B83</f>
        <v/>
      </c>
      <c r="C83" s="29" t="str">
        <f>Input!C83</f>
        <v/>
      </c>
      <c r="D83" s="33"/>
    </row>
    <row r="84">
      <c r="A84" s="29" t="str">
        <f>Input!A84</f>
        <v/>
      </c>
      <c r="B84" s="30" t="str">
        <f>Input!B84</f>
        <v/>
      </c>
      <c r="C84" s="29" t="str">
        <f>Input!C84</f>
        <v/>
      </c>
      <c r="D84" s="33"/>
    </row>
    <row r="85">
      <c r="A85" s="29" t="str">
        <f>Input!A85</f>
        <v/>
      </c>
      <c r="B85" s="30" t="str">
        <f>Input!B85</f>
        <v/>
      </c>
      <c r="C85" s="29" t="str">
        <f>Input!C85</f>
        <v/>
      </c>
      <c r="D85" s="33"/>
    </row>
    <row r="86">
      <c r="A86" s="29" t="str">
        <f>Input!A86</f>
        <v/>
      </c>
      <c r="B86" s="30" t="str">
        <f>Input!B86</f>
        <v/>
      </c>
      <c r="C86" s="29" t="str">
        <f>Input!C86</f>
        <v/>
      </c>
      <c r="D86" s="33"/>
    </row>
    <row r="87">
      <c r="A87" s="29" t="str">
        <f>Input!A87</f>
        <v/>
      </c>
      <c r="B87" s="30" t="str">
        <f>Input!B87</f>
        <v/>
      </c>
      <c r="C87" s="29" t="str">
        <f>Input!C87</f>
        <v/>
      </c>
      <c r="D87" s="33"/>
    </row>
    <row r="88">
      <c r="A88" s="29" t="str">
        <f>Input!A88</f>
        <v/>
      </c>
      <c r="B88" s="30" t="str">
        <f>Input!B88</f>
        <v/>
      </c>
      <c r="C88" s="29" t="str">
        <f>Input!C88</f>
        <v/>
      </c>
      <c r="D88" s="33"/>
    </row>
    <row r="89">
      <c r="A89" s="29" t="str">
        <f>Input!A89</f>
        <v/>
      </c>
      <c r="B89" s="30" t="str">
        <f>Input!B89</f>
        <v/>
      </c>
      <c r="C89" s="29" t="str">
        <f>Input!C89</f>
        <v/>
      </c>
      <c r="D89" s="33"/>
    </row>
    <row r="90">
      <c r="A90" s="29" t="str">
        <f>Input!A90</f>
        <v/>
      </c>
      <c r="B90" s="30" t="str">
        <f>Input!B90</f>
        <v/>
      </c>
      <c r="C90" s="29" t="str">
        <f>Input!C90</f>
        <v/>
      </c>
      <c r="D90" s="33"/>
    </row>
    <row r="91">
      <c r="A91" s="29" t="str">
        <f>Input!A91</f>
        <v/>
      </c>
      <c r="B91" s="30" t="str">
        <f>Input!B91</f>
        <v/>
      </c>
      <c r="C91" s="29" t="str">
        <f>Input!C91</f>
        <v/>
      </c>
      <c r="D91" s="33"/>
    </row>
    <row r="92">
      <c r="A92" s="29" t="str">
        <f>Input!A92</f>
        <v/>
      </c>
      <c r="B92" s="30" t="str">
        <f>Input!B92</f>
        <v/>
      </c>
      <c r="C92" s="29" t="str">
        <f>Input!C92</f>
        <v/>
      </c>
      <c r="D92" s="33"/>
    </row>
    <row r="93">
      <c r="A93" s="29" t="str">
        <f>Input!A93</f>
        <v/>
      </c>
      <c r="B93" s="30" t="str">
        <f>Input!B93</f>
        <v/>
      </c>
      <c r="C93" s="29" t="str">
        <f>Input!C93</f>
        <v/>
      </c>
      <c r="D93" s="33"/>
    </row>
    <row r="94">
      <c r="A94" s="29" t="str">
        <f>Input!A94</f>
        <v/>
      </c>
      <c r="B94" s="30" t="str">
        <f>Input!B94</f>
        <v/>
      </c>
      <c r="C94" s="29" t="str">
        <f>Input!C94</f>
        <v/>
      </c>
      <c r="D94" s="33"/>
    </row>
    <row r="95">
      <c r="A95" s="29" t="str">
        <f>Input!A95</f>
        <v/>
      </c>
      <c r="B95" s="30" t="str">
        <f>Input!B95</f>
        <v/>
      </c>
      <c r="C95" s="29" t="str">
        <f>Input!C95</f>
        <v/>
      </c>
      <c r="D95" s="33"/>
    </row>
    <row r="96">
      <c r="A96" s="29" t="str">
        <f>Input!A96</f>
        <v/>
      </c>
      <c r="B96" s="30" t="str">
        <f>Input!B96</f>
        <v/>
      </c>
      <c r="C96" s="29" t="str">
        <f>Input!C96</f>
        <v/>
      </c>
      <c r="D96" s="33"/>
    </row>
    <row r="97">
      <c r="A97" s="29" t="str">
        <f>Input!A97</f>
        <v/>
      </c>
      <c r="B97" s="30" t="str">
        <f>Input!B97</f>
        <v/>
      </c>
      <c r="C97" s="29" t="str">
        <f>Input!C97</f>
        <v/>
      </c>
      <c r="D97" s="33"/>
    </row>
    <row r="98">
      <c r="A98" s="29" t="str">
        <f>Input!A98</f>
        <v/>
      </c>
      <c r="B98" s="30" t="str">
        <f>Input!B98</f>
        <v/>
      </c>
      <c r="C98" s="29" t="str">
        <f>Input!C98</f>
        <v/>
      </c>
      <c r="D98" s="33"/>
    </row>
    <row r="99">
      <c r="A99" s="29" t="str">
        <f>Input!A99</f>
        <v/>
      </c>
      <c r="B99" s="30" t="str">
        <f>Input!B99</f>
        <v/>
      </c>
      <c r="C99" s="29" t="str">
        <f>Input!C99</f>
        <v/>
      </c>
      <c r="D99" s="33"/>
    </row>
    <row r="100">
      <c r="A100" s="29" t="str">
        <f>Input!A100</f>
        <v/>
      </c>
      <c r="B100" s="30" t="str">
        <f>Input!B100</f>
        <v/>
      </c>
      <c r="C100" s="29" t="str">
        <f>Input!C100</f>
        <v/>
      </c>
      <c r="D100" s="33"/>
    </row>
    <row r="101">
      <c r="A101" s="29" t="str">
        <f>Input!A101</f>
        <v/>
      </c>
      <c r="B101" s="30" t="str">
        <f>Input!B101</f>
        <v/>
      </c>
      <c r="C101" s="29" t="str">
        <f>Input!C101</f>
        <v/>
      </c>
      <c r="D101" s="33"/>
    </row>
    <row r="102">
      <c r="A102" s="29" t="str">
        <f>Input!A102</f>
        <v/>
      </c>
      <c r="B102" s="30" t="str">
        <f>Input!B102</f>
        <v/>
      </c>
      <c r="C102" s="29" t="str">
        <f>Input!C102</f>
        <v/>
      </c>
      <c r="D102" s="33"/>
    </row>
    <row r="103">
      <c r="A103" s="29" t="str">
        <f>Input!A103</f>
        <v/>
      </c>
      <c r="B103" s="30" t="str">
        <f>Input!B103</f>
        <v/>
      </c>
      <c r="C103" s="29" t="str">
        <f>Input!C103</f>
        <v/>
      </c>
      <c r="D103" s="33"/>
    </row>
    <row r="104">
      <c r="A104" s="29" t="str">
        <f>Input!A104</f>
        <v/>
      </c>
      <c r="B104" s="30" t="str">
        <f>Input!B104</f>
        <v/>
      </c>
      <c r="C104" s="29" t="str">
        <f>Input!C104</f>
        <v/>
      </c>
      <c r="D104" s="33"/>
    </row>
    <row r="105">
      <c r="A105" s="29" t="str">
        <f>Input!A105</f>
        <v/>
      </c>
      <c r="B105" s="30" t="str">
        <f>Input!B105</f>
        <v/>
      </c>
      <c r="C105" s="29" t="str">
        <f>Input!C105</f>
        <v/>
      </c>
      <c r="D105" s="33"/>
    </row>
    <row r="106">
      <c r="A106" s="29" t="str">
        <f>Input!A106</f>
        <v/>
      </c>
      <c r="B106" s="30" t="str">
        <f>Input!B106</f>
        <v/>
      </c>
      <c r="C106" s="29" t="str">
        <f>Input!C106</f>
        <v/>
      </c>
      <c r="D106" s="33"/>
    </row>
    <row r="107">
      <c r="A107" s="29" t="str">
        <f>Input!A107</f>
        <v/>
      </c>
      <c r="B107" s="30" t="str">
        <f>Input!B107</f>
        <v/>
      </c>
      <c r="C107" s="29" t="str">
        <f>Input!C107</f>
        <v/>
      </c>
      <c r="D107" s="33"/>
    </row>
    <row r="108">
      <c r="A108" s="29" t="str">
        <f>Input!A108</f>
        <v/>
      </c>
      <c r="B108" s="30" t="str">
        <f>Input!B108</f>
        <v/>
      </c>
      <c r="C108" s="29" t="str">
        <f>Input!C108</f>
        <v/>
      </c>
      <c r="D108" s="33"/>
    </row>
    <row r="109">
      <c r="A109" s="29" t="str">
        <f>Input!A109</f>
        <v/>
      </c>
      <c r="B109" s="30" t="str">
        <f>Input!B109</f>
        <v/>
      </c>
      <c r="C109" s="29" t="str">
        <f>Input!C109</f>
        <v/>
      </c>
      <c r="D109" s="33"/>
    </row>
    <row r="110">
      <c r="A110" s="29" t="str">
        <f>Input!A110</f>
        <v/>
      </c>
      <c r="B110" s="30" t="str">
        <f>Input!B110</f>
        <v/>
      </c>
      <c r="C110" s="29" t="str">
        <f>Input!C110</f>
        <v/>
      </c>
      <c r="D110" s="33"/>
    </row>
    <row r="111">
      <c r="A111" s="29" t="str">
        <f>Input!A111</f>
        <v/>
      </c>
      <c r="B111" s="30" t="str">
        <f>Input!B111</f>
        <v/>
      </c>
      <c r="C111" s="29" t="str">
        <f>Input!C111</f>
        <v/>
      </c>
      <c r="D111" s="33"/>
    </row>
    <row r="112">
      <c r="A112" s="29" t="str">
        <f>Input!A112</f>
        <v/>
      </c>
      <c r="B112" s="30" t="str">
        <f>Input!B112</f>
        <v/>
      </c>
      <c r="C112" s="29" t="str">
        <f>Input!C112</f>
        <v/>
      </c>
      <c r="D112" s="33"/>
    </row>
    <row r="113">
      <c r="A113" s="29" t="str">
        <f>Input!A113</f>
        <v/>
      </c>
      <c r="B113" s="30" t="str">
        <f>Input!B113</f>
        <v/>
      </c>
      <c r="C113" s="29" t="str">
        <f>Input!C113</f>
        <v/>
      </c>
      <c r="D113" s="33"/>
    </row>
    <row r="114">
      <c r="A114" s="29" t="str">
        <f>Input!A114</f>
        <v/>
      </c>
      <c r="B114" s="30" t="str">
        <f>Input!B114</f>
        <v/>
      </c>
      <c r="C114" s="29" t="str">
        <f>Input!C114</f>
        <v/>
      </c>
      <c r="D114" s="33"/>
    </row>
    <row r="115">
      <c r="A115" s="29" t="str">
        <f>Input!A115</f>
        <v/>
      </c>
      <c r="B115" s="30" t="str">
        <f>Input!B115</f>
        <v/>
      </c>
      <c r="C115" s="29" t="str">
        <f>Input!C115</f>
        <v/>
      </c>
      <c r="D115" s="33"/>
    </row>
    <row r="116">
      <c r="A116" s="29" t="str">
        <f>Input!A116</f>
        <v/>
      </c>
      <c r="B116" s="30" t="str">
        <f>Input!B116</f>
        <v/>
      </c>
      <c r="C116" s="29" t="str">
        <f>Input!C116</f>
        <v/>
      </c>
      <c r="D116" s="33"/>
    </row>
    <row r="117">
      <c r="A117" s="29" t="str">
        <f>Input!A117</f>
        <v/>
      </c>
      <c r="B117" s="30" t="str">
        <f>Input!B117</f>
        <v/>
      </c>
      <c r="C117" s="29" t="str">
        <f>Input!C117</f>
        <v/>
      </c>
      <c r="D117" s="33"/>
    </row>
    <row r="118">
      <c r="A118" s="29" t="str">
        <f>Input!A118</f>
        <v/>
      </c>
      <c r="B118" s="30" t="str">
        <f>Input!B118</f>
        <v/>
      </c>
      <c r="C118" s="29" t="str">
        <f>Input!C118</f>
        <v/>
      </c>
      <c r="D118" s="33"/>
    </row>
    <row r="119">
      <c r="A119" s="29" t="str">
        <f>Input!A119</f>
        <v/>
      </c>
      <c r="B119" s="30" t="str">
        <f>Input!B119</f>
        <v/>
      </c>
      <c r="C119" s="29" t="str">
        <f>Input!C119</f>
        <v/>
      </c>
      <c r="D119" s="33"/>
    </row>
    <row r="120">
      <c r="A120" s="29" t="str">
        <f>Input!A120</f>
        <v/>
      </c>
      <c r="B120" s="30" t="str">
        <f>Input!B120</f>
        <v/>
      </c>
      <c r="C120" s="29" t="str">
        <f>Input!C120</f>
        <v/>
      </c>
      <c r="D120" s="33"/>
    </row>
    <row r="121">
      <c r="A121" s="29" t="str">
        <f>Input!A121</f>
        <v/>
      </c>
      <c r="B121" s="30" t="str">
        <f>Input!B121</f>
        <v/>
      </c>
      <c r="C121" s="29" t="str">
        <f>Input!C121</f>
        <v/>
      </c>
      <c r="D121" s="33"/>
    </row>
    <row r="122">
      <c r="A122" s="29" t="str">
        <f>Input!A122</f>
        <v/>
      </c>
      <c r="B122" s="30" t="str">
        <f>Input!B122</f>
        <v/>
      </c>
      <c r="C122" s="29" t="str">
        <f>Input!C122</f>
        <v/>
      </c>
      <c r="D122" s="33"/>
    </row>
    <row r="123">
      <c r="A123" s="29" t="str">
        <f>Input!A123</f>
        <v/>
      </c>
      <c r="B123" s="30" t="str">
        <f>Input!B123</f>
        <v/>
      </c>
      <c r="C123" s="29" t="str">
        <f>Input!C123</f>
        <v/>
      </c>
      <c r="D123" s="33"/>
    </row>
    <row r="124">
      <c r="A124" s="29" t="str">
        <f>Input!A124</f>
        <v/>
      </c>
      <c r="B124" s="30" t="str">
        <f>Input!B124</f>
        <v/>
      </c>
      <c r="C124" s="29" t="str">
        <f>Input!C124</f>
        <v/>
      </c>
      <c r="D124" s="33"/>
    </row>
    <row r="125">
      <c r="A125" s="29" t="str">
        <f>Input!A125</f>
        <v/>
      </c>
      <c r="B125" s="30" t="str">
        <f>Input!B125</f>
        <v/>
      </c>
      <c r="C125" s="29" t="str">
        <f>Input!C125</f>
        <v/>
      </c>
      <c r="D125" s="33"/>
    </row>
    <row r="126">
      <c r="A126" s="29" t="str">
        <f>Input!A126</f>
        <v/>
      </c>
      <c r="B126" s="30" t="str">
        <f>Input!B126</f>
        <v/>
      </c>
      <c r="C126" s="29" t="str">
        <f>Input!C126</f>
        <v/>
      </c>
      <c r="D126" s="33"/>
    </row>
    <row r="127">
      <c r="A127" s="29" t="str">
        <f>Input!A127</f>
        <v/>
      </c>
      <c r="B127" s="30" t="str">
        <f>Input!B127</f>
        <v/>
      </c>
      <c r="C127" s="29" t="str">
        <f>Input!C127</f>
        <v/>
      </c>
      <c r="D127" s="33"/>
    </row>
    <row r="128">
      <c r="A128" s="29" t="str">
        <f>Input!A128</f>
        <v/>
      </c>
      <c r="B128" s="30" t="str">
        <f>Input!B128</f>
        <v/>
      </c>
      <c r="C128" s="29" t="str">
        <f>Input!C128</f>
        <v/>
      </c>
      <c r="D128" s="33"/>
    </row>
    <row r="129">
      <c r="A129" s="29" t="str">
        <f>Input!A129</f>
        <v/>
      </c>
      <c r="B129" s="30" t="str">
        <f>Input!B129</f>
        <v/>
      </c>
      <c r="C129" s="29" t="str">
        <f>Input!C129</f>
        <v/>
      </c>
      <c r="D129" s="33"/>
    </row>
    <row r="130">
      <c r="A130" s="29" t="str">
        <f>Input!A130</f>
        <v/>
      </c>
      <c r="B130" s="30" t="str">
        <f>Input!B130</f>
        <v/>
      </c>
      <c r="C130" s="29" t="str">
        <f>Input!C130</f>
        <v/>
      </c>
      <c r="D130" s="33"/>
    </row>
    <row r="131">
      <c r="A131" s="29" t="str">
        <f>Input!A131</f>
        <v/>
      </c>
      <c r="B131" s="30" t="str">
        <f>Input!B131</f>
        <v/>
      </c>
      <c r="C131" s="29" t="str">
        <f>Input!C131</f>
        <v/>
      </c>
      <c r="D131" s="33"/>
    </row>
    <row r="132">
      <c r="A132" s="29" t="str">
        <f>Input!A132</f>
        <v/>
      </c>
      <c r="B132" s="30" t="str">
        <f>Input!B132</f>
        <v/>
      </c>
      <c r="C132" s="29" t="str">
        <f>Input!C132</f>
        <v/>
      </c>
      <c r="D132" s="33"/>
    </row>
    <row r="133">
      <c r="A133" s="29" t="str">
        <f>Input!A133</f>
        <v/>
      </c>
      <c r="B133" s="30" t="str">
        <f>Input!B133</f>
        <v/>
      </c>
      <c r="C133" s="29" t="str">
        <f>Input!C133</f>
        <v/>
      </c>
      <c r="D133" s="33"/>
    </row>
    <row r="134">
      <c r="A134" s="29" t="str">
        <f>Input!A134</f>
        <v/>
      </c>
      <c r="B134" s="30" t="str">
        <f>Input!B134</f>
        <v/>
      </c>
      <c r="C134" s="29" t="str">
        <f>Input!C134</f>
        <v/>
      </c>
      <c r="D134" s="33"/>
    </row>
    <row r="135">
      <c r="A135" s="29" t="str">
        <f>Input!A135</f>
        <v/>
      </c>
      <c r="B135" s="30" t="str">
        <f>Input!B135</f>
        <v/>
      </c>
      <c r="C135" s="29" t="str">
        <f>Input!C135</f>
        <v/>
      </c>
      <c r="D135" s="33"/>
    </row>
    <row r="136">
      <c r="A136" s="29" t="str">
        <f>Input!A136</f>
        <v/>
      </c>
      <c r="B136" s="30" t="str">
        <f>Input!B136</f>
        <v/>
      </c>
      <c r="C136" s="29" t="str">
        <f>Input!C136</f>
        <v/>
      </c>
      <c r="D136" s="33"/>
    </row>
    <row r="137">
      <c r="A137" s="29" t="str">
        <f>Input!A137</f>
        <v/>
      </c>
      <c r="B137" s="30" t="str">
        <f>Input!B137</f>
        <v/>
      </c>
      <c r="C137" s="29" t="str">
        <f>Input!C137</f>
        <v/>
      </c>
      <c r="D137" s="33"/>
    </row>
    <row r="138">
      <c r="A138" s="29" t="str">
        <f>Input!A138</f>
        <v/>
      </c>
      <c r="B138" s="30" t="str">
        <f>Input!B138</f>
        <v/>
      </c>
      <c r="C138" s="29" t="str">
        <f>Input!C138</f>
        <v/>
      </c>
      <c r="D138" s="33"/>
    </row>
    <row r="139">
      <c r="A139" s="29" t="str">
        <f>Input!A139</f>
        <v/>
      </c>
      <c r="B139" s="30" t="str">
        <f>Input!B139</f>
        <v/>
      </c>
      <c r="C139" s="29" t="str">
        <f>Input!C139</f>
        <v/>
      </c>
      <c r="D139" s="33"/>
    </row>
    <row r="140">
      <c r="A140" s="29" t="str">
        <f>Input!A140</f>
        <v/>
      </c>
      <c r="B140" s="30" t="str">
        <f>Input!B140</f>
        <v/>
      </c>
      <c r="C140" s="29" t="str">
        <f>Input!C140</f>
        <v/>
      </c>
      <c r="D140" s="33"/>
    </row>
    <row r="141">
      <c r="A141" s="26" t="s">
        <v>2</v>
      </c>
      <c r="B141" s="27" t="s">
        <v>3</v>
      </c>
      <c r="C141" s="26" t="s">
        <v>4</v>
      </c>
      <c r="D141" s="28" t="s">
        <v>108</v>
      </c>
    </row>
    <row r="142">
      <c r="A142" s="29" t="str">
        <f>Input!A142</f>
        <v/>
      </c>
      <c r="B142" s="30" t="str">
        <f>Input!B142</f>
        <v/>
      </c>
      <c r="C142" s="29" t="str">
        <f>Input!C142</f>
        <v/>
      </c>
      <c r="D142" s="33"/>
    </row>
    <row r="143">
      <c r="A143" s="29" t="str">
        <f>Input!A143</f>
        <v/>
      </c>
      <c r="B143" s="30" t="str">
        <f>Input!B143</f>
        <v/>
      </c>
      <c r="C143" s="29" t="str">
        <f>Input!C143</f>
        <v/>
      </c>
      <c r="D143" s="33"/>
    </row>
    <row r="144">
      <c r="A144" s="29" t="str">
        <f>Input!A144</f>
        <v/>
      </c>
      <c r="B144" s="30" t="str">
        <f>Input!B144</f>
        <v/>
      </c>
      <c r="C144" s="29" t="str">
        <f>Input!C144</f>
        <v/>
      </c>
      <c r="D144" s="33"/>
    </row>
    <row r="145">
      <c r="A145" s="29" t="str">
        <f>Input!A145</f>
        <v/>
      </c>
      <c r="B145" s="30" t="str">
        <f>Input!B145</f>
        <v/>
      </c>
      <c r="C145" s="29" t="str">
        <f>Input!C145</f>
        <v/>
      </c>
      <c r="D145" s="33"/>
    </row>
    <row r="146">
      <c r="A146" s="29" t="str">
        <f>Input!A146</f>
        <v/>
      </c>
      <c r="B146" s="30" t="str">
        <f>Input!B146</f>
        <v/>
      </c>
      <c r="C146" s="29" t="str">
        <f>Input!C146</f>
        <v/>
      </c>
      <c r="D146" s="33"/>
    </row>
    <row r="147">
      <c r="A147" s="29" t="str">
        <f>Input!A147</f>
        <v/>
      </c>
      <c r="B147" s="30" t="str">
        <f>Input!B147</f>
        <v/>
      </c>
      <c r="C147" s="29" t="str">
        <f>Input!C147</f>
        <v/>
      </c>
      <c r="D147" s="33"/>
    </row>
    <row r="148">
      <c r="A148" s="29" t="str">
        <f>Input!A148</f>
        <v/>
      </c>
      <c r="B148" s="30" t="str">
        <f>Input!B148</f>
        <v/>
      </c>
      <c r="C148" s="29" t="str">
        <f>Input!C148</f>
        <v/>
      </c>
      <c r="D148" s="33"/>
    </row>
    <row r="149">
      <c r="A149" s="29" t="str">
        <f>Input!A149</f>
        <v/>
      </c>
      <c r="B149" s="30" t="str">
        <f>Input!B149</f>
        <v/>
      </c>
      <c r="C149" s="29" t="str">
        <f>Input!C149</f>
        <v/>
      </c>
      <c r="D149" s="33"/>
    </row>
    <row r="150">
      <c r="A150" s="29" t="str">
        <f>Input!A150</f>
        <v/>
      </c>
      <c r="B150" s="30" t="str">
        <f>Input!B150</f>
        <v/>
      </c>
      <c r="C150" s="29" t="str">
        <f>Input!C150</f>
        <v/>
      </c>
      <c r="D150" s="33"/>
    </row>
    <row r="151">
      <c r="A151" s="29" t="str">
        <f>Input!A151</f>
        <v/>
      </c>
      <c r="B151" s="30" t="str">
        <f>Input!B151</f>
        <v/>
      </c>
      <c r="C151" s="29" t="str">
        <f>Input!C151</f>
        <v/>
      </c>
      <c r="D151" s="33"/>
    </row>
    <row r="152">
      <c r="A152" s="29" t="str">
        <f>Input!A152</f>
        <v/>
      </c>
      <c r="B152" s="30" t="str">
        <f>Input!B152</f>
        <v/>
      </c>
      <c r="C152" s="29" t="str">
        <f>Input!C152</f>
        <v/>
      </c>
      <c r="D152" s="33"/>
    </row>
    <row r="153">
      <c r="A153" s="29" t="str">
        <f>Input!A153</f>
        <v/>
      </c>
      <c r="B153" s="30" t="str">
        <f>Input!B153</f>
        <v/>
      </c>
      <c r="C153" s="29" t="str">
        <f>Input!C153</f>
        <v/>
      </c>
      <c r="D153" s="33"/>
    </row>
    <row r="154">
      <c r="A154" s="29" t="str">
        <f>Input!A154</f>
        <v/>
      </c>
      <c r="B154" s="30" t="str">
        <f>Input!B154</f>
        <v/>
      </c>
      <c r="C154" s="29" t="str">
        <f>Input!C154</f>
        <v/>
      </c>
      <c r="D154" s="33"/>
    </row>
    <row r="155">
      <c r="A155" s="29" t="str">
        <f>Input!A155</f>
        <v/>
      </c>
      <c r="B155" s="30" t="str">
        <f>Input!B155</f>
        <v/>
      </c>
      <c r="C155" s="29" t="str">
        <f>Input!C155</f>
        <v/>
      </c>
      <c r="D155" s="33"/>
    </row>
    <row r="156">
      <c r="A156" s="29" t="str">
        <f>Input!A156</f>
        <v/>
      </c>
      <c r="B156" s="30" t="str">
        <f>Input!B156</f>
        <v/>
      </c>
      <c r="C156" s="29" t="str">
        <f>Input!C156</f>
        <v/>
      </c>
      <c r="D156" s="33"/>
    </row>
    <row r="157">
      <c r="A157" s="29" t="str">
        <f>Input!A157</f>
        <v/>
      </c>
      <c r="B157" s="30" t="str">
        <f>Input!B157</f>
        <v/>
      </c>
      <c r="C157" s="29" t="str">
        <f>Input!C157</f>
        <v/>
      </c>
      <c r="D157" s="33"/>
    </row>
    <row r="158">
      <c r="A158" s="29" t="str">
        <f>Input!A158</f>
        <v/>
      </c>
      <c r="B158" s="30" t="str">
        <f>Input!B158</f>
        <v/>
      </c>
      <c r="C158" s="29" t="str">
        <f>Input!C158</f>
        <v/>
      </c>
      <c r="D158" s="33"/>
    </row>
    <row r="159">
      <c r="A159" s="29" t="str">
        <f>Input!A159</f>
        <v/>
      </c>
      <c r="B159" s="30" t="str">
        <f>Input!B159</f>
        <v/>
      </c>
      <c r="C159" s="29" t="str">
        <f>Input!C159</f>
        <v/>
      </c>
      <c r="D159" s="33"/>
    </row>
    <row r="160">
      <c r="A160" s="29" t="str">
        <f>Input!A160</f>
        <v/>
      </c>
      <c r="B160" s="30" t="str">
        <f>Input!B160</f>
        <v/>
      </c>
      <c r="C160" s="29" t="str">
        <f>Input!C160</f>
        <v/>
      </c>
      <c r="D160" s="33"/>
    </row>
    <row r="161">
      <c r="A161" s="29" t="str">
        <f>Input!A161</f>
        <v/>
      </c>
      <c r="B161" s="30" t="str">
        <f>Input!B161</f>
        <v/>
      </c>
      <c r="C161" s="29" t="str">
        <f>Input!C161</f>
        <v/>
      </c>
      <c r="D161" s="33"/>
    </row>
    <row r="162">
      <c r="A162" s="29" t="str">
        <f>Input!A162</f>
        <v/>
      </c>
      <c r="B162" s="30" t="str">
        <f>Input!B162</f>
        <v/>
      </c>
      <c r="C162" s="29" t="str">
        <f>Input!C162</f>
        <v/>
      </c>
      <c r="D162" s="33"/>
    </row>
    <row r="163">
      <c r="A163" s="29" t="str">
        <f>Input!A163</f>
        <v/>
      </c>
      <c r="B163" s="30" t="str">
        <f>Input!B163</f>
        <v/>
      </c>
      <c r="C163" s="29" t="str">
        <f>Input!C163</f>
        <v/>
      </c>
      <c r="D163" s="33"/>
    </row>
    <row r="164">
      <c r="A164" s="29" t="str">
        <f>Input!A164</f>
        <v/>
      </c>
      <c r="B164" s="30" t="str">
        <f>Input!B164</f>
        <v/>
      </c>
      <c r="C164" s="29" t="str">
        <f>Input!C164</f>
        <v/>
      </c>
      <c r="D164" s="33"/>
    </row>
    <row r="165">
      <c r="A165" s="29" t="str">
        <f>Input!A165</f>
        <v/>
      </c>
      <c r="B165" s="30" t="str">
        <f>Input!B165</f>
        <v/>
      </c>
      <c r="C165" s="29" t="str">
        <f>Input!C165</f>
        <v/>
      </c>
      <c r="D165" s="33"/>
    </row>
    <row r="166">
      <c r="A166" s="29" t="str">
        <f>Input!A166</f>
        <v/>
      </c>
      <c r="B166" s="30" t="str">
        <f>Input!B166</f>
        <v/>
      </c>
      <c r="C166" s="29" t="str">
        <f>Input!C166</f>
        <v/>
      </c>
      <c r="D166" s="33"/>
    </row>
    <row r="167">
      <c r="A167" s="29" t="str">
        <f>Input!A167</f>
        <v/>
      </c>
      <c r="B167" s="30" t="str">
        <f>Input!B167</f>
        <v/>
      </c>
      <c r="C167" s="29" t="str">
        <f>Input!C167</f>
        <v/>
      </c>
      <c r="D167" s="33"/>
    </row>
    <row r="168">
      <c r="A168" s="29" t="str">
        <f>Input!A168</f>
        <v/>
      </c>
      <c r="B168" s="30" t="str">
        <f>Input!B168</f>
        <v/>
      </c>
      <c r="C168" s="29" t="str">
        <f>Input!C168</f>
        <v/>
      </c>
      <c r="D168" s="33"/>
    </row>
    <row r="169">
      <c r="A169" s="29" t="str">
        <f>Input!A169</f>
        <v/>
      </c>
      <c r="B169" s="30" t="str">
        <f>Input!B169</f>
        <v/>
      </c>
      <c r="C169" s="29" t="str">
        <f>Input!C169</f>
        <v/>
      </c>
      <c r="D169" s="33"/>
    </row>
    <row r="170">
      <c r="A170" s="29" t="str">
        <f>Input!A170</f>
        <v/>
      </c>
      <c r="B170" s="30" t="str">
        <f>Input!B170</f>
        <v/>
      </c>
      <c r="C170" s="29" t="str">
        <f>Input!C170</f>
        <v/>
      </c>
      <c r="D170" s="33"/>
    </row>
    <row r="171">
      <c r="A171" s="29" t="str">
        <f>Input!A171</f>
        <v/>
      </c>
      <c r="B171" s="30" t="str">
        <f>Input!B171</f>
        <v/>
      </c>
      <c r="C171" s="29" t="str">
        <f>Input!C171</f>
        <v/>
      </c>
      <c r="D171" s="33"/>
    </row>
    <row r="172">
      <c r="A172" s="29" t="str">
        <f>Input!A172</f>
        <v/>
      </c>
      <c r="B172" s="30" t="str">
        <f>Input!B172</f>
        <v/>
      </c>
      <c r="C172" s="29" t="str">
        <f>Input!C172</f>
        <v/>
      </c>
      <c r="D172" s="33"/>
    </row>
    <row r="173">
      <c r="A173" s="29" t="str">
        <f>Input!A173</f>
        <v/>
      </c>
      <c r="B173" s="30" t="str">
        <f>Input!B173</f>
        <v/>
      </c>
      <c r="C173" s="29" t="str">
        <f>Input!C173</f>
        <v/>
      </c>
      <c r="D173" s="33"/>
    </row>
    <row r="174">
      <c r="A174" s="29" t="str">
        <f>Input!A174</f>
        <v/>
      </c>
      <c r="B174" s="30" t="str">
        <f>Input!B174</f>
        <v/>
      </c>
      <c r="C174" s="29" t="str">
        <f>Input!C174</f>
        <v/>
      </c>
      <c r="D174" s="33"/>
    </row>
    <row r="175">
      <c r="A175" s="29" t="str">
        <f>Input!A175</f>
        <v/>
      </c>
      <c r="B175" s="30" t="str">
        <f>Input!B175</f>
        <v/>
      </c>
      <c r="C175" s="29" t="str">
        <f>Input!C175</f>
        <v/>
      </c>
      <c r="D175" s="33"/>
    </row>
    <row r="176">
      <c r="A176" s="29" t="str">
        <f>Input!A176</f>
        <v/>
      </c>
      <c r="B176" s="30" t="str">
        <f>Input!B176</f>
        <v/>
      </c>
      <c r="C176" s="29" t="str">
        <f>Input!C176</f>
        <v/>
      </c>
      <c r="D176" s="33"/>
    </row>
    <row r="177">
      <c r="A177" s="29" t="str">
        <f>Input!A177</f>
        <v/>
      </c>
      <c r="B177" s="30" t="str">
        <f>Input!B177</f>
        <v/>
      </c>
      <c r="C177" s="29" t="str">
        <f>Input!C177</f>
        <v/>
      </c>
      <c r="D177" s="33"/>
    </row>
    <row r="178">
      <c r="A178" s="29" t="str">
        <f>Input!A178</f>
        <v/>
      </c>
      <c r="B178" s="30" t="str">
        <f>Input!B178</f>
        <v/>
      </c>
      <c r="C178" s="29" t="str">
        <f>Input!C178</f>
        <v/>
      </c>
      <c r="D178" s="33"/>
    </row>
    <row r="179">
      <c r="A179" s="29" t="str">
        <f>Input!A179</f>
        <v/>
      </c>
      <c r="B179" s="30" t="str">
        <f>Input!B179</f>
        <v/>
      </c>
      <c r="C179" s="29" t="str">
        <f>Input!C179</f>
        <v/>
      </c>
      <c r="D179" s="33"/>
    </row>
    <row r="180">
      <c r="A180" s="29" t="str">
        <f>Input!A180</f>
        <v/>
      </c>
      <c r="B180" s="30" t="str">
        <f>Input!B180</f>
        <v/>
      </c>
      <c r="C180" s="29" t="str">
        <f>Input!C180</f>
        <v/>
      </c>
      <c r="D180" s="33"/>
    </row>
    <row r="181">
      <c r="A181" s="29" t="str">
        <f>Input!A181</f>
        <v/>
      </c>
      <c r="B181" s="30" t="str">
        <f>Input!B181</f>
        <v/>
      </c>
      <c r="C181" s="29" t="str">
        <f>Input!C181</f>
        <v/>
      </c>
      <c r="D181" s="33"/>
    </row>
    <row r="182">
      <c r="A182" s="29" t="str">
        <f>Input!A182</f>
        <v/>
      </c>
      <c r="B182" s="30" t="str">
        <f>Input!B182</f>
        <v/>
      </c>
      <c r="C182" s="29" t="str">
        <f>Input!C182</f>
        <v/>
      </c>
      <c r="D182" s="33"/>
    </row>
    <row r="183">
      <c r="A183" s="29" t="str">
        <f>Input!A183</f>
        <v/>
      </c>
      <c r="B183" s="30" t="str">
        <f>Input!B183</f>
        <v/>
      </c>
      <c r="C183" s="29" t="str">
        <f>Input!C183</f>
        <v/>
      </c>
      <c r="D183" s="33"/>
    </row>
    <row r="184">
      <c r="A184" s="29" t="str">
        <f>Input!A184</f>
        <v/>
      </c>
      <c r="B184" s="30" t="str">
        <f>Input!B184</f>
        <v/>
      </c>
      <c r="C184" s="29" t="str">
        <f>Input!C184</f>
        <v/>
      </c>
      <c r="D184" s="33"/>
    </row>
    <row r="185">
      <c r="A185" s="29" t="str">
        <f>Input!A185</f>
        <v/>
      </c>
      <c r="B185" s="30" t="str">
        <f>Input!B185</f>
        <v/>
      </c>
      <c r="C185" s="29" t="str">
        <f>Input!C185</f>
        <v/>
      </c>
      <c r="D185" s="33"/>
    </row>
    <row r="186">
      <c r="A186" s="29" t="str">
        <f>Input!A186</f>
        <v/>
      </c>
      <c r="B186" s="30" t="str">
        <f>Input!B186</f>
        <v/>
      </c>
      <c r="C186" s="29" t="str">
        <f>Input!C186</f>
        <v/>
      </c>
      <c r="D186" s="33"/>
    </row>
    <row r="187">
      <c r="A187" s="29" t="str">
        <f>Input!A187</f>
        <v/>
      </c>
      <c r="B187" s="30" t="str">
        <f>Input!B187</f>
        <v/>
      </c>
      <c r="C187" s="29" t="str">
        <f>Input!C187</f>
        <v/>
      </c>
      <c r="D187" s="33"/>
    </row>
    <row r="188">
      <c r="A188" s="29" t="str">
        <f>Input!A188</f>
        <v/>
      </c>
      <c r="B188" s="30" t="str">
        <f>Input!B188</f>
        <v/>
      </c>
      <c r="C188" s="29" t="str">
        <f>Input!C188</f>
        <v/>
      </c>
      <c r="D188" s="33"/>
    </row>
    <row r="189">
      <c r="A189" s="29" t="str">
        <f>Input!A189</f>
        <v/>
      </c>
      <c r="B189" s="30" t="str">
        <f>Input!B189</f>
        <v/>
      </c>
      <c r="C189" s="29" t="str">
        <f>Input!C189</f>
        <v/>
      </c>
      <c r="D189" s="33"/>
    </row>
    <row r="190">
      <c r="A190" s="29" t="str">
        <f>Input!A190</f>
        <v/>
      </c>
      <c r="B190" s="30" t="str">
        <f>Input!B190</f>
        <v/>
      </c>
      <c r="C190" s="29" t="str">
        <f>Input!C190</f>
        <v/>
      </c>
      <c r="D190" s="33"/>
    </row>
    <row r="191">
      <c r="A191" s="29" t="str">
        <f>Input!A191</f>
        <v/>
      </c>
      <c r="B191" s="30" t="str">
        <f>Input!B191</f>
        <v/>
      </c>
      <c r="C191" s="29" t="str">
        <f>Input!C191</f>
        <v/>
      </c>
      <c r="D191" s="33"/>
    </row>
    <row r="192">
      <c r="A192" s="29" t="str">
        <f>Input!A192</f>
        <v/>
      </c>
      <c r="B192" s="30" t="str">
        <f>Input!B192</f>
        <v/>
      </c>
      <c r="C192" s="29" t="str">
        <f>Input!C192</f>
        <v/>
      </c>
      <c r="D192" s="33"/>
    </row>
    <row r="193">
      <c r="A193" s="29" t="str">
        <f>Input!A193</f>
        <v/>
      </c>
      <c r="B193" s="30" t="str">
        <f>Input!B193</f>
        <v/>
      </c>
      <c r="C193" s="29" t="str">
        <f>Input!C193</f>
        <v/>
      </c>
      <c r="D193" s="33"/>
    </row>
    <row r="194">
      <c r="A194" s="29" t="str">
        <f>Input!A194</f>
        <v/>
      </c>
      <c r="B194" s="30" t="str">
        <f>Input!B194</f>
        <v/>
      </c>
      <c r="C194" s="29" t="str">
        <f>Input!C194</f>
        <v/>
      </c>
      <c r="D194" s="33"/>
    </row>
    <row r="195">
      <c r="A195" s="29" t="str">
        <f>Input!A195</f>
        <v/>
      </c>
      <c r="B195" s="30" t="str">
        <f>Input!B195</f>
        <v/>
      </c>
      <c r="C195" s="29" t="str">
        <f>Input!C195</f>
        <v/>
      </c>
      <c r="D195" s="33"/>
    </row>
    <row r="196">
      <c r="A196" s="29" t="str">
        <f>Input!A196</f>
        <v/>
      </c>
      <c r="B196" s="30" t="str">
        <f>Input!B196</f>
        <v/>
      </c>
      <c r="C196" s="29" t="str">
        <f>Input!C196</f>
        <v/>
      </c>
      <c r="D196" s="33"/>
    </row>
    <row r="197">
      <c r="A197" s="29" t="str">
        <f>Input!A197</f>
        <v/>
      </c>
      <c r="B197" s="30" t="str">
        <f>Input!B197</f>
        <v/>
      </c>
      <c r="C197" s="29" t="str">
        <f>Input!C197</f>
        <v/>
      </c>
      <c r="D197" s="33"/>
    </row>
    <row r="198">
      <c r="A198" s="29" t="str">
        <f>Input!A198</f>
        <v/>
      </c>
      <c r="B198" s="30" t="str">
        <f>Input!B198</f>
        <v/>
      </c>
      <c r="C198" s="29" t="str">
        <f>Input!C198</f>
        <v/>
      </c>
      <c r="D198" s="33"/>
    </row>
    <row r="199">
      <c r="A199" s="29" t="str">
        <f>Input!A199</f>
        <v/>
      </c>
      <c r="B199" s="30" t="str">
        <f>Input!B199</f>
        <v/>
      </c>
      <c r="C199" s="29" t="str">
        <f>Input!C199</f>
        <v/>
      </c>
      <c r="D199" s="33"/>
    </row>
    <row r="200">
      <c r="A200" s="29" t="str">
        <f>Input!A200</f>
        <v/>
      </c>
      <c r="B200" s="30" t="str">
        <f>Input!B200</f>
        <v/>
      </c>
      <c r="C200" s="29" t="str">
        <f>Input!C200</f>
        <v/>
      </c>
      <c r="D200" s="33"/>
    </row>
    <row r="201">
      <c r="A201" s="29" t="str">
        <f>Input!A201</f>
        <v/>
      </c>
      <c r="B201" s="30" t="str">
        <f>Input!B201</f>
        <v/>
      </c>
      <c r="C201" s="29" t="str">
        <f>Input!C201</f>
        <v/>
      </c>
      <c r="D201" s="33"/>
    </row>
    <row r="202">
      <c r="A202" s="29" t="str">
        <f>Input!A202</f>
        <v/>
      </c>
      <c r="B202" s="30" t="str">
        <f>Input!B202</f>
        <v/>
      </c>
      <c r="C202" s="29" t="str">
        <f>Input!C202</f>
        <v/>
      </c>
      <c r="D202" s="33"/>
    </row>
    <row r="203">
      <c r="A203" s="29" t="str">
        <f>Input!A203</f>
        <v/>
      </c>
      <c r="B203" s="30" t="str">
        <f>Input!B203</f>
        <v/>
      </c>
      <c r="C203" s="29" t="str">
        <f>Input!C203</f>
        <v/>
      </c>
      <c r="D203" s="33"/>
    </row>
    <row r="204">
      <c r="A204" s="29" t="str">
        <f>Input!A204</f>
        <v/>
      </c>
      <c r="B204" s="30" t="str">
        <f>Input!B204</f>
        <v/>
      </c>
      <c r="C204" s="29" t="str">
        <f>Input!C204</f>
        <v/>
      </c>
      <c r="D204" s="33"/>
    </row>
    <row r="205">
      <c r="A205" s="29" t="str">
        <f>Input!A205</f>
        <v/>
      </c>
      <c r="B205" s="30" t="str">
        <f>Input!B205</f>
        <v/>
      </c>
      <c r="C205" s="29" t="str">
        <f>Input!C205</f>
        <v/>
      </c>
      <c r="D205" s="33"/>
    </row>
    <row r="206">
      <c r="A206" s="29" t="str">
        <f>Input!A206</f>
        <v/>
      </c>
      <c r="B206" s="30" t="str">
        <f>Input!B206</f>
        <v/>
      </c>
      <c r="C206" s="29" t="str">
        <f>Input!C206</f>
        <v/>
      </c>
      <c r="D206" s="33"/>
    </row>
    <row r="207">
      <c r="A207" s="29" t="str">
        <f>Input!A207</f>
        <v/>
      </c>
      <c r="B207" s="30" t="str">
        <f>Input!B207</f>
        <v/>
      </c>
      <c r="C207" s="29" t="str">
        <f>Input!C207</f>
        <v/>
      </c>
      <c r="D207" s="33"/>
    </row>
    <row r="208">
      <c r="A208" s="29" t="str">
        <f>Input!A208</f>
        <v/>
      </c>
      <c r="B208" s="30" t="str">
        <f>Input!B208</f>
        <v/>
      </c>
      <c r="C208" s="29" t="str">
        <f>Input!C208</f>
        <v/>
      </c>
      <c r="D208" s="33"/>
    </row>
    <row r="209">
      <c r="A209" s="29" t="str">
        <f>Input!A209</f>
        <v/>
      </c>
      <c r="B209" s="30" t="str">
        <f>Input!B209</f>
        <v/>
      </c>
      <c r="C209" s="29" t="str">
        <f>Input!C209</f>
        <v/>
      </c>
      <c r="D209" s="33"/>
    </row>
    <row r="210">
      <c r="A210" s="29" t="str">
        <f>Input!A210</f>
        <v/>
      </c>
      <c r="B210" s="30" t="str">
        <f>Input!B210</f>
        <v/>
      </c>
      <c r="C210" s="29" t="str">
        <f>Input!C210</f>
        <v/>
      </c>
      <c r="D210" s="33"/>
    </row>
    <row r="211">
      <c r="A211" s="26" t="s">
        <v>2</v>
      </c>
      <c r="B211" s="27" t="s">
        <v>3</v>
      </c>
      <c r="C211" s="26" t="s">
        <v>4</v>
      </c>
      <c r="D211" s="28" t="s">
        <v>108</v>
      </c>
    </row>
    <row r="212">
      <c r="A212" s="29" t="str">
        <f>Input!A212</f>
        <v/>
      </c>
      <c r="B212" s="30" t="str">
        <f>Input!B212</f>
        <v/>
      </c>
      <c r="C212" s="29" t="str">
        <f>Input!C212</f>
        <v/>
      </c>
      <c r="D212" s="33"/>
    </row>
    <row r="213">
      <c r="A213" s="29" t="str">
        <f>Input!A213</f>
        <v/>
      </c>
      <c r="B213" s="30" t="str">
        <f>Input!B213</f>
        <v/>
      </c>
      <c r="C213" s="29" t="str">
        <f>Input!C213</f>
        <v/>
      </c>
      <c r="D213" s="33"/>
    </row>
    <row r="214">
      <c r="A214" s="29" t="str">
        <f>Input!A214</f>
        <v/>
      </c>
      <c r="B214" s="30" t="str">
        <f>Input!B214</f>
        <v/>
      </c>
      <c r="C214" s="29" t="str">
        <f>Input!C214</f>
        <v/>
      </c>
      <c r="D214" s="33"/>
    </row>
    <row r="215">
      <c r="A215" s="29" t="str">
        <f>Input!A215</f>
        <v/>
      </c>
      <c r="B215" s="30" t="str">
        <f>Input!B215</f>
        <v/>
      </c>
      <c r="C215" s="29" t="str">
        <f>Input!C215</f>
        <v/>
      </c>
      <c r="D215" s="33"/>
    </row>
    <row r="216">
      <c r="A216" s="29" t="str">
        <f>Input!A216</f>
        <v/>
      </c>
      <c r="B216" s="30" t="str">
        <f>Input!B216</f>
        <v/>
      </c>
      <c r="C216" s="29" t="str">
        <f>Input!C216</f>
        <v/>
      </c>
      <c r="D216" s="33"/>
    </row>
    <row r="217">
      <c r="A217" s="29" t="str">
        <f>Input!A217</f>
        <v/>
      </c>
      <c r="B217" s="30" t="str">
        <f>Input!B217</f>
        <v/>
      </c>
      <c r="C217" s="29" t="str">
        <f>Input!C217</f>
        <v/>
      </c>
      <c r="D217" s="33"/>
    </row>
    <row r="218">
      <c r="A218" s="29" t="str">
        <f>Input!A218</f>
        <v/>
      </c>
      <c r="B218" s="30" t="str">
        <f>Input!B218</f>
        <v/>
      </c>
      <c r="C218" s="29" t="str">
        <f>Input!C218</f>
        <v/>
      </c>
      <c r="D218" s="33"/>
    </row>
    <row r="219">
      <c r="A219" s="29" t="str">
        <f>Input!A219</f>
        <v/>
      </c>
      <c r="B219" s="30" t="str">
        <f>Input!B219</f>
        <v/>
      </c>
      <c r="C219" s="29" t="str">
        <f>Input!C219</f>
        <v/>
      </c>
      <c r="D219" s="33"/>
    </row>
    <row r="220">
      <c r="A220" s="29" t="str">
        <f>Input!A220</f>
        <v/>
      </c>
      <c r="B220" s="30" t="str">
        <f>Input!B220</f>
        <v/>
      </c>
      <c r="C220" s="29" t="str">
        <f>Input!C220</f>
        <v/>
      </c>
      <c r="D220" s="33"/>
    </row>
    <row r="221">
      <c r="A221" s="29" t="str">
        <f>Input!A221</f>
        <v/>
      </c>
      <c r="B221" s="30" t="str">
        <f>Input!B221</f>
        <v/>
      </c>
      <c r="C221" s="29" t="str">
        <f>Input!C221</f>
        <v/>
      </c>
      <c r="D221" s="33"/>
    </row>
    <row r="222">
      <c r="A222" s="29" t="str">
        <f>Input!A222</f>
        <v/>
      </c>
      <c r="B222" s="30" t="str">
        <f>Input!B222</f>
        <v/>
      </c>
      <c r="C222" s="29" t="str">
        <f>Input!C222</f>
        <v/>
      </c>
      <c r="D222" s="33"/>
    </row>
    <row r="223">
      <c r="A223" s="29" t="str">
        <f>Input!A223</f>
        <v/>
      </c>
      <c r="B223" s="30" t="str">
        <f>Input!B223</f>
        <v/>
      </c>
      <c r="C223" s="29" t="str">
        <f>Input!C223</f>
        <v/>
      </c>
      <c r="D223" s="33"/>
    </row>
    <row r="224">
      <c r="A224" s="29" t="str">
        <f>Input!A224</f>
        <v/>
      </c>
      <c r="B224" s="30" t="str">
        <f>Input!B224</f>
        <v/>
      </c>
      <c r="C224" s="29" t="str">
        <f>Input!C224</f>
        <v/>
      </c>
      <c r="D224" s="33"/>
    </row>
    <row r="225">
      <c r="A225" s="29" t="str">
        <f>Input!A225</f>
        <v/>
      </c>
      <c r="B225" s="30" t="str">
        <f>Input!B225</f>
        <v/>
      </c>
      <c r="C225" s="29" t="str">
        <f>Input!C225</f>
        <v/>
      </c>
      <c r="D225" s="33"/>
    </row>
    <row r="226">
      <c r="A226" s="29" t="str">
        <f>Input!A226</f>
        <v/>
      </c>
      <c r="B226" s="30" t="str">
        <f>Input!B226</f>
        <v/>
      </c>
      <c r="C226" s="29" t="str">
        <f>Input!C226</f>
        <v/>
      </c>
      <c r="D226" s="33"/>
    </row>
    <row r="227">
      <c r="A227" s="29" t="str">
        <f>Input!A227</f>
        <v/>
      </c>
      <c r="B227" s="30" t="str">
        <f>Input!B227</f>
        <v/>
      </c>
      <c r="C227" s="29" t="str">
        <f>Input!C227</f>
        <v/>
      </c>
      <c r="D227" s="33"/>
    </row>
    <row r="228">
      <c r="A228" s="29" t="str">
        <f>Input!A228</f>
        <v/>
      </c>
      <c r="B228" s="30" t="str">
        <f>Input!B228</f>
        <v/>
      </c>
      <c r="C228" s="29" t="str">
        <f>Input!C228</f>
        <v/>
      </c>
      <c r="D228" s="33"/>
    </row>
    <row r="229">
      <c r="A229" s="29" t="str">
        <f>Input!A229</f>
        <v/>
      </c>
      <c r="B229" s="30" t="str">
        <f>Input!B229</f>
        <v/>
      </c>
      <c r="C229" s="29" t="str">
        <f>Input!C229</f>
        <v/>
      </c>
      <c r="D229" s="33"/>
    </row>
    <row r="230">
      <c r="A230" s="29" t="str">
        <f>Input!A230</f>
        <v/>
      </c>
      <c r="B230" s="30" t="str">
        <f>Input!B230</f>
        <v/>
      </c>
      <c r="C230" s="29" t="str">
        <f>Input!C230</f>
        <v/>
      </c>
      <c r="D230" s="33"/>
    </row>
    <row r="231">
      <c r="A231" s="29" t="str">
        <f>Input!A231</f>
        <v/>
      </c>
      <c r="B231" s="30" t="str">
        <f>Input!B231</f>
        <v/>
      </c>
      <c r="C231" s="29" t="str">
        <f>Input!C231</f>
        <v/>
      </c>
      <c r="D231" s="33"/>
    </row>
    <row r="232">
      <c r="A232" s="29" t="str">
        <f>Input!A232</f>
        <v/>
      </c>
      <c r="B232" s="30" t="str">
        <f>Input!B232</f>
        <v/>
      </c>
      <c r="C232" s="29" t="str">
        <f>Input!C232</f>
        <v/>
      </c>
      <c r="D232" s="33"/>
    </row>
    <row r="233">
      <c r="A233" s="29" t="str">
        <f>Input!A233</f>
        <v/>
      </c>
      <c r="B233" s="30" t="str">
        <f>Input!B233</f>
        <v/>
      </c>
      <c r="C233" s="29" t="str">
        <f>Input!C233</f>
        <v/>
      </c>
      <c r="D233" s="33"/>
    </row>
    <row r="234">
      <c r="A234" s="29" t="str">
        <f>Input!A234</f>
        <v/>
      </c>
      <c r="B234" s="30" t="str">
        <f>Input!B234</f>
        <v/>
      </c>
      <c r="C234" s="29" t="str">
        <f>Input!C234</f>
        <v/>
      </c>
      <c r="D234" s="33"/>
    </row>
    <row r="235">
      <c r="A235" s="29" t="str">
        <f>Input!A235</f>
        <v/>
      </c>
      <c r="B235" s="30" t="str">
        <f>Input!B235</f>
        <v/>
      </c>
      <c r="C235" s="29" t="str">
        <f>Input!C235</f>
        <v/>
      </c>
      <c r="D235" s="33"/>
    </row>
    <row r="236">
      <c r="A236" s="29" t="str">
        <f>Input!A236</f>
        <v/>
      </c>
      <c r="B236" s="30" t="str">
        <f>Input!B236</f>
        <v/>
      </c>
      <c r="C236" s="29" t="str">
        <f>Input!C236</f>
        <v/>
      </c>
      <c r="D236" s="33"/>
    </row>
    <row r="237">
      <c r="A237" s="29" t="str">
        <f>Input!A237</f>
        <v/>
      </c>
      <c r="B237" s="30" t="str">
        <f>Input!B237</f>
        <v/>
      </c>
      <c r="C237" s="29" t="str">
        <f>Input!C237</f>
        <v/>
      </c>
      <c r="D237" s="33"/>
    </row>
    <row r="238">
      <c r="A238" s="29" t="str">
        <f>Input!A238</f>
        <v/>
      </c>
      <c r="B238" s="30" t="str">
        <f>Input!B238</f>
        <v/>
      </c>
      <c r="C238" s="29" t="str">
        <f>Input!C238</f>
        <v/>
      </c>
      <c r="D238" s="33"/>
    </row>
    <row r="239">
      <c r="A239" s="29" t="str">
        <f>Input!A239</f>
        <v/>
      </c>
      <c r="B239" s="30" t="str">
        <f>Input!B239</f>
        <v/>
      </c>
      <c r="C239" s="29" t="str">
        <f>Input!C239</f>
        <v/>
      </c>
      <c r="D239" s="33"/>
    </row>
    <row r="240">
      <c r="A240" s="29" t="str">
        <f>Input!A240</f>
        <v/>
      </c>
      <c r="B240" s="30" t="str">
        <f>Input!B240</f>
        <v/>
      </c>
      <c r="C240" s="29" t="str">
        <f>Input!C240</f>
        <v/>
      </c>
      <c r="D240" s="33"/>
    </row>
    <row r="241">
      <c r="A241" s="29" t="str">
        <f>Input!A241</f>
        <v/>
      </c>
      <c r="B241" s="30" t="str">
        <f>Input!B241</f>
        <v/>
      </c>
      <c r="C241" s="29" t="str">
        <f>Input!C241</f>
        <v/>
      </c>
      <c r="D241" s="33"/>
    </row>
    <row r="242">
      <c r="A242" s="29" t="str">
        <f>Input!A242</f>
        <v/>
      </c>
      <c r="B242" s="30" t="str">
        <f>Input!B242</f>
        <v/>
      </c>
      <c r="C242" s="29" t="str">
        <f>Input!C242</f>
        <v/>
      </c>
      <c r="D242" s="33"/>
    </row>
    <row r="243">
      <c r="A243" s="29" t="str">
        <f>Input!A243</f>
        <v/>
      </c>
      <c r="B243" s="30" t="str">
        <f>Input!B243</f>
        <v/>
      </c>
      <c r="C243" s="29" t="str">
        <f>Input!C243</f>
        <v/>
      </c>
      <c r="D243" s="33"/>
    </row>
    <row r="244">
      <c r="A244" s="29" t="str">
        <f>Input!A244</f>
        <v/>
      </c>
      <c r="B244" s="30" t="str">
        <f>Input!B244</f>
        <v/>
      </c>
      <c r="C244" s="29" t="str">
        <f>Input!C244</f>
        <v/>
      </c>
      <c r="D244" s="33"/>
    </row>
    <row r="245">
      <c r="A245" s="29" t="str">
        <f>Input!A245</f>
        <v/>
      </c>
      <c r="B245" s="30" t="str">
        <f>Input!B245</f>
        <v/>
      </c>
      <c r="C245" s="29" t="str">
        <f>Input!C245</f>
        <v/>
      </c>
      <c r="D245" s="33"/>
    </row>
    <row r="246">
      <c r="A246" s="29" t="str">
        <f>Input!A246</f>
        <v/>
      </c>
      <c r="B246" s="30" t="str">
        <f>Input!B246</f>
        <v/>
      </c>
      <c r="C246" s="29" t="str">
        <f>Input!C246</f>
        <v/>
      </c>
      <c r="D246" s="33"/>
    </row>
    <row r="247">
      <c r="A247" s="29" t="str">
        <f>Input!A247</f>
        <v/>
      </c>
      <c r="B247" s="30" t="str">
        <f>Input!B247</f>
        <v/>
      </c>
      <c r="C247" s="29" t="str">
        <f>Input!C247</f>
        <v/>
      </c>
      <c r="D247" s="33"/>
    </row>
    <row r="248">
      <c r="A248" s="29" t="str">
        <f>Input!A248</f>
        <v/>
      </c>
      <c r="B248" s="30" t="str">
        <f>Input!B248</f>
        <v/>
      </c>
      <c r="C248" s="29" t="str">
        <f>Input!C248</f>
        <v/>
      </c>
      <c r="D248" s="33"/>
    </row>
    <row r="249">
      <c r="A249" s="29" t="str">
        <f>Input!A249</f>
        <v/>
      </c>
      <c r="B249" s="30" t="str">
        <f>Input!B249</f>
        <v/>
      </c>
      <c r="C249" s="29" t="str">
        <f>Input!C249</f>
        <v/>
      </c>
      <c r="D249" s="33"/>
    </row>
    <row r="250">
      <c r="A250" s="29" t="str">
        <f>Input!A250</f>
        <v/>
      </c>
      <c r="B250" s="30" t="str">
        <f>Input!B250</f>
        <v/>
      </c>
      <c r="C250" s="29" t="str">
        <f>Input!C250</f>
        <v/>
      </c>
      <c r="D250" s="33"/>
    </row>
    <row r="251">
      <c r="A251" s="29" t="str">
        <f>Input!A251</f>
        <v/>
      </c>
      <c r="B251" s="30" t="str">
        <f>Input!B251</f>
        <v/>
      </c>
      <c r="C251" s="29" t="str">
        <f>Input!C251</f>
        <v/>
      </c>
      <c r="D251" s="33"/>
    </row>
    <row r="252">
      <c r="A252" s="29" t="str">
        <f>Input!A252</f>
        <v/>
      </c>
      <c r="B252" s="30" t="str">
        <f>Input!B252</f>
        <v/>
      </c>
      <c r="C252" s="29" t="str">
        <f>Input!C252</f>
        <v/>
      </c>
      <c r="D252" s="33"/>
    </row>
    <row r="253">
      <c r="A253" s="29" t="str">
        <f>Input!A253</f>
        <v/>
      </c>
      <c r="B253" s="30" t="str">
        <f>Input!B253</f>
        <v/>
      </c>
      <c r="C253" s="29" t="str">
        <f>Input!C253</f>
        <v/>
      </c>
      <c r="D253" s="33"/>
    </row>
    <row r="254">
      <c r="A254" s="29" t="str">
        <f>Input!A254</f>
        <v/>
      </c>
      <c r="B254" s="30" t="str">
        <f>Input!B254</f>
        <v/>
      </c>
      <c r="C254" s="29" t="str">
        <f>Input!C254</f>
        <v/>
      </c>
      <c r="D254" s="33"/>
    </row>
    <row r="255">
      <c r="A255" s="29" t="str">
        <f>Input!A255</f>
        <v/>
      </c>
      <c r="B255" s="30" t="str">
        <f>Input!B255</f>
        <v/>
      </c>
      <c r="C255" s="29" t="str">
        <f>Input!C255</f>
        <v/>
      </c>
      <c r="D255" s="33"/>
    </row>
    <row r="256">
      <c r="A256" s="29" t="str">
        <f>Input!A256</f>
        <v/>
      </c>
      <c r="B256" s="30" t="str">
        <f>Input!B256</f>
        <v/>
      </c>
      <c r="C256" s="29" t="str">
        <f>Input!C256</f>
        <v/>
      </c>
      <c r="D256" s="33"/>
    </row>
    <row r="257">
      <c r="A257" s="29" t="str">
        <f>Input!A257</f>
        <v/>
      </c>
      <c r="B257" s="30" t="str">
        <f>Input!B257</f>
        <v/>
      </c>
      <c r="C257" s="29" t="str">
        <f>Input!C257</f>
        <v/>
      </c>
      <c r="D257" s="33"/>
    </row>
    <row r="258">
      <c r="A258" s="29" t="str">
        <f>Input!A258</f>
        <v/>
      </c>
      <c r="B258" s="30" t="str">
        <f>Input!B258</f>
        <v/>
      </c>
      <c r="C258" s="29" t="str">
        <f>Input!C258</f>
        <v/>
      </c>
      <c r="D258" s="33"/>
    </row>
    <row r="259">
      <c r="A259" s="29" t="str">
        <f>Input!A259</f>
        <v/>
      </c>
      <c r="B259" s="30" t="str">
        <f>Input!B259</f>
        <v/>
      </c>
      <c r="C259" s="29" t="str">
        <f>Input!C259</f>
        <v/>
      </c>
      <c r="D259" s="33"/>
    </row>
    <row r="260">
      <c r="A260" s="29" t="str">
        <f>Input!A260</f>
        <v/>
      </c>
      <c r="B260" s="30" t="str">
        <f>Input!B260</f>
        <v/>
      </c>
      <c r="C260" s="29" t="str">
        <f>Input!C260</f>
        <v/>
      </c>
      <c r="D260" s="33"/>
    </row>
    <row r="261">
      <c r="A261" s="29" t="str">
        <f>Input!A261</f>
        <v/>
      </c>
      <c r="B261" s="30" t="str">
        <f>Input!B261</f>
        <v/>
      </c>
      <c r="C261" s="29" t="str">
        <f>Input!C261</f>
        <v/>
      </c>
      <c r="D261" s="33"/>
    </row>
    <row r="262">
      <c r="A262" s="29" t="str">
        <f>Input!A262</f>
        <v/>
      </c>
      <c r="B262" s="30" t="str">
        <f>Input!B262</f>
        <v/>
      </c>
      <c r="C262" s="29" t="str">
        <f>Input!C262</f>
        <v/>
      </c>
      <c r="D262" s="33"/>
    </row>
    <row r="263">
      <c r="A263" s="29" t="str">
        <f>Input!A263</f>
        <v/>
      </c>
      <c r="B263" s="30" t="str">
        <f>Input!B263</f>
        <v/>
      </c>
      <c r="C263" s="29" t="str">
        <f>Input!C263</f>
        <v/>
      </c>
      <c r="D263" s="33"/>
    </row>
    <row r="264">
      <c r="A264" s="29" t="str">
        <f>Input!A264</f>
        <v/>
      </c>
      <c r="B264" s="30" t="str">
        <f>Input!B264</f>
        <v/>
      </c>
      <c r="C264" s="29" t="str">
        <f>Input!C264</f>
        <v/>
      </c>
      <c r="D264" s="33"/>
    </row>
    <row r="265">
      <c r="A265" s="29" t="str">
        <f>Input!A265</f>
        <v/>
      </c>
      <c r="B265" s="30" t="str">
        <f>Input!B265</f>
        <v/>
      </c>
      <c r="C265" s="29" t="str">
        <f>Input!C265</f>
        <v/>
      </c>
      <c r="D265" s="33"/>
    </row>
    <row r="266">
      <c r="A266" s="29" t="str">
        <f>Input!A266</f>
        <v/>
      </c>
      <c r="B266" s="30" t="str">
        <f>Input!B266</f>
        <v/>
      </c>
      <c r="C266" s="29" t="str">
        <f>Input!C266</f>
        <v/>
      </c>
      <c r="D266" s="33"/>
    </row>
    <row r="267">
      <c r="A267" s="29" t="str">
        <f>Input!A267</f>
        <v/>
      </c>
      <c r="B267" s="30" t="str">
        <f>Input!B267</f>
        <v/>
      </c>
      <c r="C267" s="29" t="str">
        <f>Input!C267</f>
        <v/>
      </c>
      <c r="D267" s="33"/>
    </row>
    <row r="268">
      <c r="A268" s="29" t="str">
        <f>Input!A268</f>
        <v/>
      </c>
      <c r="B268" s="30" t="str">
        <f>Input!B268</f>
        <v/>
      </c>
      <c r="C268" s="29" t="str">
        <f>Input!C268</f>
        <v/>
      </c>
      <c r="D268" s="33"/>
    </row>
    <row r="269">
      <c r="A269" s="29" t="str">
        <f>Input!A269</f>
        <v/>
      </c>
      <c r="B269" s="30" t="str">
        <f>Input!B269</f>
        <v/>
      </c>
      <c r="C269" s="29" t="str">
        <f>Input!C269</f>
        <v/>
      </c>
      <c r="D269" s="33"/>
    </row>
    <row r="270">
      <c r="A270" s="29" t="str">
        <f>Input!A270</f>
        <v/>
      </c>
      <c r="B270" s="30" t="str">
        <f>Input!B270</f>
        <v/>
      </c>
      <c r="C270" s="29" t="str">
        <f>Input!C270</f>
        <v/>
      </c>
      <c r="D270" s="33"/>
    </row>
    <row r="271">
      <c r="A271" s="29" t="str">
        <f>Input!A271</f>
        <v/>
      </c>
      <c r="B271" s="30" t="str">
        <f>Input!B271</f>
        <v/>
      </c>
      <c r="C271" s="29" t="str">
        <f>Input!C271</f>
        <v/>
      </c>
      <c r="D271" s="33"/>
    </row>
    <row r="272">
      <c r="A272" s="29" t="str">
        <f>Input!A272</f>
        <v/>
      </c>
      <c r="B272" s="30" t="str">
        <f>Input!B272</f>
        <v/>
      </c>
      <c r="C272" s="29" t="str">
        <f>Input!C272</f>
        <v/>
      </c>
      <c r="D272" s="33"/>
    </row>
    <row r="273">
      <c r="A273" s="29" t="str">
        <f>Input!A273</f>
        <v/>
      </c>
      <c r="B273" s="30" t="str">
        <f>Input!B273</f>
        <v/>
      </c>
      <c r="C273" s="29" t="str">
        <f>Input!C273</f>
        <v/>
      </c>
      <c r="D273" s="33"/>
    </row>
    <row r="274">
      <c r="A274" s="29" t="str">
        <f>Input!A274</f>
        <v/>
      </c>
      <c r="B274" s="30" t="str">
        <f>Input!B274</f>
        <v/>
      </c>
      <c r="C274" s="29" t="str">
        <f>Input!C274</f>
        <v/>
      </c>
      <c r="D274" s="33"/>
    </row>
    <row r="275">
      <c r="A275" s="29" t="str">
        <f>Input!A275</f>
        <v/>
      </c>
      <c r="B275" s="30" t="str">
        <f>Input!B275</f>
        <v/>
      </c>
      <c r="C275" s="29" t="str">
        <f>Input!C275</f>
        <v/>
      </c>
      <c r="D275" s="33"/>
    </row>
    <row r="276">
      <c r="A276" s="29" t="str">
        <f>Input!A276</f>
        <v/>
      </c>
      <c r="B276" s="30" t="str">
        <f>Input!B276</f>
        <v/>
      </c>
      <c r="C276" s="29" t="str">
        <f>Input!C276</f>
        <v/>
      </c>
      <c r="D276" s="33"/>
    </row>
    <row r="277">
      <c r="A277" s="29" t="str">
        <f>Input!A277</f>
        <v/>
      </c>
      <c r="B277" s="30" t="str">
        <f>Input!B277</f>
        <v/>
      </c>
      <c r="C277" s="29" t="str">
        <f>Input!C277</f>
        <v/>
      </c>
      <c r="D277" s="33"/>
    </row>
    <row r="278">
      <c r="A278" s="29" t="str">
        <f>Input!A278</f>
        <v/>
      </c>
      <c r="B278" s="30" t="str">
        <f>Input!B278</f>
        <v/>
      </c>
      <c r="C278" s="29" t="str">
        <f>Input!C278</f>
        <v/>
      </c>
      <c r="D278" s="33"/>
    </row>
    <row r="279">
      <c r="A279" s="29" t="str">
        <f>Input!A279</f>
        <v/>
      </c>
      <c r="B279" s="30" t="str">
        <f>Input!B279</f>
        <v/>
      </c>
      <c r="C279" s="29" t="str">
        <f>Input!C279</f>
        <v/>
      </c>
      <c r="D279" s="33"/>
    </row>
    <row r="280">
      <c r="A280" s="29" t="str">
        <f>Input!A280</f>
        <v/>
      </c>
      <c r="B280" s="30" t="str">
        <f>Input!B280</f>
        <v/>
      </c>
      <c r="C280" s="29" t="str">
        <f>Input!C280</f>
        <v/>
      </c>
      <c r="D280" s="33"/>
    </row>
    <row r="281">
      <c r="A281" s="26" t="s">
        <v>2</v>
      </c>
      <c r="B281" s="27" t="s">
        <v>3</v>
      </c>
      <c r="C281" s="26" t="s">
        <v>4</v>
      </c>
      <c r="D281" s="28" t="s">
        <v>108</v>
      </c>
    </row>
    <row r="282">
      <c r="A282" s="29" t="str">
        <f>Input!A282</f>
        <v/>
      </c>
      <c r="B282" s="30" t="str">
        <f>Input!B282</f>
        <v/>
      </c>
      <c r="C282" s="29" t="str">
        <f>Input!C282</f>
        <v/>
      </c>
      <c r="D282" s="33"/>
    </row>
    <row r="283">
      <c r="A283" s="29" t="str">
        <f>Input!A283</f>
        <v/>
      </c>
      <c r="B283" s="30" t="str">
        <f>Input!B283</f>
        <v/>
      </c>
      <c r="C283" s="29" t="str">
        <f>Input!C283</f>
        <v/>
      </c>
      <c r="D283" s="33"/>
    </row>
    <row r="284">
      <c r="A284" s="29" t="str">
        <f>Input!A284</f>
        <v/>
      </c>
      <c r="B284" s="30" t="str">
        <f>Input!B284</f>
        <v/>
      </c>
      <c r="C284" s="29" t="str">
        <f>Input!C284</f>
        <v/>
      </c>
      <c r="D284" s="33"/>
    </row>
    <row r="285">
      <c r="A285" s="29" t="str">
        <f>Input!A285</f>
        <v/>
      </c>
      <c r="B285" s="30" t="str">
        <f>Input!B285</f>
        <v/>
      </c>
      <c r="C285" s="29" t="str">
        <f>Input!C285</f>
        <v/>
      </c>
      <c r="D285" s="33"/>
    </row>
    <row r="286">
      <c r="A286" s="29" t="str">
        <f>Input!A286</f>
        <v/>
      </c>
      <c r="B286" s="30" t="str">
        <f>Input!B286</f>
        <v/>
      </c>
      <c r="C286" s="29" t="str">
        <f>Input!C286</f>
        <v/>
      </c>
      <c r="D286" s="33"/>
    </row>
    <row r="287">
      <c r="A287" s="29" t="str">
        <f>Input!A287</f>
        <v/>
      </c>
      <c r="B287" s="30" t="str">
        <f>Input!B287</f>
        <v/>
      </c>
      <c r="C287" s="29" t="str">
        <f>Input!C287</f>
        <v/>
      </c>
      <c r="D287" s="33"/>
    </row>
    <row r="288">
      <c r="A288" s="29" t="str">
        <f>Input!A288</f>
        <v/>
      </c>
      <c r="B288" s="30" t="str">
        <f>Input!B288</f>
        <v/>
      </c>
      <c r="C288" s="29" t="str">
        <f>Input!C288</f>
        <v/>
      </c>
      <c r="D288" s="33"/>
    </row>
    <row r="289">
      <c r="A289" s="29" t="str">
        <f>Input!A289</f>
        <v/>
      </c>
      <c r="B289" s="30" t="str">
        <f>Input!B289</f>
        <v/>
      </c>
      <c r="C289" s="29" t="str">
        <f>Input!C289</f>
        <v/>
      </c>
      <c r="D289" s="33"/>
    </row>
    <row r="290">
      <c r="A290" s="29" t="str">
        <f>Input!A290</f>
        <v/>
      </c>
      <c r="B290" s="30" t="str">
        <f>Input!B290</f>
        <v/>
      </c>
      <c r="C290" s="29" t="str">
        <f>Input!C290</f>
        <v/>
      </c>
      <c r="D290" s="33"/>
    </row>
    <row r="291">
      <c r="A291" s="29" t="str">
        <f>Input!A291</f>
        <v/>
      </c>
      <c r="B291" s="30" t="str">
        <f>Input!B291</f>
        <v/>
      </c>
      <c r="C291" s="29" t="str">
        <f>Input!C291</f>
        <v/>
      </c>
      <c r="D291" s="33"/>
    </row>
    <row r="292">
      <c r="A292" s="29" t="str">
        <f>Input!A292</f>
        <v/>
      </c>
      <c r="B292" s="30" t="str">
        <f>Input!B292</f>
        <v/>
      </c>
      <c r="C292" s="29" t="str">
        <f>Input!C292</f>
        <v/>
      </c>
      <c r="D292" s="33"/>
    </row>
    <row r="293">
      <c r="A293" s="29" t="str">
        <f>Input!A293</f>
        <v/>
      </c>
      <c r="B293" s="30" t="str">
        <f>Input!B293</f>
        <v/>
      </c>
      <c r="C293" s="29" t="str">
        <f>Input!C293</f>
        <v/>
      </c>
      <c r="D293" s="33"/>
    </row>
    <row r="294">
      <c r="A294" s="29" t="str">
        <f>Input!A294</f>
        <v/>
      </c>
      <c r="B294" s="30" t="str">
        <f>Input!B294</f>
        <v/>
      </c>
      <c r="C294" s="29" t="str">
        <f>Input!C294</f>
        <v/>
      </c>
      <c r="D294" s="33"/>
    </row>
    <row r="295">
      <c r="A295" s="29" t="str">
        <f>Input!A295</f>
        <v/>
      </c>
      <c r="B295" s="30" t="str">
        <f>Input!B295</f>
        <v/>
      </c>
      <c r="C295" s="29" t="str">
        <f>Input!C295</f>
        <v/>
      </c>
      <c r="D295" s="33"/>
    </row>
    <row r="296">
      <c r="A296" s="29" t="str">
        <f>Input!A296</f>
        <v/>
      </c>
      <c r="B296" s="30" t="str">
        <f>Input!B296</f>
        <v/>
      </c>
      <c r="C296" s="29" t="str">
        <f>Input!C296</f>
        <v/>
      </c>
      <c r="D296" s="33"/>
    </row>
    <row r="297">
      <c r="A297" s="29" t="str">
        <f>Input!A297</f>
        <v/>
      </c>
      <c r="B297" s="30" t="str">
        <f>Input!B297</f>
        <v/>
      </c>
      <c r="C297" s="29" t="str">
        <f>Input!C297</f>
        <v/>
      </c>
      <c r="D297" s="33"/>
    </row>
    <row r="298">
      <c r="A298" s="29" t="str">
        <f>Input!A298</f>
        <v/>
      </c>
      <c r="B298" s="30" t="str">
        <f>Input!B298</f>
        <v/>
      </c>
      <c r="C298" s="29" t="str">
        <f>Input!C298</f>
        <v/>
      </c>
      <c r="D298" s="33"/>
    </row>
    <row r="299">
      <c r="A299" s="29" t="str">
        <f>Input!A299</f>
        <v/>
      </c>
      <c r="B299" s="30" t="str">
        <f>Input!B299</f>
        <v/>
      </c>
      <c r="C299" s="29" t="str">
        <f>Input!C299</f>
        <v/>
      </c>
      <c r="D299" s="33"/>
    </row>
    <row r="300">
      <c r="A300" s="29" t="str">
        <f>Input!A300</f>
        <v/>
      </c>
      <c r="B300" s="30" t="str">
        <f>Input!B300</f>
        <v/>
      </c>
      <c r="C300" s="29" t="str">
        <f>Input!C300</f>
        <v/>
      </c>
      <c r="D300" s="33"/>
    </row>
    <row r="301">
      <c r="A301" s="29" t="str">
        <f>Input!A301</f>
        <v/>
      </c>
      <c r="B301" s="30" t="str">
        <f>Input!B301</f>
        <v/>
      </c>
      <c r="C301" s="29" t="str">
        <f>Input!C301</f>
        <v/>
      </c>
      <c r="D301" s="33"/>
    </row>
    <row r="302">
      <c r="A302" s="29" t="str">
        <f>Input!A302</f>
        <v/>
      </c>
      <c r="B302" s="30" t="str">
        <f>Input!B302</f>
        <v/>
      </c>
      <c r="C302" s="29" t="str">
        <f>Input!C302</f>
        <v/>
      </c>
      <c r="D302" s="33"/>
    </row>
    <row r="303">
      <c r="A303" s="29" t="str">
        <f>Input!A303</f>
        <v/>
      </c>
      <c r="B303" s="30" t="str">
        <f>Input!B303</f>
        <v/>
      </c>
      <c r="C303" s="29" t="str">
        <f>Input!C303</f>
        <v/>
      </c>
      <c r="D303" s="33"/>
    </row>
    <row r="304">
      <c r="A304" s="29" t="str">
        <f>Input!A304</f>
        <v/>
      </c>
      <c r="B304" s="30" t="str">
        <f>Input!B304</f>
        <v/>
      </c>
      <c r="C304" s="29" t="str">
        <f>Input!C304</f>
        <v/>
      </c>
      <c r="D304" s="33"/>
    </row>
    <row r="305">
      <c r="A305" s="29" t="str">
        <f>Input!A305</f>
        <v/>
      </c>
      <c r="B305" s="30" t="str">
        <f>Input!B305</f>
        <v/>
      </c>
      <c r="C305" s="29" t="str">
        <f>Input!C305</f>
        <v/>
      </c>
      <c r="D305" s="33"/>
    </row>
    <row r="306">
      <c r="A306" s="29" t="str">
        <f>Input!A306</f>
        <v/>
      </c>
      <c r="B306" s="30" t="str">
        <f>Input!B306</f>
        <v/>
      </c>
      <c r="C306" s="29" t="str">
        <f>Input!C306</f>
        <v/>
      </c>
      <c r="D306" s="33"/>
    </row>
    <row r="307">
      <c r="A307" s="29" t="str">
        <f>Input!A307</f>
        <v/>
      </c>
      <c r="B307" s="30" t="str">
        <f>Input!B307</f>
        <v/>
      </c>
      <c r="C307" s="29" t="str">
        <f>Input!C307</f>
        <v/>
      </c>
      <c r="D307" s="33"/>
    </row>
    <row r="308">
      <c r="A308" s="29" t="str">
        <f>Input!A308</f>
        <v/>
      </c>
      <c r="B308" s="30" t="str">
        <f>Input!B308</f>
        <v/>
      </c>
      <c r="C308" s="29" t="str">
        <f>Input!C308</f>
        <v/>
      </c>
      <c r="D308" s="33"/>
    </row>
    <row r="309">
      <c r="A309" s="29" t="str">
        <f>Input!A309</f>
        <v/>
      </c>
      <c r="B309" s="30" t="str">
        <f>Input!B309</f>
        <v/>
      </c>
      <c r="C309" s="29" t="str">
        <f>Input!C309</f>
        <v/>
      </c>
      <c r="D309" s="33"/>
    </row>
    <row r="310">
      <c r="A310" s="29" t="str">
        <f>Input!A310</f>
        <v/>
      </c>
      <c r="B310" s="30" t="str">
        <f>Input!B310</f>
        <v/>
      </c>
      <c r="C310" s="29" t="str">
        <f>Input!C310</f>
        <v/>
      </c>
      <c r="D310" s="33"/>
    </row>
    <row r="311">
      <c r="A311" s="29" t="str">
        <f>Input!A311</f>
        <v/>
      </c>
      <c r="B311" s="30" t="str">
        <f>Input!B311</f>
        <v/>
      </c>
      <c r="C311" s="29" t="str">
        <f>Input!C311</f>
        <v/>
      </c>
      <c r="D311" s="33"/>
    </row>
    <row r="312">
      <c r="A312" s="29" t="str">
        <f>Input!A312</f>
        <v/>
      </c>
      <c r="B312" s="30" t="str">
        <f>Input!B312</f>
        <v/>
      </c>
      <c r="C312" s="29" t="str">
        <f>Input!C312</f>
        <v/>
      </c>
      <c r="D312" s="33"/>
    </row>
    <row r="313">
      <c r="A313" s="29" t="str">
        <f>Input!A313</f>
        <v/>
      </c>
      <c r="B313" s="30" t="str">
        <f>Input!B313</f>
        <v/>
      </c>
      <c r="C313" s="29" t="str">
        <f>Input!C313</f>
        <v/>
      </c>
      <c r="D313" s="33"/>
    </row>
    <row r="314">
      <c r="A314" s="29" t="str">
        <f>Input!A314</f>
        <v/>
      </c>
      <c r="B314" s="30" t="str">
        <f>Input!B314</f>
        <v/>
      </c>
      <c r="C314" s="29" t="str">
        <f>Input!C314</f>
        <v/>
      </c>
      <c r="D314" s="33"/>
    </row>
    <row r="315">
      <c r="A315" s="29" t="str">
        <f>Input!A315</f>
        <v/>
      </c>
      <c r="B315" s="30" t="str">
        <f>Input!B315</f>
        <v/>
      </c>
      <c r="C315" s="29" t="str">
        <f>Input!C315</f>
        <v/>
      </c>
      <c r="D315" s="33"/>
    </row>
    <row r="316">
      <c r="A316" s="29" t="str">
        <f>Input!A316</f>
        <v/>
      </c>
      <c r="B316" s="30" t="str">
        <f>Input!B316</f>
        <v/>
      </c>
      <c r="C316" s="29" t="str">
        <f>Input!C316</f>
        <v/>
      </c>
      <c r="D316" s="33"/>
    </row>
    <row r="317">
      <c r="A317" s="29" t="str">
        <f>Input!A317</f>
        <v/>
      </c>
      <c r="B317" s="30" t="str">
        <f>Input!B317</f>
        <v/>
      </c>
      <c r="C317" s="29" t="str">
        <f>Input!C317</f>
        <v/>
      </c>
      <c r="D317" s="33"/>
    </row>
    <row r="318">
      <c r="A318" s="29" t="str">
        <f>Input!A318</f>
        <v/>
      </c>
      <c r="B318" s="30" t="str">
        <f>Input!B318</f>
        <v/>
      </c>
      <c r="C318" s="29" t="str">
        <f>Input!C318</f>
        <v/>
      </c>
      <c r="D318" s="33"/>
    </row>
    <row r="319">
      <c r="A319" s="29" t="str">
        <f>Input!A319</f>
        <v/>
      </c>
      <c r="B319" s="30" t="str">
        <f>Input!B319</f>
        <v/>
      </c>
      <c r="C319" s="29" t="str">
        <f>Input!C319</f>
        <v/>
      </c>
      <c r="D319" s="33"/>
    </row>
    <row r="320">
      <c r="A320" s="29" t="str">
        <f>Input!A320</f>
        <v/>
      </c>
      <c r="B320" s="30" t="str">
        <f>Input!B320</f>
        <v/>
      </c>
      <c r="C320" s="29" t="str">
        <f>Input!C320</f>
        <v/>
      </c>
      <c r="D320" s="33"/>
    </row>
    <row r="321">
      <c r="A321" s="29" t="str">
        <f>Input!A321</f>
        <v/>
      </c>
      <c r="B321" s="30" t="str">
        <f>Input!B321</f>
        <v/>
      </c>
      <c r="C321" s="29" t="str">
        <f>Input!C321</f>
        <v/>
      </c>
      <c r="D321" s="33"/>
    </row>
    <row r="322">
      <c r="A322" s="29" t="str">
        <f>Input!A322</f>
        <v/>
      </c>
      <c r="B322" s="30" t="str">
        <f>Input!B322</f>
        <v/>
      </c>
      <c r="C322" s="29" t="str">
        <f>Input!C322</f>
        <v/>
      </c>
      <c r="D322" s="33"/>
    </row>
    <row r="323">
      <c r="A323" s="29" t="str">
        <f>Input!A323</f>
        <v/>
      </c>
      <c r="B323" s="30" t="str">
        <f>Input!B323</f>
        <v/>
      </c>
      <c r="C323" s="29" t="str">
        <f>Input!C323</f>
        <v/>
      </c>
      <c r="D323" s="33"/>
    </row>
    <row r="324">
      <c r="A324" s="29" t="str">
        <f>Input!A324</f>
        <v/>
      </c>
      <c r="B324" s="30" t="str">
        <f>Input!B324</f>
        <v/>
      </c>
      <c r="C324" s="29" t="str">
        <f>Input!C324</f>
        <v/>
      </c>
      <c r="D324" s="33"/>
    </row>
    <row r="325">
      <c r="A325" s="29" t="str">
        <f>Input!A325</f>
        <v/>
      </c>
      <c r="B325" s="30" t="str">
        <f>Input!B325</f>
        <v/>
      </c>
      <c r="C325" s="29" t="str">
        <f>Input!C325</f>
        <v/>
      </c>
      <c r="D325" s="33"/>
    </row>
    <row r="326">
      <c r="A326" s="29" t="str">
        <f>Input!A326</f>
        <v/>
      </c>
      <c r="B326" s="30" t="str">
        <f>Input!B326</f>
        <v/>
      </c>
      <c r="C326" s="29" t="str">
        <f>Input!C326</f>
        <v/>
      </c>
      <c r="D326" s="33"/>
    </row>
    <row r="327">
      <c r="A327" s="29" t="str">
        <f>Input!A327</f>
        <v/>
      </c>
      <c r="B327" s="30" t="str">
        <f>Input!B327</f>
        <v/>
      </c>
      <c r="C327" s="29" t="str">
        <f>Input!C327</f>
        <v/>
      </c>
      <c r="D327" s="33"/>
    </row>
    <row r="328">
      <c r="A328" s="29" t="str">
        <f>Input!A328</f>
        <v/>
      </c>
      <c r="B328" s="30" t="str">
        <f>Input!B328</f>
        <v/>
      </c>
      <c r="C328" s="29" t="str">
        <f>Input!C328</f>
        <v/>
      </c>
      <c r="D328" s="33"/>
    </row>
    <row r="329">
      <c r="A329" s="29" t="str">
        <f>Input!A329</f>
        <v/>
      </c>
      <c r="B329" s="30" t="str">
        <f>Input!B329</f>
        <v/>
      </c>
      <c r="C329" s="29" t="str">
        <f>Input!C329</f>
        <v/>
      </c>
      <c r="D329" s="33"/>
    </row>
    <row r="330">
      <c r="A330" s="29" t="str">
        <f>Input!A330</f>
        <v/>
      </c>
      <c r="B330" s="30" t="str">
        <f>Input!B330</f>
        <v/>
      </c>
      <c r="C330" s="29" t="str">
        <f>Input!C330</f>
        <v/>
      </c>
      <c r="D330" s="33"/>
    </row>
    <row r="331">
      <c r="A331" s="29" t="str">
        <f>Input!A331</f>
        <v/>
      </c>
      <c r="B331" s="30" t="str">
        <f>Input!B331</f>
        <v/>
      </c>
      <c r="C331" s="29" t="str">
        <f>Input!C331</f>
        <v/>
      </c>
      <c r="D331" s="33"/>
    </row>
    <row r="332">
      <c r="A332" s="29" t="str">
        <f>Input!A332</f>
        <v/>
      </c>
      <c r="B332" s="30" t="str">
        <f>Input!B332</f>
        <v/>
      </c>
      <c r="C332" s="29" t="str">
        <f>Input!C332</f>
        <v/>
      </c>
      <c r="D332" s="33"/>
    </row>
    <row r="333">
      <c r="A333" s="29" t="str">
        <f>Input!A333</f>
        <v/>
      </c>
      <c r="B333" s="30" t="str">
        <f>Input!B333</f>
        <v/>
      </c>
      <c r="C333" s="29" t="str">
        <f>Input!C333</f>
        <v/>
      </c>
      <c r="D333" s="33"/>
    </row>
    <row r="334">
      <c r="A334" s="29" t="str">
        <f>Input!A334</f>
        <v/>
      </c>
      <c r="B334" s="30" t="str">
        <f>Input!B334</f>
        <v/>
      </c>
      <c r="C334" s="29" t="str">
        <f>Input!C334</f>
        <v/>
      </c>
      <c r="D334" s="33"/>
    </row>
    <row r="335">
      <c r="A335" s="29" t="str">
        <f>Input!A335</f>
        <v/>
      </c>
      <c r="B335" s="30" t="str">
        <f>Input!B335</f>
        <v/>
      </c>
      <c r="C335" s="29" t="str">
        <f>Input!C335</f>
        <v/>
      </c>
      <c r="D335" s="33"/>
    </row>
    <row r="336">
      <c r="A336" s="29" t="str">
        <f>Input!A336</f>
        <v/>
      </c>
      <c r="B336" s="30" t="str">
        <f>Input!B336</f>
        <v/>
      </c>
      <c r="C336" s="29" t="str">
        <f>Input!C336</f>
        <v/>
      </c>
      <c r="D336" s="33"/>
    </row>
    <row r="337">
      <c r="A337" s="29" t="str">
        <f>Input!A337</f>
        <v/>
      </c>
      <c r="B337" s="30" t="str">
        <f>Input!B337</f>
        <v/>
      </c>
      <c r="C337" s="29" t="str">
        <f>Input!C337</f>
        <v/>
      </c>
      <c r="D337" s="33"/>
    </row>
    <row r="338">
      <c r="A338" s="29" t="str">
        <f>Input!A338</f>
        <v/>
      </c>
      <c r="B338" s="30" t="str">
        <f>Input!B338</f>
        <v/>
      </c>
      <c r="C338" s="29" t="str">
        <f>Input!C338</f>
        <v/>
      </c>
      <c r="D338" s="33"/>
    </row>
    <row r="339">
      <c r="A339" s="29" t="str">
        <f>Input!A339</f>
        <v/>
      </c>
      <c r="B339" s="30" t="str">
        <f>Input!B339</f>
        <v/>
      </c>
      <c r="C339" s="29" t="str">
        <f>Input!C339</f>
        <v/>
      </c>
      <c r="D339" s="33"/>
    </row>
    <row r="340">
      <c r="A340" s="29" t="str">
        <f>Input!A340</f>
        <v/>
      </c>
      <c r="B340" s="30" t="str">
        <f>Input!B340</f>
        <v/>
      </c>
      <c r="C340" s="29" t="str">
        <f>Input!C340</f>
        <v/>
      </c>
      <c r="D340" s="33"/>
    </row>
    <row r="341">
      <c r="A341" s="29" t="str">
        <f>Input!A341</f>
        <v/>
      </c>
      <c r="B341" s="30" t="str">
        <f>Input!B341</f>
        <v/>
      </c>
      <c r="C341" s="29" t="str">
        <f>Input!C341</f>
        <v/>
      </c>
      <c r="D341" s="33"/>
    </row>
    <row r="342">
      <c r="A342" s="29" t="str">
        <f>Input!A342</f>
        <v/>
      </c>
      <c r="B342" s="30" t="str">
        <f>Input!B342</f>
        <v/>
      </c>
      <c r="C342" s="29" t="str">
        <f>Input!C342</f>
        <v/>
      </c>
      <c r="D342" s="33"/>
    </row>
    <row r="343">
      <c r="A343" s="29" t="str">
        <f>Input!A343</f>
        <v/>
      </c>
      <c r="B343" s="30" t="str">
        <f>Input!B343</f>
        <v/>
      </c>
      <c r="C343" s="29" t="str">
        <f>Input!C343</f>
        <v/>
      </c>
      <c r="D343" s="33"/>
    </row>
    <row r="344">
      <c r="A344" s="29" t="str">
        <f>Input!A344</f>
        <v/>
      </c>
      <c r="B344" s="30" t="str">
        <f>Input!B344</f>
        <v/>
      </c>
      <c r="C344" s="29" t="str">
        <f>Input!C344</f>
        <v/>
      </c>
      <c r="D344" s="33"/>
    </row>
    <row r="345">
      <c r="A345" s="29" t="str">
        <f>Input!A345</f>
        <v/>
      </c>
      <c r="B345" s="30" t="str">
        <f>Input!B345</f>
        <v/>
      </c>
      <c r="C345" s="29" t="str">
        <f>Input!C345</f>
        <v/>
      </c>
      <c r="D345" s="33"/>
    </row>
    <row r="346">
      <c r="A346" s="29" t="str">
        <f>Input!A346</f>
        <v/>
      </c>
      <c r="B346" s="30" t="str">
        <f>Input!B346</f>
        <v/>
      </c>
      <c r="C346" s="29" t="str">
        <f>Input!C346</f>
        <v/>
      </c>
      <c r="D346" s="33"/>
    </row>
    <row r="347">
      <c r="A347" s="29" t="str">
        <f>Input!A347</f>
        <v/>
      </c>
      <c r="B347" s="30" t="str">
        <f>Input!B347</f>
        <v/>
      </c>
      <c r="C347" s="29" t="str">
        <f>Input!C347</f>
        <v/>
      </c>
      <c r="D347" s="33"/>
    </row>
    <row r="348">
      <c r="A348" s="29" t="str">
        <f>Input!A348</f>
        <v/>
      </c>
      <c r="B348" s="30" t="str">
        <f>Input!B348</f>
        <v/>
      </c>
      <c r="C348" s="29" t="str">
        <f>Input!C348</f>
        <v/>
      </c>
      <c r="D348" s="33"/>
    </row>
    <row r="349">
      <c r="A349" s="29" t="str">
        <f>Input!A349</f>
        <v/>
      </c>
      <c r="B349" s="30" t="str">
        <f>Input!B349</f>
        <v/>
      </c>
      <c r="C349" s="29" t="str">
        <f>Input!C349</f>
        <v/>
      </c>
      <c r="D349" s="33"/>
    </row>
    <row r="350">
      <c r="A350" s="29" t="str">
        <f>Input!A350</f>
        <v/>
      </c>
      <c r="B350" s="30" t="str">
        <f>Input!B350</f>
        <v/>
      </c>
      <c r="C350" s="29" t="str">
        <f>Input!C350</f>
        <v/>
      </c>
      <c r="D350" s="33"/>
    </row>
    <row r="351">
      <c r="A351" s="26" t="s">
        <v>2</v>
      </c>
      <c r="B351" s="27" t="s">
        <v>3</v>
      </c>
      <c r="C351" s="26" t="s">
        <v>4</v>
      </c>
      <c r="D351" s="28" t="s">
        <v>108</v>
      </c>
    </row>
    <row r="352">
      <c r="A352" s="29" t="str">
        <f>Input!A352</f>
        <v/>
      </c>
      <c r="B352" s="30" t="str">
        <f>Input!B352</f>
        <v/>
      </c>
      <c r="C352" s="29" t="str">
        <f>Input!C352</f>
        <v/>
      </c>
      <c r="D352" s="33"/>
    </row>
    <row r="353">
      <c r="A353" s="29" t="str">
        <f>Input!A353</f>
        <v/>
      </c>
      <c r="B353" s="30" t="str">
        <f>Input!B353</f>
        <v/>
      </c>
      <c r="C353" s="29" t="str">
        <f>Input!C353</f>
        <v/>
      </c>
      <c r="D353" s="33"/>
    </row>
    <row r="354">
      <c r="A354" s="29" t="str">
        <f>Input!A354</f>
        <v/>
      </c>
      <c r="B354" s="30" t="str">
        <f>Input!B354</f>
        <v/>
      </c>
      <c r="C354" s="29" t="str">
        <f>Input!C354</f>
        <v/>
      </c>
      <c r="D354" s="33"/>
    </row>
    <row r="355">
      <c r="A355" s="29" t="str">
        <f>Input!A355</f>
        <v/>
      </c>
      <c r="B355" s="30" t="str">
        <f>Input!B355</f>
        <v/>
      </c>
      <c r="C355" s="29" t="str">
        <f>Input!C355</f>
        <v/>
      </c>
      <c r="D355" s="33"/>
    </row>
    <row r="356">
      <c r="A356" s="29" t="str">
        <f>Input!A356</f>
        <v/>
      </c>
      <c r="B356" s="30" t="str">
        <f>Input!B356</f>
        <v/>
      </c>
      <c r="C356" s="29" t="str">
        <f>Input!C356</f>
        <v/>
      </c>
      <c r="D356" s="33"/>
    </row>
    <row r="357">
      <c r="A357" s="29" t="str">
        <f>Input!A357</f>
        <v/>
      </c>
      <c r="B357" s="30" t="str">
        <f>Input!B357</f>
        <v/>
      </c>
      <c r="C357" s="29" t="str">
        <f>Input!C357</f>
        <v/>
      </c>
      <c r="D357" s="33"/>
    </row>
    <row r="358">
      <c r="A358" s="29" t="str">
        <f>Input!A358</f>
        <v/>
      </c>
      <c r="B358" s="30" t="str">
        <f>Input!B358</f>
        <v/>
      </c>
      <c r="C358" s="29" t="str">
        <f>Input!C358</f>
        <v/>
      </c>
      <c r="D358" s="33"/>
    </row>
    <row r="359">
      <c r="A359" s="29" t="str">
        <f>Input!A359</f>
        <v/>
      </c>
      <c r="B359" s="30" t="str">
        <f>Input!B359</f>
        <v/>
      </c>
      <c r="C359" s="29" t="str">
        <f>Input!C359</f>
        <v/>
      </c>
      <c r="D359" s="33"/>
    </row>
    <row r="360">
      <c r="A360" s="29" t="str">
        <f>Input!A360</f>
        <v/>
      </c>
      <c r="B360" s="30" t="str">
        <f>Input!B360</f>
        <v/>
      </c>
      <c r="C360" s="29" t="str">
        <f>Input!C360</f>
        <v/>
      </c>
      <c r="D360" s="33"/>
    </row>
    <row r="361">
      <c r="A361" s="29" t="str">
        <f>Input!A361</f>
        <v/>
      </c>
      <c r="B361" s="30" t="str">
        <f>Input!B361</f>
        <v/>
      </c>
      <c r="C361" s="29" t="str">
        <f>Input!C361</f>
        <v/>
      </c>
      <c r="D361" s="33"/>
    </row>
    <row r="362">
      <c r="A362" s="29" t="str">
        <f>Input!A362</f>
        <v/>
      </c>
      <c r="B362" s="30" t="str">
        <f>Input!B362</f>
        <v/>
      </c>
      <c r="C362" s="29" t="str">
        <f>Input!C362</f>
        <v/>
      </c>
      <c r="D362" s="33"/>
    </row>
    <row r="363">
      <c r="A363" s="29" t="str">
        <f>Input!A363</f>
        <v/>
      </c>
      <c r="B363" s="30" t="str">
        <f>Input!B363</f>
        <v/>
      </c>
      <c r="C363" s="29" t="str">
        <f>Input!C363</f>
        <v/>
      </c>
      <c r="D363" s="33"/>
    </row>
    <row r="364">
      <c r="A364" s="29" t="str">
        <f>Input!A364</f>
        <v/>
      </c>
      <c r="B364" s="30" t="str">
        <f>Input!B364</f>
        <v/>
      </c>
      <c r="C364" s="29" t="str">
        <f>Input!C364</f>
        <v/>
      </c>
      <c r="D364" s="33"/>
    </row>
    <row r="365">
      <c r="A365" s="29" t="str">
        <f>Input!A365</f>
        <v/>
      </c>
      <c r="B365" s="30" t="str">
        <f>Input!B365</f>
        <v/>
      </c>
      <c r="C365" s="29" t="str">
        <f>Input!C365</f>
        <v/>
      </c>
      <c r="D365" s="33"/>
    </row>
    <row r="366">
      <c r="A366" s="29" t="str">
        <f>Input!A366</f>
        <v/>
      </c>
      <c r="B366" s="30" t="str">
        <f>Input!B366</f>
        <v/>
      </c>
      <c r="C366" s="29" t="str">
        <f>Input!C366</f>
        <v/>
      </c>
      <c r="D366" s="33"/>
    </row>
    <row r="367">
      <c r="A367" s="29" t="str">
        <f>Input!A367</f>
        <v/>
      </c>
      <c r="B367" s="30" t="str">
        <f>Input!B367</f>
        <v/>
      </c>
      <c r="C367" s="29" t="str">
        <f>Input!C367</f>
        <v/>
      </c>
      <c r="D367" s="33"/>
    </row>
    <row r="368">
      <c r="A368" s="29" t="str">
        <f>Input!A368</f>
        <v/>
      </c>
      <c r="B368" s="30" t="str">
        <f>Input!B368</f>
        <v/>
      </c>
      <c r="C368" s="29" t="str">
        <f>Input!C368</f>
        <v/>
      </c>
      <c r="D368" s="33"/>
    </row>
    <row r="369">
      <c r="A369" s="29" t="str">
        <f>Input!A369</f>
        <v/>
      </c>
      <c r="B369" s="30" t="str">
        <f>Input!B369</f>
        <v/>
      </c>
      <c r="C369" s="29" t="str">
        <f>Input!C369</f>
        <v/>
      </c>
      <c r="D369" s="33"/>
    </row>
    <row r="370">
      <c r="A370" s="29" t="str">
        <f>Input!A370</f>
        <v/>
      </c>
      <c r="B370" s="30" t="str">
        <f>Input!B370</f>
        <v/>
      </c>
      <c r="C370" s="29" t="str">
        <f>Input!C370</f>
        <v/>
      </c>
      <c r="D370" s="33"/>
    </row>
    <row r="371">
      <c r="A371" s="29" t="str">
        <f>Input!A371</f>
        <v/>
      </c>
      <c r="B371" s="30" t="str">
        <f>Input!B371</f>
        <v/>
      </c>
      <c r="C371" s="29" t="str">
        <f>Input!C371</f>
        <v/>
      </c>
      <c r="D371" s="33"/>
    </row>
    <row r="372">
      <c r="A372" s="29" t="str">
        <f>Input!A372</f>
        <v/>
      </c>
      <c r="B372" s="30" t="str">
        <f>Input!B372</f>
        <v/>
      </c>
      <c r="C372" s="29" t="str">
        <f>Input!C372</f>
        <v/>
      </c>
      <c r="D372" s="33"/>
    </row>
    <row r="373">
      <c r="A373" s="29" t="str">
        <f>Input!A373</f>
        <v/>
      </c>
      <c r="B373" s="30" t="str">
        <f>Input!B373</f>
        <v/>
      </c>
      <c r="C373" s="29" t="str">
        <f>Input!C373</f>
        <v/>
      </c>
      <c r="D373" s="33"/>
    </row>
    <row r="374">
      <c r="A374" s="29" t="str">
        <f>Input!A374</f>
        <v/>
      </c>
      <c r="B374" s="30" t="str">
        <f>Input!B374</f>
        <v/>
      </c>
      <c r="C374" s="29" t="str">
        <f>Input!C374</f>
        <v/>
      </c>
      <c r="D374" s="33"/>
    </row>
    <row r="375">
      <c r="A375" s="29" t="str">
        <f>Input!A375</f>
        <v/>
      </c>
      <c r="B375" s="30" t="str">
        <f>Input!B375</f>
        <v/>
      </c>
      <c r="C375" s="29" t="str">
        <f>Input!C375</f>
        <v/>
      </c>
      <c r="D375" s="33"/>
    </row>
    <row r="376">
      <c r="A376" s="29" t="str">
        <f>Input!A376</f>
        <v/>
      </c>
      <c r="B376" s="30" t="str">
        <f>Input!B376</f>
        <v/>
      </c>
      <c r="C376" s="29" t="str">
        <f>Input!C376</f>
        <v/>
      </c>
      <c r="D376" s="33"/>
    </row>
    <row r="377">
      <c r="A377" s="29" t="str">
        <f>Input!A377</f>
        <v/>
      </c>
      <c r="B377" s="30" t="str">
        <f>Input!B377</f>
        <v/>
      </c>
      <c r="C377" s="29" t="str">
        <f>Input!C377</f>
        <v/>
      </c>
      <c r="D377" s="33"/>
    </row>
    <row r="378">
      <c r="A378" s="29" t="str">
        <f>Input!A378</f>
        <v/>
      </c>
      <c r="B378" s="30" t="str">
        <f>Input!B378</f>
        <v/>
      </c>
      <c r="C378" s="29" t="str">
        <f>Input!C378</f>
        <v/>
      </c>
      <c r="D378" s="33"/>
    </row>
    <row r="379">
      <c r="A379" s="29" t="str">
        <f>Input!A379</f>
        <v/>
      </c>
      <c r="B379" s="30" t="str">
        <f>Input!B379</f>
        <v/>
      </c>
      <c r="C379" s="29" t="str">
        <f>Input!C379</f>
        <v/>
      </c>
      <c r="D379" s="33"/>
    </row>
    <row r="380">
      <c r="A380" s="29" t="str">
        <f>Input!A380</f>
        <v/>
      </c>
      <c r="B380" s="30" t="str">
        <f>Input!B380</f>
        <v/>
      </c>
      <c r="C380" s="29" t="str">
        <f>Input!C380</f>
        <v/>
      </c>
      <c r="D380" s="33"/>
    </row>
    <row r="381">
      <c r="A381" s="29" t="str">
        <f>Input!A381</f>
        <v/>
      </c>
      <c r="B381" s="30" t="str">
        <f>Input!B381</f>
        <v/>
      </c>
      <c r="C381" s="29" t="str">
        <f>Input!C381</f>
        <v/>
      </c>
      <c r="D381" s="33"/>
    </row>
    <row r="382">
      <c r="A382" s="29" t="str">
        <f>Input!A382</f>
        <v/>
      </c>
      <c r="B382" s="30" t="str">
        <f>Input!B382</f>
        <v/>
      </c>
      <c r="C382" s="29" t="str">
        <f>Input!C382</f>
        <v/>
      </c>
      <c r="D382" s="33"/>
    </row>
    <row r="383">
      <c r="A383" s="29" t="str">
        <f>Input!A383</f>
        <v/>
      </c>
      <c r="B383" s="30" t="str">
        <f>Input!B383</f>
        <v/>
      </c>
      <c r="C383" s="29" t="str">
        <f>Input!C383</f>
        <v/>
      </c>
      <c r="D383" s="33"/>
    </row>
    <row r="384">
      <c r="A384" s="29" t="str">
        <f>Input!A384</f>
        <v/>
      </c>
      <c r="B384" s="30" t="str">
        <f>Input!B384</f>
        <v/>
      </c>
      <c r="C384" s="29" t="str">
        <f>Input!C384</f>
        <v/>
      </c>
      <c r="D384" s="33"/>
    </row>
    <row r="385">
      <c r="A385" s="29" t="str">
        <f>Input!A385</f>
        <v/>
      </c>
      <c r="B385" s="30" t="str">
        <f>Input!B385</f>
        <v/>
      </c>
      <c r="C385" s="29" t="str">
        <f>Input!C385</f>
        <v/>
      </c>
      <c r="D385" s="33"/>
    </row>
    <row r="386">
      <c r="A386" s="29" t="str">
        <f>Input!A386</f>
        <v/>
      </c>
      <c r="B386" s="30" t="str">
        <f>Input!B386</f>
        <v/>
      </c>
      <c r="C386" s="29" t="str">
        <f>Input!C386</f>
        <v/>
      </c>
      <c r="D386" s="33"/>
    </row>
    <row r="387">
      <c r="A387" s="29" t="str">
        <f>Input!A387</f>
        <v/>
      </c>
      <c r="B387" s="30" t="str">
        <f>Input!B387</f>
        <v/>
      </c>
      <c r="C387" s="29" t="str">
        <f>Input!C387</f>
        <v/>
      </c>
      <c r="D387" s="33"/>
    </row>
    <row r="388">
      <c r="A388" s="29" t="str">
        <f>Input!A388</f>
        <v/>
      </c>
      <c r="B388" s="30" t="str">
        <f>Input!B388</f>
        <v/>
      </c>
      <c r="C388" s="29" t="str">
        <f>Input!C388</f>
        <v/>
      </c>
      <c r="D388" s="33"/>
    </row>
    <row r="389">
      <c r="A389" s="29" t="str">
        <f>Input!A389</f>
        <v/>
      </c>
      <c r="B389" s="30" t="str">
        <f>Input!B389</f>
        <v/>
      </c>
      <c r="C389" s="29" t="str">
        <f>Input!C389</f>
        <v/>
      </c>
      <c r="D389" s="33"/>
    </row>
    <row r="390">
      <c r="A390" s="29" t="str">
        <f>Input!A390</f>
        <v/>
      </c>
      <c r="B390" s="30" t="str">
        <f>Input!B390</f>
        <v/>
      </c>
      <c r="C390" s="29" t="str">
        <f>Input!C390</f>
        <v/>
      </c>
      <c r="D390" s="33"/>
    </row>
    <row r="391">
      <c r="A391" s="29" t="str">
        <f>Input!A391</f>
        <v/>
      </c>
      <c r="B391" s="30" t="str">
        <f>Input!B391</f>
        <v/>
      </c>
      <c r="C391" s="29" t="str">
        <f>Input!C391</f>
        <v/>
      </c>
      <c r="D391" s="33"/>
    </row>
    <row r="392">
      <c r="A392" s="29" t="str">
        <f>Input!A392</f>
        <v/>
      </c>
      <c r="B392" s="30" t="str">
        <f>Input!B392</f>
        <v/>
      </c>
      <c r="C392" s="29" t="str">
        <f>Input!C392</f>
        <v/>
      </c>
      <c r="D392" s="33"/>
    </row>
    <row r="393">
      <c r="A393" s="29" t="str">
        <f>Input!A393</f>
        <v/>
      </c>
      <c r="B393" s="30" t="str">
        <f>Input!B393</f>
        <v/>
      </c>
      <c r="C393" s="29" t="str">
        <f>Input!C393</f>
        <v/>
      </c>
      <c r="D393" s="33"/>
    </row>
    <row r="394">
      <c r="A394" s="29" t="str">
        <f>Input!A394</f>
        <v/>
      </c>
      <c r="B394" s="30" t="str">
        <f>Input!B394</f>
        <v/>
      </c>
      <c r="C394" s="29" t="str">
        <f>Input!C394</f>
        <v/>
      </c>
      <c r="D394" s="33"/>
    </row>
    <row r="395">
      <c r="A395" s="29" t="str">
        <f>Input!A395</f>
        <v/>
      </c>
      <c r="B395" s="30" t="str">
        <f>Input!B395</f>
        <v/>
      </c>
      <c r="C395" s="29" t="str">
        <f>Input!C395</f>
        <v/>
      </c>
      <c r="D395" s="33"/>
    </row>
    <row r="396">
      <c r="A396" s="29" t="str">
        <f>Input!A396</f>
        <v/>
      </c>
      <c r="B396" s="30" t="str">
        <f>Input!B396</f>
        <v/>
      </c>
      <c r="C396" s="29" t="str">
        <f>Input!C396</f>
        <v/>
      </c>
      <c r="D396" s="33"/>
    </row>
    <row r="397">
      <c r="A397" s="29" t="str">
        <f>Input!A397</f>
        <v/>
      </c>
      <c r="B397" s="30" t="str">
        <f>Input!B397</f>
        <v/>
      </c>
      <c r="C397" s="29" t="str">
        <f>Input!C397</f>
        <v/>
      </c>
      <c r="D397" s="33"/>
    </row>
    <row r="398">
      <c r="A398" s="29" t="str">
        <f>Input!A398</f>
        <v/>
      </c>
      <c r="B398" s="30" t="str">
        <f>Input!B398</f>
        <v/>
      </c>
      <c r="C398" s="29" t="str">
        <f>Input!C398</f>
        <v/>
      </c>
      <c r="D398" s="33"/>
    </row>
    <row r="399">
      <c r="A399" s="29" t="str">
        <f>Input!A399</f>
        <v/>
      </c>
      <c r="B399" s="30" t="str">
        <f>Input!B399</f>
        <v/>
      </c>
      <c r="C399" s="29" t="str">
        <f>Input!C399</f>
        <v/>
      </c>
      <c r="D399" s="33"/>
    </row>
    <row r="400">
      <c r="A400" s="29" t="str">
        <f>Input!A400</f>
        <v/>
      </c>
      <c r="B400" s="30" t="str">
        <f>Input!B400</f>
        <v/>
      </c>
      <c r="C400" s="29" t="str">
        <f>Input!C400</f>
        <v/>
      </c>
      <c r="D400" s="33"/>
    </row>
    <row r="401">
      <c r="A401" s="29" t="str">
        <f>Input!A401</f>
        <v/>
      </c>
      <c r="B401" s="30" t="str">
        <f>Input!B401</f>
        <v/>
      </c>
      <c r="C401" s="29" t="str">
        <f>Input!C401</f>
        <v/>
      </c>
      <c r="D401" s="33"/>
    </row>
    <row r="402">
      <c r="A402" s="29" t="str">
        <f>Input!A402</f>
        <v/>
      </c>
      <c r="B402" s="30" t="str">
        <f>Input!B402</f>
        <v/>
      </c>
      <c r="C402" s="29" t="str">
        <f>Input!C402</f>
        <v/>
      </c>
      <c r="D402" s="33"/>
    </row>
    <row r="403">
      <c r="A403" s="29" t="str">
        <f>Input!A403</f>
        <v/>
      </c>
      <c r="B403" s="30" t="str">
        <f>Input!B403</f>
        <v/>
      </c>
      <c r="C403" s="29" t="str">
        <f>Input!C403</f>
        <v/>
      </c>
      <c r="D403" s="33"/>
    </row>
    <row r="404">
      <c r="A404" s="29" t="str">
        <f>Input!A404</f>
        <v/>
      </c>
      <c r="B404" s="30" t="str">
        <f>Input!B404</f>
        <v/>
      </c>
      <c r="C404" s="29" t="str">
        <f>Input!C404</f>
        <v/>
      </c>
      <c r="D404" s="33"/>
    </row>
    <row r="405">
      <c r="A405" s="29" t="str">
        <f>Input!A405</f>
        <v/>
      </c>
      <c r="B405" s="30" t="str">
        <f>Input!B405</f>
        <v/>
      </c>
      <c r="C405" s="29" t="str">
        <f>Input!C405</f>
        <v/>
      </c>
      <c r="D405" s="33"/>
    </row>
    <row r="406">
      <c r="A406" s="29" t="str">
        <f>Input!A406</f>
        <v/>
      </c>
      <c r="B406" s="30" t="str">
        <f>Input!B406</f>
        <v/>
      </c>
      <c r="C406" s="29" t="str">
        <f>Input!C406</f>
        <v/>
      </c>
      <c r="D406" s="33"/>
    </row>
    <row r="407">
      <c r="A407" s="29" t="str">
        <f>Input!A407</f>
        <v/>
      </c>
      <c r="B407" s="30" t="str">
        <f>Input!B407</f>
        <v/>
      </c>
      <c r="C407" s="29" t="str">
        <f>Input!C407</f>
        <v/>
      </c>
      <c r="D407" s="33"/>
    </row>
    <row r="408">
      <c r="A408" s="29" t="str">
        <f>Input!A408</f>
        <v/>
      </c>
      <c r="B408" s="30" t="str">
        <f>Input!B408</f>
        <v/>
      </c>
      <c r="C408" s="29" t="str">
        <f>Input!C408</f>
        <v/>
      </c>
      <c r="D408" s="33"/>
    </row>
    <row r="409">
      <c r="A409" s="29" t="str">
        <f>Input!A409</f>
        <v/>
      </c>
      <c r="B409" s="30" t="str">
        <f>Input!B409</f>
        <v/>
      </c>
      <c r="C409" s="29" t="str">
        <f>Input!C409</f>
        <v/>
      </c>
      <c r="D409" s="33"/>
    </row>
    <row r="410">
      <c r="A410" s="29" t="str">
        <f>Input!A410</f>
        <v/>
      </c>
      <c r="B410" s="30" t="str">
        <f>Input!B410</f>
        <v/>
      </c>
      <c r="C410" s="29" t="str">
        <f>Input!C410</f>
        <v/>
      </c>
      <c r="D410" s="33"/>
    </row>
    <row r="411">
      <c r="A411" s="29" t="str">
        <f>Input!A411</f>
        <v/>
      </c>
      <c r="B411" s="30" t="str">
        <f>Input!B411</f>
        <v/>
      </c>
      <c r="C411" s="29" t="str">
        <f>Input!C411</f>
        <v/>
      </c>
      <c r="D411" s="33"/>
    </row>
    <row r="412">
      <c r="A412" s="29" t="str">
        <f>Input!A412</f>
        <v/>
      </c>
      <c r="B412" s="30" t="str">
        <f>Input!B412</f>
        <v/>
      </c>
      <c r="C412" s="29" t="str">
        <f>Input!C412</f>
        <v/>
      </c>
      <c r="D412" s="33"/>
    </row>
    <row r="413">
      <c r="A413" s="29" t="str">
        <f>Input!A413</f>
        <v/>
      </c>
      <c r="B413" s="30" t="str">
        <f>Input!B413</f>
        <v/>
      </c>
      <c r="C413" s="29" t="str">
        <f>Input!C413</f>
        <v/>
      </c>
      <c r="D413" s="33"/>
    </row>
    <row r="414">
      <c r="A414" s="29" t="str">
        <f>Input!A414</f>
        <v/>
      </c>
      <c r="B414" s="30" t="str">
        <f>Input!B414</f>
        <v/>
      </c>
      <c r="C414" s="29" t="str">
        <f>Input!C414</f>
        <v/>
      </c>
      <c r="D414" s="33"/>
    </row>
    <row r="415">
      <c r="A415" s="29" t="str">
        <f>Input!A415</f>
        <v/>
      </c>
      <c r="B415" s="30" t="str">
        <f>Input!B415</f>
        <v/>
      </c>
      <c r="C415" s="29" t="str">
        <f>Input!C415</f>
        <v/>
      </c>
      <c r="D415" s="33"/>
    </row>
    <row r="416">
      <c r="A416" s="29" t="str">
        <f>Input!A416</f>
        <v/>
      </c>
      <c r="B416" s="30" t="str">
        <f>Input!B416</f>
        <v/>
      </c>
      <c r="C416" s="29" t="str">
        <f>Input!C416</f>
        <v/>
      </c>
      <c r="D416" s="33"/>
    </row>
    <row r="417">
      <c r="A417" s="29" t="str">
        <f>Input!A417</f>
        <v/>
      </c>
      <c r="B417" s="30" t="str">
        <f>Input!B417</f>
        <v/>
      </c>
      <c r="C417" s="29" t="str">
        <f>Input!C417</f>
        <v/>
      </c>
      <c r="D417" s="33"/>
    </row>
    <row r="418">
      <c r="A418" s="29" t="str">
        <f>Input!A418</f>
        <v/>
      </c>
      <c r="B418" s="30" t="str">
        <f>Input!B418</f>
        <v/>
      </c>
      <c r="C418" s="29" t="str">
        <f>Input!C418</f>
        <v/>
      </c>
      <c r="D418" s="33"/>
    </row>
    <row r="419">
      <c r="A419" s="29" t="str">
        <f>Input!A419</f>
        <v/>
      </c>
      <c r="B419" s="30" t="str">
        <f>Input!B419</f>
        <v/>
      </c>
      <c r="C419" s="29" t="str">
        <f>Input!C419</f>
        <v/>
      </c>
      <c r="D419" s="33"/>
    </row>
    <row r="420">
      <c r="A420" s="29" t="str">
        <f>Input!A420</f>
        <v/>
      </c>
      <c r="B420" s="30" t="str">
        <f>Input!B420</f>
        <v/>
      </c>
      <c r="C420" s="29" t="str">
        <f>Input!C420</f>
        <v/>
      </c>
      <c r="D420" s="33"/>
    </row>
    <row r="421">
      <c r="A421" s="26" t="s">
        <v>2</v>
      </c>
      <c r="B421" s="27" t="s">
        <v>3</v>
      </c>
      <c r="C421" s="26" t="s">
        <v>4</v>
      </c>
      <c r="D421" s="28" t="s">
        <v>108</v>
      </c>
    </row>
    <row r="422">
      <c r="A422" s="29" t="str">
        <f>Input!A422</f>
        <v/>
      </c>
      <c r="B422" s="30" t="str">
        <f>Input!B422</f>
        <v/>
      </c>
      <c r="C422" s="29" t="str">
        <f>Input!C422</f>
        <v/>
      </c>
      <c r="D422" s="33"/>
    </row>
    <row r="423">
      <c r="A423" s="29" t="str">
        <f>Input!A423</f>
        <v/>
      </c>
      <c r="B423" s="30" t="str">
        <f>Input!B423</f>
        <v/>
      </c>
      <c r="C423" s="29" t="str">
        <f>Input!C423</f>
        <v/>
      </c>
      <c r="D423" s="33"/>
    </row>
    <row r="424">
      <c r="A424" s="29" t="str">
        <f>Input!A424</f>
        <v/>
      </c>
      <c r="B424" s="30" t="str">
        <f>Input!B424</f>
        <v/>
      </c>
      <c r="C424" s="29" t="str">
        <f>Input!C424</f>
        <v/>
      </c>
      <c r="D424" s="33"/>
    </row>
    <row r="425">
      <c r="A425" s="29" t="str">
        <f>Input!A425</f>
        <v/>
      </c>
      <c r="B425" s="30" t="str">
        <f>Input!B425</f>
        <v/>
      </c>
      <c r="C425" s="29" t="str">
        <f>Input!C425</f>
        <v/>
      </c>
      <c r="D425" s="33"/>
    </row>
    <row r="426">
      <c r="A426" s="29" t="str">
        <f>Input!A426</f>
        <v/>
      </c>
      <c r="B426" s="30" t="str">
        <f>Input!B426</f>
        <v/>
      </c>
      <c r="C426" s="29" t="str">
        <f>Input!C426</f>
        <v/>
      </c>
      <c r="D426" s="33"/>
    </row>
    <row r="427">
      <c r="A427" s="29" t="str">
        <f>Input!A427</f>
        <v/>
      </c>
      <c r="B427" s="30" t="str">
        <f>Input!B427</f>
        <v/>
      </c>
      <c r="C427" s="29" t="str">
        <f>Input!C427</f>
        <v/>
      </c>
      <c r="D427" s="33"/>
    </row>
    <row r="428">
      <c r="A428" s="29" t="str">
        <f>Input!A428</f>
        <v/>
      </c>
      <c r="B428" s="30" t="str">
        <f>Input!B428</f>
        <v/>
      </c>
      <c r="C428" s="29" t="str">
        <f>Input!C428</f>
        <v/>
      </c>
      <c r="D428" s="33"/>
    </row>
    <row r="429">
      <c r="A429" s="29" t="str">
        <f>Input!A429</f>
        <v/>
      </c>
      <c r="B429" s="30" t="str">
        <f>Input!B429</f>
        <v/>
      </c>
      <c r="C429" s="29" t="str">
        <f>Input!C429</f>
        <v/>
      </c>
      <c r="D429" s="33"/>
    </row>
    <row r="430">
      <c r="A430" s="29" t="str">
        <f>Input!A430</f>
        <v/>
      </c>
      <c r="B430" s="30" t="str">
        <f>Input!B430</f>
        <v/>
      </c>
      <c r="C430" s="29" t="str">
        <f>Input!C430</f>
        <v/>
      </c>
      <c r="D430" s="33"/>
    </row>
    <row r="431">
      <c r="A431" s="29" t="str">
        <f>Input!A431</f>
        <v/>
      </c>
      <c r="B431" s="30" t="str">
        <f>Input!B431</f>
        <v/>
      </c>
      <c r="C431" s="29" t="str">
        <f>Input!C431</f>
        <v/>
      </c>
      <c r="D431" s="33"/>
    </row>
    <row r="432">
      <c r="A432" s="29" t="str">
        <f>Input!A432</f>
        <v/>
      </c>
      <c r="B432" s="30" t="str">
        <f>Input!B432</f>
        <v/>
      </c>
      <c r="C432" s="29" t="str">
        <f>Input!C432</f>
        <v/>
      </c>
      <c r="D432" s="33"/>
    </row>
    <row r="433">
      <c r="A433" s="29" t="str">
        <f>Input!A433</f>
        <v/>
      </c>
      <c r="B433" s="30" t="str">
        <f>Input!B433</f>
        <v/>
      </c>
      <c r="C433" s="29" t="str">
        <f>Input!C433</f>
        <v/>
      </c>
      <c r="D433" s="33"/>
    </row>
    <row r="434">
      <c r="A434" s="29" t="str">
        <f>Input!A434</f>
        <v/>
      </c>
      <c r="B434" s="30" t="str">
        <f>Input!B434</f>
        <v/>
      </c>
      <c r="C434" s="29" t="str">
        <f>Input!C434</f>
        <v/>
      </c>
      <c r="D434" s="33"/>
    </row>
    <row r="435">
      <c r="A435" s="29" t="str">
        <f>Input!A435</f>
        <v/>
      </c>
      <c r="B435" s="30" t="str">
        <f>Input!B435</f>
        <v/>
      </c>
      <c r="C435" s="29" t="str">
        <f>Input!C435</f>
        <v/>
      </c>
      <c r="D435" s="33"/>
    </row>
    <row r="436">
      <c r="A436" s="29" t="str">
        <f>Input!A436</f>
        <v/>
      </c>
      <c r="B436" s="30" t="str">
        <f>Input!B436</f>
        <v/>
      </c>
      <c r="C436" s="29" t="str">
        <f>Input!C436</f>
        <v/>
      </c>
      <c r="D436" s="33"/>
    </row>
    <row r="437">
      <c r="A437" s="29" t="str">
        <f>Input!A437</f>
        <v/>
      </c>
      <c r="B437" s="30" t="str">
        <f>Input!B437</f>
        <v/>
      </c>
      <c r="C437" s="29" t="str">
        <f>Input!C437</f>
        <v/>
      </c>
      <c r="D437" s="33"/>
    </row>
    <row r="438">
      <c r="A438" s="29" t="str">
        <f>Input!A438</f>
        <v/>
      </c>
      <c r="B438" s="30" t="str">
        <f>Input!B438</f>
        <v/>
      </c>
      <c r="C438" s="29" t="str">
        <f>Input!C438</f>
        <v/>
      </c>
      <c r="D438" s="33"/>
    </row>
    <row r="439">
      <c r="A439" s="29" t="str">
        <f>Input!A439</f>
        <v/>
      </c>
      <c r="B439" s="30" t="str">
        <f>Input!B439</f>
        <v/>
      </c>
      <c r="C439" s="29" t="str">
        <f>Input!C439</f>
        <v/>
      </c>
      <c r="D439" s="33"/>
    </row>
    <row r="440">
      <c r="A440" s="29" t="str">
        <f>Input!A440</f>
        <v/>
      </c>
      <c r="B440" s="30" t="str">
        <f>Input!B440</f>
        <v/>
      </c>
      <c r="C440" s="29" t="str">
        <f>Input!C440</f>
        <v/>
      </c>
      <c r="D440" s="33"/>
    </row>
    <row r="441">
      <c r="A441" s="29" t="str">
        <f>Input!A441</f>
        <v/>
      </c>
      <c r="B441" s="30" t="str">
        <f>Input!B441</f>
        <v/>
      </c>
      <c r="C441" s="29" t="str">
        <f>Input!C441</f>
        <v/>
      </c>
      <c r="D441" s="33"/>
    </row>
    <row r="442">
      <c r="A442" s="29" t="str">
        <f>Input!A442</f>
        <v/>
      </c>
      <c r="B442" s="30" t="str">
        <f>Input!B442</f>
        <v/>
      </c>
      <c r="C442" s="29" t="str">
        <f>Input!C442</f>
        <v/>
      </c>
      <c r="D442" s="33"/>
    </row>
    <row r="443">
      <c r="A443" s="29" t="str">
        <f>Input!A443</f>
        <v/>
      </c>
      <c r="B443" s="30" t="str">
        <f>Input!B443</f>
        <v/>
      </c>
      <c r="C443" s="29" t="str">
        <f>Input!C443</f>
        <v/>
      </c>
      <c r="D443" s="33"/>
    </row>
    <row r="444">
      <c r="A444" s="29" t="str">
        <f>Input!A444</f>
        <v/>
      </c>
      <c r="B444" s="30" t="str">
        <f>Input!B444</f>
        <v/>
      </c>
      <c r="C444" s="29" t="str">
        <f>Input!C444</f>
        <v/>
      </c>
      <c r="D444" s="33"/>
    </row>
    <row r="445">
      <c r="A445" s="29" t="str">
        <f>Input!A445</f>
        <v/>
      </c>
      <c r="B445" s="30" t="str">
        <f>Input!B445</f>
        <v/>
      </c>
      <c r="C445" s="29" t="str">
        <f>Input!C445</f>
        <v/>
      </c>
      <c r="D445" s="33"/>
    </row>
    <row r="446">
      <c r="A446" s="29" t="str">
        <f>Input!A446</f>
        <v/>
      </c>
      <c r="B446" s="30" t="str">
        <f>Input!B446</f>
        <v/>
      </c>
      <c r="C446" s="29" t="str">
        <f>Input!C446</f>
        <v/>
      </c>
      <c r="D446" s="33"/>
    </row>
    <row r="447">
      <c r="A447" s="29" t="str">
        <f>Input!A447</f>
        <v/>
      </c>
      <c r="B447" s="30" t="str">
        <f>Input!B447</f>
        <v/>
      </c>
      <c r="C447" s="29" t="str">
        <f>Input!C447</f>
        <v/>
      </c>
      <c r="D447" s="33"/>
    </row>
    <row r="448">
      <c r="A448" s="29" t="str">
        <f>Input!A448</f>
        <v/>
      </c>
      <c r="B448" s="30" t="str">
        <f>Input!B448</f>
        <v/>
      </c>
      <c r="C448" s="29" t="str">
        <f>Input!C448</f>
        <v/>
      </c>
      <c r="D448" s="33"/>
    </row>
    <row r="449">
      <c r="A449" s="29" t="str">
        <f>Input!A449</f>
        <v/>
      </c>
      <c r="B449" s="30" t="str">
        <f>Input!B449</f>
        <v/>
      </c>
      <c r="C449" s="29" t="str">
        <f>Input!C449</f>
        <v/>
      </c>
      <c r="D449" s="33"/>
    </row>
    <row r="450">
      <c r="A450" s="29" t="str">
        <f>Input!A450</f>
        <v/>
      </c>
      <c r="B450" s="30" t="str">
        <f>Input!B450</f>
        <v/>
      </c>
      <c r="C450" s="29" t="str">
        <f>Input!C450</f>
        <v/>
      </c>
      <c r="D450" s="33"/>
    </row>
    <row r="451">
      <c r="A451" s="29" t="str">
        <f>Input!A451</f>
        <v/>
      </c>
      <c r="B451" s="30" t="str">
        <f>Input!B451</f>
        <v/>
      </c>
      <c r="C451" s="29" t="str">
        <f>Input!C451</f>
        <v/>
      </c>
      <c r="D451" s="33"/>
    </row>
    <row r="452">
      <c r="A452" s="29" t="str">
        <f>Input!A452</f>
        <v/>
      </c>
      <c r="B452" s="30" t="str">
        <f>Input!B452</f>
        <v/>
      </c>
      <c r="C452" s="29" t="str">
        <f>Input!C452</f>
        <v/>
      </c>
      <c r="D452" s="33"/>
    </row>
    <row r="453">
      <c r="A453" s="29" t="str">
        <f>Input!A453</f>
        <v/>
      </c>
      <c r="B453" s="30" t="str">
        <f>Input!B453</f>
        <v/>
      </c>
      <c r="C453" s="29" t="str">
        <f>Input!C453</f>
        <v/>
      </c>
      <c r="D453" s="33"/>
    </row>
    <row r="454">
      <c r="A454" s="29" t="str">
        <f>Input!A454</f>
        <v/>
      </c>
      <c r="B454" s="30" t="str">
        <f>Input!B454</f>
        <v/>
      </c>
      <c r="C454" s="29" t="str">
        <f>Input!C454</f>
        <v/>
      </c>
      <c r="D454" s="33"/>
    </row>
    <row r="455">
      <c r="A455" s="29" t="str">
        <f>Input!A455</f>
        <v/>
      </c>
      <c r="B455" s="30" t="str">
        <f>Input!B455</f>
        <v/>
      </c>
      <c r="C455" s="29" t="str">
        <f>Input!C455</f>
        <v/>
      </c>
      <c r="D455" s="33"/>
    </row>
    <row r="456">
      <c r="A456" s="29" t="str">
        <f>Input!A456</f>
        <v/>
      </c>
      <c r="B456" s="30" t="str">
        <f>Input!B456</f>
        <v/>
      </c>
      <c r="C456" s="29" t="str">
        <f>Input!C456</f>
        <v/>
      </c>
      <c r="D456" s="33"/>
    </row>
    <row r="457">
      <c r="A457" s="29" t="str">
        <f>Input!A457</f>
        <v/>
      </c>
      <c r="B457" s="30" t="str">
        <f>Input!B457</f>
        <v/>
      </c>
      <c r="C457" s="29" t="str">
        <f>Input!C457</f>
        <v/>
      </c>
      <c r="D457" s="33"/>
    </row>
    <row r="458">
      <c r="A458" s="29" t="str">
        <f>Input!A458</f>
        <v/>
      </c>
      <c r="B458" s="30" t="str">
        <f>Input!B458</f>
        <v/>
      </c>
      <c r="C458" s="29" t="str">
        <f>Input!C458</f>
        <v/>
      </c>
      <c r="D458" s="33"/>
    </row>
    <row r="459">
      <c r="A459" s="29" t="str">
        <f>Input!A459</f>
        <v/>
      </c>
      <c r="B459" s="30" t="str">
        <f>Input!B459</f>
        <v/>
      </c>
      <c r="C459" s="29" t="str">
        <f>Input!C459</f>
        <v/>
      </c>
      <c r="D459" s="33"/>
    </row>
    <row r="460">
      <c r="A460" s="29" t="str">
        <f>Input!A460</f>
        <v/>
      </c>
      <c r="B460" s="30" t="str">
        <f>Input!B460</f>
        <v/>
      </c>
      <c r="C460" s="29" t="str">
        <f>Input!C460</f>
        <v/>
      </c>
      <c r="D460" s="33"/>
    </row>
    <row r="461">
      <c r="A461" s="29" t="str">
        <f>Input!A461</f>
        <v/>
      </c>
      <c r="B461" s="30" t="str">
        <f>Input!B461</f>
        <v/>
      </c>
      <c r="C461" s="29" t="str">
        <f>Input!C461</f>
        <v/>
      </c>
      <c r="D461" s="33"/>
    </row>
    <row r="462">
      <c r="A462" s="29" t="str">
        <f>Input!A462</f>
        <v/>
      </c>
      <c r="B462" s="30" t="str">
        <f>Input!B462</f>
        <v/>
      </c>
      <c r="C462" s="29" t="str">
        <f>Input!C462</f>
        <v/>
      </c>
      <c r="D462" s="33"/>
    </row>
    <row r="463">
      <c r="A463" s="29" t="str">
        <f>Input!A463</f>
        <v/>
      </c>
      <c r="B463" s="30" t="str">
        <f>Input!B463</f>
        <v/>
      </c>
      <c r="C463" s="29" t="str">
        <f>Input!C463</f>
        <v/>
      </c>
      <c r="D463" s="33"/>
    </row>
    <row r="464">
      <c r="A464" s="29" t="str">
        <f>Input!A464</f>
        <v/>
      </c>
      <c r="B464" s="30" t="str">
        <f>Input!B464</f>
        <v/>
      </c>
      <c r="C464" s="29" t="str">
        <f>Input!C464</f>
        <v/>
      </c>
      <c r="D464" s="33"/>
    </row>
    <row r="465">
      <c r="A465" s="29" t="str">
        <f>Input!A465</f>
        <v/>
      </c>
      <c r="B465" s="30" t="str">
        <f>Input!B465</f>
        <v/>
      </c>
      <c r="C465" s="29" t="str">
        <f>Input!C465</f>
        <v/>
      </c>
      <c r="D465" s="33"/>
    </row>
    <row r="466">
      <c r="A466" s="29" t="str">
        <f>Input!A466</f>
        <v/>
      </c>
      <c r="B466" s="30" t="str">
        <f>Input!B466</f>
        <v/>
      </c>
      <c r="C466" s="29" t="str">
        <f>Input!C466</f>
        <v/>
      </c>
      <c r="D466" s="33"/>
    </row>
    <row r="467">
      <c r="A467" s="29" t="str">
        <f>Input!A467</f>
        <v/>
      </c>
      <c r="B467" s="30" t="str">
        <f>Input!B467</f>
        <v/>
      </c>
      <c r="C467" s="29" t="str">
        <f>Input!C467</f>
        <v/>
      </c>
      <c r="D467" s="33"/>
    </row>
    <row r="468">
      <c r="A468" s="29" t="str">
        <f>Input!A468</f>
        <v/>
      </c>
      <c r="B468" s="30" t="str">
        <f>Input!B468</f>
        <v/>
      </c>
      <c r="C468" s="29" t="str">
        <f>Input!C468</f>
        <v/>
      </c>
      <c r="D468" s="33"/>
    </row>
    <row r="469">
      <c r="A469" s="29" t="str">
        <f>Input!A469</f>
        <v/>
      </c>
      <c r="B469" s="30" t="str">
        <f>Input!B469</f>
        <v/>
      </c>
      <c r="C469" s="29" t="str">
        <f>Input!C469</f>
        <v/>
      </c>
      <c r="D469" s="33"/>
    </row>
    <row r="470">
      <c r="A470" s="29" t="str">
        <f>Input!A470</f>
        <v/>
      </c>
      <c r="B470" s="30" t="str">
        <f>Input!B470</f>
        <v/>
      </c>
      <c r="C470" s="29" t="str">
        <f>Input!C470</f>
        <v/>
      </c>
      <c r="D470" s="33"/>
    </row>
    <row r="471">
      <c r="A471" s="29" t="str">
        <f>Input!A471</f>
        <v/>
      </c>
      <c r="B471" s="30" t="str">
        <f>Input!B471</f>
        <v/>
      </c>
      <c r="C471" s="29" t="str">
        <f>Input!C471</f>
        <v/>
      </c>
      <c r="D471" s="33"/>
    </row>
    <row r="472">
      <c r="A472" s="29" t="str">
        <f>Input!A472</f>
        <v/>
      </c>
      <c r="B472" s="30" t="str">
        <f>Input!B472</f>
        <v/>
      </c>
      <c r="C472" s="29" t="str">
        <f>Input!C472</f>
        <v/>
      </c>
      <c r="D472" s="33"/>
    </row>
    <row r="473">
      <c r="A473" s="29" t="str">
        <f>Input!A473</f>
        <v/>
      </c>
      <c r="B473" s="30" t="str">
        <f>Input!B473</f>
        <v/>
      </c>
      <c r="C473" s="29" t="str">
        <f>Input!C473</f>
        <v/>
      </c>
      <c r="D473" s="33"/>
    </row>
    <row r="474">
      <c r="A474" s="29" t="str">
        <f>Input!A474</f>
        <v/>
      </c>
      <c r="B474" s="30" t="str">
        <f>Input!B474</f>
        <v/>
      </c>
      <c r="C474" s="29" t="str">
        <f>Input!C474</f>
        <v/>
      </c>
      <c r="D474" s="33"/>
    </row>
    <row r="475">
      <c r="A475" s="29" t="str">
        <f>Input!A475</f>
        <v/>
      </c>
      <c r="B475" s="30" t="str">
        <f>Input!B475</f>
        <v/>
      </c>
      <c r="C475" s="29" t="str">
        <f>Input!C475</f>
        <v/>
      </c>
      <c r="D475" s="33"/>
    </row>
    <row r="476">
      <c r="A476" s="29" t="str">
        <f>Input!A476</f>
        <v/>
      </c>
      <c r="B476" s="30" t="str">
        <f>Input!B476</f>
        <v/>
      </c>
      <c r="C476" s="29" t="str">
        <f>Input!C476</f>
        <v/>
      </c>
      <c r="D476" s="33"/>
    </row>
    <row r="477">
      <c r="A477" s="29" t="str">
        <f>Input!A477</f>
        <v/>
      </c>
      <c r="B477" s="30" t="str">
        <f>Input!B477</f>
        <v/>
      </c>
      <c r="C477" s="29" t="str">
        <f>Input!C477</f>
        <v/>
      </c>
      <c r="D477" s="33"/>
    </row>
    <row r="478">
      <c r="A478" s="29" t="str">
        <f>Input!A478</f>
        <v/>
      </c>
      <c r="B478" s="30" t="str">
        <f>Input!B478</f>
        <v/>
      </c>
      <c r="C478" s="29" t="str">
        <f>Input!C478</f>
        <v/>
      </c>
      <c r="D478" s="33"/>
    </row>
    <row r="479">
      <c r="A479" s="29" t="str">
        <f>Input!A479</f>
        <v/>
      </c>
      <c r="B479" s="30" t="str">
        <f>Input!B479</f>
        <v/>
      </c>
      <c r="C479" s="29" t="str">
        <f>Input!C479</f>
        <v/>
      </c>
      <c r="D479" s="33"/>
    </row>
    <row r="480">
      <c r="A480" s="29" t="str">
        <f>Input!A480</f>
        <v/>
      </c>
      <c r="B480" s="30" t="str">
        <f>Input!B480</f>
        <v/>
      </c>
      <c r="C480" s="29" t="str">
        <f>Input!C480</f>
        <v/>
      </c>
      <c r="D480" s="33"/>
    </row>
    <row r="481">
      <c r="A481" s="29" t="str">
        <f>Input!A481</f>
        <v/>
      </c>
      <c r="B481" s="30" t="str">
        <f>Input!B481</f>
        <v/>
      </c>
      <c r="C481" s="29" t="str">
        <f>Input!C481</f>
        <v/>
      </c>
      <c r="D481" s="33"/>
    </row>
    <row r="482">
      <c r="A482" s="29" t="str">
        <f>Input!A482</f>
        <v/>
      </c>
      <c r="B482" s="30" t="str">
        <f>Input!B482</f>
        <v/>
      </c>
      <c r="C482" s="29" t="str">
        <f>Input!C482</f>
        <v/>
      </c>
      <c r="D482" s="33"/>
    </row>
    <row r="483">
      <c r="A483" s="29" t="str">
        <f>Input!A483</f>
        <v/>
      </c>
      <c r="B483" s="30" t="str">
        <f>Input!B483</f>
        <v/>
      </c>
      <c r="C483" s="29" t="str">
        <f>Input!C483</f>
        <v/>
      </c>
      <c r="D483" s="33"/>
    </row>
    <row r="484">
      <c r="A484" s="29" t="str">
        <f>Input!A484</f>
        <v/>
      </c>
      <c r="B484" s="30" t="str">
        <f>Input!B484</f>
        <v/>
      </c>
      <c r="C484" s="29" t="str">
        <f>Input!C484</f>
        <v/>
      </c>
      <c r="D484" s="33"/>
    </row>
    <row r="485">
      <c r="A485" s="29" t="str">
        <f>Input!A485</f>
        <v/>
      </c>
      <c r="B485" s="30" t="str">
        <f>Input!B485</f>
        <v/>
      </c>
      <c r="C485" s="29" t="str">
        <f>Input!C485</f>
        <v/>
      </c>
      <c r="D485" s="33"/>
    </row>
    <row r="486">
      <c r="A486" s="29" t="str">
        <f>Input!A486</f>
        <v/>
      </c>
      <c r="B486" s="30" t="str">
        <f>Input!B486</f>
        <v/>
      </c>
      <c r="C486" s="29" t="str">
        <f>Input!C486</f>
        <v/>
      </c>
      <c r="D486" s="33"/>
    </row>
    <row r="487">
      <c r="A487" s="29" t="str">
        <f>Input!A487</f>
        <v/>
      </c>
      <c r="B487" s="30" t="str">
        <f>Input!B487</f>
        <v/>
      </c>
      <c r="C487" s="29" t="str">
        <f>Input!C487</f>
        <v/>
      </c>
      <c r="D487" s="33"/>
    </row>
    <row r="488">
      <c r="A488" s="29" t="str">
        <f>Input!A488</f>
        <v/>
      </c>
      <c r="B488" s="30" t="str">
        <f>Input!B488</f>
        <v/>
      </c>
      <c r="C488" s="29" t="str">
        <f>Input!C488</f>
        <v/>
      </c>
      <c r="D488" s="33"/>
    </row>
    <row r="489">
      <c r="A489" s="29" t="str">
        <f>Input!A489</f>
        <v/>
      </c>
      <c r="B489" s="30" t="str">
        <f>Input!B489</f>
        <v/>
      </c>
      <c r="C489" s="29" t="str">
        <f>Input!C489</f>
        <v/>
      </c>
      <c r="D489" s="33"/>
    </row>
    <row r="490">
      <c r="A490" s="29" t="str">
        <f>Input!A490</f>
        <v/>
      </c>
      <c r="B490" s="30" t="str">
        <f>Input!B490</f>
        <v/>
      </c>
      <c r="C490" s="29" t="str">
        <f>Input!C490</f>
        <v/>
      </c>
      <c r="D490" s="33"/>
    </row>
    <row r="491">
      <c r="A491" s="26" t="s">
        <v>2</v>
      </c>
      <c r="B491" s="27" t="s">
        <v>3</v>
      </c>
      <c r="C491" s="26" t="s">
        <v>4</v>
      </c>
      <c r="D491" s="28" t="s">
        <v>108</v>
      </c>
    </row>
    <row r="492">
      <c r="A492" s="29" t="str">
        <f>Input!A492</f>
        <v/>
      </c>
      <c r="B492" s="30" t="str">
        <f>Input!B492</f>
        <v/>
      </c>
      <c r="C492" s="29" t="str">
        <f>Input!C492</f>
        <v/>
      </c>
      <c r="D492" s="33"/>
    </row>
    <row r="493">
      <c r="A493" s="29" t="str">
        <f>Input!A493</f>
        <v/>
      </c>
      <c r="B493" s="30" t="str">
        <f>Input!B493</f>
        <v/>
      </c>
      <c r="C493" s="29" t="str">
        <f>Input!C493</f>
        <v/>
      </c>
      <c r="D493" s="33"/>
    </row>
    <row r="494">
      <c r="A494" s="29" t="str">
        <f>Input!A494</f>
        <v/>
      </c>
      <c r="B494" s="30" t="str">
        <f>Input!B494</f>
        <v/>
      </c>
      <c r="C494" s="29" t="str">
        <f>Input!C494</f>
        <v/>
      </c>
      <c r="D494" s="33"/>
    </row>
    <row r="495">
      <c r="A495" s="29" t="str">
        <f>Input!A495</f>
        <v/>
      </c>
      <c r="B495" s="30" t="str">
        <f>Input!B495</f>
        <v/>
      </c>
      <c r="C495" s="29" t="str">
        <f>Input!C495</f>
        <v/>
      </c>
      <c r="D495" s="33"/>
    </row>
    <row r="496">
      <c r="A496" s="29" t="str">
        <f>Input!A496</f>
        <v/>
      </c>
      <c r="B496" s="30" t="str">
        <f>Input!B496</f>
        <v/>
      </c>
      <c r="C496" s="29" t="str">
        <f>Input!C496</f>
        <v/>
      </c>
      <c r="D496" s="33"/>
    </row>
    <row r="497">
      <c r="A497" s="29" t="str">
        <f>Input!A497</f>
        <v/>
      </c>
      <c r="B497" s="30" t="str">
        <f>Input!B497</f>
        <v/>
      </c>
      <c r="C497" s="29" t="str">
        <f>Input!C497</f>
        <v/>
      </c>
      <c r="D497" s="33"/>
    </row>
    <row r="498">
      <c r="A498" s="29" t="str">
        <f>Input!A498</f>
        <v/>
      </c>
      <c r="B498" s="30" t="str">
        <f>Input!B498</f>
        <v/>
      </c>
      <c r="C498" s="29" t="str">
        <f>Input!C498</f>
        <v/>
      </c>
      <c r="D498" s="33"/>
    </row>
    <row r="499">
      <c r="A499" s="29" t="str">
        <f>Input!A499</f>
        <v/>
      </c>
      <c r="B499" s="30" t="str">
        <f>Input!B499</f>
        <v/>
      </c>
      <c r="C499" s="29" t="str">
        <f>Input!C499</f>
        <v/>
      </c>
      <c r="D499" s="33"/>
    </row>
    <row r="500">
      <c r="A500" s="29" t="str">
        <f>Input!A500</f>
        <v/>
      </c>
      <c r="B500" s="30" t="str">
        <f>Input!B500</f>
        <v/>
      </c>
      <c r="C500" s="29" t="str">
        <f>Input!C500</f>
        <v/>
      </c>
      <c r="D500" s="33"/>
    </row>
    <row r="501">
      <c r="A501" s="29" t="str">
        <f>Input!A501</f>
        <v/>
      </c>
      <c r="B501" s="30" t="str">
        <f>Input!B501</f>
        <v/>
      </c>
      <c r="C501" s="29" t="str">
        <f>Input!C501</f>
        <v/>
      </c>
      <c r="D501" s="33"/>
    </row>
    <row r="502">
      <c r="A502" s="29" t="str">
        <f>Input!A502</f>
        <v/>
      </c>
      <c r="B502" s="30" t="str">
        <f>Input!B502</f>
        <v/>
      </c>
      <c r="C502" s="29" t="str">
        <f>Input!C502</f>
        <v/>
      </c>
      <c r="D502" s="33"/>
    </row>
    <row r="503">
      <c r="A503" s="29" t="str">
        <f>Input!A503</f>
        <v/>
      </c>
      <c r="B503" s="30" t="str">
        <f>Input!B503</f>
        <v/>
      </c>
      <c r="C503" s="29" t="str">
        <f>Input!C503</f>
        <v/>
      </c>
      <c r="D503" s="33"/>
    </row>
    <row r="504">
      <c r="A504" s="29" t="str">
        <f>Input!A504</f>
        <v/>
      </c>
      <c r="B504" s="30" t="str">
        <f>Input!B504</f>
        <v/>
      </c>
      <c r="C504" s="29" t="str">
        <f>Input!C504</f>
        <v/>
      </c>
      <c r="D504" s="33"/>
    </row>
    <row r="505">
      <c r="A505" s="29" t="str">
        <f>Input!A505</f>
        <v/>
      </c>
      <c r="B505" s="30" t="str">
        <f>Input!B505</f>
        <v/>
      </c>
      <c r="C505" s="29" t="str">
        <f>Input!C505</f>
        <v/>
      </c>
      <c r="D505" s="33"/>
    </row>
    <row r="506">
      <c r="A506" s="29" t="str">
        <f>Input!A506</f>
        <v/>
      </c>
      <c r="B506" s="30" t="str">
        <f>Input!B506</f>
        <v/>
      </c>
      <c r="C506" s="29" t="str">
        <f>Input!C506</f>
        <v/>
      </c>
      <c r="D506" s="33"/>
    </row>
    <row r="507">
      <c r="A507" s="29" t="str">
        <f>Input!A507</f>
        <v/>
      </c>
      <c r="B507" s="30" t="str">
        <f>Input!B507</f>
        <v/>
      </c>
      <c r="C507" s="29" t="str">
        <f>Input!C507</f>
        <v/>
      </c>
      <c r="D507" s="33"/>
    </row>
    <row r="508">
      <c r="A508" s="29" t="str">
        <f>Input!A508</f>
        <v/>
      </c>
      <c r="B508" s="30" t="str">
        <f>Input!B508</f>
        <v/>
      </c>
      <c r="C508" s="29" t="str">
        <f>Input!C508</f>
        <v/>
      </c>
      <c r="D508" s="33"/>
    </row>
    <row r="509">
      <c r="A509" s="29" t="str">
        <f>Input!A509</f>
        <v/>
      </c>
      <c r="B509" s="30" t="str">
        <f>Input!B509</f>
        <v/>
      </c>
      <c r="C509" s="29" t="str">
        <f>Input!C509</f>
        <v/>
      </c>
      <c r="D509" s="33"/>
    </row>
    <row r="510">
      <c r="A510" s="29" t="str">
        <f>Input!A510</f>
        <v/>
      </c>
      <c r="B510" s="30" t="str">
        <f>Input!B510</f>
        <v/>
      </c>
      <c r="C510" s="29" t="str">
        <f>Input!C510</f>
        <v/>
      </c>
      <c r="D510" s="33"/>
    </row>
    <row r="511">
      <c r="A511" s="29" t="str">
        <f>Input!A511</f>
        <v/>
      </c>
      <c r="B511" s="30" t="str">
        <f>Input!B511</f>
        <v/>
      </c>
      <c r="C511" s="29" t="str">
        <f>Input!C511</f>
        <v/>
      </c>
      <c r="D511" s="33"/>
    </row>
    <row r="512">
      <c r="A512" s="29" t="str">
        <f>Input!A512</f>
        <v/>
      </c>
      <c r="B512" s="30" t="str">
        <f>Input!B512</f>
        <v/>
      </c>
      <c r="C512" s="29" t="str">
        <f>Input!C512</f>
        <v/>
      </c>
      <c r="D512" s="33"/>
    </row>
    <row r="513">
      <c r="A513" s="29" t="str">
        <f>Input!A513</f>
        <v/>
      </c>
      <c r="B513" s="30" t="str">
        <f>Input!B513</f>
        <v/>
      </c>
      <c r="C513" s="29" t="str">
        <f>Input!C513</f>
        <v/>
      </c>
      <c r="D513" s="33"/>
    </row>
    <row r="514">
      <c r="A514" s="29" t="str">
        <f>Input!A514</f>
        <v/>
      </c>
      <c r="B514" s="30" t="str">
        <f>Input!B514</f>
        <v/>
      </c>
      <c r="C514" s="29" t="str">
        <f>Input!C514</f>
        <v/>
      </c>
      <c r="D514" s="33"/>
    </row>
    <row r="515">
      <c r="A515" s="29" t="str">
        <f>Input!A515</f>
        <v/>
      </c>
      <c r="B515" s="30" t="str">
        <f>Input!B515</f>
        <v/>
      </c>
      <c r="C515" s="29" t="str">
        <f>Input!C515</f>
        <v/>
      </c>
      <c r="D515" s="33"/>
    </row>
    <row r="516">
      <c r="A516" s="29" t="str">
        <f>Input!A516</f>
        <v/>
      </c>
      <c r="B516" s="30" t="str">
        <f>Input!B516</f>
        <v/>
      </c>
      <c r="C516" s="29" t="str">
        <f>Input!C516</f>
        <v/>
      </c>
      <c r="D516" s="33"/>
    </row>
    <row r="517">
      <c r="A517" s="29" t="str">
        <f>Input!A517</f>
        <v/>
      </c>
      <c r="B517" s="30" t="str">
        <f>Input!B517</f>
        <v/>
      </c>
      <c r="C517" s="29" t="str">
        <f>Input!C517</f>
        <v/>
      </c>
      <c r="D517" s="33"/>
    </row>
    <row r="518">
      <c r="A518" s="29" t="str">
        <f>Input!A518</f>
        <v/>
      </c>
      <c r="B518" s="30" t="str">
        <f>Input!B518</f>
        <v/>
      </c>
      <c r="C518" s="29" t="str">
        <f>Input!C518</f>
        <v/>
      </c>
      <c r="D518" s="33"/>
    </row>
    <row r="519">
      <c r="A519" s="29" t="str">
        <f>Input!A519</f>
        <v/>
      </c>
      <c r="B519" s="30" t="str">
        <f>Input!B519</f>
        <v/>
      </c>
      <c r="C519" s="29" t="str">
        <f>Input!C519</f>
        <v/>
      </c>
      <c r="D519" s="33"/>
    </row>
    <row r="520">
      <c r="A520" s="29" t="str">
        <f>Input!A520</f>
        <v/>
      </c>
      <c r="B520" s="30" t="str">
        <f>Input!B520</f>
        <v/>
      </c>
      <c r="C520" s="29" t="str">
        <f>Input!C520</f>
        <v/>
      </c>
      <c r="D520" s="33"/>
    </row>
    <row r="521">
      <c r="A521" s="29" t="str">
        <f>Input!A521</f>
        <v/>
      </c>
      <c r="B521" s="30" t="str">
        <f>Input!B521</f>
        <v/>
      </c>
      <c r="C521" s="29" t="str">
        <f>Input!C521</f>
        <v/>
      </c>
      <c r="D521" s="33"/>
    </row>
    <row r="522">
      <c r="A522" s="29" t="str">
        <f>Input!A522</f>
        <v/>
      </c>
      <c r="B522" s="30" t="str">
        <f>Input!B522</f>
        <v/>
      </c>
      <c r="C522" s="29" t="str">
        <f>Input!C522</f>
        <v/>
      </c>
      <c r="D522" s="33"/>
    </row>
    <row r="523">
      <c r="A523" s="29" t="str">
        <f>Input!A523</f>
        <v/>
      </c>
      <c r="B523" s="30" t="str">
        <f>Input!B523</f>
        <v/>
      </c>
      <c r="C523" s="29" t="str">
        <f>Input!C523</f>
        <v/>
      </c>
      <c r="D523" s="33"/>
    </row>
    <row r="524">
      <c r="A524" s="29" t="str">
        <f>Input!A524</f>
        <v/>
      </c>
      <c r="B524" s="30" t="str">
        <f>Input!B524</f>
        <v/>
      </c>
      <c r="C524" s="29" t="str">
        <f>Input!C524</f>
        <v/>
      </c>
      <c r="D524" s="33"/>
    </row>
    <row r="525">
      <c r="A525" s="29" t="str">
        <f>Input!A525</f>
        <v/>
      </c>
      <c r="B525" s="30" t="str">
        <f>Input!B525</f>
        <v/>
      </c>
      <c r="C525" s="29" t="str">
        <f>Input!C525</f>
        <v/>
      </c>
      <c r="D525" s="33"/>
    </row>
    <row r="526">
      <c r="A526" s="29" t="str">
        <f>Input!A526</f>
        <v/>
      </c>
      <c r="B526" s="30" t="str">
        <f>Input!B526</f>
        <v/>
      </c>
      <c r="C526" s="29" t="str">
        <f>Input!C526</f>
        <v/>
      </c>
      <c r="D526" s="33"/>
    </row>
    <row r="527">
      <c r="A527" s="29" t="str">
        <f>Input!A527</f>
        <v/>
      </c>
      <c r="B527" s="30" t="str">
        <f>Input!B527</f>
        <v/>
      </c>
      <c r="C527" s="29" t="str">
        <f>Input!C527</f>
        <v/>
      </c>
      <c r="D527" s="33"/>
    </row>
    <row r="528">
      <c r="A528" s="29" t="str">
        <f>Input!A528</f>
        <v/>
      </c>
      <c r="B528" s="30" t="str">
        <f>Input!B528</f>
        <v/>
      </c>
      <c r="C528" s="29" t="str">
        <f>Input!C528</f>
        <v/>
      </c>
      <c r="D528" s="33"/>
    </row>
    <row r="529">
      <c r="A529" s="29" t="str">
        <f>Input!A529</f>
        <v/>
      </c>
      <c r="B529" s="30" t="str">
        <f>Input!B529</f>
        <v/>
      </c>
      <c r="C529" s="29" t="str">
        <f>Input!C529</f>
        <v/>
      </c>
      <c r="D529" s="33"/>
    </row>
    <row r="530">
      <c r="A530" s="29" t="str">
        <f>Input!A530</f>
        <v/>
      </c>
      <c r="B530" s="30" t="str">
        <f>Input!B530</f>
        <v/>
      </c>
      <c r="C530" s="29" t="str">
        <f>Input!C530</f>
        <v/>
      </c>
      <c r="D530" s="33"/>
    </row>
    <row r="531">
      <c r="A531" s="29" t="str">
        <f>Input!A531</f>
        <v/>
      </c>
      <c r="B531" s="30" t="str">
        <f>Input!B531</f>
        <v/>
      </c>
      <c r="C531" s="29" t="str">
        <f>Input!C531</f>
        <v/>
      </c>
      <c r="D531" s="33"/>
    </row>
    <row r="532">
      <c r="A532" s="29" t="str">
        <f>Input!A532</f>
        <v/>
      </c>
      <c r="B532" s="30" t="str">
        <f>Input!B532</f>
        <v/>
      </c>
      <c r="C532" s="29" t="str">
        <f>Input!C532</f>
        <v/>
      </c>
      <c r="D532" s="33"/>
    </row>
    <row r="533">
      <c r="A533" s="29" t="str">
        <f>Input!A533</f>
        <v/>
      </c>
      <c r="B533" s="30" t="str">
        <f>Input!B533</f>
        <v/>
      </c>
      <c r="C533" s="29" t="str">
        <f>Input!C533</f>
        <v/>
      </c>
      <c r="D533" s="33"/>
    </row>
    <row r="534">
      <c r="A534" s="29" t="str">
        <f>Input!A534</f>
        <v/>
      </c>
      <c r="B534" s="30" t="str">
        <f>Input!B534</f>
        <v/>
      </c>
      <c r="C534" s="29" t="str">
        <f>Input!C534</f>
        <v/>
      </c>
      <c r="D534" s="33"/>
    </row>
    <row r="535">
      <c r="A535" s="29" t="str">
        <f>Input!A535</f>
        <v/>
      </c>
      <c r="B535" s="30" t="str">
        <f>Input!B535</f>
        <v/>
      </c>
      <c r="C535" s="29" t="str">
        <f>Input!C535</f>
        <v/>
      </c>
      <c r="D535" s="33"/>
    </row>
    <row r="536">
      <c r="A536" s="29" t="str">
        <f>Input!A536</f>
        <v/>
      </c>
      <c r="B536" s="30" t="str">
        <f>Input!B536</f>
        <v/>
      </c>
      <c r="C536" s="29" t="str">
        <f>Input!C536</f>
        <v/>
      </c>
      <c r="D536" s="33"/>
    </row>
    <row r="537">
      <c r="A537" s="29" t="str">
        <f>Input!A537</f>
        <v/>
      </c>
      <c r="B537" s="30" t="str">
        <f>Input!B537</f>
        <v/>
      </c>
      <c r="C537" s="29" t="str">
        <f>Input!C537</f>
        <v/>
      </c>
      <c r="D537" s="33"/>
    </row>
    <row r="538">
      <c r="A538" s="29" t="str">
        <f>Input!A538</f>
        <v/>
      </c>
      <c r="B538" s="30" t="str">
        <f>Input!B538</f>
        <v/>
      </c>
      <c r="C538" s="29" t="str">
        <f>Input!C538</f>
        <v/>
      </c>
      <c r="D538" s="33"/>
    </row>
    <row r="539">
      <c r="A539" s="29" t="str">
        <f>Input!A539</f>
        <v/>
      </c>
      <c r="B539" s="30" t="str">
        <f>Input!B539</f>
        <v/>
      </c>
      <c r="C539" s="29" t="str">
        <f>Input!C539</f>
        <v/>
      </c>
      <c r="D539" s="33"/>
    </row>
    <row r="540">
      <c r="A540" s="29" t="str">
        <f>Input!A540</f>
        <v/>
      </c>
      <c r="B540" s="30" t="str">
        <f>Input!B540</f>
        <v/>
      </c>
      <c r="C540" s="29" t="str">
        <f>Input!C540</f>
        <v/>
      </c>
      <c r="D540" s="33"/>
    </row>
    <row r="541">
      <c r="A541" s="29" t="str">
        <f>Input!A541</f>
        <v/>
      </c>
      <c r="B541" s="30" t="str">
        <f>Input!B541</f>
        <v/>
      </c>
      <c r="C541" s="29" t="str">
        <f>Input!C541</f>
        <v/>
      </c>
      <c r="D541" s="33"/>
    </row>
    <row r="542">
      <c r="A542" s="29" t="str">
        <f>Input!A542</f>
        <v/>
      </c>
      <c r="B542" s="30" t="str">
        <f>Input!B542</f>
        <v/>
      </c>
      <c r="C542" s="29" t="str">
        <f>Input!C542</f>
        <v/>
      </c>
      <c r="D542" s="33"/>
    </row>
    <row r="543">
      <c r="A543" s="29" t="str">
        <f>Input!A543</f>
        <v/>
      </c>
      <c r="B543" s="30" t="str">
        <f>Input!B543</f>
        <v/>
      </c>
      <c r="C543" s="29" t="str">
        <f>Input!C543</f>
        <v/>
      </c>
      <c r="D543" s="33"/>
    </row>
    <row r="544">
      <c r="A544" s="29" t="str">
        <f>Input!A544</f>
        <v/>
      </c>
      <c r="B544" s="30" t="str">
        <f>Input!B544</f>
        <v/>
      </c>
      <c r="C544" s="29" t="str">
        <f>Input!C544</f>
        <v/>
      </c>
      <c r="D544" s="33"/>
    </row>
    <row r="545">
      <c r="A545" s="29" t="str">
        <f>Input!A545</f>
        <v/>
      </c>
      <c r="B545" s="30" t="str">
        <f>Input!B545</f>
        <v/>
      </c>
      <c r="C545" s="29" t="str">
        <f>Input!C545</f>
        <v/>
      </c>
      <c r="D545" s="33"/>
    </row>
    <row r="546">
      <c r="A546" s="29" t="str">
        <f>Input!A546</f>
        <v/>
      </c>
      <c r="B546" s="30" t="str">
        <f>Input!B546</f>
        <v/>
      </c>
      <c r="C546" s="29" t="str">
        <f>Input!C546</f>
        <v/>
      </c>
      <c r="D546" s="33"/>
    </row>
    <row r="547">
      <c r="A547" s="29" t="str">
        <f>Input!A547</f>
        <v/>
      </c>
      <c r="B547" s="30" t="str">
        <f>Input!B547</f>
        <v/>
      </c>
      <c r="C547" s="29" t="str">
        <f>Input!C547</f>
        <v/>
      </c>
      <c r="D547" s="33"/>
    </row>
    <row r="548">
      <c r="A548" s="29" t="str">
        <f>Input!A548</f>
        <v/>
      </c>
      <c r="B548" s="30" t="str">
        <f>Input!B548</f>
        <v/>
      </c>
      <c r="C548" s="29" t="str">
        <f>Input!C548</f>
        <v/>
      </c>
      <c r="D548" s="33"/>
    </row>
    <row r="549">
      <c r="A549" s="29" t="str">
        <f>Input!A549</f>
        <v/>
      </c>
      <c r="B549" s="30" t="str">
        <f>Input!B549</f>
        <v/>
      </c>
      <c r="C549" s="29" t="str">
        <f>Input!C549</f>
        <v/>
      </c>
      <c r="D549" s="33"/>
    </row>
    <row r="550">
      <c r="A550" s="29" t="str">
        <f>Input!A550</f>
        <v/>
      </c>
      <c r="B550" s="30" t="str">
        <f>Input!B550</f>
        <v/>
      </c>
      <c r="C550" s="29" t="str">
        <f>Input!C550</f>
        <v/>
      </c>
      <c r="D550" s="33"/>
    </row>
    <row r="551">
      <c r="A551" s="29" t="str">
        <f>Input!A551</f>
        <v/>
      </c>
      <c r="B551" s="30" t="str">
        <f>Input!B551</f>
        <v/>
      </c>
      <c r="C551" s="29" t="str">
        <f>Input!C551</f>
        <v/>
      </c>
      <c r="D551" s="33"/>
    </row>
    <row r="552">
      <c r="A552" s="29" t="str">
        <f>Input!A552</f>
        <v/>
      </c>
      <c r="B552" s="30" t="str">
        <f>Input!B552</f>
        <v/>
      </c>
      <c r="C552" s="29" t="str">
        <f>Input!C552</f>
        <v/>
      </c>
      <c r="D552" s="33"/>
    </row>
    <row r="553">
      <c r="A553" s="29" t="str">
        <f>Input!A553</f>
        <v/>
      </c>
      <c r="B553" s="30" t="str">
        <f>Input!B553</f>
        <v/>
      </c>
      <c r="C553" s="29" t="str">
        <f>Input!C553</f>
        <v/>
      </c>
      <c r="D553" s="33"/>
    </row>
    <row r="554">
      <c r="A554" s="29" t="str">
        <f>Input!A554</f>
        <v/>
      </c>
      <c r="B554" s="30" t="str">
        <f>Input!B554</f>
        <v/>
      </c>
      <c r="C554" s="29" t="str">
        <f>Input!C554</f>
        <v/>
      </c>
      <c r="D554" s="33"/>
    </row>
    <row r="555">
      <c r="A555" s="29" t="str">
        <f>Input!A555</f>
        <v/>
      </c>
      <c r="B555" s="30" t="str">
        <f>Input!B555</f>
        <v/>
      </c>
      <c r="C555" s="29" t="str">
        <f>Input!C555</f>
        <v/>
      </c>
      <c r="D555" s="33"/>
    </row>
    <row r="556">
      <c r="A556" s="29" t="str">
        <f>Input!A556</f>
        <v/>
      </c>
      <c r="B556" s="30" t="str">
        <f>Input!B556</f>
        <v/>
      </c>
      <c r="C556" s="29" t="str">
        <f>Input!C556</f>
        <v/>
      </c>
      <c r="D556" s="33"/>
    </row>
    <row r="557">
      <c r="A557" s="29" t="str">
        <f>Input!A557</f>
        <v/>
      </c>
      <c r="B557" s="30" t="str">
        <f>Input!B557</f>
        <v/>
      </c>
      <c r="C557" s="29" t="str">
        <f>Input!C557</f>
        <v/>
      </c>
      <c r="D557" s="33"/>
    </row>
    <row r="558">
      <c r="A558" s="29" t="str">
        <f>Input!A558</f>
        <v/>
      </c>
      <c r="B558" s="30" t="str">
        <f>Input!B558</f>
        <v/>
      </c>
      <c r="C558" s="29" t="str">
        <f>Input!C558</f>
        <v/>
      </c>
      <c r="D558" s="33"/>
    </row>
    <row r="559">
      <c r="A559" s="29" t="str">
        <f>Input!A559</f>
        <v/>
      </c>
      <c r="B559" s="30" t="str">
        <f>Input!B559</f>
        <v/>
      </c>
      <c r="C559" s="29" t="str">
        <f>Input!C559</f>
        <v/>
      </c>
      <c r="D559" s="33"/>
    </row>
    <row r="560">
      <c r="A560" s="29" t="str">
        <f>Input!A560</f>
        <v/>
      </c>
      <c r="B560" s="30" t="str">
        <f>Input!B560</f>
        <v/>
      </c>
      <c r="C560" s="29" t="str">
        <f>Input!C560</f>
        <v/>
      </c>
      <c r="D560" s="33"/>
    </row>
    <row r="561">
      <c r="A561" s="26" t="s">
        <v>2</v>
      </c>
      <c r="B561" s="27" t="s">
        <v>3</v>
      </c>
      <c r="C561" s="26" t="s">
        <v>4</v>
      </c>
      <c r="D561" s="28" t="s">
        <v>108</v>
      </c>
    </row>
    <row r="562">
      <c r="A562" s="29" t="str">
        <f>Input!A562</f>
        <v/>
      </c>
      <c r="B562" s="30" t="str">
        <f>Input!B562</f>
        <v/>
      </c>
      <c r="C562" s="29" t="str">
        <f>Input!C562</f>
        <v/>
      </c>
      <c r="D562" s="33"/>
    </row>
    <row r="563">
      <c r="A563" s="29" t="str">
        <f>Input!A563</f>
        <v/>
      </c>
      <c r="B563" s="30" t="str">
        <f>Input!B563</f>
        <v/>
      </c>
      <c r="C563" s="29" t="str">
        <f>Input!C563</f>
        <v/>
      </c>
      <c r="D563" s="33"/>
    </row>
    <row r="564">
      <c r="A564" s="29" t="str">
        <f>Input!A564</f>
        <v/>
      </c>
      <c r="B564" s="30" t="str">
        <f>Input!B564</f>
        <v/>
      </c>
      <c r="C564" s="29" t="str">
        <f>Input!C564</f>
        <v/>
      </c>
      <c r="D564" s="33"/>
    </row>
    <row r="565">
      <c r="A565" s="29" t="str">
        <f>Input!A565</f>
        <v/>
      </c>
      <c r="B565" s="30" t="str">
        <f>Input!B565</f>
        <v/>
      </c>
      <c r="C565" s="29" t="str">
        <f>Input!C565</f>
        <v/>
      </c>
      <c r="D565" s="33"/>
    </row>
    <row r="566">
      <c r="A566" s="29" t="str">
        <f>Input!A566</f>
        <v/>
      </c>
      <c r="B566" s="30" t="str">
        <f>Input!B566</f>
        <v/>
      </c>
      <c r="C566" s="29" t="str">
        <f>Input!C566</f>
        <v/>
      </c>
      <c r="D566" s="33"/>
    </row>
    <row r="567">
      <c r="A567" s="29" t="str">
        <f>Input!A567</f>
        <v/>
      </c>
      <c r="B567" s="30" t="str">
        <f>Input!B567</f>
        <v/>
      </c>
      <c r="C567" s="29" t="str">
        <f>Input!C567</f>
        <v/>
      </c>
      <c r="D567" s="33"/>
    </row>
    <row r="568">
      <c r="A568" s="29" t="str">
        <f>Input!A568</f>
        <v/>
      </c>
      <c r="B568" s="30" t="str">
        <f>Input!B568</f>
        <v/>
      </c>
      <c r="C568" s="29" t="str">
        <f>Input!C568</f>
        <v/>
      </c>
      <c r="D568" s="33"/>
    </row>
    <row r="569">
      <c r="A569" s="29" t="str">
        <f>Input!A569</f>
        <v/>
      </c>
      <c r="B569" s="30" t="str">
        <f>Input!B569</f>
        <v/>
      </c>
      <c r="C569" s="29" t="str">
        <f>Input!C569</f>
        <v/>
      </c>
      <c r="D569" s="33"/>
    </row>
    <row r="570">
      <c r="A570" s="29" t="str">
        <f>Input!A570</f>
        <v/>
      </c>
      <c r="B570" s="30" t="str">
        <f>Input!B570</f>
        <v/>
      </c>
      <c r="C570" s="29" t="str">
        <f>Input!C570</f>
        <v/>
      </c>
      <c r="D570" s="33"/>
    </row>
    <row r="571">
      <c r="A571" s="29" t="str">
        <f>Input!A571</f>
        <v/>
      </c>
      <c r="B571" s="30" t="str">
        <f>Input!B571</f>
        <v/>
      </c>
      <c r="C571" s="29" t="str">
        <f>Input!C571</f>
        <v/>
      </c>
      <c r="D571" s="33"/>
    </row>
    <row r="572">
      <c r="A572" s="29" t="str">
        <f>Input!A572</f>
        <v/>
      </c>
      <c r="B572" s="30" t="str">
        <f>Input!B572</f>
        <v/>
      </c>
      <c r="C572" s="29" t="str">
        <f>Input!C572</f>
        <v/>
      </c>
      <c r="D572" s="33"/>
    </row>
    <row r="573">
      <c r="A573" s="29" t="str">
        <f>Input!A573</f>
        <v/>
      </c>
      <c r="B573" s="30" t="str">
        <f>Input!B573</f>
        <v/>
      </c>
      <c r="C573" s="29" t="str">
        <f>Input!C573</f>
        <v/>
      </c>
      <c r="D573" s="33"/>
    </row>
    <row r="574">
      <c r="A574" s="29" t="str">
        <f>Input!A574</f>
        <v/>
      </c>
      <c r="B574" s="30" t="str">
        <f>Input!B574</f>
        <v/>
      </c>
      <c r="C574" s="29" t="str">
        <f>Input!C574</f>
        <v/>
      </c>
      <c r="D574" s="33"/>
    </row>
    <row r="575">
      <c r="A575" s="29" t="str">
        <f>Input!A575</f>
        <v/>
      </c>
      <c r="B575" s="30" t="str">
        <f>Input!B575</f>
        <v/>
      </c>
      <c r="C575" s="29" t="str">
        <f>Input!C575</f>
        <v/>
      </c>
      <c r="D575" s="33"/>
    </row>
    <row r="576">
      <c r="A576" s="29" t="str">
        <f>Input!A576</f>
        <v/>
      </c>
      <c r="B576" s="30" t="str">
        <f>Input!B576</f>
        <v/>
      </c>
      <c r="C576" s="29" t="str">
        <f>Input!C576</f>
        <v/>
      </c>
      <c r="D576" s="33"/>
    </row>
    <row r="577">
      <c r="A577" s="29" t="str">
        <f>Input!A577</f>
        <v/>
      </c>
      <c r="B577" s="30" t="str">
        <f>Input!B577</f>
        <v/>
      </c>
      <c r="C577" s="29" t="str">
        <f>Input!C577</f>
        <v/>
      </c>
      <c r="D577" s="33"/>
    </row>
    <row r="578">
      <c r="A578" s="29" t="str">
        <f>Input!A578</f>
        <v/>
      </c>
      <c r="B578" s="30" t="str">
        <f>Input!B578</f>
        <v/>
      </c>
      <c r="C578" s="29" t="str">
        <f>Input!C578</f>
        <v/>
      </c>
      <c r="D578" s="33"/>
    </row>
    <row r="579">
      <c r="A579" s="29" t="str">
        <f>Input!A579</f>
        <v/>
      </c>
      <c r="B579" s="30" t="str">
        <f>Input!B579</f>
        <v/>
      </c>
      <c r="C579" s="29" t="str">
        <f>Input!C579</f>
        <v/>
      </c>
      <c r="D579" s="33"/>
    </row>
    <row r="580">
      <c r="A580" s="29" t="str">
        <f>Input!A580</f>
        <v/>
      </c>
      <c r="B580" s="30" t="str">
        <f>Input!B580</f>
        <v/>
      </c>
      <c r="C580" s="29" t="str">
        <f>Input!C580</f>
        <v/>
      </c>
      <c r="D580" s="33"/>
    </row>
    <row r="581">
      <c r="A581" s="29" t="str">
        <f>Input!A581</f>
        <v/>
      </c>
      <c r="B581" s="30" t="str">
        <f>Input!B581</f>
        <v/>
      </c>
      <c r="C581" s="29" t="str">
        <f>Input!C581</f>
        <v/>
      </c>
      <c r="D581" s="33"/>
    </row>
    <row r="582">
      <c r="A582" s="29" t="str">
        <f>Input!A582</f>
        <v/>
      </c>
      <c r="B582" s="30" t="str">
        <f>Input!B582</f>
        <v/>
      </c>
      <c r="C582" s="29" t="str">
        <f>Input!C582</f>
        <v/>
      </c>
      <c r="D582" s="33"/>
    </row>
    <row r="583">
      <c r="A583" s="29" t="str">
        <f>Input!A583</f>
        <v/>
      </c>
      <c r="B583" s="30" t="str">
        <f>Input!B583</f>
        <v/>
      </c>
      <c r="C583" s="29" t="str">
        <f>Input!C583</f>
        <v/>
      </c>
      <c r="D583" s="33"/>
    </row>
    <row r="584">
      <c r="A584" s="29" t="str">
        <f>Input!A584</f>
        <v/>
      </c>
      <c r="B584" s="30" t="str">
        <f>Input!B584</f>
        <v/>
      </c>
      <c r="C584" s="29" t="str">
        <f>Input!C584</f>
        <v/>
      </c>
      <c r="D584" s="33"/>
    </row>
    <row r="585">
      <c r="A585" s="29" t="str">
        <f>Input!A585</f>
        <v/>
      </c>
      <c r="B585" s="30" t="str">
        <f>Input!B585</f>
        <v/>
      </c>
      <c r="C585" s="29" t="str">
        <f>Input!C585</f>
        <v/>
      </c>
      <c r="D585" s="33"/>
    </row>
    <row r="586">
      <c r="A586" s="29" t="str">
        <f>Input!A586</f>
        <v/>
      </c>
      <c r="B586" s="30" t="str">
        <f>Input!B586</f>
        <v/>
      </c>
      <c r="C586" s="29" t="str">
        <f>Input!C586</f>
        <v/>
      </c>
      <c r="D586" s="33"/>
    </row>
    <row r="587">
      <c r="A587" s="29" t="str">
        <f>Input!A587</f>
        <v/>
      </c>
      <c r="B587" s="30" t="str">
        <f>Input!B587</f>
        <v/>
      </c>
      <c r="C587" s="29" t="str">
        <f>Input!C587</f>
        <v/>
      </c>
      <c r="D587" s="33"/>
    </row>
    <row r="588">
      <c r="A588" s="29" t="str">
        <f>Input!A588</f>
        <v/>
      </c>
      <c r="B588" s="30" t="str">
        <f>Input!B588</f>
        <v/>
      </c>
      <c r="C588" s="29" t="str">
        <f>Input!C588</f>
        <v/>
      </c>
      <c r="D588" s="33"/>
    </row>
    <row r="589">
      <c r="A589" s="29" t="str">
        <f>Input!A589</f>
        <v/>
      </c>
      <c r="B589" s="30" t="str">
        <f>Input!B589</f>
        <v/>
      </c>
      <c r="C589" s="29" t="str">
        <f>Input!C589</f>
        <v/>
      </c>
      <c r="D589" s="33"/>
    </row>
    <row r="590">
      <c r="A590" s="29" t="str">
        <f>Input!A590</f>
        <v/>
      </c>
      <c r="B590" s="30" t="str">
        <f>Input!B590</f>
        <v/>
      </c>
      <c r="C590" s="29" t="str">
        <f>Input!C590</f>
        <v/>
      </c>
      <c r="D590" s="33"/>
    </row>
    <row r="591">
      <c r="A591" s="29" t="str">
        <f>Input!A591</f>
        <v/>
      </c>
      <c r="B591" s="30" t="str">
        <f>Input!B591</f>
        <v/>
      </c>
      <c r="C591" s="29" t="str">
        <f>Input!C591</f>
        <v/>
      </c>
      <c r="D591" s="33"/>
    </row>
    <row r="592">
      <c r="A592" s="29" t="str">
        <f>Input!A592</f>
        <v/>
      </c>
      <c r="B592" s="30" t="str">
        <f>Input!B592</f>
        <v/>
      </c>
      <c r="C592" s="29" t="str">
        <f>Input!C592</f>
        <v/>
      </c>
      <c r="D592" s="33"/>
    </row>
    <row r="593">
      <c r="A593" s="29" t="str">
        <f>Input!A593</f>
        <v/>
      </c>
      <c r="B593" s="30" t="str">
        <f>Input!B593</f>
        <v/>
      </c>
      <c r="C593" s="29" t="str">
        <f>Input!C593</f>
        <v/>
      </c>
      <c r="D593" s="33"/>
    </row>
    <row r="594">
      <c r="A594" s="29" t="str">
        <f>Input!A594</f>
        <v/>
      </c>
      <c r="B594" s="30" t="str">
        <f>Input!B594</f>
        <v/>
      </c>
      <c r="C594" s="29" t="str">
        <f>Input!C594</f>
        <v/>
      </c>
      <c r="D594" s="33"/>
    </row>
    <row r="595">
      <c r="A595" s="29" t="str">
        <f>Input!A595</f>
        <v/>
      </c>
      <c r="B595" s="30" t="str">
        <f>Input!B595</f>
        <v/>
      </c>
      <c r="C595" s="29" t="str">
        <f>Input!C595</f>
        <v/>
      </c>
      <c r="D595" s="33"/>
    </row>
    <row r="596">
      <c r="A596" s="29" t="str">
        <f>Input!A596</f>
        <v/>
      </c>
      <c r="B596" s="30" t="str">
        <f>Input!B596</f>
        <v/>
      </c>
      <c r="C596" s="29" t="str">
        <f>Input!C596</f>
        <v/>
      </c>
      <c r="D596" s="33"/>
    </row>
    <row r="597">
      <c r="A597" s="29" t="str">
        <f>Input!A597</f>
        <v/>
      </c>
      <c r="B597" s="30" t="str">
        <f>Input!B597</f>
        <v/>
      </c>
      <c r="C597" s="29" t="str">
        <f>Input!C597</f>
        <v/>
      </c>
      <c r="D597" s="33"/>
    </row>
    <row r="598">
      <c r="A598" s="29" t="str">
        <f>Input!A598</f>
        <v/>
      </c>
      <c r="B598" s="30" t="str">
        <f>Input!B598</f>
        <v/>
      </c>
      <c r="C598" s="29" t="str">
        <f>Input!C598</f>
        <v/>
      </c>
      <c r="D598" s="33"/>
    </row>
    <row r="599">
      <c r="A599" s="29" t="str">
        <f>Input!A599</f>
        <v/>
      </c>
      <c r="B599" s="30" t="str">
        <f>Input!B599</f>
        <v/>
      </c>
      <c r="C599" s="29" t="str">
        <f>Input!C599</f>
        <v/>
      </c>
      <c r="D599" s="33"/>
    </row>
    <row r="600">
      <c r="A600" s="29" t="str">
        <f>Input!A600</f>
        <v/>
      </c>
      <c r="B600" s="30" t="str">
        <f>Input!B600</f>
        <v/>
      </c>
      <c r="C600" s="29" t="str">
        <f>Input!C600</f>
        <v/>
      </c>
      <c r="D600" s="33"/>
    </row>
    <row r="601">
      <c r="A601" s="29" t="str">
        <f>Input!A601</f>
        <v/>
      </c>
      <c r="B601" s="30" t="str">
        <f>Input!B601</f>
        <v/>
      </c>
      <c r="C601" s="29" t="str">
        <f>Input!C601</f>
        <v/>
      </c>
      <c r="D601" s="33"/>
    </row>
    <row r="602">
      <c r="A602" s="29" t="str">
        <f>Input!A602</f>
        <v/>
      </c>
      <c r="B602" s="30" t="str">
        <f>Input!B602</f>
        <v/>
      </c>
      <c r="C602" s="29" t="str">
        <f>Input!C602</f>
        <v/>
      </c>
      <c r="D602" s="33"/>
    </row>
    <row r="603">
      <c r="A603" s="29" t="str">
        <f>Input!A603</f>
        <v/>
      </c>
      <c r="B603" s="30" t="str">
        <f>Input!B603</f>
        <v/>
      </c>
      <c r="C603" s="29" t="str">
        <f>Input!C603</f>
        <v/>
      </c>
      <c r="D603" s="33"/>
    </row>
    <row r="604">
      <c r="A604" s="29" t="str">
        <f>Input!A604</f>
        <v/>
      </c>
      <c r="B604" s="30" t="str">
        <f>Input!B604</f>
        <v/>
      </c>
      <c r="C604" s="29" t="str">
        <f>Input!C604</f>
        <v/>
      </c>
      <c r="D604" s="33"/>
    </row>
    <row r="605">
      <c r="A605" s="29" t="str">
        <f>Input!A605</f>
        <v/>
      </c>
      <c r="B605" s="30" t="str">
        <f>Input!B605</f>
        <v/>
      </c>
      <c r="C605" s="29" t="str">
        <f>Input!C605</f>
        <v/>
      </c>
      <c r="D605" s="33"/>
    </row>
    <row r="606">
      <c r="A606" s="29" t="str">
        <f>Input!A606</f>
        <v/>
      </c>
      <c r="B606" s="30" t="str">
        <f>Input!B606</f>
        <v/>
      </c>
      <c r="C606" s="29" t="str">
        <f>Input!C606</f>
        <v/>
      </c>
      <c r="D606" s="33"/>
    </row>
    <row r="607">
      <c r="A607" s="29" t="str">
        <f>Input!A607</f>
        <v/>
      </c>
      <c r="B607" s="30" t="str">
        <f>Input!B607</f>
        <v/>
      </c>
      <c r="C607" s="29" t="str">
        <f>Input!C607</f>
        <v/>
      </c>
      <c r="D607" s="33"/>
    </row>
    <row r="608">
      <c r="A608" s="29" t="str">
        <f>Input!A608</f>
        <v/>
      </c>
      <c r="B608" s="30" t="str">
        <f>Input!B608</f>
        <v/>
      </c>
      <c r="C608" s="29" t="str">
        <f>Input!C608</f>
        <v/>
      </c>
      <c r="D608" s="33"/>
    </row>
    <row r="609">
      <c r="A609" s="29" t="str">
        <f>Input!A609</f>
        <v/>
      </c>
      <c r="B609" s="30" t="str">
        <f>Input!B609</f>
        <v/>
      </c>
      <c r="C609" s="29" t="str">
        <f>Input!C609</f>
        <v/>
      </c>
      <c r="D609" s="33"/>
    </row>
    <row r="610">
      <c r="A610" s="29" t="str">
        <f>Input!A610</f>
        <v/>
      </c>
      <c r="B610" s="30" t="str">
        <f>Input!B610</f>
        <v/>
      </c>
      <c r="C610" s="29" t="str">
        <f>Input!C610</f>
        <v/>
      </c>
      <c r="D610" s="33"/>
    </row>
    <row r="611">
      <c r="A611" s="29" t="str">
        <f>Input!A611</f>
        <v/>
      </c>
      <c r="B611" s="30" t="str">
        <f>Input!B611</f>
        <v/>
      </c>
      <c r="C611" s="29" t="str">
        <f>Input!C611</f>
        <v/>
      </c>
      <c r="D611" s="33"/>
    </row>
    <row r="612">
      <c r="A612" s="29" t="str">
        <f>Input!A612</f>
        <v/>
      </c>
      <c r="B612" s="30" t="str">
        <f>Input!B612</f>
        <v/>
      </c>
      <c r="C612" s="29" t="str">
        <f>Input!C612</f>
        <v/>
      </c>
      <c r="D612" s="33"/>
    </row>
    <row r="613">
      <c r="A613" s="29" t="str">
        <f>Input!A613</f>
        <v/>
      </c>
      <c r="B613" s="30" t="str">
        <f>Input!B613</f>
        <v/>
      </c>
      <c r="C613" s="29" t="str">
        <f>Input!C613</f>
        <v/>
      </c>
      <c r="D613" s="33"/>
    </row>
    <row r="614">
      <c r="A614" s="29" t="str">
        <f>Input!A614</f>
        <v/>
      </c>
      <c r="B614" s="30" t="str">
        <f>Input!B614</f>
        <v/>
      </c>
      <c r="C614" s="29" t="str">
        <f>Input!C614</f>
        <v/>
      </c>
      <c r="D614" s="33"/>
    </row>
    <row r="615">
      <c r="A615" s="29" t="str">
        <f>Input!A615</f>
        <v/>
      </c>
      <c r="B615" s="30" t="str">
        <f>Input!B615</f>
        <v/>
      </c>
      <c r="C615" s="29" t="str">
        <f>Input!C615</f>
        <v/>
      </c>
      <c r="D615" s="33"/>
    </row>
    <row r="616">
      <c r="A616" s="29" t="str">
        <f>Input!A616</f>
        <v/>
      </c>
      <c r="B616" s="30" t="str">
        <f>Input!B616</f>
        <v/>
      </c>
      <c r="C616" s="29" t="str">
        <f>Input!C616</f>
        <v/>
      </c>
      <c r="D616" s="33"/>
    </row>
    <row r="617">
      <c r="A617" s="29" t="str">
        <f>Input!A617</f>
        <v/>
      </c>
      <c r="B617" s="30" t="str">
        <f>Input!B617</f>
        <v/>
      </c>
      <c r="C617" s="29" t="str">
        <f>Input!C617</f>
        <v/>
      </c>
      <c r="D617" s="33"/>
    </row>
    <row r="618">
      <c r="A618" s="29" t="str">
        <f>Input!A618</f>
        <v/>
      </c>
      <c r="B618" s="30" t="str">
        <f>Input!B618</f>
        <v/>
      </c>
      <c r="C618" s="29" t="str">
        <f>Input!C618</f>
        <v/>
      </c>
      <c r="D618" s="33"/>
    </row>
    <row r="619">
      <c r="A619" s="29" t="str">
        <f>Input!A619</f>
        <v/>
      </c>
      <c r="B619" s="30" t="str">
        <f>Input!B619</f>
        <v/>
      </c>
      <c r="C619" s="29" t="str">
        <f>Input!C619</f>
        <v/>
      </c>
      <c r="D619" s="33"/>
    </row>
    <row r="620">
      <c r="A620" s="29" t="str">
        <f>Input!A620</f>
        <v/>
      </c>
      <c r="B620" s="30" t="str">
        <f>Input!B620</f>
        <v/>
      </c>
      <c r="C620" s="29" t="str">
        <f>Input!C620</f>
        <v/>
      </c>
      <c r="D620" s="33"/>
    </row>
    <row r="621">
      <c r="A621" s="29" t="str">
        <f>Input!A621</f>
        <v/>
      </c>
      <c r="B621" s="30" t="str">
        <f>Input!B621</f>
        <v/>
      </c>
      <c r="C621" s="29" t="str">
        <f>Input!C621</f>
        <v/>
      </c>
      <c r="D621" s="33"/>
    </row>
    <row r="622">
      <c r="A622" s="29" t="str">
        <f>Input!A622</f>
        <v/>
      </c>
      <c r="B622" s="30" t="str">
        <f>Input!B622</f>
        <v/>
      </c>
      <c r="C622" s="29" t="str">
        <f>Input!C622</f>
        <v/>
      </c>
      <c r="D622" s="33"/>
    </row>
    <row r="623">
      <c r="A623" s="29" t="str">
        <f>Input!A623</f>
        <v/>
      </c>
      <c r="B623" s="30" t="str">
        <f>Input!B623</f>
        <v/>
      </c>
      <c r="C623" s="29" t="str">
        <f>Input!C623</f>
        <v/>
      </c>
      <c r="D623" s="33"/>
    </row>
    <row r="624">
      <c r="A624" s="29" t="str">
        <f>Input!A624</f>
        <v/>
      </c>
      <c r="B624" s="30" t="str">
        <f>Input!B624</f>
        <v/>
      </c>
      <c r="C624" s="29" t="str">
        <f>Input!C624</f>
        <v/>
      </c>
      <c r="D624" s="33"/>
    </row>
    <row r="625">
      <c r="A625" s="29" t="str">
        <f>Input!A625</f>
        <v/>
      </c>
      <c r="B625" s="30" t="str">
        <f>Input!B625</f>
        <v/>
      </c>
      <c r="C625" s="29" t="str">
        <f>Input!C625</f>
        <v/>
      </c>
      <c r="D625" s="33"/>
    </row>
    <row r="626">
      <c r="A626" s="29" t="str">
        <f>Input!A626</f>
        <v/>
      </c>
      <c r="B626" s="30" t="str">
        <f>Input!B626</f>
        <v/>
      </c>
      <c r="C626" s="29" t="str">
        <f>Input!C626</f>
        <v/>
      </c>
      <c r="D626" s="33"/>
    </row>
    <row r="627">
      <c r="A627" s="29" t="str">
        <f>Input!A627</f>
        <v/>
      </c>
      <c r="B627" s="30" t="str">
        <f>Input!B627</f>
        <v/>
      </c>
      <c r="C627" s="29" t="str">
        <f>Input!C627</f>
        <v/>
      </c>
      <c r="D627" s="33"/>
    </row>
    <row r="628">
      <c r="A628" s="29" t="str">
        <f>Input!A628</f>
        <v/>
      </c>
      <c r="B628" s="30" t="str">
        <f>Input!B628</f>
        <v/>
      </c>
      <c r="C628" s="29" t="str">
        <f>Input!C628</f>
        <v/>
      </c>
      <c r="D628" s="33"/>
    </row>
    <row r="629">
      <c r="A629" s="29" t="str">
        <f>Input!A629</f>
        <v/>
      </c>
      <c r="B629" s="30" t="str">
        <f>Input!B629</f>
        <v/>
      </c>
      <c r="C629" s="29" t="str">
        <f>Input!C629</f>
        <v/>
      </c>
      <c r="D629" s="33"/>
    </row>
    <row r="630">
      <c r="A630" s="29" t="str">
        <f>Input!A630</f>
        <v/>
      </c>
      <c r="B630" s="30" t="str">
        <f>Input!B630</f>
        <v/>
      </c>
      <c r="C630" s="29" t="str">
        <f>Input!C630</f>
        <v/>
      </c>
      <c r="D630" s="33"/>
    </row>
    <row r="631">
      <c r="A631" s="26" t="s">
        <v>2</v>
      </c>
      <c r="B631" s="27" t="s">
        <v>3</v>
      </c>
      <c r="C631" s="26" t="s">
        <v>4</v>
      </c>
      <c r="D631" s="28" t="s">
        <v>108</v>
      </c>
    </row>
    <row r="632">
      <c r="A632" s="29" t="str">
        <f>Input!A632</f>
        <v/>
      </c>
      <c r="B632" s="30" t="str">
        <f>Input!B632</f>
        <v/>
      </c>
      <c r="C632" s="29" t="str">
        <f>Input!C632</f>
        <v/>
      </c>
      <c r="D632" s="33"/>
    </row>
    <row r="633">
      <c r="A633" s="29" t="str">
        <f>Input!A633</f>
        <v/>
      </c>
      <c r="B633" s="30" t="str">
        <f>Input!B633</f>
        <v/>
      </c>
      <c r="C633" s="29" t="str">
        <f>Input!C633</f>
        <v/>
      </c>
      <c r="D633" s="33"/>
    </row>
    <row r="634">
      <c r="A634" s="29" t="str">
        <f>Input!A634</f>
        <v/>
      </c>
      <c r="B634" s="30" t="str">
        <f>Input!B634</f>
        <v/>
      </c>
      <c r="C634" s="29" t="str">
        <f>Input!C634</f>
        <v/>
      </c>
      <c r="D634" s="33"/>
    </row>
    <row r="635">
      <c r="A635" s="29" t="str">
        <f>Input!A635</f>
        <v/>
      </c>
      <c r="B635" s="30" t="str">
        <f>Input!B635</f>
        <v/>
      </c>
      <c r="C635" s="29" t="str">
        <f>Input!C635</f>
        <v/>
      </c>
      <c r="D635" s="33"/>
    </row>
    <row r="636">
      <c r="A636" s="29" t="str">
        <f>Input!A636</f>
        <v/>
      </c>
      <c r="B636" s="30" t="str">
        <f>Input!B636</f>
        <v/>
      </c>
      <c r="C636" s="29" t="str">
        <f>Input!C636</f>
        <v/>
      </c>
      <c r="D636" s="33"/>
    </row>
    <row r="637">
      <c r="A637" s="29" t="str">
        <f>Input!A637</f>
        <v/>
      </c>
      <c r="B637" s="30" t="str">
        <f>Input!B637</f>
        <v/>
      </c>
      <c r="C637" s="29" t="str">
        <f>Input!C637</f>
        <v/>
      </c>
      <c r="D637" s="33"/>
    </row>
    <row r="638">
      <c r="A638" s="29" t="str">
        <f>Input!A638</f>
        <v/>
      </c>
      <c r="B638" s="30" t="str">
        <f>Input!B638</f>
        <v/>
      </c>
      <c r="C638" s="29" t="str">
        <f>Input!C638</f>
        <v/>
      </c>
      <c r="D638" s="33"/>
    </row>
    <row r="639">
      <c r="A639" s="29" t="str">
        <f>Input!A639</f>
        <v/>
      </c>
      <c r="B639" s="30" t="str">
        <f>Input!B639</f>
        <v/>
      </c>
      <c r="C639" s="29" t="str">
        <f>Input!C639</f>
        <v/>
      </c>
      <c r="D639" s="33"/>
    </row>
    <row r="640">
      <c r="A640" s="29" t="str">
        <f>Input!A640</f>
        <v/>
      </c>
      <c r="B640" s="30" t="str">
        <f>Input!B640</f>
        <v/>
      </c>
      <c r="C640" s="29" t="str">
        <f>Input!C640</f>
        <v/>
      </c>
      <c r="D640" s="33"/>
    </row>
    <row r="641">
      <c r="A641" s="29" t="str">
        <f>Input!A641</f>
        <v/>
      </c>
      <c r="B641" s="30" t="str">
        <f>Input!B641</f>
        <v/>
      </c>
      <c r="C641" s="29" t="str">
        <f>Input!C641</f>
        <v/>
      </c>
      <c r="D641" s="33"/>
    </row>
    <row r="642">
      <c r="A642" s="29" t="str">
        <f>Input!A642</f>
        <v/>
      </c>
      <c r="B642" s="30" t="str">
        <f>Input!B642</f>
        <v/>
      </c>
      <c r="C642" s="29" t="str">
        <f>Input!C642</f>
        <v/>
      </c>
      <c r="D642" s="33"/>
    </row>
    <row r="643">
      <c r="A643" s="29" t="str">
        <f>Input!A643</f>
        <v/>
      </c>
      <c r="B643" s="30" t="str">
        <f>Input!B643</f>
        <v/>
      </c>
      <c r="C643" s="29" t="str">
        <f>Input!C643</f>
        <v/>
      </c>
      <c r="D643" s="33"/>
    </row>
    <row r="644">
      <c r="A644" s="29" t="str">
        <f>Input!A644</f>
        <v/>
      </c>
      <c r="B644" s="30" t="str">
        <f>Input!B644</f>
        <v/>
      </c>
      <c r="C644" s="29" t="str">
        <f>Input!C644</f>
        <v/>
      </c>
      <c r="D644" s="33"/>
    </row>
    <row r="645">
      <c r="A645" s="29" t="str">
        <f>Input!A645</f>
        <v/>
      </c>
      <c r="B645" s="30" t="str">
        <f>Input!B645</f>
        <v/>
      </c>
      <c r="C645" s="29" t="str">
        <f>Input!C645</f>
        <v/>
      </c>
      <c r="D645" s="33"/>
    </row>
    <row r="646">
      <c r="A646" s="29" t="str">
        <f>Input!A646</f>
        <v/>
      </c>
      <c r="B646" s="30" t="str">
        <f>Input!B646</f>
        <v/>
      </c>
      <c r="C646" s="29" t="str">
        <f>Input!C646</f>
        <v/>
      </c>
      <c r="D646" s="33"/>
    </row>
    <row r="647">
      <c r="A647" s="29" t="str">
        <f>Input!A647</f>
        <v/>
      </c>
      <c r="B647" s="30" t="str">
        <f>Input!B647</f>
        <v/>
      </c>
      <c r="C647" s="29" t="str">
        <f>Input!C647</f>
        <v/>
      </c>
      <c r="D647" s="33"/>
    </row>
    <row r="648">
      <c r="A648" s="29" t="str">
        <f>Input!A648</f>
        <v/>
      </c>
      <c r="B648" s="30" t="str">
        <f>Input!B648</f>
        <v/>
      </c>
      <c r="C648" s="29" t="str">
        <f>Input!C648</f>
        <v/>
      </c>
      <c r="D648" s="33"/>
    </row>
    <row r="649">
      <c r="A649" s="29" t="str">
        <f>Input!A649</f>
        <v/>
      </c>
      <c r="B649" s="30" t="str">
        <f>Input!B649</f>
        <v/>
      </c>
      <c r="C649" s="29" t="str">
        <f>Input!C649</f>
        <v/>
      </c>
      <c r="D649" s="33"/>
    </row>
    <row r="650">
      <c r="A650" s="29" t="str">
        <f>Input!A650</f>
        <v/>
      </c>
      <c r="B650" s="30" t="str">
        <f>Input!B650</f>
        <v/>
      </c>
      <c r="C650" s="29" t="str">
        <f>Input!C650</f>
        <v/>
      </c>
      <c r="D650" s="33"/>
    </row>
    <row r="651">
      <c r="A651" s="29" t="str">
        <f>Input!A651</f>
        <v/>
      </c>
      <c r="B651" s="30" t="str">
        <f>Input!B651</f>
        <v/>
      </c>
      <c r="C651" s="29" t="str">
        <f>Input!C651</f>
        <v/>
      </c>
      <c r="D651" s="33"/>
    </row>
    <row r="652">
      <c r="A652" s="29" t="str">
        <f>Input!A652</f>
        <v/>
      </c>
      <c r="B652" s="30" t="str">
        <f>Input!B652</f>
        <v/>
      </c>
      <c r="C652" s="29" t="str">
        <f>Input!C652</f>
        <v/>
      </c>
      <c r="D652" s="33"/>
    </row>
    <row r="653">
      <c r="A653" s="29" t="str">
        <f>Input!A653</f>
        <v/>
      </c>
      <c r="B653" s="30" t="str">
        <f>Input!B653</f>
        <v/>
      </c>
      <c r="C653" s="29" t="str">
        <f>Input!C653</f>
        <v/>
      </c>
      <c r="D653" s="33"/>
    </row>
    <row r="654">
      <c r="A654" s="29" t="str">
        <f>Input!A654</f>
        <v/>
      </c>
      <c r="B654" s="30" t="str">
        <f>Input!B654</f>
        <v/>
      </c>
      <c r="C654" s="29" t="str">
        <f>Input!C654</f>
        <v/>
      </c>
      <c r="D654" s="33"/>
    </row>
    <row r="655">
      <c r="A655" s="29" t="str">
        <f>Input!A655</f>
        <v/>
      </c>
      <c r="B655" s="30" t="str">
        <f>Input!B655</f>
        <v/>
      </c>
      <c r="C655" s="29" t="str">
        <f>Input!C655</f>
        <v/>
      </c>
      <c r="D655" s="33"/>
    </row>
    <row r="656">
      <c r="A656" s="29" t="str">
        <f>Input!A656</f>
        <v/>
      </c>
      <c r="B656" s="30" t="str">
        <f>Input!B656</f>
        <v/>
      </c>
      <c r="C656" s="29" t="str">
        <f>Input!C656</f>
        <v/>
      </c>
      <c r="D656" s="33"/>
    </row>
    <row r="657">
      <c r="A657" s="29" t="str">
        <f>Input!A657</f>
        <v/>
      </c>
      <c r="B657" s="30" t="str">
        <f>Input!B657</f>
        <v/>
      </c>
      <c r="C657" s="29" t="str">
        <f>Input!C657</f>
        <v/>
      </c>
      <c r="D657" s="33"/>
    </row>
    <row r="658">
      <c r="A658" s="29" t="str">
        <f>Input!A658</f>
        <v/>
      </c>
      <c r="B658" s="30" t="str">
        <f>Input!B658</f>
        <v/>
      </c>
      <c r="C658" s="29" t="str">
        <f>Input!C658</f>
        <v/>
      </c>
      <c r="D658" s="33"/>
    </row>
    <row r="659">
      <c r="A659" s="29" t="str">
        <f>Input!A659</f>
        <v/>
      </c>
      <c r="B659" s="30" t="str">
        <f>Input!B659</f>
        <v/>
      </c>
      <c r="C659" s="29" t="str">
        <f>Input!C659</f>
        <v/>
      </c>
      <c r="D659" s="33"/>
    </row>
    <row r="660">
      <c r="A660" s="29" t="str">
        <f>Input!A660</f>
        <v/>
      </c>
      <c r="B660" s="30" t="str">
        <f>Input!B660</f>
        <v/>
      </c>
      <c r="C660" s="29" t="str">
        <f>Input!C660</f>
        <v/>
      </c>
      <c r="D660" s="33"/>
    </row>
    <row r="661">
      <c r="A661" s="29" t="str">
        <f>Input!A661</f>
        <v/>
      </c>
      <c r="B661" s="30" t="str">
        <f>Input!B661</f>
        <v/>
      </c>
      <c r="C661" s="29" t="str">
        <f>Input!C661</f>
        <v/>
      </c>
      <c r="D661" s="33"/>
    </row>
    <row r="662">
      <c r="A662" s="29" t="str">
        <f>Input!A662</f>
        <v/>
      </c>
      <c r="B662" s="30" t="str">
        <f>Input!B662</f>
        <v/>
      </c>
      <c r="C662" s="29" t="str">
        <f>Input!C662</f>
        <v/>
      </c>
      <c r="D662" s="33"/>
    </row>
    <row r="663">
      <c r="A663" s="29" t="str">
        <f>Input!A663</f>
        <v/>
      </c>
      <c r="B663" s="30" t="str">
        <f>Input!B663</f>
        <v/>
      </c>
      <c r="C663" s="29" t="str">
        <f>Input!C663</f>
        <v/>
      </c>
      <c r="D663" s="33"/>
    </row>
    <row r="664">
      <c r="A664" s="29" t="str">
        <f>Input!A664</f>
        <v/>
      </c>
      <c r="B664" s="30" t="str">
        <f>Input!B664</f>
        <v/>
      </c>
      <c r="C664" s="29" t="str">
        <f>Input!C664</f>
        <v/>
      </c>
      <c r="D664" s="33"/>
    </row>
    <row r="665">
      <c r="A665" s="29" t="str">
        <f>Input!A665</f>
        <v/>
      </c>
      <c r="B665" s="30" t="str">
        <f>Input!B665</f>
        <v/>
      </c>
      <c r="C665" s="29" t="str">
        <f>Input!C665</f>
        <v/>
      </c>
      <c r="D665" s="33"/>
    </row>
    <row r="666">
      <c r="A666" s="29" t="str">
        <f>Input!A666</f>
        <v/>
      </c>
      <c r="B666" s="30" t="str">
        <f>Input!B666</f>
        <v/>
      </c>
      <c r="C666" s="29" t="str">
        <f>Input!C666</f>
        <v/>
      </c>
      <c r="D666" s="33"/>
    </row>
    <row r="667">
      <c r="A667" s="29" t="str">
        <f>Input!A667</f>
        <v/>
      </c>
      <c r="B667" s="30" t="str">
        <f>Input!B667</f>
        <v/>
      </c>
      <c r="C667" s="29" t="str">
        <f>Input!C667</f>
        <v/>
      </c>
      <c r="D667" s="33"/>
    </row>
    <row r="668">
      <c r="A668" s="29" t="str">
        <f>Input!A668</f>
        <v/>
      </c>
      <c r="B668" s="30" t="str">
        <f>Input!B668</f>
        <v/>
      </c>
      <c r="C668" s="29" t="str">
        <f>Input!C668</f>
        <v/>
      </c>
      <c r="D668" s="33"/>
    </row>
    <row r="669">
      <c r="A669" s="29" t="str">
        <f>Input!A669</f>
        <v/>
      </c>
      <c r="B669" s="30" t="str">
        <f>Input!B669</f>
        <v/>
      </c>
      <c r="C669" s="29" t="str">
        <f>Input!C669</f>
        <v/>
      </c>
      <c r="D669" s="33"/>
    </row>
    <row r="670">
      <c r="A670" s="29" t="str">
        <f>Input!A670</f>
        <v/>
      </c>
      <c r="B670" s="30" t="str">
        <f>Input!B670</f>
        <v/>
      </c>
      <c r="C670" s="29" t="str">
        <f>Input!C670</f>
        <v/>
      </c>
      <c r="D670" s="33"/>
    </row>
    <row r="671">
      <c r="A671" s="29" t="str">
        <f>Input!A671</f>
        <v/>
      </c>
      <c r="B671" s="30" t="str">
        <f>Input!B671</f>
        <v/>
      </c>
      <c r="C671" s="29" t="str">
        <f>Input!C671</f>
        <v/>
      </c>
      <c r="D671" s="33"/>
    </row>
    <row r="672">
      <c r="A672" s="29" t="str">
        <f>Input!A672</f>
        <v/>
      </c>
      <c r="B672" s="30" t="str">
        <f>Input!B672</f>
        <v/>
      </c>
      <c r="C672" s="29" t="str">
        <f>Input!C672</f>
        <v/>
      </c>
      <c r="D672" s="33"/>
    </row>
    <row r="673">
      <c r="A673" s="29" t="str">
        <f>Input!A673</f>
        <v/>
      </c>
      <c r="B673" s="30" t="str">
        <f>Input!B673</f>
        <v/>
      </c>
      <c r="C673" s="29" t="str">
        <f>Input!C673</f>
        <v/>
      </c>
      <c r="D673" s="33"/>
    </row>
    <row r="674">
      <c r="A674" s="29" t="str">
        <f>Input!A674</f>
        <v/>
      </c>
      <c r="B674" s="30" t="str">
        <f>Input!B674</f>
        <v/>
      </c>
      <c r="C674" s="29" t="str">
        <f>Input!C674</f>
        <v/>
      </c>
      <c r="D674" s="33"/>
    </row>
    <row r="675">
      <c r="A675" s="29" t="str">
        <f>Input!A675</f>
        <v/>
      </c>
      <c r="B675" s="30" t="str">
        <f>Input!B675</f>
        <v/>
      </c>
      <c r="C675" s="29" t="str">
        <f>Input!C675</f>
        <v/>
      </c>
      <c r="D675" s="33"/>
    </row>
    <row r="676">
      <c r="A676" s="29" t="str">
        <f>Input!A676</f>
        <v/>
      </c>
      <c r="B676" s="30" t="str">
        <f>Input!B676</f>
        <v/>
      </c>
      <c r="C676" s="29" t="str">
        <f>Input!C676</f>
        <v/>
      </c>
      <c r="D676" s="33"/>
    </row>
    <row r="677">
      <c r="A677" s="29" t="str">
        <f>Input!A677</f>
        <v/>
      </c>
      <c r="B677" s="30" t="str">
        <f>Input!B677</f>
        <v/>
      </c>
      <c r="C677" s="29" t="str">
        <f>Input!C677</f>
        <v/>
      </c>
      <c r="D677" s="33"/>
    </row>
    <row r="678">
      <c r="A678" s="29" t="str">
        <f>Input!A678</f>
        <v/>
      </c>
      <c r="B678" s="30" t="str">
        <f>Input!B678</f>
        <v/>
      </c>
      <c r="C678" s="29" t="str">
        <f>Input!C678</f>
        <v/>
      </c>
      <c r="D678" s="33"/>
    </row>
    <row r="679">
      <c r="A679" s="29" t="str">
        <f>Input!A679</f>
        <v/>
      </c>
      <c r="B679" s="30" t="str">
        <f>Input!B679</f>
        <v/>
      </c>
      <c r="C679" s="29" t="str">
        <f>Input!C679</f>
        <v/>
      </c>
      <c r="D679" s="33"/>
    </row>
    <row r="680">
      <c r="A680" s="29" t="str">
        <f>Input!A680</f>
        <v/>
      </c>
      <c r="B680" s="30" t="str">
        <f>Input!B680</f>
        <v/>
      </c>
      <c r="C680" s="29" t="str">
        <f>Input!C680</f>
        <v/>
      </c>
      <c r="D680" s="33"/>
    </row>
    <row r="681">
      <c r="A681" s="29" t="str">
        <f>Input!A681</f>
        <v/>
      </c>
      <c r="B681" s="30" t="str">
        <f>Input!B681</f>
        <v/>
      </c>
      <c r="C681" s="29" t="str">
        <f>Input!C681</f>
        <v/>
      </c>
      <c r="D681" s="33"/>
    </row>
    <row r="682">
      <c r="A682" s="29" t="str">
        <f>Input!A682</f>
        <v/>
      </c>
      <c r="B682" s="30" t="str">
        <f>Input!B682</f>
        <v/>
      </c>
      <c r="C682" s="29" t="str">
        <f>Input!C682</f>
        <v/>
      </c>
      <c r="D682" s="33"/>
    </row>
    <row r="683">
      <c r="A683" s="29" t="str">
        <f>Input!A683</f>
        <v/>
      </c>
      <c r="B683" s="30" t="str">
        <f>Input!B683</f>
        <v/>
      </c>
      <c r="C683" s="29" t="str">
        <f>Input!C683</f>
        <v/>
      </c>
      <c r="D683" s="33"/>
    </row>
    <row r="684">
      <c r="A684" s="29" t="str">
        <f>Input!A684</f>
        <v/>
      </c>
      <c r="B684" s="30" t="str">
        <f>Input!B684</f>
        <v/>
      </c>
      <c r="C684" s="29" t="str">
        <f>Input!C684</f>
        <v/>
      </c>
      <c r="D684" s="33"/>
    </row>
    <row r="685">
      <c r="A685" s="29" t="str">
        <f>Input!A685</f>
        <v/>
      </c>
      <c r="B685" s="30" t="str">
        <f>Input!B685</f>
        <v/>
      </c>
      <c r="C685" s="29" t="str">
        <f>Input!C685</f>
        <v/>
      </c>
      <c r="D685" s="33"/>
    </row>
    <row r="686">
      <c r="A686" s="29" t="str">
        <f>Input!A686</f>
        <v/>
      </c>
      <c r="B686" s="30" t="str">
        <f>Input!B686</f>
        <v/>
      </c>
      <c r="C686" s="29" t="str">
        <f>Input!C686</f>
        <v/>
      </c>
      <c r="D686" s="33"/>
    </row>
    <row r="687">
      <c r="A687" s="29" t="str">
        <f>Input!A687</f>
        <v/>
      </c>
      <c r="B687" s="30" t="str">
        <f>Input!B687</f>
        <v/>
      </c>
      <c r="C687" s="29" t="str">
        <f>Input!C687</f>
        <v/>
      </c>
      <c r="D687" s="33"/>
    </row>
    <row r="688">
      <c r="A688" s="29" t="str">
        <f>Input!A688</f>
        <v/>
      </c>
      <c r="B688" s="30" t="str">
        <f>Input!B688</f>
        <v/>
      </c>
      <c r="C688" s="29" t="str">
        <f>Input!C688</f>
        <v/>
      </c>
      <c r="D688" s="33"/>
    </row>
    <row r="689">
      <c r="A689" s="29" t="str">
        <f>Input!A689</f>
        <v/>
      </c>
      <c r="B689" s="30" t="str">
        <f>Input!B689</f>
        <v/>
      </c>
      <c r="C689" s="29" t="str">
        <f>Input!C689</f>
        <v/>
      </c>
      <c r="D689" s="33"/>
    </row>
    <row r="690">
      <c r="A690" s="29" t="str">
        <f>Input!A690</f>
        <v/>
      </c>
      <c r="B690" s="30" t="str">
        <f>Input!B690</f>
        <v/>
      </c>
      <c r="C690" s="29" t="str">
        <f>Input!C690</f>
        <v/>
      </c>
      <c r="D690" s="33"/>
    </row>
    <row r="691">
      <c r="A691" s="29" t="str">
        <f>Input!A691</f>
        <v/>
      </c>
      <c r="B691" s="30" t="str">
        <f>Input!B691</f>
        <v/>
      </c>
      <c r="C691" s="29" t="str">
        <f>Input!C691</f>
        <v/>
      </c>
      <c r="D691" s="33"/>
    </row>
    <row r="692">
      <c r="A692" s="29" t="str">
        <f>Input!A692</f>
        <v/>
      </c>
      <c r="B692" s="30" t="str">
        <f>Input!B692</f>
        <v/>
      </c>
      <c r="C692" s="29" t="str">
        <f>Input!C692</f>
        <v/>
      </c>
      <c r="D692" s="33"/>
    </row>
    <row r="693">
      <c r="A693" s="29" t="str">
        <f>Input!A693</f>
        <v/>
      </c>
      <c r="B693" s="30" t="str">
        <f>Input!B693</f>
        <v/>
      </c>
      <c r="C693" s="29" t="str">
        <f>Input!C693</f>
        <v/>
      </c>
      <c r="D693" s="33"/>
    </row>
    <row r="694">
      <c r="A694" s="29" t="str">
        <f>Input!A694</f>
        <v/>
      </c>
      <c r="B694" s="30" t="str">
        <f>Input!B694</f>
        <v/>
      </c>
      <c r="C694" s="29" t="str">
        <f>Input!C694</f>
        <v/>
      </c>
      <c r="D694" s="33"/>
    </row>
    <row r="695">
      <c r="A695" s="29" t="str">
        <f>Input!A695</f>
        <v/>
      </c>
      <c r="B695" s="30" t="str">
        <f>Input!B695</f>
        <v/>
      </c>
      <c r="C695" s="29" t="str">
        <f>Input!C695</f>
        <v/>
      </c>
      <c r="D695" s="33"/>
    </row>
    <row r="696">
      <c r="A696" s="29" t="str">
        <f>Input!A696</f>
        <v/>
      </c>
      <c r="B696" s="30" t="str">
        <f>Input!B696</f>
        <v/>
      </c>
      <c r="C696" s="29" t="str">
        <f>Input!C696</f>
        <v/>
      </c>
      <c r="D696" s="33"/>
    </row>
    <row r="697">
      <c r="A697" s="29" t="str">
        <f>Input!A697</f>
        <v/>
      </c>
      <c r="B697" s="30" t="str">
        <f>Input!B697</f>
        <v/>
      </c>
      <c r="C697" s="29" t="str">
        <f>Input!C697</f>
        <v/>
      </c>
      <c r="D697" s="33"/>
    </row>
    <row r="698">
      <c r="A698" s="29" t="str">
        <f>Input!A698</f>
        <v/>
      </c>
      <c r="B698" s="30" t="str">
        <f>Input!B698</f>
        <v/>
      </c>
      <c r="C698" s="29" t="str">
        <f>Input!C698</f>
        <v/>
      </c>
      <c r="D698" s="33"/>
    </row>
    <row r="699">
      <c r="A699" s="29" t="str">
        <f>Input!A699</f>
        <v/>
      </c>
      <c r="B699" s="30" t="str">
        <f>Input!B699</f>
        <v/>
      </c>
      <c r="C699" s="29" t="str">
        <f>Input!C699</f>
        <v/>
      </c>
      <c r="D699" s="33"/>
    </row>
    <row r="700">
      <c r="A700" s="29" t="str">
        <f>Input!A700</f>
        <v/>
      </c>
      <c r="B700" s="30" t="str">
        <f>Input!B700</f>
        <v/>
      </c>
      <c r="C700" s="29" t="str">
        <f>Input!C700</f>
        <v/>
      </c>
      <c r="D700" s="33"/>
    </row>
    <row r="701">
      <c r="A701" s="26" t="s">
        <v>2</v>
      </c>
      <c r="B701" s="27" t="s">
        <v>3</v>
      </c>
      <c r="C701" s="26" t="s">
        <v>4</v>
      </c>
      <c r="D701" s="28" t="s">
        <v>108</v>
      </c>
    </row>
    <row r="702">
      <c r="A702" s="29" t="str">
        <f>Input!A702</f>
        <v/>
      </c>
      <c r="B702" s="30" t="str">
        <f>Input!B702</f>
        <v/>
      </c>
      <c r="C702" s="29" t="str">
        <f>Input!C702</f>
        <v/>
      </c>
      <c r="D702" s="33"/>
    </row>
    <row r="703">
      <c r="A703" s="29" t="str">
        <f>Input!A703</f>
        <v/>
      </c>
      <c r="B703" s="30" t="str">
        <f>Input!B703</f>
        <v/>
      </c>
      <c r="C703" s="29" t="str">
        <f>Input!C703</f>
        <v/>
      </c>
      <c r="D703" s="33"/>
    </row>
    <row r="704">
      <c r="A704" s="29" t="str">
        <f>Input!A704</f>
        <v/>
      </c>
      <c r="B704" s="30" t="str">
        <f>Input!B704</f>
        <v/>
      </c>
      <c r="C704" s="29" t="str">
        <f>Input!C704</f>
        <v/>
      </c>
      <c r="D704" s="33"/>
    </row>
    <row r="705">
      <c r="A705" s="29" t="str">
        <f>Input!A705</f>
        <v/>
      </c>
      <c r="B705" s="30" t="str">
        <f>Input!B705</f>
        <v/>
      </c>
      <c r="C705" s="29" t="str">
        <f>Input!C705</f>
        <v/>
      </c>
      <c r="D705" s="33"/>
    </row>
    <row r="706">
      <c r="A706" s="29" t="str">
        <f>Input!A706</f>
        <v/>
      </c>
      <c r="B706" s="30" t="str">
        <f>Input!B706</f>
        <v/>
      </c>
      <c r="C706" s="29" t="str">
        <f>Input!C706</f>
        <v/>
      </c>
      <c r="D706" s="33"/>
    </row>
    <row r="707">
      <c r="A707" s="29" t="str">
        <f>Input!A707</f>
        <v/>
      </c>
      <c r="B707" s="30" t="str">
        <f>Input!B707</f>
        <v/>
      </c>
      <c r="C707" s="29" t="str">
        <f>Input!C707</f>
        <v/>
      </c>
      <c r="D707" s="33"/>
    </row>
    <row r="708">
      <c r="A708" s="29" t="str">
        <f>Input!A708</f>
        <v/>
      </c>
      <c r="B708" s="30" t="str">
        <f>Input!B708</f>
        <v/>
      </c>
      <c r="C708" s="29" t="str">
        <f>Input!C708</f>
        <v/>
      </c>
      <c r="D708" s="33"/>
    </row>
    <row r="709">
      <c r="A709" s="29" t="str">
        <f>Input!A709</f>
        <v/>
      </c>
      <c r="B709" s="30" t="str">
        <f>Input!B709</f>
        <v/>
      </c>
      <c r="C709" s="29" t="str">
        <f>Input!C709</f>
        <v/>
      </c>
      <c r="D709" s="33"/>
    </row>
    <row r="710">
      <c r="A710" s="29" t="str">
        <f>Input!A710</f>
        <v/>
      </c>
      <c r="B710" s="30" t="str">
        <f>Input!B710</f>
        <v/>
      </c>
      <c r="C710" s="29" t="str">
        <f>Input!C710</f>
        <v/>
      </c>
      <c r="D710" s="33"/>
    </row>
    <row r="711">
      <c r="A711" s="29" t="str">
        <f>Input!A711</f>
        <v/>
      </c>
      <c r="B711" s="30" t="str">
        <f>Input!B711</f>
        <v/>
      </c>
      <c r="C711" s="29" t="str">
        <f>Input!C711</f>
        <v/>
      </c>
      <c r="D711" s="33"/>
    </row>
    <row r="712">
      <c r="A712" s="29" t="str">
        <f>Input!A712</f>
        <v/>
      </c>
      <c r="B712" s="30" t="str">
        <f>Input!B712</f>
        <v/>
      </c>
      <c r="C712" s="29" t="str">
        <f>Input!C712</f>
        <v/>
      </c>
      <c r="D712" s="33"/>
    </row>
    <row r="713">
      <c r="A713" s="29" t="str">
        <f>Input!A713</f>
        <v/>
      </c>
      <c r="B713" s="30" t="str">
        <f>Input!B713</f>
        <v/>
      </c>
      <c r="C713" s="29" t="str">
        <f>Input!C713</f>
        <v/>
      </c>
      <c r="D713" s="33"/>
    </row>
    <row r="714">
      <c r="A714" s="29" t="str">
        <f>Input!A714</f>
        <v/>
      </c>
      <c r="B714" s="30" t="str">
        <f>Input!B714</f>
        <v/>
      </c>
      <c r="C714" s="29" t="str">
        <f>Input!C714</f>
        <v/>
      </c>
      <c r="D714" s="33"/>
    </row>
    <row r="715">
      <c r="A715" s="29" t="str">
        <f>Input!A715</f>
        <v/>
      </c>
      <c r="B715" s="30" t="str">
        <f>Input!B715</f>
        <v/>
      </c>
      <c r="C715" s="29" t="str">
        <f>Input!C715</f>
        <v/>
      </c>
      <c r="D715" s="33"/>
    </row>
    <row r="716">
      <c r="A716" s="29" t="str">
        <f>Input!A716</f>
        <v/>
      </c>
      <c r="B716" s="30" t="str">
        <f>Input!B716</f>
        <v/>
      </c>
      <c r="C716" s="29" t="str">
        <f>Input!C716</f>
        <v/>
      </c>
      <c r="D716" s="33"/>
    </row>
    <row r="717">
      <c r="A717" s="29" t="str">
        <f>Input!A717</f>
        <v/>
      </c>
      <c r="B717" s="30" t="str">
        <f>Input!B717</f>
        <v/>
      </c>
      <c r="C717" s="29" t="str">
        <f>Input!C717</f>
        <v/>
      </c>
      <c r="D717" s="33"/>
    </row>
    <row r="718">
      <c r="A718" s="29" t="str">
        <f>Input!A718</f>
        <v/>
      </c>
      <c r="B718" s="30" t="str">
        <f>Input!B718</f>
        <v/>
      </c>
      <c r="C718" s="29" t="str">
        <f>Input!C718</f>
        <v/>
      </c>
      <c r="D718" s="33"/>
    </row>
    <row r="719">
      <c r="A719" s="29" t="str">
        <f>Input!A719</f>
        <v/>
      </c>
      <c r="B719" s="30" t="str">
        <f>Input!B719</f>
        <v/>
      </c>
      <c r="C719" s="29" t="str">
        <f>Input!C719</f>
        <v/>
      </c>
      <c r="D719" s="33"/>
    </row>
    <row r="720">
      <c r="A720" s="29" t="str">
        <f>Input!A720</f>
        <v/>
      </c>
      <c r="B720" s="30" t="str">
        <f>Input!B720</f>
        <v/>
      </c>
      <c r="C720" s="29" t="str">
        <f>Input!C720</f>
        <v/>
      </c>
      <c r="D720" s="33"/>
    </row>
    <row r="721">
      <c r="A721" s="29" t="str">
        <f>Input!A721</f>
        <v/>
      </c>
      <c r="B721" s="30" t="str">
        <f>Input!B721</f>
        <v/>
      </c>
      <c r="C721" s="29" t="str">
        <f>Input!C721</f>
        <v/>
      </c>
      <c r="D721" s="33"/>
    </row>
    <row r="722">
      <c r="A722" s="29" t="str">
        <f>Input!A722</f>
        <v/>
      </c>
      <c r="B722" s="30" t="str">
        <f>Input!B722</f>
        <v/>
      </c>
      <c r="C722" s="29" t="str">
        <f>Input!C722</f>
        <v/>
      </c>
      <c r="D722" s="33"/>
    </row>
    <row r="723">
      <c r="A723" s="29" t="str">
        <f>Input!A723</f>
        <v/>
      </c>
      <c r="B723" s="30" t="str">
        <f>Input!B723</f>
        <v/>
      </c>
      <c r="C723" s="29" t="str">
        <f>Input!C723</f>
        <v/>
      </c>
      <c r="D723" s="33"/>
    </row>
    <row r="724">
      <c r="A724" s="29" t="str">
        <f>Input!A724</f>
        <v/>
      </c>
      <c r="B724" s="30" t="str">
        <f>Input!B724</f>
        <v/>
      </c>
      <c r="C724" s="29" t="str">
        <f>Input!C724</f>
        <v/>
      </c>
      <c r="D724" s="33"/>
    </row>
    <row r="725">
      <c r="A725" s="29" t="str">
        <f>Input!A725</f>
        <v/>
      </c>
      <c r="B725" s="30" t="str">
        <f>Input!B725</f>
        <v/>
      </c>
      <c r="C725" s="29" t="str">
        <f>Input!C725</f>
        <v/>
      </c>
      <c r="D725" s="33"/>
    </row>
    <row r="726">
      <c r="A726" s="29" t="str">
        <f>Input!A726</f>
        <v/>
      </c>
      <c r="B726" s="30" t="str">
        <f>Input!B726</f>
        <v/>
      </c>
      <c r="C726" s="29" t="str">
        <f>Input!C726</f>
        <v/>
      </c>
      <c r="D726" s="33"/>
    </row>
    <row r="727">
      <c r="A727" s="29" t="str">
        <f>Input!A727</f>
        <v/>
      </c>
      <c r="B727" s="30" t="str">
        <f>Input!B727</f>
        <v/>
      </c>
      <c r="C727" s="29" t="str">
        <f>Input!C727</f>
        <v/>
      </c>
      <c r="D727" s="33"/>
    </row>
    <row r="728">
      <c r="A728" s="29" t="str">
        <f>Input!A728</f>
        <v/>
      </c>
      <c r="B728" s="30" t="str">
        <f>Input!B728</f>
        <v/>
      </c>
      <c r="C728" s="29" t="str">
        <f>Input!C728</f>
        <v/>
      </c>
      <c r="D728" s="33"/>
    </row>
    <row r="729">
      <c r="A729" s="29" t="str">
        <f>Input!A729</f>
        <v/>
      </c>
      <c r="B729" s="30" t="str">
        <f>Input!B729</f>
        <v/>
      </c>
      <c r="C729" s="29" t="str">
        <f>Input!C729</f>
        <v/>
      </c>
      <c r="D729" s="33"/>
    </row>
    <row r="730">
      <c r="A730" s="29" t="str">
        <f>Input!A730</f>
        <v/>
      </c>
      <c r="B730" s="30" t="str">
        <f>Input!B730</f>
        <v/>
      </c>
      <c r="C730" s="29" t="str">
        <f>Input!C730</f>
        <v/>
      </c>
      <c r="D730" s="33"/>
    </row>
    <row r="731">
      <c r="A731" s="29" t="str">
        <f>Input!A731</f>
        <v/>
      </c>
      <c r="B731" s="30" t="str">
        <f>Input!B731</f>
        <v/>
      </c>
      <c r="C731" s="29" t="str">
        <f>Input!C731</f>
        <v/>
      </c>
      <c r="D731" s="33"/>
    </row>
    <row r="732">
      <c r="A732" s="29" t="str">
        <f>Input!A732</f>
        <v/>
      </c>
      <c r="B732" s="30" t="str">
        <f>Input!B732</f>
        <v/>
      </c>
      <c r="C732" s="29" t="str">
        <f>Input!C732</f>
        <v/>
      </c>
      <c r="D732" s="33"/>
    </row>
    <row r="733">
      <c r="A733" s="29" t="str">
        <f>Input!A733</f>
        <v/>
      </c>
      <c r="B733" s="30" t="str">
        <f>Input!B733</f>
        <v/>
      </c>
      <c r="C733" s="29" t="str">
        <f>Input!C733</f>
        <v/>
      </c>
      <c r="D733" s="33"/>
    </row>
    <row r="734">
      <c r="A734" s="29" t="str">
        <f>Input!A734</f>
        <v/>
      </c>
      <c r="B734" s="30" t="str">
        <f>Input!B734</f>
        <v/>
      </c>
      <c r="C734" s="29" t="str">
        <f>Input!C734</f>
        <v/>
      </c>
      <c r="D734" s="33"/>
    </row>
    <row r="735">
      <c r="A735" s="29" t="str">
        <f>Input!A735</f>
        <v/>
      </c>
      <c r="B735" s="30" t="str">
        <f>Input!B735</f>
        <v/>
      </c>
      <c r="C735" s="29" t="str">
        <f>Input!C735</f>
        <v/>
      </c>
      <c r="D735" s="33"/>
    </row>
    <row r="736">
      <c r="A736" s="29" t="str">
        <f>Input!A736</f>
        <v/>
      </c>
      <c r="B736" s="30" t="str">
        <f>Input!B736</f>
        <v/>
      </c>
      <c r="C736" s="29" t="str">
        <f>Input!C736</f>
        <v/>
      </c>
      <c r="D736" s="33"/>
    </row>
    <row r="737">
      <c r="A737" s="29" t="str">
        <f>Input!A737</f>
        <v/>
      </c>
      <c r="B737" s="30" t="str">
        <f>Input!B737</f>
        <v/>
      </c>
      <c r="C737" s="29" t="str">
        <f>Input!C737</f>
        <v/>
      </c>
      <c r="D737" s="33"/>
    </row>
    <row r="738">
      <c r="A738" s="29" t="str">
        <f>Input!A738</f>
        <v/>
      </c>
      <c r="B738" s="30" t="str">
        <f>Input!B738</f>
        <v/>
      </c>
      <c r="C738" s="29" t="str">
        <f>Input!C738</f>
        <v/>
      </c>
      <c r="D738" s="33"/>
    </row>
    <row r="739">
      <c r="A739" s="29" t="str">
        <f>Input!A739</f>
        <v/>
      </c>
      <c r="B739" s="30" t="str">
        <f>Input!B739</f>
        <v/>
      </c>
      <c r="C739" s="29" t="str">
        <f>Input!C739</f>
        <v/>
      </c>
      <c r="D739" s="33"/>
    </row>
    <row r="740">
      <c r="A740" s="29" t="str">
        <f>Input!A740</f>
        <v/>
      </c>
      <c r="B740" s="30" t="str">
        <f>Input!B740</f>
        <v/>
      </c>
      <c r="C740" s="29" t="str">
        <f>Input!C740</f>
        <v/>
      </c>
      <c r="D740" s="33"/>
    </row>
    <row r="741">
      <c r="A741" s="29" t="str">
        <f>Input!A741</f>
        <v/>
      </c>
      <c r="B741" s="30" t="str">
        <f>Input!B741</f>
        <v/>
      </c>
      <c r="C741" s="29" t="str">
        <f>Input!C741</f>
        <v/>
      </c>
      <c r="D741" s="33"/>
    </row>
    <row r="742">
      <c r="A742" s="29" t="str">
        <f>Input!A742</f>
        <v/>
      </c>
      <c r="B742" s="30" t="str">
        <f>Input!B742</f>
        <v/>
      </c>
      <c r="C742" s="29" t="str">
        <f>Input!C742</f>
        <v/>
      </c>
      <c r="D742" s="33"/>
    </row>
    <row r="743">
      <c r="A743" s="29" t="str">
        <f>Input!A743</f>
        <v/>
      </c>
      <c r="B743" s="30" t="str">
        <f>Input!B743</f>
        <v/>
      </c>
      <c r="C743" s="29" t="str">
        <f>Input!C743</f>
        <v/>
      </c>
      <c r="D743" s="33"/>
    </row>
    <row r="744">
      <c r="A744" s="29" t="str">
        <f>Input!A744</f>
        <v/>
      </c>
      <c r="B744" s="30" t="str">
        <f>Input!B744</f>
        <v/>
      </c>
      <c r="C744" s="29" t="str">
        <f>Input!C744</f>
        <v/>
      </c>
      <c r="D744" s="33"/>
    </row>
    <row r="745">
      <c r="A745" s="29" t="str">
        <f>Input!A745</f>
        <v/>
      </c>
      <c r="B745" s="30" t="str">
        <f>Input!B745</f>
        <v/>
      </c>
      <c r="C745" s="29" t="str">
        <f>Input!C745</f>
        <v/>
      </c>
      <c r="D745" s="33"/>
    </row>
    <row r="746">
      <c r="A746" s="29" t="str">
        <f>Input!A746</f>
        <v/>
      </c>
      <c r="B746" s="30" t="str">
        <f>Input!B746</f>
        <v/>
      </c>
      <c r="C746" s="29" t="str">
        <f>Input!C746</f>
        <v/>
      </c>
      <c r="D746" s="33"/>
    </row>
    <row r="747">
      <c r="A747" s="29" t="str">
        <f>Input!A747</f>
        <v/>
      </c>
      <c r="B747" s="30" t="str">
        <f>Input!B747</f>
        <v/>
      </c>
      <c r="C747" s="29" t="str">
        <f>Input!C747</f>
        <v/>
      </c>
      <c r="D747" s="33"/>
    </row>
    <row r="748">
      <c r="A748" s="29" t="str">
        <f>Input!A748</f>
        <v/>
      </c>
      <c r="B748" s="30" t="str">
        <f>Input!B748</f>
        <v/>
      </c>
      <c r="C748" s="29" t="str">
        <f>Input!C748</f>
        <v/>
      </c>
      <c r="D748" s="33"/>
    </row>
    <row r="749">
      <c r="A749" s="29" t="str">
        <f>Input!A749</f>
        <v/>
      </c>
      <c r="B749" s="30" t="str">
        <f>Input!B749</f>
        <v/>
      </c>
      <c r="C749" s="29" t="str">
        <f>Input!C749</f>
        <v/>
      </c>
      <c r="D749" s="33"/>
    </row>
    <row r="750">
      <c r="A750" s="29" t="str">
        <f>Input!A750</f>
        <v/>
      </c>
      <c r="B750" s="30" t="str">
        <f>Input!B750</f>
        <v/>
      </c>
      <c r="C750" s="29" t="str">
        <f>Input!C750</f>
        <v/>
      </c>
      <c r="D750" s="33"/>
    </row>
    <row r="751">
      <c r="A751" s="29" t="str">
        <f>Input!A751</f>
        <v/>
      </c>
      <c r="B751" s="30" t="str">
        <f>Input!B751</f>
        <v/>
      </c>
      <c r="C751" s="29" t="str">
        <f>Input!C751</f>
        <v/>
      </c>
      <c r="D751" s="33"/>
    </row>
    <row r="752">
      <c r="A752" s="29" t="str">
        <f>Input!A752</f>
        <v/>
      </c>
      <c r="B752" s="30" t="str">
        <f>Input!B752</f>
        <v/>
      </c>
      <c r="C752" s="29" t="str">
        <f>Input!C752</f>
        <v/>
      </c>
      <c r="D752" s="33"/>
    </row>
    <row r="753">
      <c r="A753" s="29" t="str">
        <f>Input!A753</f>
        <v/>
      </c>
      <c r="B753" s="30" t="str">
        <f>Input!B753</f>
        <v/>
      </c>
      <c r="C753" s="29" t="str">
        <f>Input!C753</f>
        <v/>
      </c>
      <c r="D753" s="33"/>
    </row>
    <row r="754">
      <c r="A754" s="29" t="str">
        <f>Input!A754</f>
        <v/>
      </c>
      <c r="B754" s="30" t="str">
        <f>Input!B754</f>
        <v/>
      </c>
      <c r="C754" s="29" t="str">
        <f>Input!C754</f>
        <v/>
      </c>
      <c r="D754" s="33"/>
    </row>
    <row r="755">
      <c r="A755" s="29" t="str">
        <f>Input!A755</f>
        <v/>
      </c>
      <c r="B755" s="30" t="str">
        <f>Input!B755</f>
        <v/>
      </c>
      <c r="C755" s="29" t="str">
        <f>Input!C755</f>
        <v/>
      </c>
      <c r="D755" s="33"/>
    </row>
    <row r="756">
      <c r="A756" s="29" t="str">
        <f>Input!A756</f>
        <v/>
      </c>
      <c r="B756" s="30" t="str">
        <f>Input!B756</f>
        <v/>
      </c>
      <c r="C756" s="29" t="str">
        <f>Input!C756</f>
        <v/>
      </c>
      <c r="D756" s="33"/>
    </row>
    <row r="757">
      <c r="A757" s="29" t="str">
        <f>Input!A757</f>
        <v/>
      </c>
      <c r="B757" s="30" t="str">
        <f>Input!B757</f>
        <v/>
      </c>
      <c r="C757" s="29" t="str">
        <f>Input!C757</f>
        <v/>
      </c>
      <c r="D757" s="33"/>
    </row>
    <row r="758">
      <c r="A758" s="29" t="str">
        <f>Input!A758</f>
        <v/>
      </c>
      <c r="B758" s="30" t="str">
        <f>Input!B758</f>
        <v/>
      </c>
      <c r="C758" s="29" t="str">
        <f>Input!C758</f>
        <v/>
      </c>
      <c r="D758" s="33"/>
    </row>
    <row r="759">
      <c r="A759" s="29" t="str">
        <f>Input!A759</f>
        <v/>
      </c>
      <c r="B759" s="30" t="str">
        <f>Input!B759</f>
        <v/>
      </c>
      <c r="C759" s="29" t="str">
        <f>Input!C759</f>
        <v/>
      </c>
      <c r="D759" s="33"/>
    </row>
    <row r="760">
      <c r="A760" s="29" t="str">
        <f>Input!A760</f>
        <v/>
      </c>
      <c r="B760" s="30" t="str">
        <f>Input!B760</f>
        <v/>
      </c>
      <c r="C760" s="29" t="str">
        <f>Input!C760</f>
        <v/>
      </c>
      <c r="D760" s="33"/>
    </row>
    <row r="761">
      <c r="A761" s="29" t="str">
        <f>Input!A761</f>
        <v/>
      </c>
      <c r="B761" s="30" t="str">
        <f>Input!B761</f>
        <v/>
      </c>
      <c r="C761" s="29" t="str">
        <f>Input!C761</f>
        <v/>
      </c>
      <c r="D761" s="33"/>
    </row>
    <row r="762">
      <c r="A762" s="29" t="str">
        <f>Input!A762</f>
        <v/>
      </c>
      <c r="B762" s="30" t="str">
        <f>Input!B762</f>
        <v/>
      </c>
      <c r="C762" s="29" t="str">
        <f>Input!C762</f>
        <v/>
      </c>
      <c r="D762" s="33"/>
    </row>
    <row r="763">
      <c r="A763" s="29" t="str">
        <f>Input!A763</f>
        <v/>
      </c>
      <c r="B763" s="30" t="str">
        <f>Input!B763</f>
        <v/>
      </c>
      <c r="C763" s="29" t="str">
        <f>Input!C763</f>
        <v/>
      </c>
      <c r="D763" s="33"/>
    </row>
    <row r="764">
      <c r="A764" s="29" t="str">
        <f>Input!A764</f>
        <v/>
      </c>
      <c r="B764" s="30" t="str">
        <f>Input!B764</f>
        <v/>
      </c>
      <c r="C764" s="29" t="str">
        <f>Input!C764</f>
        <v/>
      </c>
      <c r="D764" s="33"/>
    </row>
    <row r="765">
      <c r="A765" s="29" t="str">
        <f>Input!A765</f>
        <v/>
      </c>
      <c r="B765" s="30" t="str">
        <f>Input!B765</f>
        <v/>
      </c>
      <c r="C765" s="29" t="str">
        <f>Input!C765</f>
        <v/>
      </c>
      <c r="D765" s="33"/>
    </row>
    <row r="766">
      <c r="A766" s="29" t="str">
        <f>Input!A766</f>
        <v/>
      </c>
      <c r="B766" s="30" t="str">
        <f>Input!B766</f>
        <v/>
      </c>
      <c r="C766" s="29" t="str">
        <f>Input!C766</f>
        <v/>
      </c>
      <c r="D766" s="33"/>
    </row>
    <row r="767">
      <c r="A767" s="29" t="str">
        <f>Input!A767</f>
        <v/>
      </c>
      <c r="B767" s="30" t="str">
        <f>Input!B767</f>
        <v/>
      </c>
      <c r="C767" s="29" t="str">
        <f>Input!C767</f>
        <v/>
      </c>
      <c r="D767" s="33"/>
    </row>
    <row r="768">
      <c r="A768" s="29" t="str">
        <f>Input!A768</f>
        <v/>
      </c>
      <c r="B768" s="30" t="str">
        <f>Input!B768</f>
        <v/>
      </c>
      <c r="C768" s="29" t="str">
        <f>Input!C768</f>
        <v/>
      </c>
      <c r="D768" s="33"/>
    </row>
    <row r="769">
      <c r="A769" s="29" t="str">
        <f>Input!A769</f>
        <v/>
      </c>
      <c r="B769" s="30" t="str">
        <f>Input!B769</f>
        <v/>
      </c>
      <c r="C769" s="29" t="str">
        <f>Input!C769</f>
        <v/>
      </c>
      <c r="D769" s="33"/>
    </row>
    <row r="770">
      <c r="A770" s="29" t="str">
        <f>Input!A770</f>
        <v/>
      </c>
      <c r="B770" s="30" t="str">
        <f>Input!B770</f>
        <v/>
      </c>
      <c r="C770" s="29" t="str">
        <f>Input!C770</f>
        <v/>
      </c>
      <c r="D770" s="33"/>
    </row>
    <row r="771">
      <c r="A771" s="26" t="s">
        <v>2</v>
      </c>
      <c r="B771" s="27" t="s">
        <v>3</v>
      </c>
      <c r="C771" s="26" t="s">
        <v>4</v>
      </c>
      <c r="D771" s="28" t="s">
        <v>108</v>
      </c>
    </row>
    <row r="772">
      <c r="A772" s="29" t="str">
        <f>Input!A772</f>
        <v/>
      </c>
      <c r="B772" s="30" t="str">
        <f>Input!B772</f>
        <v/>
      </c>
      <c r="C772" s="29" t="str">
        <f>Input!C772</f>
        <v/>
      </c>
      <c r="D772" s="33"/>
    </row>
    <row r="773">
      <c r="A773" s="29" t="str">
        <f>Input!A773</f>
        <v/>
      </c>
      <c r="B773" s="30" t="str">
        <f>Input!B773</f>
        <v/>
      </c>
      <c r="C773" s="29" t="str">
        <f>Input!C773</f>
        <v/>
      </c>
      <c r="D773" s="33"/>
    </row>
    <row r="774">
      <c r="A774" s="29" t="str">
        <f>Input!A774</f>
        <v/>
      </c>
      <c r="B774" s="30" t="str">
        <f>Input!B774</f>
        <v/>
      </c>
      <c r="C774" s="29" t="str">
        <f>Input!C774</f>
        <v/>
      </c>
      <c r="D774" s="33"/>
    </row>
    <row r="775">
      <c r="A775" s="29" t="str">
        <f>Input!A775</f>
        <v/>
      </c>
      <c r="B775" s="30" t="str">
        <f>Input!B775</f>
        <v/>
      </c>
      <c r="C775" s="29" t="str">
        <f>Input!C775</f>
        <v/>
      </c>
      <c r="D775" s="33"/>
    </row>
    <row r="776">
      <c r="A776" s="29" t="str">
        <f>Input!A776</f>
        <v/>
      </c>
      <c r="B776" s="30" t="str">
        <f>Input!B776</f>
        <v/>
      </c>
      <c r="C776" s="29" t="str">
        <f>Input!C776</f>
        <v/>
      </c>
      <c r="D776" s="33"/>
    </row>
    <row r="777">
      <c r="A777" s="29" t="str">
        <f>Input!A777</f>
        <v/>
      </c>
      <c r="B777" s="30" t="str">
        <f>Input!B777</f>
        <v/>
      </c>
      <c r="C777" s="29" t="str">
        <f>Input!C777</f>
        <v/>
      </c>
      <c r="D777" s="33"/>
    </row>
    <row r="778">
      <c r="A778" s="29" t="str">
        <f>Input!A778</f>
        <v/>
      </c>
      <c r="B778" s="30" t="str">
        <f>Input!B778</f>
        <v/>
      </c>
      <c r="C778" s="29" t="str">
        <f>Input!C778</f>
        <v/>
      </c>
      <c r="D778" s="33"/>
    </row>
    <row r="779">
      <c r="A779" s="29" t="str">
        <f>Input!A779</f>
        <v/>
      </c>
      <c r="B779" s="30" t="str">
        <f>Input!B779</f>
        <v/>
      </c>
      <c r="C779" s="29" t="str">
        <f>Input!C779</f>
        <v/>
      </c>
      <c r="D779" s="33"/>
    </row>
    <row r="780">
      <c r="A780" s="29" t="str">
        <f>Input!A780</f>
        <v/>
      </c>
      <c r="B780" s="30" t="str">
        <f>Input!B780</f>
        <v/>
      </c>
      <c r="C780" s="29" t="str">
        <f>Input!C780</f>
        <v/>
      </c>
      <c r="D780" s="33"/>
    </row>
    <row r="781">
      <c r="A781" s="29" t="str">
        <f>Input!A781</f>
        <v/>
      </c>
      <c r="B781" s="30" t="str">
        <f>Input!B781</f>
        <v/>
      </c>
      <c r="C781" s="29" t="str">
        <f>Input!C781</f>
        <v/>
      </c>
      <c r="D781" s="33"/>
    </row>
    <row r="782">
      <c r="A782" s="29" t="str">
        <f>Input!A782</f>
        <v/>
      </c>
      <c r="B782" s="30" t="str">
        <f>Input!B782</f>
        <v/>
      </c>
      <c r="C782" s="29" t="str">
        <f>Input!C782</f>
        <v/>
      </c>
      <c r="D782" s="33"/>
    </row>
    <row r="783">
      <c r="A783" s="29" t="str">
        <f>Input!A783</f>
        <v/>
      </c>
      <c r="B783" s="30" t="str">
        <f>Input!B783</f>
        <v/>
      </c>
      <c r="C783" s="29" t="str">
        <f>Input!C783</f>
        <v/>
      </c>
      <c r="D783" s="33"/>
    </row>
    <row r="784">
      <c r="A784" s="29" t="str">
        <f>Input!A784</f>
        <v/>
      </c>
      <c r="B784" s="30" t="str">
        <f>Input!B784</f>
        <v/>
      </c>
      <c r="C784" s="29" t="str">
        <f>Input!C784</f>
        <v/>
      </c>
      <c r="D784" s="33"/>
    </row>
    <row r="785">
      <c r="A785" s="29" t="str">
        <f>Input!A785</f>
        <v/>
      </c>
      <c r="B785" s="30" t="str">
        <f>Input!B785</f>
        <v/>
      </c>
      <c r="C785" s="29" t="str">
        <f>Input!C785</f>
        <v/>
      </c>
      <c r="D785" s="33"/>
    </row>
    <row r="786">
      <c r="A786" s="29" t="str">
        <f>Input!A786</f>
        <v/>
      </c>
      <c r="B786" s="30" t="str">
        <f>Input!B786</f>
        <v/>
      </c>
      <c r="C786" s="29" t="str">
        <f>Input!C786</f>
        <v/>
      </c>
      <c r="D786" s="33"/>
    </row>
    <row r="787">
      <c r="A787" s="29" t="str">
        <f>Input!A787</f>
        <v/>
      </c>
      <c r="B787" s="30" t="str">
        <f>Input!B787</f>
        <v/>
      </c>
      <c r="C787" s="29" t="str">
        <f>Input!C787</f>
        <v/>
      </c>
      <c r="D787" s="33"/>
    </row>
    <row r="788">
      <c r="A788" s="29" t="str">
        <f>Input!A788</f>
        <v/>
      </c>
      <c r="B788" s="30" t="str">
        <f>Input!B788</f>
        <v/>
      </c>
      <c r="C788" s="29" t="str">
        <f>Input!C788</f>
        <v/>
      </c>
      <c r="D788" s="33"/>
    </row>
    <row r="789">
      <c r="A789" s="29" t="str">
        <f>Input!A789</f>
        <v/>
      </c>
      <c r="B789" s="30" t="str">
        <f>Input!B789</f>
        <v/>
      </c>
      <c r="C789" s="29" t="str">
        <f>Input!C789</f>
        <v/>
      </c>
      <c r="D789" s="33"/>
    </row>
    <row r="790">
      <c r="A790" s="29" t="str">
        <f>Input!A790</f>
        <v/>
      </c>
      <c r="B790" s="30" t="str">
        <f>Input!B790</f>
        <v/>
      </c>
      <c r="C790" s="29" t="str">
        <f>Input!C790</f>
        <v/>
      </c>
      <c r="D790" s="33"/>
    </row>
    <row r="791">
      <c r="A791" s="29" t="str">
        <f>Input!A791</f>
        <v/>
      </c>
      <c r="B791" s="30" t="str">
        <f>Input!B791</f>
        <v/>
      </c>
      <c r="C791" s="29" t="str">
        <f>Input!C791</f>
        <v/>
      </c>
      <c r="D791" s="33"/>
    </row>
    <row r="792">
      <c r="A792" s="29" t="str">
        <f>Input!A792</f>
        <v/>
      </c>
      <c r="B792" s="30" t="str">
        <f>Input!B792</f>
        <v/>
      </c>
      <c r="C792" s="29" t="str">
        <f>Input!C792</f>
        <v/>
      </c>
      <c r="D792" s="33"/>
    </row>
    <row r="793">
      <c r="A793" s="29" t="str">
        <f>Input!A793</f>
        <v/>
      </c>
      <c r="B793" s="30" t="str">
        <f>Input!B793</f>
        <v/>
      </c>
      <c r="C793" s="29" t="str">
        <f>Input!C793</f>
        <v/>
      </c>
      <c r="D793" s="33"/>
    </row>
    <row r="794">
      <c r="A794" s="29" t="str">
        <f>Input!A794</f>
        <v/>
      </c>
      <c r="B794" s="30" t="str">
        <f>Input!B794</f>
        <v/>
      </c>
      <c r="C794" s="29" t="str">
        <f>Input!C794</f>
        <v/>
      </c>
      <c r="D794" s="33"/>
    </row>
    <row r="795">
      <c r="A795" s="29" t="str">
        <f>Input!A795</f>
        <v/>
      </c>
      <c r="B795" s="30" t="str">
        <f>Input!B795</f>
        <v/>
      </c>
      <c r="C795" s="29" t="str">
        <f>Input!C795</f>
        <v/>
      </c>
      <c r="D795" s="33"/>
    </row>
    <row r="796">
      <c r="A796" s="29" t="str">
        <f>Input!A796</f>
        <v/>
      </c>
      <c r="B796" s="30" t="str">
        <f>Input!B796</f>
        <v/>
      </c>
      <c r="C796" s="29" t="str">
        <f>Input!C796</f>
        <v/>
      </c>
      <c r="D796" s="33"/>
    </row>
    <row r="797">
      <c r="A797" s="29" t="str">
        <f>Input!A797</f>
        <v/>
      </c>
      <c r="B797" s="30" t="str">
        <f>Input!B797</f>
        <v/>
      </c>
      <c r="C797" s="29" t="str">
        <f>Input!C797</f>
        <v/>
      </c>
      <c r="D797" s="33"/>
    </row>
    <row r="798">
      <c r="A798" s="29" t="str">
        <f>Input!A798</f>
        <v/>
      </c>
      <c r="B798" s="30" t="str">
        <f>Input!B798</f>
        <v/>
      </c>
      <c r="C798" s="29" t="str">
        <f>Input!C798</f>
        <v/>
      </c>
      <c r="D798" s="33"/>
    </row>
    <row r="799">
      <c r="A799" s="29" t="str">
        <f>Input!A799</f>
        <v/>
      </c>
      <c r="B799" s="30" t="str">
        <f>Input!B799</f>
        <v/>
      </c>
      <c r="C799" s="29" t="str">
        <f>Input!C799</f>
        <v/>
      </c>
      <c r="D799" s="33"/>
    </row>
    <row r="800">
      <c r="A800" s="29" t="str">
        <f>Input!A800</f>
        <v/>
      </c>
      <c r="B800" s="30" t="str">
        <f>Input!B800</f>
        <v/>
      </c>
      <c r="C800" s="29" t="str">
        <f>Input!C800</f>
        <v/>
      </c>
      <c r="D800" s="33"/>
    </row>
    <row r="801">
      <c r="A801" s="29" t="str">
        <f>Input!A801</f>
        <v/>
      </c>
      <c r="B801" s="30" t="str">
        <f>Input!B801</f>
        <v/>
      </c>
      <c r="C801" s="29" t="str">
        <f>Input!C801</f>
        <v/>
      </c>
      <c r="D801" s="33"/>
    </row>
    <row r="802">
      <c r="A802" s="29" t="str">
        <f>Input!A802</f>
        <v/>
      </c>
      <c r="B802" s="30" t="str">
        <f>Input!B802</f>
        <v/>
      </c>
      <c r="C802" s="29" t="str">
        <f>Input!C802</f>
        <v/>
      </c>
      <c r="D802" s="33"/>
    </row>
    <row r="803">
      <c r="A803" s="29" t="str">
        <f>Input!A803</f>
        <v/>
      </c>
      <c r="B803" s="30" t="str">
        <f>Input!B803</f>
        <v/>
      </c>
      <c r="C803" s="29" t="str">
        <f>Input!C803</f>
        <v/>
      </c>
      <c r="D803" s="33"/>
    </row>
    <row r="804">
      <c r="A804" s="29" t="str">
        <f>Input!A804</f>
        <v/>
      </c>
      <c r="B804" s="30" t="str">
        <f>Input!B804</f>
        <v/>
      </c>
      <c r="C804" s="29" t="str">
        <f>Input!C804</f>
        <v/>
      </c>
      <c r="D804" s="33"/>
    </row>
    <row r="805">
      <c r="A805" s="29" t="str">
        <f>Input!A805</f>
        <v/>
      </c>
      <c r="B805" s="30" t="str">
        <f>Input!B805</f>
        <v/>
      </c>
      <c r="C805" s="29" t="str">
        <f>Input!C805</f>
        <v/>
      </c>
      <c r="D805" s="33"/>
    </row>
    <row r="806">
      <c r="A806" s="29" t="str">
        <f>Input!A806</f>
        <v/>
      </c>
      <c r="B806" s="30" t="str">
        <f>Input!B806</f>
        <v/>
      </c>
      <c r="C806" s="29" t="str">
        <f>Input!C806</f>
        <v/>
      </c>
      <c r="D806" s="33"/>
    </row>
    <row r="807">
      <c r="A807" s="29" t="str">
        <f>Input!A807</f>
        <v/>
      </c>
      <c r="B807" s="30" t="str">
        <f>Input!B807</f>
        <v/>
      </c>
      <c r="C807" s="29" t="str">
        <f>Input!C807</f>
        <v/>
      </c>
      <c r="D807" s="33"/>
    </row>
    <row r="808">
      <c r="A808" s="29" t="str">
        <f>Input!A808</f>
        <v/>
      </c>
      <c r="B808" s="30" t="str">
        <f>Input!B808</f>
        <v/>
      </c>
      <c r="C808" s="29" t="str">
        <f>Input!C808</f>
        <v/>
      </c>
      <c r="D808" s="33"/>
    </row>
    <row r="809">
      <c r="A809" s="29" t="str">
        <f>Input!A809</f>
        <v/>
      </c>
      <c r="B809" s="30" t="str">
        <f>Input!B809</f>
        <v/>
      </c>
      <c r="C809" s="29" t="str">
        <f>Input!C809</f>
        <v/>
      </c>
      <c r="D809" s="33"/>
    </row>
    <row r="810">
      <c r="A810" s="29" t="str">
        <f>Input!A810</f>
        <v/>
      </c>
      <c r="B810" s="30" t="str">
        <f>Input!B810</f>
        <v/>
      </c>
      <c r="C810" s="29" t="str">
        <f>Input!C810</f>
        <v/>
      </c>
      <c r="D810" s="33"/>
    </row>
    <row r="811">
      <c r="A811" s="29" t="str">
        <f>Input!A811</f>
        <v/>
      </c>
      <c r="B811" s="30" t="str">
        <f>Input!B811</f>
        <v/>
      </c>
      <c r="C811" s="29" t="str">
        <f>Input!C811</f>
        <v/>
      </c>
      <c r="D811" s="33"/>
    </row>
    <row r="812">
      <c r="A812" s="29" t="str">
        <f>Input!A812</f>
        <v/>
      </c>
      <c r="B812" s="30" t="str">
        <f>Input!B812</f>
        <v/>
      </c>
      <c r="C812" s="29" t="str">
        <f>Input!C812</f>
        <v/>
      </c>
      <c r="D812" s="33"/>
    </row>
    <row r="813">
      <c r="A813" s="29" t="str">
        <f>Input!A813</f>
        <v/>
      </c>
      <c r="B813" s="30" t="str">
        <f>Input!B813</f>
        <v/>
      </c>
      <c r="C813" s="29" t="str">
        <f>Input!C813</f>
        <v/>
      </c>
      <c r="D813" s="33"/>
    </row>
    <row r="814">
      <c r="A814" s="29" t="str">
        <f>Input!A814</f>
        <v/>
      </c>
      <c r="B814" s="30" t="str">
        <f>Input!B814</f>
        <v/>
      </c>
      <c r="C814" s="29" t="str">
        <f>Input!C814</f>
        <v/>
      </c>
      <c r="D814" s="33"/>
    </row>
    <row r="815">
      <c r="A815" s="29" t="str">
        <f>Input!A815</f>
        <v/>
      </c>
      <c r="B815" s="30" t="str">
        <f>Input!B815</f>
        <v/>
      </c>
      <c r="C815" s="29" t="str">
        <f>Input!C815</f>
        <v/>
      </c>
      <c r="D815" s="33"/>
    </row>
    <row r="816">
      <c r="A816" s="29" t="str">
        <f>Input!A816</f>
        <v/>
      </c>
      <c r="B816" s="30" t="str">
        <f>Input!B816</f>
        <v/>
      </c>
      <c r="C816" s="29" t="str">
        <f>Input!C816</f>
        <v/>
      </c>
      <c r="D816" s="33"/>
    </row>
    <row r="817">
      <c r="A817" s="29" t="str">
        <f>Input!A817</f>
        <v/>
      </c>
      <c r="B817" s="30" t="str">
        <f>Input!B817</f>
        <v/>
      </c>
      <c r="C817" s="29" t="str">
        <f>Input!C817</f>
        <v/>
      </c>
      <c r="D817" s="33"/>
    </row>
    <row r="818">
      <c r="A818" s="29" t="str">
        <f>Input!A818</f>
        <v/>
      </c>
      <c r="B818" s="30" t="str">
        <f>Input!B818</f>
        <v/>
      </c>
      <c r="C818" s="29" t="str">
        <f>Input!C818</f>
        <v/>
      </c>
      <c r="D818" s="33"/>
    </row>
    <row r="819">
      <c r="A819" s="29" t="str">
        <f>Input!A819</f>
        <v/>
      </c>
      <c r="B819" s="30" t="str">
        <f>Input!B819</f>
        <v/>
      </c>
      <c r="C819" s="29" t="str">
        <f>Input!C819</f>
        <v/>
      </c>
      <c r="D819" s="33"/>
    </row>
    <row r="820">
      <c r="A820" s="29" t="str">
        <f>Input!A820</f>
        <v/>
      </c>
      <c r="B820" s="30" t="str">
        <f>Input!B820</f>
        <v/>
      </c>
      <c r="C820" s="29" t="str">
        <f>Input!C820</f>
        <v/>
      </c>
      <c r="D820" s="33"/>
    </row>
    <row r="821">
      <c r="A821" s="29" t="str">
        <f>Input!A821</f>
        <v/>
      </c>
      <c r="B821" s="30" t="str">
        <f>Input!B821</f>
        <v/>
      </c>
      <c r="C821" s="29" t="str">
        <f>Input!C821</f>
        <v/>
      </c>
      <c r="D821" s="33"/>
    </row>
    <row r="822">
      <c r="A822" s="29" t="str">
        <f>Input!A822</f>
        <v/>
      </c>
      <c r="B822" s="30" t="str">
        <f>Input!B822</f>
        <v/>
      </c>
      <c r="C822" s="29" t="str">
        <f>Input!C822</f>
        <v/>
      </c>
      <c r="D822" s="33"/>
    </row>
    <row r="823">
      <c r="A823" s="29" t="str">
        <f>Input!A823</f>
        <v/>
      </c>
      <c r="B823" s="30" t="str">
        <f>Input!B823</f>
        <v/>
      </c>
      <c r="C823" s="29" t="str">
        <f>Input!C823</f>
        <v/>
      </c>
      <c r="D823" s="33"/>
    </row>
    <row r="824">
      <c r="A824" s="29" t="str">
        <f>Input!A824</f>
        <v/>
      </c>
      <c r="B824" s="30" t="str">
        <f>Input!B824</f>
        <v/>
      </c>
      <c r="C824" s="29" t="str">
        <f>Input!C824</f>
        <v/>
      </c>
      <c r="D824" s="33"/>
    </row>
    <row r="825">
      <c r="A825" s="29" t="str">
        <f>Input!A825</f>
        <v/>
      </c>
      <c r="B825" s="30" t="str">
        <f>Input!B825</f>
        <v/>
      </c>
      <c r="C825" s="29" t="str">
        <f>Input!C825</f>
        <v/>
      </c>
      <c r="D825" s="33"/>
    </row>
    <row r="826">
      <c r="A826" s="29" t="str">
        <f>Input!A826</f>
        <v/>
      </c>
      <c r="B826" s="30" t="str">
        <f>Input!B826</f>
        <v/>
      </c>
      <c r="C826" s="29" t="str">
        <f>Input!C826</f>
        <v/>
      </c>
      <c r="D826" s="33"/>
    </row>
    <row r="827">
      <c r="A827" s="29" t="str">
        <f>Input!A827</f>
        <v/>
      </c>
      <c r="B827" s="30" t="str">
        <f>Input!B827</f>
        <v/>
      </c>
      <c r="C827" s="29" t="str">
        <f>Input!C827</f>
        <v/>
      </c>
      <c r="D827" s="33"/>
    </row>
    <row r="828">
      <c r="A828" s="29" t="str">
        <f>Input!A828</f>
        <v/>
      </c>
      <c r="B828" s="30" t="str">
        <f>Input!B828</f>
        <v/>
      </c>
      <c r="C828" s="29" t="str">
        <f>Input!C828</f>
        <v/>
      </c>
      <c r="D828" s="33"/>
    </row>
    <row r="829">
      <c r="A829" s="29" t="str">
        <f>Input!A829</f>
        <v/>
      </c>
      <c r="B829" s="30" t="str">
        <f>Input!B829</f>
        <v/>
      </c>
      <c r="C829" s="29" t="str">
        <f>Input!C829</f>
        <v/>
      </c>
      <c r="D829" s="33"/>
    </row>
    <row r="830">
      <c r="A830" s="29" t="str">
        <f>Input!A830</f>
        <v/>
      </c>
      <c r="B830" s="30" t="str">
        <f>Input!B830</f>
        <v/>
      </c>
      <c r="C830" s="29" t="str">
        <f>Input!C830</f>
        <v/>
      </c>
      <c r="D830" s="33"/>
    </row>
    <row r="831">
      <c r="A831" s="29" t="str">
        <f>Input!A831</f>
        <v/>
      </c>
      <c r="B831" s="30" t="str">
        <f>Input!B831</f>
        <v/>
      </c>
      <c r="C831" s="29" t="str">
        <f>Input!C831</f>
        <v/>
      </c>
      <c r="D831" s="33"/>
    </row>
    <row r="832">
      <c r="A832" s="29" t="str">
        <f>Input!A832</f>
        <v/>
      </c>
      <c r="B832" s="30" t="str">
        <f>Input!B832</f>
        <v/>
      </c>
      <c r="C832" s="29" t="str">
        <f>Input!C832</f>
        <v/>
      </c>
      <c r="D832" s="33"/>
    </row>
    <row r="833">
      <c r="A833" s="29" t="str">
        <f>Input!A833</f>
        <v/>
      </c>
      <c r="B833" s="30" t="str">
        <f>Input!B833</f>
        <v/>
      </c>
      <c r="C833" s="29" t="str">
        <f>Input!C833</f>
        <v/>
      </c>
      <c r="D833" s="33"/>
    </row>
    <row r="834">
      <c r="A834" s="29" t="str">
        <f>Input!A834</f>
        <v/>
      </c>
      <c r="B834" s="30" t="str">
        <f>Input!B834</f>
        <v/>
      </c>
      <c r="C834" s="29" t="str">
        <f>Input!C834</f>
        <v/>
      </c>
      <c r="D834" s="33"/>
    </row>
    <row r="835">
      <c r="A835" s="29" t="str">
        <f>Input!A835</f>
        <v/>
      </c>
      <c r="B835" s="30" t="str">
        <f>Input!B835</f>
        <v/>
      </c>
      <c r="C835" s="29" t="str">
        <f>Input!C835</f>
        <v/>
      </c>
      <c r="D835" s="33"/>
    </row>
    <row r="836">
      <c r="A836" s="29" t="str">
        <f>Input!A836</f>
        <v/>
      </c>
      <c r="B836" s="30" t="str">
        <f>Input!B836</f>
        <v/>
      </c>
      <c r="C836" s="29" t="str">
        <f>Input!C836</f>
        <v/>
      </c>
      <c r="D836" s="33"/>
    </row>
    <row r="837">
      <c r="A837" s="29" t="str">
        <f>Input!A837</f>
        <v/>
      </c>
      <c r="B837" s="30" t="str">
        <f>Input!B837</f>
        <v/>
      </c>
      <c r="C837" s="29" t="str">
        <f>Input!C837</f>
        <v/>
      </c>
      <c r="D837" s="33"/>
    </row>
    <row r="838">
      <c r="A838" s="29" t="str">
        <f>Input!A838</f>
        <v/>
      </c>
      <c r="B838" s="30" t="str">
        <f>Input!B838</f>
        <v/>
      </c>
      <c r="C838" s="29" t="str">
        <f>Input!C838</f>
        <v/>
      </c>
      <c r="D838" s="33"/>
    </row>
    <row r="839">
      <c r="A839" s="29" t="str">
        <f>Input!A839</f>
        <v/>
      </c>
      <c r="B839" s="30" t="str">
        <f>Input!B839</f>
        <v/>
      </c>
      <c r="C839" s="29" t="str">
        <f>Input!C839</f>
        <v/>
      </c>
      <c r="D839" s="33"/>
    </row>
    <row r="840">
      <c r="A840" s="29" t="str">
        <f>Input!A840</f>
        <v/>
      </c>
      <c r="B840" s="30" t="str">
        <f>Input!B840</f>
        <v/>
      </c>
      <c r="C840" s="29" t="str">
        <f>Input!C840</f>
        <v/>
      </c>
      <c r="D840" s="33"/>
    </row>
    <row r="841">
      <c r="A841" s="26" t="s">
        <v>2</v>
      </c>
      <c r="B841" s="27" t="s">
        <v>3</v>
      </c>
      <c r="C841" s="26" t="s">
        <v>4</v>
      </c>
      <c r="D841" s="28" t="s">
        <v>108</v>
      </c>
    </row>
    <row r="842">
      <c r="A842" s="29" t="str">
        <f>Input!A842</f>
        <v/>
      </c>
      <c r="B842" s="30" t="str">
        <f>Input!B842</f>
        <v/>
      </c>
      <c r="C842" s="29" t="str">
        <f>Input!C842</f>
        <v/>
      </c>
      <c r="D842" s="33"/>
    </row>
    <row r="843">
      <c r="A843" s="29" t="str">
        <f>Input!A843</f>
        <v/>
      </c>
      <c r="B843" s="30" t="str">
        <f>Input!B843</f>
        <v/>
      </c>
      <c r="C843" s="29" t="str">
        <f>Input!C843</f>
        <v/>
      </c>
      <c r="D843" s="33"/>
    </row>
    <row r="844">
      <c r="A844" s="29" t="str">
        <f>Input!A844</f>
        <v/>
      </c>
      <c r="B844" s="30" t="str">
        <f>Input!B844</f>
        <v/>
      </c>
      <c r="C844" s="29" t="str">
        <f>Input!C844</f>
        <v/>
      </c>
      <c r="D844" s="33"/>
    </row>
    <row r="845">
      <c r="A845" s="29" t="str">
        <f>Input!A845</f>
        <v/>
      </c>
      <c r="B845" s="30" t="str">
        <f>Input!B845</f>
        <v/>
      </c>
      <c r="C845" s="29" t="str">
        <f>Input!C845</f>
        <v/>
      </c>
      <c r="D845" s="33"/>
    </row>
    <row r="846">
      <c r="A846" s="29" t="str">
        <f>Input!A846</f>
        <v/>
      </c>
      <c r="B846" s="30" t="str">
        <f>Input!B846</f>
        <v/>
      </c>
      <c r="C846" s="29" t="str">
        <f>Input!C846</f>
        <v/>
      </c>
      <c r="D846" s="33"/>
    </row>
    <row r="847">
      <c r="A847" s="29" t="str">
        <f>Input!A847</f>
        <v/>
      </c>
      <c r="B847" s="30" t="str">
        <f>Input!B847</f>
        <v/>
      </c>
      <c r="C847" s="29" t="str">
        <f>Input!C847</f>
        <v/>
      </c>
      <c r="D847" s="33"/>
    </row>
    <row r="848">
      <c r="A848" s="29" t="str">
        <f>Input!A848</f>
        <v/>
      </c>
      <c r="B848" s="30" t="str">
        <f>Input!B848</f>
        <v/>
      </c>
      <c r="C848" s="29" t="str">
        <f>Input!C848</f>
        <v/>
      </c>
      <c r="D848" s="33"/>
    </row>
    <row r="849">
      <c r="A849" s="29" t="str">
        <f>Input!A849</f>
        <v/>
      </c>
      <c r="B849" s="30" t="str">
        <f>Input!B849</f>
        <v/>
      </c>
      <c r="C849" s="29" t="str">
        <f>Input!C849</f>
        <v/>
      </c>
      <c r="D849" s="33"/>
    </row>
    <row r="850">
      <c r="A850" s="29" t="str">
        <f>Input!A850</f>
        <v/>
      </c>
      <c r="B850" s="30" t="str">
        <f>Input!B850</f>
        <v/>
      </c>
      <c r="C850" s="29" t="str">
        <f>Input!C850</f>
        <v/>
      </c>
      <c r="D850" s="33"/>
    </row>
    <row r="851">
      <c r="A851" s="29" t="str">
        <f>Input!A851</f>
        <v/>
      </c>
      <c r="B851" s="30" t="str">
        <f>Input!B851</f>
        <v/>
      </c>
      <c r="C851" s="29" t="str">
        <f>Input!C851</f>
        <v/>
      </c>
      <c r="D851" s="33"/>
    </row>
    <row r="852">
      <c r="A852" s="29" t="str">
        <f>Input!A852</f>
        <v/>
      </c>
      <c r="B852" s="30" t="str">
        <f>Input!B852</f>
        <v/>
      </c>
      <c r="C852" s="29" t="str">
        <f>Input!C852</f>
        <v/>
      </c>
      <c r="D852" s="33"/>
    </row>
    <row r="853">
      <c r="A853" s="29" t="str">
        <f>Input!A853</f>
        <v/>
      </c>
      <c r="B853" s="30" t="str">
        <f>Input!B853</f>
        <v/>
      </c>
      <c r="C853" s="29" t="str">
        <f>Input!C853</f>
        <v/>
      </c>
      <c r="D853" s="33"/>
    </row>
    <row r="854">
      <c r="A854" s="29" t="str">
        <f>Input!A854</f>
        <v/>
      </c>
      <c r="B854" s="30" t="str">
        <f>Input!B854</f>
        <v/>
      </c>
      <c r="C854" s="29" t="str">
        <f>Input!C854</f>
        <v/>
      </c>
      <c r="D854" s="33"/>
    </row>
    <row r="855">
      <c r="A855" s="29" t="str">
        <f>Input!A855</f>
        <v/>
      </c>
      <c r="B855" s="30" t="str">
        <f>Input!B855</f>
        <v/>
      </c>
      <c r="C855" s="29" t="str">
        <f>Input!C855</f>
        <v/>
      </c>
      <c r="D855" s="33"/>
    </row>
    <row r="856">
      <c r="A856" s="29" t="str">
        <f>Input!A856</f>
        <v/>
      </c>
      <c r="B856" s="30" t="str">
        <f>Input!B856</f>
        <v/>
      </c>
      <c r="C856" s="29" t="str">
        <f>Input!C856</f>
        <v/>
      </c>
      <c r="D856" s="33"/>
    </row>
    <row r="857">
      <c r="A857" s="29" t="str">
        <f>Input!A857</f>
        <v/>
      </c>
      <c r="B857" s="30" t="str">
        <f>Input!B857</f>
        <v/>
      </c>
      <c r="C857" s="29" t="str">
        <f>Input!C857</f>
        <v/>
      </c>
      <c r="D857" s="33"/>
    </row>
    <row r="858">
      <c r="A858" s="29" t="str">
        <f>Input!A858</f>
        <v/>
      </c>
      <c r="B858" s="30" t="str">
        <f>Input!B858</f>
        <v/>
      </c>
      <c r="C858" s="29" t="str">
        <f>Input!C858</f>
        <v/>
      </c>
      <c r="D858" s="33"/>
    </row>
    <row r="859">
      <c r="A859" s="29" t="str">
        <f>Input!A859</f>
        <v/>
      </c>
      <c r="B859" s="30" t="str">
        <f>Input!B859</f>
        <v/>
      </c>
      <c r="C859" s="29" t="str">
        <f>Input!C859</f>
        <v/>
      </c>
      <c r="D859" s="33"/>
    </row>
    <row r="860">
      <c r="A860" s="29" t="str">
        <f>Input!A860</f>
        <v/>
      </c>
      <c r="B860" s="30" t="str">
        <f>Input!B860</f>
        <v/>
      </c>
      <c r="C860" s="29" t="str">
        <f>Input!C860</f>
        <v/>
      </c>
      <c r="D860" s="33"/>
    </row>
    <row r="861">
      <c r="A861" s="29" t="str">
        <f>Input!A861</f>
        <v/>
      </c>
      <c r="B861" s="30" t="str">
        <f>Input!B861</f>
        <v/>
      </c>
      <c r="C861" s="29" t="str">
        <f>Input!C861</f>
        <v/>
      </c>
      <c r="D861" s="33"/>
    </row>
    <row r="862">
      <c r="A862" s="29" t="str">
        <f>Input!A862</f>
        <v/>
      </c>
      <c r="B862" s="30" t="str">
        <f>Input!B862</f>
        <v/>
      </c>
      <c r="C862" s="29" t="str">
        <f>Input!C862</f>
        <v/>
      </c>
      <c r="D862" s="33"/>
    </row>
    <row r="863">
      <c r="A863" s="29" t="str">
        <f>Input!A863</f>
        <v/>
      </c>
      <c r="B863" s="30" t="str">
        <f>Input!B863</f>
        <v/>
      </c>
      <c r="C863" s="29" t="str">
        <f>Input!C863</f>
        <v/>
      </c>
      <c r="D863" s="33"/>
    </row>
    <row r="864">
      <c r="A864" s="29" t="str">
        <f>Input!A864</f>
        <v/>
      </c>
      <c r="B864" s="30" t="str">
        <f>Input!B864</f>
        <v/>
      </c>
      <c r="C864" s="29" t="str">
        <f>Input!C864</f>
        <v/>
      </c>
      <c r="D864" s="33"/>
    </row>
    <row r="865">
      <c r="A865" s="29" t="str">
        <f>Input!A865</f>
        <v/>
      </c>
      <c r="B865" s="30" t="str">
        <f>Input!B865</f>
        <v/>
      </c>
      <c r="C865" s="29" t="str">
        <f>Input!C865</f>
        <v/>
      </c>
      <c r="D865" s="33"/>
    </row>
    <row r="866">
      <c r="A866" s="29" t="str">
        <f>Input!A866</f>
        <v/>
      </c>
      <c r="B866" s="30" t="str">
        <f>Input!B866</f>
        <v/>
      </c>
      <c r="C866" s="29" t="str">
        <f>Input!C866</f>
        <v/>
      </c>
      <c r="D866" s="33"/>
    </row>
    <row r="867">
      <c r="A867" s="29" t="str">
        <f>Input!A867</f>
        <v/>
      </c>
      <c r="B867" s="30" t="str">
        <f>Input!B867</f>
        <v/>
      </c>
      <c r="C867" s="29" t="str">
        <f>Input!C867</f>
        <v/>
      </c>
      <c r="D867" s="33"/>
    </row>
    <row r="868">
      <c r="A868" s="29" t="str">
        <f>Input!A868</f>
        <v/>
      </c>
      <c r="B868" s="30" t="str">
        <f>Input!B868</f>
        <v/>
      </c>
      <c r="C868" s="29" t="str">
        <f>Input!C868</f>
        <v/>
      </c>
      <c r="D868" s="33"/>
    </row>
    <row r="869">
      <c r="A869" s="29" t="str">
        <f>Input!A869</f>
        <v/>
      </c>
      <c r="B869" s="30" t="str">
        <f>Input!B869</f>
        <v/>
      </c>
      <c r="C869" s="29" t="str">
        <f>Input!C869</f>
        <v/>
      </c>
      <c r="D869" s="33"/>
    </row>
    <row r="870">
      <c r="A870" s="29" t="str">
        <f>Input!A870</f>
        <v/>
      </c>
      <c r="B870" s="30" t="str">
        <f>Input!B870</f>
        <v/>
      </c>
      <c r="C870" s="29" t="str">
        <f>Input!C870</f>
        <v/>
      </c>
      <c r="D870" s="33"/>
    </row>
    <row r="871">
      <c r="A871" s="29" t="str">
        <f>Input!A871</f>
        <v/>
      </c>
      <c r="B871" s="30" t="str">
        <f>Input!B871</f>
        <v/>
      </c>
      <c r="C871" s="29" t="str">
        <f>Input!C871</f>
        <v/>
      </c>
      <c r="D871" s="33"/>
    </row>
    <row r="872">
      <c r="A872" s="29" t="str">
        <f>Input!A872</f>
        <v/>
      </c>
      <c r="B872" s="30" t="str">
        <f>Input!B872</f>
        <v/>
      </c>
      <c r="C872" s="29" t="str">
        <f>Input!C872</f>
        <v/>
      </c>
      <c r="D872" s="33"/>
    </row>
    <row r="873">
      <c r="A873" s="29" t="str">
        <f>Input!A873</f>
        <v/>
      </c>
      <c r="B873" s="30" t="str">
        <f>Input!B873</f>
        <v/>
      </c>
      <c r="C873" s="29" t="str">
        <f>Input!C873</f>
        <v/>
      </c>
      <c r="D873" s="33"/>
    </row>
    <row r="874">
      <c r="A874" s="29" t="str">
        <f>Input!A874</f>
        <v/>
      </c>
      <c r="B874" s="30" t="str">
        <f>Input!B874</f>
        <v/>
      </c>
      <c r="C874" s="29" t="str">
        <f>Input!C874</f>
        <v/>
      </c>
      <c r="D874" s="33"/>
    </row>
    <row r="875">
      <c r="A875" s="29" t="str">
        <f>Input!A875</f>
        <v/>
      </c>
      <c r="B875" s="30" t="str">
        <f>Input!B875</f>
        <v/>
      </c>
      <c r="C875" s="29" t="str">
        <f>Input!C875</f>
        <v/>
      </c>
      <c r="D875" s="33"/>
    </row>
    <row r="876">
      <c r="A876" s="29" t="str">
        <f>Input!A876</f>
        <v/>
      </c>
      <c r="B876" s="30" t="str">
        <f>Input!B876</f>
        <v/>
      </c>
      <c r="C876" s="29" t="str">
        <f>Input!C876</f>
        <v/>
      </c>
      <c r="D876" s="33"/>
    </row>
    <row r="877">
      <c r="A877" s="29" t="str">
        <f>Input!A877</f>
        <v/>
      </c>
      <c r="B877" s="30" t="str">
        <f>Input!B877</f>
        <v/>
      </c>
      <c r="C877" s="29" t="str">
        <f>Input!C877</f>
        <v/>
      </c>
      <c r="D877" s="33"/>
    </row>
    <row r="878">
      <c r="A878" s="29" t="str">
        <f>Input!A878</f>
        <v/>
      </c>
      <c r="B878" s="30" t="str">
        <f>Input!B878</f>
        <v/>
      </c>
      <c r="C878" s="29" t="str">
        <f>Input!C878</f>
        <v/>
      </c>
      <c r="D878" s="33"/>
    </row>
    <row r="879">
      <c r="A879" s="29" t="str">
        <f>Input!A879</f>
        <v/>
      </c>
      <c r="B879" s="30" t="str">
        <f>Input!B879</f>
        <v/>
      </c>
      <c r="C879" s="29" t="str">
        <f>Input!C879</f>
        <v/>
      </c>
      <c r="D879" s="33"/>
    </row>
    <row r="880">
      <c r="A880" s="29" t="str">
        <f>Input!A880</f>
        <v/>
      </c>
      <c r="B880" s="30" t="str">
        <f>Input!B880</f>
        <v/>
      </c>
      <c r="C880" s="29" t="str">
        <f>Input!C880</f>
        <v/>
      </c>
      <c r="D880" s="33"/>
    </row>
    <row r="881">
      <c r="A881" s="29" t="str">
        <f>Input!A881</f>
        <v/>
      </c>
      <c r="B881" s="30" t="str">
        <f>Input!B881</f>
        <v/>
      </c>
      <c r="C881" s="29" t="str">
        <f>Input!C881</f>
        <v/>
      </c>
      <c r="D881" s="33"/>
    </row>
    <row r="882">
      <c r="A882" s="29" t="str">
        <f>Input!A882</f>
        <v/>
      </c>
      <c r="B882" s="30" t="str">
        <f>Input!B882</f>
        <v/>
      </c>
      <c r="C882" s="29" t="str">
        <f>Input!C882</f>
        <v/>
      </c>
      <c r="D882" s="33"/>
    </row>
    <row r="883">
      <c r="A883" s="29" t="str">
        <f>Input!A883</f>
        <v/>
      </c>
      <c r="B883" s="30" t="str">
        <f>Input!B883</f>
        <v/>
      </c>
      <c r="C883" s="29" t="str">
        <f>Input!C883</f>
        <v/>
      </c>
      <c r="D883" s="33"/>
    </row>
    <row r="884">
      <c r="A884" s="29" t="str">
        <f>Input!A884</f>
        <v/>
      </c>
      <c r="B884" s="30" t="str">
        <f>Input!B884</f>
        <v/>
      </c>
      <c r="C884" s="29" t="str">
        <f>Input!C884</f>
        <v/>
      </c>
      <c r="D884" s="33"/>
    </row>
    <row r="885">
      <c r="A885" s="29" t="str">
        <f>Input!A885</f>
        <v/>
      </c>
      <c r="B885" s="30" t="str">
        <f>Input!B885</f>
        <v/>
      </c>
      <c r="C885" s="29" t="str">
        <f>Input!C885</f>
        <v/>
      </c>
      <c r="D885" s="33"/>
    </row>
    <row r="886">
      <c r="A886" s="29" t="str">
        <f>Input!A886</f>
        <v/>
      </c>
      <c r="B886" s="30" t="str">
        <f>Input!B886</f>
        <v/>
      </c>
      <c r="C886" s="29" t="str">
        <f>Input!C886</f>
        <v/>
      </c>
      <c r="D886" s="33"/>
    </row>
    <row r="887">
      <c r="A887" s="29" t="str">
        <f>Input!A887</f>
        <v/>
      </c>
      <c r="B887" s="30" t="str">
        <f>Input!B887</f>
        <v/>
      </c>
      <c r="C887" s="29" t="str">
        <f>Input!C887</f>
        <v/>
      </c>
      <c r="D887" s="33"/>
    </row>
    <row r="888">
      <c r="A888" s="29" t="str">
        <f>Input!A888</f>
        <v/>
      </c>
      <c r="B888" s="30" t="str">
        <f>Input!B888</f>
        <v/>
      </c>
      <c r="C888" s="29" t="str">
        <f>Input!C888</f>
        <v/>
      </c>
      <c r="D888" s="33"/>
    </row>
    <row r="889">
      <c r="A889" s="29" t="str">
        <f>Input!A889</f>
        <v/>
      </c>
      <c r="B889" s="30" t="str">
        <f>Input!B889</f>
        <v/>
      </c>
      <c r="C889" s="29" t="str">
        <f>Input!C889</f>
        <v/>
      </c>
      <c r="D889" s="33"/>
    </row>
    <row r="890">
      <c r="A890" s="29" t="str">
        <f>Input!A890</f>
        <v/>
      </c>
      <c r="B890" s="30" t="str">
        <f>Input!B890</f>
        <v/>
      </c>
      <c r="C890" s="29" t="str">
        <f>Input!C890</f>
        <v/>
      </c>
      <c r="D890" s="33"/>
    </row>
    <row r="891">
      <c r="A891" s="29" t="str">
        <f>Input!A891</f>
        <v/>
      </c>
      <c r="B891" s="30" t="str">
        <f>Input!B891</f>
        <v/>
      </c>
      <c r="C891" s="29" t="str">
        <f>Input!C891</f>
        <v/>
      </c>
      <c r="D891" s="33"/>
    </row>
    <row r="892">
      <c r="A892" s="29" t="str">
        <f>Input!A892</f>
        <v/>
      </c>
      <c r="B892" s="30" t="str">
        <f>Input!B892</f>
        <v/>
      </c>
      <c r="C892" s="29" t="str">
        <f>Input!C892</f>
        <v/>
      </c>
      <c r="D892" s="33"/>
    </row>
    <row r="893">
      <c r="A893" s="29" t="str">
        <f>Input!A893</f>
        <v/>
      </c>
      <c r="B893" s="30" t="str">
        <f>Input!B893</f>
        <v/>
      </c>
      <c r="C893" s="29" t="str">
        <f>Input!C893</f>
        <v/>
      </c>
      <c r="D893" s="33"/>
    </row>
    <row r="894">
      <c r="A894" s="29" t="str">
        <f>Input!A894</f>
        <v/>
      </c>
      <c r="B894" s="30" t="str">
        <f>Input!B894</f>
        <v/>
      </c>
      <c r="C894" s="29" t="str">
        <f>Input!C894</f>
        <v/>
      </c>
      <c r="D894" s="33"/>
    </row>
    <row r="895">
      <c r="A895" s="29" t="str">
        <f>Input!A895</f>
        <v/>
      </c>
      <c r="B895" s="30" t="str">
        <f>Input!B895</f>
        <v/>
      </c>
      <c r="C895" s="29" t="str">
        <f>Input!C895</f>
        <v/>
      </c>
      <c r="D895" s="33"/>
    </row>
    <row r="896">
      <c r="A896" s="29" t="str">
        <f>Input!A896</f>
        <v/>
      </c>
      <c r="B896" s="30" t="str">
        <f>Input!B896</f>
        <v/>
      </c>
      <c r="C896" s="29" t="str">
        <f>Input!C896</f>
        <v/>
      </c>
      <c r="D896" s="33"/>
    </row>
    <row r="897">
      <c r="A897" s="29" t="str">
        <f>Input!A897</f>
        <v/>
      </c>
      <c r="B897" s="30" t="str">
        <f>Input!B897</f>
        <v/>
      </c>
      <c r="C897" s="29" t="str">
        <f>Input!C897</f>
        <v/>
      </c>
      <c r="D897" s="33"/>
    </row>
    <row r="898">
      <c r="A898" s="29" t="str">
        <f>Input!A898</f>
        <v/>
      </c>
      <c r="B898" s="30" t="str">
        <f>Input!B898</f>
        <v/>
      </c>
      <c r="C898" s="29" t="str">
        <f>Input!C898</f>
        <v/>
      </c>
      <c r="D898" s="33"/>
    </row>
    <row r="899">
      <c r="A899" s="29" t="str">
        <f>Input!A899</f>
        <v/>
      </c>
      <c r="B899" s="30" t="str">
        <f>Input!B899</f>
        <v/>
      </c>
      <c r="C899" s="29" t="str">
        <f>Input!C899</f>
        <v/>
      </c>
      <c r="D899" s="33"/>
    </row>
    <row r="900">
      <c r="A900" s="29" t="str">
        <f>Input!A900</f>
        <v/>
      </c>
      <c r="B900" s="30" t="str">
        <f>Input!B900</f>
        <v/>
      </c>
      <c r="C900" s="29" t="str">
        <f>Input!C900</f>
        <v/>
      </c>
      <c r="D900" s="33"/>
    </row>
    <row r="901">
      <c r="A901" s="29" t="str">
        <f>Input!A901</f>
        <v/>
      </c>
      <c r="B901" s="30" t="str">
        <f>Input!B901</f>
        <v/>
      </c>
      <c r="C901" s="29" t="str">
        <f>Input!C901</f>
        <v/>
      </c>
      <c r="D901" s="33"/>
    </row>
    <row r="902">
      <c r="A902" s="29" t="str">
        <f>Input!A902</f>
        <v/>
      </c>
      <c r="B902" s="30" t="str">
        <f>Input!B902</f>
        <v/>
      </c>
      <c r="C902" s="29" t="str">
        <f>Input!C902</f>
        <v/>
      </c>
      <c r="D902" s="33"/>
    </row>
    <row r="903">
      <c r="A903" s="29" t="str">
        <f>Input!A903</f>
        <v/>
      </c>
      <c r="B903" s="30" t="str">
        <f>Input!B903</f>
        <v/>
      </c>
      <c r="C903" s="29" t="str">
        <f>Input!C903</f>
        <v/>
      </c>
      <c r="D903" s="33"/>
    </row>
    <row r="904">
      <c r="A904" s="29" t="str">
        <f>Input!A904</f>
        <v/>
      </c>
      <c r="B904" s="30" t="str">
        <f>Input!B904</f>
        <v/>
      </c>
      <c r="C904" s="29" t="str">
        <f>Input!C904</f>
        <v/>
      </c>
      <c r="D904" s="33"/>
    </row>
    <row r="905">
      <c r="A905" s="29" t="str">
        <f>Input!A905</f>
        <v/>
      </c>
      <c r="B905" s="30" t="str">
        <f>Input!B905</f>
        <v/>
      </c>
      <c r="C905" s="29" t="str">
        <f>Input!C905</f>
        <v/>
      </c>
      <c r="D905" s="33"/>
    </row>
    <row r="906">
      <c r="A906" s="29" t="str">
        <f>Input!A906</f>
        <v/>
      </c>
      <c r="B906" s="30" t="str">
        <f>Input!B906</f>
        <v/>
      </c>
      <c r="C906" s="29" t="str">
        <f>Input!C906</f>
        <v/>
      </c>
      <c r="D906" s="33"/>
    </row>
    <row r="907">
      <c r="A907" s="29" t="str">
        <f>Input!A907</f>
        <v/>
      </c>
      <c r="B907" s="30" t="str">
        <f>Input!B907</f>
        <v/>
      </c>
      <c r="C907" s="29" t="str">
        <f>Input!C907</f>
        <v/>
      </c>
      <c r="D907" s="33"/>
    </row>
    <row r="908">
      <c r="A908" s="29" t="str">
        <f>Input!A908</f>
        <v/>
      </c>
      <c r="B908" s="30" t="str">
        <f>Input!B908</f>
        <v/>
      </c>
      <c r="C908" s="29" t="str">
        <f>Input!C908</f>
        <v/>
      </c>
      <c r="D908" s="33"/>
    </row>
    <row r="909">
      <c r="A909" s="29" t="str">
        <f>Input!A909</f>
        <v/>
      </c>
      <c r="B909" s="30" t="str">
        <f>Input!B909</f>
        <v/>
      </c>
      <c r="C909" s="29" t="str">
        <f>Input!C909</f>
        <v/>
      </c>
      <c r="D909" s="33"/>
    </row>
    <row r="910">
      <c r="A910" s="29" t="str">
        <f>Input!A910</f>
        <v/>
      </c>
      <c r="B910" s="30" t="str">
        <f>Input!B910</f>
        <v/>
      </c>
      <c r="C910" s="29" t="str">
        <f>Input!C910</f>
        <v/>
      </c>
      <c r="D910" s="33"/>
    </row>
    <row r="911">
      <c r="A911" s="26" t="s">
        <v>2</v>
      </c>
      <c r="B911" s="27" t="s">
        <v>3</v>
      </c>
      <c r="C911" s="26" t="s">
        <v>4</v>
      </c>
      <c r="D911" s="28" t="s">
        <v>108</v>
      </c>
    </row>
    <row r="912">
      <c r="A912" s="29" t="str">
        <f>Input!A912</f>
        <v/>
      </c>
      <c r="B912" s="30" t="str">
        <f>Input!B912</f>
        <v/>
      </c>
      <c r="C912" s="29" t="str">
        <f>Input!C912</f>
        <v/>
      </c>
      <c r="D912" s="33"/>
    </row>
    <row r="913">
      <c r="A913" s="29" t="str">
        <f>Input!A913</f>
        <v/>
      </c>
      <c r="B913" s="30" t="str">
        <f>Input!B913</f>
        <v/>
      </c>
      <c r="C913" s="29" t="str">
        <f>Input!C913</f>
        <v/>
      </c>
      <c r="D913" s="33"/>
    </row>
    <row r="914">
      <c r="A914" s="29" t="str">
        <f>Input!A914</f>
        <v/>
      </c>
      <c r="B914" s="30" t="str">
        <f>Input!B914</f>
        <v/>
      </c>
      <c r="C914" s="29" t="str">
        <f>Input!C914</f>
        <v/>
      </c>
      <c r="D914" s="33"/>
    </row>
    <row r="915">
      <c r="A915" s="29" t="str">
        <f>Input!A915</f>
        <v/>
      </c>
      <c r="B915" s="30" t="str">
        <f>Input!B915</f>
        <v/>
      </c>
      <c r="C915" s="29" t="str">
        <f>Input!C915</f>
        <v/>
      </c>
      <c r="D915" s="33"/>
    </row>
    <row r="916">
      <c r="A916" s="29" t="str">
        <f>Input!A916</f>
        <v/>
      </c>
      <c r="B916" s="30" t="str">
        <f>Input!B916</f>
        <v/>
      </c>
      <c r="C916" s="29" t="str">
        <f>Input!C916</f>
        <v/>
      </c>
      <c r="D916" s="33"/>
    </row>
    <row r="917">
      <c r="A917" s="29" t="str">
        <f>Input!A917</f>
        <v/>
      </c>
      <c r="B917" s="30" t="str">
        <f>Input!B917</f>
        <v/>
      </c>
      <c r="C917" s="29" t="str">
        <f>Input!C917</f>
        <v/>
      </c>
      <c r="D917" s="33"/>
    </row>
    <row r="918">
      <c r="A918" s="29" t="str">
        <f>Input!A918</f>
        <v/>
      </c>
      <c r="B918" s="30" t="str">
        <f>Input!B918</f>
        <v/>
      </c>
      <c r="C918" s="29" t="str">
        <f>Input!C918</f>
        <v/>
      </c>
      <c r="D918" s="33"/>
    </row>
    <row r="919">
      <c r="A919" s="29" t="str">
        <f>Input!A919</f>
        <v/>
      </c>
      <c r="B919" s="30" t="str">
        <f>Input!B919</f>
        <v/>
      </c>
      <c r="C919" s="29" t="str">
        <f>Input!C919</f>
        <v/>
      </c>
      <c r="D919" s="33"/>
    </row>
    <row r="920">
      <c r="A920" s="29" t="str">
        <f>Input!A920</f>
        <v/>
      </c>
      <c r="B920" s="30" t="str">
        <f>Input!B920</f>
        <v/>
      </c>
      <c r="C920" s="29" t="str">
        <f>Input!C920</f>
        <v/>
      </c>
      <c r="D920" s="33"/>
    </row>
    <row r="921">
      <c r="A921" s="29" t="str">
        <f>Input!A921</f>
        <v/>
      </c>
      <c r="B921" s="30" t="str">
        <f>Input!B921</f>
        <v/>
      </c>
      <c r="C921" s="29" t="str">
        <f>Input!C921</f>
        <v/>
      </c>
      <c r="D921" s="33"/>
    </row>
    <row r="922">
      <c r="A922" s="29" t="str">
        <f>Input!A922</f>
        <v/>
      </c>
      <c r="B922" s="30" t="str">
        <f>Input!B922</f>
        <v/>
      </c>
      <c r="C922" s="29" t="str">
        <f>Input!C922</f>
        <v/>
      </c>
      <c r="D922" s="33"/>
    </row>
    <row r="923">
      <c r="A923" s="29" t="str">
        <f>Input!A923</f>
        <v/>
      </c>
      <c r="B923" s="30" t="str">
        <f>Input!B923</f>
        <v/>
      </c>
      <c r="C923" s="29" t="str">
        <f>Input!C923</f>
        <v/>
      </c>
      <c r="D923" s="33"/>
    </row>
    <row r="924">
      <c r="A924" s="29" t="str">
        <f>Input!A924</f>
        <v/>
      </c>
      <c r="B924" s="30" t="str">
        <f>Input!B924</f>
        <v/>
      </c>
      <c r="C924" s="29" t="str">
        <f>Input!C924</f>
        <v/>
      </c>
      <c r="D924" s="33"/>
    </row>
    <row r="925">
      <c r="A925" s="29" t="str">
        <f>Input!A925</f>
        <v/>
      </c>
      <c r="B925" s="30" t="str">
        <f>Input!B925</f>
        <v/>
      </c>
      <c r="C925" s="29" t="str">
        <f>Input!C925</f>
        <v/>
      </c>
      <c r="D925" s="33"/>
    </row>
    <row r="926">
      <c r="A926" s="29" t="str">
        <f>Input!A926</f>
        <v/>
      </c>
      <c r="B926" s="30" t="str">
        <f>Input!B926</f>
        <v/>
      </c>
      <c r="C926" s="29" t="str">
        <f>Input!C926</f>
        <v/>
      </c>
      <c r="D926" s="33"/>
    </row>
    <row r="927">
      <c r="A927" s="29" t="str">
        <f>Input!A927</f>
        <v/>
      </c>
      <c r="B927" s="30" t="str">
        <f>Input!B927</f>
        <v/>
      </c>
      <c r="C927" s="29" t="str">
        <f>Input!C927</f>
        <v/>
      </c>
      <c r="D927" s="33"/>
    </row>
    <row r="928">
      <c r="A928" s="29" t="str">
        <f>Input!A928</f>
        <v/>
      </c>
      <c r="B928" s="30" t="str">
        <f>Input!B928</f>
        <v/>
      </c>
      <c r="C928" s="29" t="str">
        <f>Input!C928</f>
        <v/>
      </c>
      <c r="D928" s="33"/>
    </row>
    <row r="929">
      <c r="A929" s="29" t="str">
        <f>Input!A929</f>
        <v/>
      </c>
      <c r="B929" s="30" t="str">
        <f>Input!B929</f>
        <v/>
      </c>
      <c r="C929" s="29" t="str">
        <f>Input!C929</f>
        <v/>
      </c>
      <c r="D929" s="33"/>
    </row>
    <row r="930">
      <c r="A930" s="29" t="str">
        <f>Input!A930</f>
        <v/>
      </c>
      <c r="B930" s="30" t="str">
        <f>Input!B930</f>
        <v/>
      </c>
      <c r="C930" s="29" t="str">
        <f>Input!C930</f>
        <v/>
      </c>
      <c r="D930" s="33"/>
    </row>
    <row r="931">
      <c r="A931" s="29" t="str">
        <f>Input!A931</f>
        <v/>
      </c>
      <c r="B931" s="30" t="str">
        <f>Input!B931</f>
        <v/>
      </c>
      <c r="C931" s="29" t="str">
        <f>Input!C931</f>
        <v/>
      </c>
      <c r="D931" s="33"/>
    </row>
    <row r="932">
      <c r="A932" s="29" t="str">
        <f>Input!A932</f>
        <v/>
      </c>
      <c r="B932" s="30" t="str">
        <f>Input!B932</f>
        <v/>
      </c>
      <c r="C932" s="29" t="str">
        <f>Input!C932</f>
        <v/>
      </c>
      <c r="D932" s="33"/>
    </row>
    <row r="933">
      <c r="A933" s="29" t="str">
        <f>Input!A933</f>
        <v/>
      </c>
      <c r="B933" s="30" t="str">
        <f>Input!B933</f>
        <v/>
      </c>
      <c r="C933" s="29" t="str">
        <f>Input!C933</f>
        <v/>
      </c>
      <c r="D933" s="33"/>
    </row>
    <row r="934">
      <c r="A934" s="29" t="str">
        <f>Input!A934</f>
        <v/>
      </c>
      <c r="B934" s="30" t="str">
        <f>Input!B934</f>
        <v/>
      </c>
      <c r="C934" s="29" t="str">
        <f>Input!C934</f>
        <v/>
      </c>
      <c r="D934" s="33"/>
    </row>
    <row r="935">
      <c r="A935" s="29" t="str">
        <f>Input!A935</f>
        <v/>
      </c>
      <c r="B935" s="30" t="str">
        <f>Input!B935</f>
        <v/>
      </c>
      <c r="C935" s="29" t="str">
        <f>Input!C935</f>
        <v/>
      </c>
      <c r="D935" s="33"/>
    </row>
    <row r="936">
      <c r="A936" s="29" t="str">
        <f>Input!A936</f>
        <v/>
      </c>
      <c r="B936" s="30" t="str">
        <f>Input!B936</f>
        <v/>
      </c>
      <c r="C936" s="29" t="str">
        <f>Input!C936</f>
        <v/>
      </c>
      <c r="D936" s="33"/>
    </row>
    <row r="937">
      <c r="A937" s="29" t="str">
        <f>Input!A937</f>
        <v/>
      </c>
      <c r="B937" s="30" t="str">
        <f>Input!B937</f>
        <v/>
      </c>
      <c r="C937" s="29" t="str">
        <f>Input!C937</f>
        <v/>
      </c>
      <c r="D937" s="33"/>
    </row>
    <row r="938">
      <c r="A938" s="29" t="str">
        <f>Input!A938</f>
        <v/>
      </c>
      <c r="B938" s="30" t="str">
        <f>Input!B938</f>
        <v/>
      </c>
      <c r="C938" s="29" t="str">
        <f>Input!C938</f>
        <v/>
      </c>
      <c r="D938" s="33"/>
    </row>
    <row r="939">
      <c r="A939" s="29" t="str">
        <f>Input!A939</f>
        <v/>
      </c>
      <c r="B939" s="30" t="str">
        <f>Input!B939</f>
        <v/>
      </c>
      <c r="C939" s="29" t="str">
        <f>Input!C939</f>
        <v/>
      </c>
      <c r="D939" s="33"/>
    </row>
    <row r="940">
      <c r="A940" s="29" t="str">
        <f>Input!A940</f>
        <v/>
      </c>
      <c r="B940" s="30" t="str">
        <f>Input!B940</f>
        <v/>
      </c>
      <c r="C940" s="29" t="str">
        <f>Input!C940</f>
        <v/>
      </c>
      <c r="D940" s="33"/>
    </row>
    <row r="941">
      <c r="A941" s="29" t="str">
        <f>Input!A941</f>
        <v/>
      </c>
      <c r="B941" s="30" t="str">
        <f>Input!B941</f>
        <v/>
      </c>
      <c r="C941" s="29" t="str">
        <f>Input!C941</f>
        <v/>
      </c>
      <c r="D941" s="33"/>
    </row>
    <row r="942">
      <c r="A942" s="29" t="str">
        <f>Input!A942</f>
        <v/>
      </c>
      <c r="B942" s="30" t="str">
        <f>Input!B942</f>
        <v/>
      </c>
      <c r="C942" s="29" t="str">
        <f>Input!C942</f>
        <v/>
      </c>
      <c r="D942" s="33"/>
    </row>
    <row r="943">
      <c r="A943" s="29" t="str">
        <f>Input!A943</f>
        <v/>
      </c>
      <c r="B943" s="30" t="str">
        <f>Input!B943</f>
        <v/>
      </c>
      <c r="C943" s="29" t="str">
        <f>Input!C943</f>
        <v/>
      </c>
      <c r="D943" s="33"/>
    </row>
    <row r="944">
      <c r="A944" s="29" t="str">
        <f>Input!A944</f>
        <v/>
      </c>
      <c r="B944" s="30" t="str">
        <f>Input!B944</f>
        <v/>
      </c>
      <c r="C944" s="29" t="str">
        <f>Input!C944</f>
        <v/>
      </c>
      <c r="D944" s="33"/>
    </row>
    <row r="945">
      <c r="A945" s="29" t="str">
        <f>Input!A945</f>
        <v/>
      </c>
      <c r="B945" s="30" t="str">
        <f>Input!B945</f>
        <v/>
      </c>
      <c r="C945" s="29" t="str">
        <f>Input!C945</f>
        <v/>
      </c>
      <c r="D945" s="33"/>
    </row>
    <row r="946">
      <c r="A946" s="29" t="str">
        <f>Input!A946</f>
        <v/>
      </c>
      <c r="B946" s="30" t="str">
        <f>Input!B946</f>
        <v/>
      </c>
      <c r="C946" s="29" t="str">
        <f>Input!C946</f>
        <v/>
      </c>
      <c r="D946" s="33"/>
    </row>
    <row r="947">
      <c r="A947" s="29" t="str">
        <f>Input!A947</f>
        <v/>
      </c>
      <c r="B947" s="30" t="str">
        <f>Input!B947</f>
        <v/>
      </c>
      <c r="C947" s="29" t="str">
        <f>Input!C947</f>
        <v/>
      </c>
      <c r="D947" s="33"/>
    </row>
    <row r="948">
      <c r="A948" s="29" t="str">
        <f>Input!A948</f>
        <v/>
      </c>
      <c r="B948" s="30" t="str">
        <f>Input!B948</f>
        <v/>
      </c>
      <c r="C948" s="29" t="str">
        <f>Input!C948</f>
        <v/>
      </c>
      <c r="D948" s="33"/>
    </row>
    <row r="949">
      <c r="A949" s="29" t="str">
        <f>Input!A949</f>
        <v/>
      </c>
      <c r="B949" s="30" t="str">
        <f>Input!B949</f>
        <v/>
      </c>
      <c r="C949" s="29" t="str">
        <f>Input!C949</f>
        <v/>
      </c>
      <c r="D949" s="33"/>
    </row>
    <row r="950">
      <c r="A950" s="29" t="str">
        <f>Input!A950</f>
        <v/>
      </c>
      <c r="B950" s="30" t="str">
        <f>Input!B950</f>
        <v/>
      </c>
      <c r="C950" s="29" t="str">
        <f>Input!C950</f>
        <v/>
      </c>
      <c r="D950" s="33"/>
    </row>
    <row r="951">
      <c r="A951" s="29" t="str">
        <f>Input!A951</f>
        <v/>
      </c>
      <c r="B951" s="30" t="str">
        <f>Input!B951</f>
        <v/>
      </c>
      <c r="C951" s="29" t="str">
        <f>Input!C951</f>
        <v/>
      </c>
      <c r="D951" s="33"/>
    </row>
    <row r="952">
      <c r="A952" s="29" t="str">
        <f>Input!A952</f>
        <v/>
      </c>
      <c r="B952" s="30" t="str">
        <f>Input!B952</f>
        <v/>
      </c>
      <c r="C952" s="29" t="str">
        <f>Input!C952</f>
        <v/>
      </c>
      <c r="D952" s="33"/>
    </row>
    <row r="953">
      <c r="A953" s="29" t="str">
        <f>Input!A953</f>
        <v/>
      </c>
      <c r="B953" s="30" t="str">
        <f>Input!B953</f>
        <v/>
      </c>
      <c r="C953" s="29" t="str">
        <f>Input!C953</f>
        <v/>
      </c>
      <c r="D953" s="33"/>
    </row>
    <row r="954">
      <c r="A954" s="29" t="str">
        <f>Input!A954</f>
        <v/>
      </c>
      <c r="B954" s="30" t="str">
        <f>Input!B954</f>
        <v/>
      </c>
      <c r="C954" s="29" t="str">
        <f>Input!C954</f>
        <v/>
      </c>
      <c r="D954" s="33"/>
    </row>
    <row r="955">
      <c r="A955" s="29" t="str">
        <f>Input!A955</f>
        <v/>
      </c>
      <c r="B955" s="30" t="str">
        <f>Input!B955</f>
        <v/>
      </c>
      <c r="C955" s="29" t="str">
        <f>Input!C955</f>
        <v/>
      </c>
      <c r="D955" s="33"/>
    </row>
    <row r="956">
      <c r="A956" s="29" t="str">
        <f>Input!A956</f>
        <v/>
      </c>
      <c r="B956" s="30" t="str">
        <f>Input!B956</f>
        <v/>
      </c>
      <c r="C956" s="29" t="str">
        <f>Input!C956</f>
        <v/>
      </c>
      <c r="D956" s="33"/>
    </row>
    <row r="957">
      <c r="A957" s="29" t="str">
        <f>Input!A957</f>
        <v/>
      </c>
      <c r="B957" s="30" t="str">
        <f>Input!B957</f>
        <v/>
      </c>
      <c r="C957" s="29" t="str">
        <f>Input!C957</f>
        <v/>
      </c>
      <c r="D957" s="33"/>
    </row>
    <row r="958">
      <c r="A958" s="29" t="str">
        <f>Input!A958</f>
        <v/>
      </c>
      <c r="B958" s="30" t="str">
        <f>Input!B958</f>
        <v/>
      </c>
      <c r="C958" s="29" t="str">
        <f>Input!C958</f>
        <v/>
      </c>
      <c r="D958" s="33"/>
    </row>
    <row r="959">
      <c r="A959" s="29" t="str">
        <f>Input!A959</f>
        <v/>
      </c>
      <c r="B959" s="30" t="str">
        <f>Input!B959</f>
        <v/>
      </c>
      <c r="C959" s="29" t="str">
        <f>Input!C959</f>
        <v/>
      </c>
      <c r="D959" s="33"/>
    </row>
    <row r="960">
      <c r="A960" s="29" t="str">
        <f>Input!A960</f>
        <v/>
      </c>
      <c r="B960" s="30" t="str">
        <f>Input!B960</f>
        <v/>
      </c>
      <c r="C960" s="29" t="str">
        <f>Input!C960</f>
        <v/>
      </c>
      <c r="D960" s="33"/>
    </row>
    <row r="961">
      <c r="A961" s="29" t="str">
        <f>Input!A961</f>
        <v/>
      </c>
      <c r="B961" s="30" t="str">
        <f>Input!B961</f>
        <v/>
      </c>
      <c r="C961" s="29" t="str">
        <f>Input!C961</f>
        <v/>
      </c>
      <c r="D961" s="33"/>
    </row>
    <row r="962">
      <c r="A962" s="29" t="str">
        <f>Input!A962</f>
        <v/>
      </c>
      <c r="B962" s="30" t="str">
        <f>Input!B962</f>
        <v/>
      </c>
      <c r="C962" s="29" t="str">
        <f>Input!C962</f>
        <v/>
      </c>
      <c r="D962" s="33"/>
    </row>
    <row r="963">
      <c r="A963" s="29" t="str">
        <f>Input!A963</f>
        <v/>
      </c>
      <c r="B963" s="30" t="str">
        <f>Input!B963</f>
        <v/>
      </c>
      <c r="C963" s="29" t="str">
        <f>Input!C963</f>
        <v/>
      </c>
      <c r="D963" s="33"/>
    </row>
    <row r="964">
      <c r="A964" s="29" t="str">
        <f>Input!A964</f>
        <v/>
      </c>
      <c r="B964" s="30" t="str">
        <f>Input!B964</f>
        <v/>
      </c>
      <c r="C964" s="29" t="str">
        <f>Input!C964</f>
        <v/>
      </c>
      <c r="D964" s="33"/>
    </row>
    <row r="965">
      <c r="A965" s="29" t="str">
        <f>Input!A965</f>
        <v/>
      </c>
      <c r="B965" s="30" t="str">
        <f>Input!B965</f>
        <v/>
      </c>
      <c r="C965" s="29" t="str">
        <f>Input!C965</f>
        <v/>
      </c>
      <c r="D965" s="33"/>
    </row>
    <row r="966">
      <c r="A966" s="29" t="str">
        <f>Input!A966</f>
        <v/>
      </c>
      <c r="B966" s="30" t="str">
        <f>Input!B966</f>
        <v/>
      </c>
      <c r="C966" s="29" t="str">
        <f>Input!C966</f>
        <v/>
      </c>
      <c r="D966" s="33"/>
    </row>
    <row r="967">
      <c r="A967" s="29" t="str">
        <f>Input!A967</f>
        <v/>
      </c>
      <c r="B967" s="30" t="str">
        <f>Input!B967</f>
        <v/>
      </c>
      <c r="C967" s="29" t="str">
        <f>Input!C967</f>
        <v/>
      </c>
      <c r="D967" s="33"/>
    </row>
    <row r="968">
      <c r="A968" s="29" t="str">
        <f>Input!A968</f>
        <v/>
      </c>
      <c r="B968" s="30" t="str">
        <f>Input!B968</f>
        <v/>
      </c>
      <c r="C968" s="29" t="str">
        <f>Input!C968</f>
        <v/>
      </c>
      <c r="D968" s="33"/>
    </row>
    <row r="969">
      <c r="A969" s="29" t="str">
        <f>Input!A969</f>
        <v/>
      </c>
      <c r="B969" s="30" t="str">
        <f>Input!B969</f>
        <v/>
      </c>
      <c r="C969" s="29" t="str">
        <f>Input!C969</f>
        <v/>
      </c>
      <c r="D969" s="33"/>
    </row>
    <row r="970">
      <c r="A970" s="29" t="str">
        <f>Input!A970</f>
        <v/>
      </c>
      <c r="B970" s="30" t="str">
        <f>Input!B970</f>
        <v/>
      </c>
      <c r="C970" s="29" t="str">
        <f>Input!C970</f>
        <v/>
      </c>
      <c r="D970" s="33"/>
    </row>
    <row r="971">
      <c r="A971" s="29" t="str">
        <f>Input!A971</f>
        <v/>
      </c>
      <c r="B971" s="30" t="str">
        <f>Input!B971</f>
        <v/>
      </c>
      <c r="C971" s="29" t="str">
        <f>Input!C971</f>
        <v/>
      </c>
      <c r="D971" s="33"/>
    </row>
    <row r="972">
      <c r="A972" s="29" t="str">
        <f>Input!A972</f>
        <v/>
      </c>
      <c r="B972" s="30" t="str">
        <f>Input!B972</f>
        <v/>
      </c>
      <c r="C972" s="29" t="str">
        <f>Input!C972</f>
        <v/>
      </c>
      <c r="D972" s="33"/>
    </row>
    <row r="973">
      <c r="A973" s="29" t="str">
        <f>Input!A973</f>
        <v/>
      </c>
      <c r="B973" s="30" t="str">
        <f>Input!B973</f>
        <v/>
      </c>
      <c r="C973" s="29" t="str">
        <f>Input!C973</f>
        <v/>
      </c>
      <c r="D973" s="33"/>
    </row>
    <row r="974">
      <c r="A974" s="29" t="str">
        <f>Input!A974</f>
        <v/>
      </c>
      <c r="B974" s="30" t="str">
        <f>Input!B974</f>
        <v/>
      </c>
      <c r="C974" s="29" t="str">
        <f>Input!C974</f>
        <v/>
      </c>
      <c r="D974" s="33"/>
    </row>
    <row r="975">
      <c r="A975" s="29" t="str">
        <f>Input!A975</f>
        <v/>
      </c>
      <c r="B975" s="30" t="str">
        <f>Input!B975</f>
        <v/>
      </c>
      <c r="C975" s="29" t="str">
        <f>Input!C975</f>
        <v/>
      </c>
      <c r="D975" s="33"/>
    </row>
    <row r="976">
      <c r="A976" s="29" t="str">
        <f>Input!A976</f>
        <v/>
      </c>
      <c r="B976" s="30" t="str">
        <f>Input!B976</f>
        <v/>
      </c>
      <c r="C976" s="29" t="str">
        <f>Input!C976</f>
        <v/>
      </c>
      <c r="D976" s="33"/>
    </row>
    <row r="977">
      <c r="A977" s="29" t="str">
        <f>Input!A977</f>
        <v/>
      </c>
      <c r="B977" s="30" t="str">
        <f>Input!B977</f>
        <v/>
      </c>
      <c r="C977" s="29" t="str">
        <f>Input!C977</f>
        <v/>
      </c>
      <c r="D977" s="33"/>
    </row>
    <row r="978">
      <c r="A978" s="29" t="str">
        <f>Input!A978</f>
        <v/>
      </c>
      <c r="B978" s="30" t="str">
        <f>Input!B978</f>
        <v/>
      </c>
      <c r="C978" s="29" t="str">
        <f>Input!C978</f>
        <v/>
      </c>
      <c r="D978" s="33"/>
    </row>
    <row r="979">
      <c r="A979" s="29" t="str">
        <f>Input!A979</f>
        <v/>
      </c>
      <c r="B979" s="30" t="str">
        <f>Input!B979</f>
        <v/>
      </c>
      <c r="C979" s="29" t="str">
        <f>Input!C979</f>
        <v/>
      </c>
      <c r="D979" s="33"/>
    </row>
    <row r="980">
      <c r="A980" s="29" t="str">
        <f>Input!A980</f>
        <v/>
      </c>
      <c r="B980" s="30" t="str">
        <f>Input!B980</f>
        <v/>
      </c>
      <c r="C980" s="29" t="str">
        <f>Input!C980</f>
        <v/>
      </c>
      <c r="D980"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0.4</v>
      </c>
    </row>
    <row r="3">
      <c r="A3" s="29">
        <f>Input!A3</f>
        <v>2</v>
      </c>
      <c r="B3" s="30" t="str">
        <f>Input!B3</f>
        <v>The farthest paper airplane flight will be broken (as reported by Guinness World Records)</v>
      </c>
      <c r="C3" s="29" t="str">
        <f>Input!C3</f>
        <v>Entertainment</v>
      </c>
      <c r="D3" s="31">
        <v>0.7</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0.4</v>
      </c>
    </row>
    <row r="5">
      <c r="A5" s="29">
        <f>Input!A5</f>
        <v>4</v>
      </c>
      <c r="B5" s="30" t="str">
        <f>Input!B5</f>
        <v>There will be a scandal involving the BTS 10 year anniversary as reported by Korean MSM</v>
      </c>
      <c r="C5" s="29" t="str">
        <f>Input!C5</f>
        <v>Entertainment</v>
      </c>
      <c r="D5" s="31">
        <v>0.4</v>
      </c>
    </row>
    <row r="6">
      <c r="A6" s="29">
        <f>Input!A6</f>
        <v>5</v>
      </c>
      <c r="B6" s="30" t="str">
        <f>Input!B6</f>
        <v>Twosetviolin (the Youtube channel) will make a video reporting fresh abuse from kpop fans (excluding Blackpink)</v>
      </c>
      <c r="C6" s="29" t="str">
        <f>Input!C6</f>
        <v>Entertainment</v>
      </c>
      <c r="D6" s="31">
        <v>0.8</v>
      </c>
    </row>
    <row r="7">
      <c r="A7" s="29">
        <f>Input!A7</f>
        <v>6</v>
      </c>
      <c r="B7" s="30" t="str">
        <f>Input!B7</f>
        <v>Lee Min-ho will be the most followed Korean actor on Instagram by the end of 2023 </v>
      </c>
      <c r="C7" s="29" t="str">
        <f>Input!C7</f>
        <v>Entertainment</v>
      </c>
      <c r="D7" s="31">
        <v>0.7</v>
      </c>
    </row>
    <row r="8">
      <c r="A8" s="29">
        <f>Input!A8</f>
        <v>7</v>
      </c>
      <c r="B8" s="30" t="str">
        <f>Input!B8</f>
        <v>LOONA will disband</v>
      </c>
      <c r="C8" s="29" t="str">
        <f>Input!C8</f>
        <v>Entertainment</v>
      </c>
      <c r="D8" s="31">
        <v>0.4</v>
      </c>
    </row>
    <row r="9">
      <c r="A9" s="29">
        <f>Input!A9</f>
        <v>8</v>
      </c>
      <c r="B9" s="30" t="str">
        <f>Input!B9</f>
        <v>A new Korean show will get more than 140 million household views on Netflix</v>
      </c>
      <c r="C9" s="29" t="str">
        <f>Input!C9</f>
        <v>Entertainment</v>
      </c>
      <c r="D9" s="31">
        <v>0.7</v>
      </c>
    </row>
    <row r="10">
      <c r="A10" s="29">
        <f>Input!A10</f>
        <v>9</v>
      </c>
      <c r="B10" s="30" t="str">
        <f>Input!B10</f>
        <v>Avatar The Way of Water will remain at 8.0 on IMDb by Christmas next year.</v>
      </c>
      <c r="C10" s="29" t="str">
        <f>Input!C10</f>
        <v>Entertainment</v>
      </c>
      <c r="D10" s="31">
        <v>0.3</v>
      </c>
    </row>
    <row r="11">
      <c r="A11" s="29">
        <f>Input!A11</f>
        <v>10</v>
      </c>
      <c r="B11" s="30" t="str">
        <f>Input!B11</f>
        <v>Kanye West will have 0 twitter suspensions or bans.</v>
      </c>
      <c r="C11" s="29" t="str">
        <f>Input!C11</f>
        <v>Entertainment</v>
      </c>
      <c r="D11" s="31">
        <v>0.2</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0.4</v>
      </c>
    </row>
    <row r="13">
      <c r="A13" s="29">
        <f>Input!A13</f>
        <v>12</v>
      </c>
      <c r="B13" s="30" t="str">
        <f>Input!B13</f>
        <v>Francis will be the Pope on Christmas eve</v>
      </c>
      <c r="C13" s="29" t="str">
        <f>Input!C13</f>
        <v>Entertainment</v>
      </c>
      <c r="D13" s="31">
        <v>0.2</v>
      </c>
    </row>
    <row r="14">
      <c r="A14" s="29">
        <f>Input!A14</f>
        <v>13</v>
      </c>
      <c r="B14" s="30" t="str">
        <f>Input!B14</f>
        <v>Rohan will not test positive for COVID in 2023</v>
      </c>
      <c r="C14" s="29" t="str">
        <f>Input!C14</f>
        <v>Family</v>
      </c>
      <c r="D14" s="31">
        <v>0.4</v>
      </c>
    </row>
    <row r="15">
      <c r="A15" s="29">
        <f>Input!A15</f>
        <v>14</v>
      </c>
      <c r="B15" s="30" t="str">
        <f>Input!B15</f>
        <v>Baby McCalman is less than 49cm at birth</v>
      </c>
      <c r="C15" s="29" t="str">
        <f>Input!C15</f>
        <v>Family</v>
      </c>
      <c r="D15" s="31">
        <v>0.6</v>
      </c>
    </row>
    <row r="16">
      <c r="A16" s="29">
        <f>Input!A16</f>
        <v>15</v>
      </c>
      <c r="B16" s="30" t="str">
        <f>Input!B16</f>
        <v>Jac and Lachy’s baby will say ‘ma’ or make a similar ‘m’ sound by 24 December 2023.</v>
      </c>
      <c r="C16" s="29" t="str">
        <f>Input!C16</f>
        <v>Family</v>
      </c>
      <c r="D16" s="31">
        <v>0.7</v>
      </c>
    </row>
    <row r="17">
      <c r="A17" s="29">
        <f>Input!A17</f>
        <v>16</v>
      </c>
      <c r="B17" s="30" t="str">
        <f>Input!B17</f>
        <v>Rohan will be at least 6'1"</v>
      </c>
      <c r="C17" s="29" t="str">
        <f>Input!C17</f>
        <v>Family</v>
      </c>
      <c r="D17" s="31">
        <v>0.3</v>
      </c>
    </row>
    <row r="18">
      <c r="A18" s="29">
        <f>Input!A18</f>
        <v>17</v>
      </c>
      <c r="B18" s="30" t="str">
        <f>Input!B18</f>
        <v>Andrew and Eileen will buy a house</v>
      </c>
      <c r="C18" s="29" t="str">
        <f>Input!C18</f>
        <v>Family</v>
      </c>
      <c r="D18" s="31">
        <v>0.99</v>
      </c>
    </row>
    <row r="19">
      <c r="A19" s="29">
        <f>Input!A19</f>
        <v>18</v>
      </c>
      <c r="B19" s="30" t="str">
        <f>Input!B19</f>
        <v>Lachy and Jac’s baby will be at least 68 cm by next Christmas.</v>
      </c>
      <c r="C19" s="29" t="str">
        <f>Input!C19</f>
        <v>Family</v>
      </c>
      <c r="D19" s="31">
        <v>0.45</v>
      </c>
    </row>
    <row r="20">
      <c r="A20" s="29">
        <f>Input!A20</f>
        <v>19</v>
      </c>
      <c r="B20" s="30" t="str">
        <f>Input!B20</f>
        <v>The annual inflation rate in Australia will be below 6% when the RBA releases its announcement of the October 2023 result</v>
      </c>
      <c r="C20" s="29" t="str">
        <f>Input!C20</f>
        <v>Finance</v>
      </c>
      <c r="D20" s="31">
        <v>0.7</v>
      </c>
    </row>
    <row r="21">
      <c r="A21" s="29">
        <f>Input!A21</f>
        <v>20</v>
      </c>
      <c r="B21" s="30" t="str">
        <f>Input!B21</f>
        <v>AUD falls below USD0.64</v>
      </c>
      <c r="C21" s="29" t="str">
        <f>Input!C21</f>
        <v>Finance</v>
      </c>
      <c r="D21" s="31">
        <v>0.65</v>
      </c>
    </row>
    <row r="22">
      <c r="A22" s="29">
        <f>Input!A22</f>
        <v>21</v>
      </c>
      <c r="B22" s="30" t="str">
        <f>Input!B22</f>
        <v>Pro-GOP investor makes a meaningful (&gt;US$100m) investment in Twitter</v>
      </c>
      <c r="C22" s="29" t="str">
        <f>Input!C22</f>
        <v>Finance</v>
      </c>
      <c r="D22" s="31">
        <v>0.3</v>
      </c>
    </row>
    <row r="23">
      <c r="A23" s="29">
        <f>Input!A23</f>
        <v>22</v>
      </c>
      <c r="B23" s="30" t="str">
        <f>Input!B23</f>
        <v>The Australian unemployment rate will be more than 4% at time of judging</v>
      </c>
      <c r="C23" s="29" t="str">
        <f>Input!C23</f>
        <v>Finance</v>
      </c>
      <c r="D23" s="31">
        <v>0.35</v>
      </c>
    </row>
    <row r="24">
      <c r="A24" s="29">
        <f>Input!A24</f>
        <v>23</v>
      </c>
      <c r="B24" s="30" t="str">
        <f>Input!B24</f>
        <v>Binance will collapse slash go into bankruptcy</v>
      </c>
      <c r="C24" s="29" t="str">
        <f>Input!C23</f>
        <v>Finance</v>
      </c>
      <c r="D24" s="31">
        <v>0.6</v>
      </c>
    </row>
    <row r="25">
      <c r="A25" s="29">
        <f>Input!A25</f>
        <v>24</v>
      </c>
      <c r="B25" s="30" t="str">
        <f>Input!B25</f>
        <v>Telsa will remain solvent and operating </v>
      </c>
      <c r="C25" s="29" t="str">
        <f>Input!C25</f>
        <v>Finance</v>
      </c>
      <c r="D25" s="31">
        <v>0.8</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0.4</v>
      </c>
    </row>
    <row r="27">
      <c r="A27" s="29">
        <f>Input!A27</f>
        <v>26</v>
      </c>
      <c r="B27" s="30" t="str">
        <f>Input!B27</f>
        <v>The case against David McBride will be dropped</v>
      </c>
      <c r="C27" s="29" t="str">
        <f>Input!C27</f>
        <v>Law</v>
      </c>
      <c r="D27" s="31">
        <v>0.3</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0.45</v>
      </c>
    </row>
    <row r="29">
      <c r="A29" s="29">
        <f>Input!A29</f>
        <v>28</v>
      </c>
      <c r="B29" s="30" t="str">
        <f>Input!B29</f>
        <v>The New Zealand National party will form government after the next election.</v>
      </c>
      <c r="C29" s="29" t="str">
        <f>Input!C29</f>
        <v>Politics</v>
      </c>
      <c r="D29" s="31">
        <v>0.45</v>
      </c>
    </row>
    <row r="30">
      <c r="A30" s="29">
        <f>Input!A30</f>
        <v>29</v>
      </c>
      <c r="B30" s="30" t="str">
        <f>Input!B30</f>
        <v>The British Labour Party will be ahead in the polls in November 2023.</v>
      </c>
      <c r="C30" s="29" t="str">
        <f>Input!C30</f>
        <v>Politics</v>
      </c>
      <c r="D30" s="31">
        <v>0.7</v>
      </c>
    </row>
    <row r="31">
      <c r="A31" s="29">
        <f>Input!A31</f>
        <v>30</v>
      </c>
      <c r="B31" s="30" t="str">
        <f>Input!B31</f>
        <v>Liz Cheney will not nominate for the presidency in 2023.</v>
      </c>
      <c r="C31" s="29" t="str">
        <f>Input!C31</f>
        <v>Politics</v>
      </c>
      <c r="D31" s="31">
        <v>0.45</v>
      </c>
    </row>
    <row r="32">
      <c r="A32" s="29">
        <f>Input!A32</f>
        <v>31</v>
      </c>
      <c r="B32" s="30" t="str">
        <f>Input!B32</f>
        <v>China will eliminate at least one existing trade sanction against Australia</v>
      </c>
      <c r="C32" s="29" t="str">
        <f>Input!C32</f>
        <v>Politics</v>
      </c>
      <c r="D32" s="31">
        <v>0.2</v>
      </c>
    </row>
    <row r="33">
      <c r="A33" s="29">
        <f>Input!A33</f>
        <v>32</v>
      </c>
      <c r="B33" s="30" t="str">
        <f>Input!S1</f>
        <v>James</v>
      </c>
      <c r="C33" s="29" t="str">
        <f>Input!C33</f>
        <v>Politics</v>
      </c>
      <c r="D33" s="31">
        <v>0.4</v>
      </c>
    </row>
    <row r="34">
      <c r="A34" s="29">
        <f>Input!A34</f>
        <v>33</v>
      </c>
      <c r="B34" s="30" t="str">
        <f>Input!B34</f>
        <v>Henry Kissinger will die</v>
      </c>
      <c r="C34" s="29" t="str">
        <f>Input!C34</f>
        <v>Politics</v>
      </c>
      <c r="D34" s="31">
        <v>0.3</v>
      </c>
    </row>
    <row r="35">
      <c r="A35" s="29">
        <f>Input!A35</f>
        <v>34</v>
      </c>
      <c r="B35" s="32" t="str">
        <f>Input!B35</f>
        <v>The Australian government will announce that the referendum for the Indigenous Voice to Parliament will occur in 2024</v>
      </c>
      <c r="C35" s="29" t="str">
        <f>Input!C35</f>
        <v>Politics</v>
      </c>
      <c r="D35" s="31">
        <v>0.45</v>
      </c>
    </row>
    <row r="36">
      <c r="A36" s="29">
        <f>Input!A36</f>
        <v>35</v>
      </c>
      <c r="B36" s="32" t="str">
        <f>Input!B36</f>
        <v>Labor will win the NSW state election</v>
      </c>
      <c r="C36" s="29" t="str">
        <f>Input!C36</f>
        <v>Politics</v>
      </c>
      <c r="D36" s="31">
        <v>0.45</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0.7</v>
      </c>
    </row>
    <row r="38">
      <c r="A38" s="29">
        <f>Input!A38</f>
        <v>37</v>
      </c>
      <c r="B38" s="30" t="str">
        <f>Input!B38</f>
        <v>At least one senior public servant (Deputy Secretary or above) will face disciplinary action from the Robodebt royal commission</v>
      </c>
      <c r="C38" s="29" t="str">
        <f>Input!C38</f>
        <v>Politics</v>
      </c>
      <c r="D38" s="31">
        <v>0.4</v>
      </c>
    </row>
    <row r="39">
      <c r="A39" s="29">
        <f>Input!A39</f>
        <v>38</v>
      </c>
      <c r="B39" s="30" t="str">
        <f>Input!B39</f>
        <v>China invades Taiwan</v>
      </c>
      <c r="C39" s="29" t="str">
        <f>Input!C39</f>
        <v>Politics</v>
      </c>
      <c r="D39" s="31">
        <v>0.3</v>
      </c>
    </row>
    <row r="40">
      <c r="A40" s="29">
        <f>Input!A40</f>
        <v>39</v>
      </c>
      <c r="B40" s="30" t="str">
        <f>Input!B40</f>
        <v>The war in Ukraine will be declared over over by MSM</v>
      </c>
      <c r="C40" s="29" t="str">
        <f>Input!C40</f>
        <v>Politics</v>
      </c>
      <c r="D40" s="31">
        <v>0.3</v>
      </c>
    </row>
    <row r="41">
      <c r="A41" s="29">
        <f>Input!A41</f>
        <v>40</v>
      </c>
      <c r="B41" s="30" t="str">
        <f>Input!B41</f>
        <v>Chris Hipkins will be Prime Minister of NZ</v>
      </c>
      <c r="C41" s="29" t="str">
        <f>Input!C41</f>
        <v>Politics</v>
      </c>
      <c r="D41" s="31">
        <v>0.6</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0.2</v>
      </c>
    </row>
    <row r="43">
      <c r="A43" s="29">
        <f>Input!A43</f>
        <v>42</v>
      </c>
      <c r="B43" s="30" t="str">
        <f>Input!B43</f>
        <v>Sunak will be British Prime Minister throughout 2023</v>
      </c>
      <c r="C43" s="29" t="str">
        <f>Input!C43</f>
        <v>Politics</v>
      </c>
      <c r="D43" s="31">
        <v>0.8</v>
      </c>
    </row>
    <row r="44">
      <c r="A44" s="29">
        <f>Input!A44</f>
        <v>43</v>
      </c>
      <c r="B44" s="30" t="str">
        <f>Input!B44</f>
        <v>Nikii Haley will drop out of the running for president</v>
      </c>
      <c r="C44" s="29" t="str">
        <f>Input!C44</f>
        <v>Politics</v>
      </c>
      <c r="D44" s="31">
        <v>0.85</v>
      </c>
    </row>
    <row r="45">
      <c r="A45" s="29">
        <f>Input!A45</f>
        <v>44</v>
      </c>
      <c r="B45" s="30" t="str">
        <f>Input!B45</f>
        <v>The Telstra  NATSIAA bark painting award will be won by an artist from the Buku-Larrnggay Mulka Centre</v>
      </c>
      <c r="C45" s="29" t="str">
        <f>Input!C45</f>
        <v>Society</v>
      </c>
      <c r="D45" s="31">
        <v>0.3</v>
      </c>
    </row>
    <row r="46">
      <c r="A46" s="29">
        <f>Input!A46</f>
        <v>45</v>
      </c>
      <c r="B46"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6" s="29" t="str">
        <f>Input!C46</f>
        <v>Society</v>
      </c>
      <c r="D46" s="31">
        <v>0.2</v>
      </c>
    </row>
    <row r="47">
      <c r="A47" s="29">
        <f>Input!A47</f>
        <v>46</v>
      </c>
      <c r="B47" s="30" t="str">
        <f>Input!B48</f>
        <v>According to ‘BabyCenter.com’, the name Harry ranked #607 in 2022. I predict that Harry will drop by at least 50 places in 2023 – when checked on 23 December 2023.</v>
      </c>
      <c r="C47" s="29" t="str">
        <f>Input!C47</f>
        <v>Society</v>
      </c>
      <c r="D47" s="31">
        <v>0.2</v>
      </c>
    </row>
    <row r="48">
      <c r="A48" s="29">
        <f>Input!A48</f>
        <v>47</v>
      </c>
      <c r="B48" s="30" t="str">
        <f>Input!C48</f>
        <v>Society</v>
      </c>
      <c r="C48" s="29" t="str">
        <f>Input!C48</f>
        <v>Society</v>
      </c>
      <c r="D48" s="31">
        <v>0.4</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0.4</v>
      </c>
    </row>
    <row r="50">
      <c r="A50" s="29">
        <f>Input!A50</f>
        <v>49</v>
      </c>
      <c r="B50" s="30" t="str">
        <f>Input!B50</f>
        <v>Rafa Nadal will announce his retirement from playing grand slam singles.</v>
      </c>
      <c r="C50" s="29" t="str">
        <f>Input!C50</f>
        <v>Sport</v>
      </c>
      <c r="D50" s="31">
        <v>0.3</v>
      </c>
    </row>
    <row r="51">
      <c r="A51" s="29">
        <f>Input!A51</f>
        <v>50</v>
      </c>
      <c r="B51" s="30" t="str">
        <f>Input!B51</f>
        <v>Australia will win the netball World Cup</v>
      </c>
      <c r="C51" s="29" t="str">
        <f>Input!C51</f>
        <v>Sport</v>
      </c>
      <c r="D51" s="31">
        <v>0.4</v>
      </c>
    </row>
    <row r="52">
      <c r="A52" s="29">
        <f>Input!A52</f>
        <v>51</v>
      </c>
      <c r="B52" s="30" t="str">
        <f>Input!B52</f>
        <v>Ireland will win the Rugby World Cup</v>
      </c>
      <c r="C52" s="29" t="str">
        <f>Input!C52</f>
        <v>Sport</v>
      </c>
      <c r="D52" s="31">
        <v>0.6</v>
      </c>
    </row>
    <row r="53">
      <c r="A53" s="29">
        <f>Input!A53</f>
        <v>52</v>
      </c>
      <c r="B53" s="30" t="str">
        <f>Input!B53</f>
        <v>Warner will have to be dropped as Test match opener sometime during 2023 if not before</v>
      </c>
      <c r="C53" s="29" t="str">
        <f>Input!C53</f>
        <v>Sport</v>
      </c>
      <c r="D53" s="31">
        <v>0.5</v>
      </c>
    </row>
    <row r="54">
      <c r="A54" s="29">
        <f>Input!A54</f>
        <v>53</v>
      </c>
      <c r="B54" s="30" t="str">
        <f>Input!B54</f>
        <v>Boland will oust Hazlewood in at least one test during 2023</v>
      </c>
      <c r="C54" s="29" t="str">
        <f>Input!C54</f>
        <v>Sport</v>
      </c>
      <c r="D54" s="31">
        <v>0.5</v>
      </c>
    </row>
    <row r="55">
      <c r="A55" s="29">
        <f>Input!A55</f>
        <v>54</v>
      </c>
      <c r="B55" s="30" t="str">
        <f>Input!B55</f>
        <v>Team Haas will be 7th or higher in the 2023 F1 constructor's championship</v>
      </c>
      <c r="C55" s="29" t="str">
        <f>Input!C55</f>
        <v>Sport</v>
      </c>
      <c r="D55" s="31">
        <v>0.55</v>
      </c>
    </row>
    <row r="56">
      <c r="A56" s="29">
        <f>Input!A56</f>
        <v>55</v>
      </c>
      <c r="B56" s="30" t="str">
        <f>Input!B56</f>
        <v>Daniel Ricardo signs as a driver with an F1 Team for 2024</v>
      </c>
      <c r="C56" s="29" t="str">
        <f>Input!C56</f>
        <v>Sport</v>
      </c>
      <c r="D56" s="31">
        <v>0.55</v>
      </c>
    </row>
    <row r="57">
      <c r="A57" s="29">
        <f>Input!A57</f>
        <v>56</v>
      </c>
      <c r="B57" s="30" t="str">
        <f>Input!B57</f>
        <v>At least 41% of NZ's energy comes from rewewable sources </v>
      </c>
      <c r="C57" s="29" t="str">
        <f>Input!C57</f>
        <v>Technology</v>
      </c>
      <c r="D57" s="31">
        <v>0.7</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0.75</v>
      </c>
    </row>
    <row r="59">
      <c r="A59" s="29">
        <f>Input!A59</f>
        <v>58</v>
      </c>
      <c r="B59" s="30" t="str">
        <f>Input!B59</f>
        <v>The first orbital launch attempt of SpaceX's starship will occur in 2023, with the vehicle being destroyed on re-entry</v>
      </c>
      <c r="C59" s="29" t="str">
        <f>Input!C59</f>
        <v>Technology</v>
      </c>
      <c r="D59" s="31">
        <v>0.65</v>
      </c>
    </row>
    <row r="60">
      <c r="A60" s="29">
        <f>Input!A60</f>
        <v>59</v>
      </c>
      <c r="B60" s="30" t="str">
        <f>Input!B60</f>
        <v>Elon Musk will commercially launch a virtual/altered reality software or piece of hardware.</v>
      </c>
      <c r="C60" s="29" t="str">
        <f>Input!C60</f>
        <v>Technology</v>
      </c>
      <c r="D60" s="31">
        <v>0.3</v>
      </c>
    </row>
    <row r="61">
      <c r="A61" s="29">
        <f>Input!A61</f>
        <v>60</v>
      </c>
      <c r="B61" s="30" t="str">
        <f>Input!B61</f>
        <v>A country enshrines some form of rights/personhood/protection of AI systems motivated by the welfare of the system itself</v>
      </c>
      <c r="C61" s="29" t="str">
        <f>Input!C61</f>
        <v>Technology</v>
      </c>
      <c r="D61" s="31">
        <v>0.1</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29" t="str">
        <f>Input!A67</f>
        <v/>
      </c>
      <c r="B67" s="30" t="str">
        <f>Input!B67</f>
        <v/>
      </c>
      <c r="C67" s="29" t="str">
        <f>Input!C67</f>
        <v/>
      </c>
      <c r="D67" s="33"/>
    </row>
    <row r="68">
      <c r="A68" s="29" t="str">
        <f>Input!A68</f>
        <v/>
      </c>
      <c r="B68" s="30" t="str">
        <f>Input!B68</f>
        <v>Top score</v>
      </c>
      <c r="C68" s="29" t="str">
        <f>Input!C68</f>
        <v/>
      </c>
      <c r="D68" s="33"/>
    </row>
    <row r="69">
      <c r="A69" s="29" t="str">
        <f>Input!A69</f>
        <v/>
      </c>
      <c r="B69" s="30" t="str">
        <f>Input!B69</f>
        <v>Bottom score</v>
      </c>
      <c r="C69" s="29" t="str">
        <f>Input!C69</f>
        <v/>
      </c>
      <c r="D69" s="33"/>
    </row>
    <row r="70">
      <c r="A70" s="29" t="str">
        <f>Input!A70</f>
        <v/>
      </c>
      <c r="B70" s="30" t="str">
        <f>Input!B70</f>
        <v>Avg +ve</v>
      </c>
      <c r="C70" s="29" t="str">
        <f>Input!C70</f>
        <v/>
      </c>
      <c r="D70" s="33"/>
    </row>
    <row r="71">
      <c r="A71" s="15" t="str">
        <f>Input!A67</f>
        <v/>
      </c>
      <c r="B71" s="20" t="str">
        <f>Input!B67</f>
        <v/>
      </c>
      <c r="C71" s="15" t="str">
        <f>Input!C67</f>
        <v/>
      </c>
    </row>
    <row r="72">
      <c r="A72" s="15" t="str">
        <f>Input!A68</f>
        <v/>
      </c>
      <c r="B72" s="20" t="str">
        <f>Input!B68</f>
        <v>Top score</v>
      </c>
      <c r="C72" s="15" t="str">
        <f>Input!C68</f>
        <v/>
      </c>
    </row>
    <row r="73">
      <c r="A73" s="15" t="str">
        <f>Input!A69</f>
        <v/>
      </c>
      <c r="B73" s="20" t="str">
        <f>Input!B69</f>
        <v>Bottom score</v>
      </c>
      <c r="C73" s="15" t="str">
        <f>Input!C69</f>
        <v/>
      </c>
    </row>
    <row r="74">
      <c r="A74" s="15" t="str">
        <f>Input!A70</f>
        <v/>
      </c>
      <c r="B74" s="20" t="str">
        <f>Input!B70</f>
        <v>Avg +ve</v>
      </c>
      <c r="C74" s="15" t="str">
        <f>Input!C70</f>
        <v/>
      </c>
    </row>
    <row r="75">
      <c r="A75" s="15" t="str">
        <f>Input!A71</f>
        <v/>
      </c>
      <c r="B75" s="20" t="str">
        <f>Input!B71</f>
        <v>Avg -ve</v>
      </c>
      <c r="C75" s="15" t="str">
        <f>Input!C71</f>
        <v/>
      </c>
    </row>
    <row r="76">
      <c r="A76" s="15" t="str">
        <f>Input!A72</f>
        <v/>
      </c>
      <c r="B76" s="20" t="str">
        <f>Input!B72</f>
        <v>avg mag.</v>
      </c>
      <c r="C76" s="15" t="str">
        <f>Input!C72</f>
        <v/>
      </c>
    </row>
    <row r="77">
      <c r="A77" s="15" t="str">
        <f>Input!A73</f>
        <v/>
      </c>
      <c r="B77" s="20" t="str">
        <f>Input!B73</f>
        <v/>
      </c>
      <c r="C77" s="15" t="str">
        <f>Input!C73</f>
        <v/>
      </c>
    </row>
    <row r="78">
      <c r="A78" s="15" t="str">
        <f>Input!A74</f>
        <v/>
      </c>
      <c r="B78" s="20" t="str">
        <f>Input!B74</f>
        <v/>
      </c>
      <c r="C78" s="15" t="str">
        <f>Input!C74</f>
        <v/>
      </c>
    </row>
    <row r="79">
      <c r="A79" s="15" t="str">
        <f>Input!A75</f>
        <v/>
      </c>
      <c r="B79" s="20" t="str">
        <f>Input!B75</f>
        <v/>
      </c>
      <c r="C79" s="15" t="str">
        <f>Input!C75</f>
        <v/>
      </c>
    </row>
    <row r="80">
      <c r="A80" s="15" t="str">
        <f>Input!A76</f>
        <v/>
      </c>
      <c r="B80" s="20" t="str">
        <f>Input!B76</f>
        <v/>
      </c>
      <c r="C80" s="15" t="str">
        <f>Input!C76</f>
        <v/>
      </c>
    </row>
    <row r="81">
      <c r="A81" s="15" t="str">
        <f>Input!A77</f>
        <v/>
      </c>
      <c r="B81" s="20" t="str">
        <f>Input!B77</f>
        <v/>
      </c>
      <c r="C81" s="15" t="str">
        <f>Input!C77</f>
        <v/>
      </c>
    </row>
    <row r="82">
      <c r="A82" s="15" t="str">
        <f>Input!A78</f>
        <v/>
      </c>
      <c r="B82" s="20" t="str">
        <f>Input!B78</f>
        <v/>
      </c>
      <c r="C82" s="15" t="str">
        <f>Input!C78</f>
        <v/>
      </c>
    </row>
    <row r="83">
      <c r="A83" s="15" t="str">
        <f>Input!A79</f>
        <v/>
      </c>
      <c r="B83" s="20" t="str">
        <f>Input!B79</f>
        <v/>
      </c>
      <c r="C83" s="15" t="str">
        <f>Input!C79</f>
        <v/>
      </c>
    </row>
    <row r="84">
      <c r="A84" s="15" t="str">
        <f>Input!A80</f>
        <v/>
      </c>
      <c r="B84" s="20" t="str">
        <f>Input!B80</f>
        <v/>
      </c>
      <c r="C84" s="15" t="str">
        <f>Input!C80</f>
        <v/>
      </c>
    </row>
    <row r="85">
      <c r="A85" s="15" t="str">
        <f>Input!A81</f>
        <v/>
      </c>
      <c r="B85" s="20" t="str">
        <f>Input!B81</f>
        <v/>
      </c>
      <c r="C85" s="15" t="str">
        <f>Input!C81</f>
        <v/>
      </c>
    </row>
    <row r="86">
      <c r="A86" s="15" t="str">
        <f>Input!A82</f>
        <v/>
      </c>
      <c r="B86" s="20" t="str">
        <f>Input!B82</f>
        <v/>
      </c>
      <c r="C86" s="15" t="str">
        <f>Input!C82</f>
        <v/>
      </c>
    </row>
    <row r="87">
      <c r="A87" s="15" t="str">
        <f>Input!A83</f>
        <v/>
      </c>
      <c r="B87" s="20" t="str">
        <f>Input!B83</f>
        <v/>
      </c>
      <c r="C87" s="15" t="str">
        <f>Input!C83</f>
        <v/>
      </c>
    </row>
    <row r="88">
      <c r="A88" s="15" t="str">
        <f>Input!A84</f>
        <v/>
      </c>
      <c r="B88" s="20" t="str">
        <f>Input!B84</f>
        <v/>
      </c>
      <c r="C88" s="15" t="str">
        <f>Input!C84</f>
        <v/>
      </c>
    </row>
    <row r="89">
      <c r="A89" s="15" t="str">
        <f>Input!A85</f>
        <v/>
      </c>
      <c r="B89" s="20" t="str">
        <f>Input!B85</f>
        <v/>
      </c>
      <c r="C89" s="15" t="str">
        <f>Input!C85</f>
        <v/>
      </c>
    </row>
    <row r="90">
      <c r="A90" s="15" t="str">
        <f>Input!A86</f>
        <v/>
      </c>
      <c r="B90" s="20" t="str">
        <f>Input!B86</f>
        <v/>
      </c>
      <c r="C90" s="15" t="str">
        <f>Input!C86</f>
        <v/>
      </c>
    </row>
    <row r="91">
      <c r="A91" s="15" t="str">
        <f>Input!A87</f>
        <v/>
      </c>
      <c r="B91" s="20" t="str">
        <f>Input!B87</f>
        <v/>
      </c>
      <c r="C91" s="15" t="str">
        <f>Input!C87</f>
        <v/>
      </c>
    </row>
    <row r="92">
      <c r="A92" s="15" t="str">
        <f>Input!A88</f>
        <v/>
      </c>
      <c r="B92" s="20" t="str">
        <f>Input!B88</f>
        <v/>
      </c>
      <c r="C92" s="15" t="str">
        <f>Input!C88</f>
        <v/>
      </c>
    </row>
    <row r="93">
      <c r="A93" s="15" t="str">
        <f>Input!A89</f>
        <v/>
      </c>
      <c r="B93" s="20" t="str">
        <f>Input!B89</f>
        <v/>
      </c>
      <c r="C93" s="15" t="str">
        <f>Input!C89</f>
        <v/>
      </c>
    </row>
    <row r="94">
      <c r="A94" s="15" t="str">
        <f>Input!A90</f>
        <v/>
      </c>
      <c r="B94" s="20" t="str">
        <f>Input!B90</f>
        <v/>
      </c>
      <c r="C94" s="15" t="str">
        <f>Input!C90</f>
        <v/>
      </c>
    </row>
    <row r="95">
      <c r="A95" s="15" t="str">
        <f>Input!A91</f>
        <v/>
      </c>
      <c r="B95" s="20" t="str">
        <f>Input!B91</f>
        <v/>
      </c>
      <c r="C95" s="15" t="str">
        <f>Input!C91</f>
        <v/>
      </c>
    </row>
    <row r="96">
      <c r="A96" s="15" t="str">
        <f>Input!A92</f>
        <v/>
      </c>
      <c r="B96" s="20" t="str">
        <f>Input!B92</f>
        <v/>
      </c>
      <c r="C96" s="15" t="str">
        <f>Input!C92</f>
        <v/>
      </c>
    </row>
    <row r="97">
      <c r="A97" s="15" t="str">
        <f>Input!A93</f>
        <v/>
      </c>
      <c r="B97" s="20" t="str">
        <f>Input!B93</f>
        <v/>
      </c>
      <c r="C97" s="15" t="str">
        <f>Input!C93</f>
        <v/>
      </c>
    </row>
    <row r="98">
      <c r="A98" s="15" t="str">
        <f>Input!A94</f>
        <v/>
      </c>
      <c r="B98" s="20" t="str">
        <f>Input!B94</f>
        <v/>
      </c>
      <c r="C98" s="15" t="str">
        <f>Input!C94</f>
        <v/>
      </c>
    </row>
    <row r="99">
      <c r="A99" s="15" t="str">
        <f>Input!A95</f>
        <v/>
      </c>
      <c r="B99" s="20" t="str">
        <f>Input!B95</f>
        <v/>
      </c>
      <c r="C99" s="15" t="str">
        <f>Input!C95</f>
        <v/>
      </c>
    </row>
    <row r="100">
      <c r="A100" s="15" t="str">
        <f>Input!A96</f>
        <v/>
      </c>
      <c r="B100" s="20" t="str">
        <f>Input!B96</f>
        <v/>
      </c>
      <c r="C100" s="15" t="str">
        <f>Input!C96</f>
        <v/>
      </c>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0.5</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0.4</v>
      </c>
    </row>
    <row r="5">
      <c r="A5" s="29">
        <f>Input!A5</f>
        <v>4</v>
      </c>
      <c r="B5" s="30" t="str">
        <f>Input!B5</f>
        <v>There will be a scandal involving the BTS 10 year anniversary as reported by Korean MSM</v>
      </c>
      <c r="C5" s="29" t="str">
        <f>Input!C5</f>
        <v>Entertainment</v>
      </c>
      <c r="D5" s="31">
        <v>0.6</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0.5</v>
      </c>
    </row>
    <row r="8">
      <c r="A8" s="29">
        <f>Input!A8</f>
        <v>7</v>
      </c>
      <c r="B8" s="30" t="str">
        <f>Input!B8</f>
        <v>LOONA will disband</v>
      </c>
      <c r="C8" s="29" t="str">
        <f>Input!C8</f>
        <v>Entertainment</v>
      </c>
      <c r="D8" s="31">
        <v>0.6</v>
      </c>
    </row>
    <row r="9">
      <c r="A9" s="29">
        <f>Input!A9</f>
        <v>8</v>
      </c>
      <c r="B9" s="30" t="str">
        <f>Input!B9</f>
        <v>A new Korean show will get more than 140 million household views on Netflix</v>
      </c>
      <c r="C9" s="29" t="str">
        <f>Input!C9</f>
        <v>Entertainment</v>
      </c>
      <c r="D9" s="31">
        <v>0.7</v>
      </c>
    </row>
    <row r="10">
      <c r="A10" s="29">
        <f>Input!A10</f>
        <v>9</v>
      </c>
      <c r="B10" s="30" t="str">
        <f>Input!B10</f>
        <v>Avatar The Way of Water will remain at 8.0 on IMDb by Christmas next year.</v>
      </c>
      <c r="C10" s="29" t="str">
        <f>Input!C10</f>
        <v>Entertainment</v>
      </c>
      <c r="D10" s="31">
        <v>0.4</v>
      </c>
    </row>
    <row r="11">
      <c r="A11" s="29">
        <f>Input!A11</f>
        <v>10</v>
      </c>
      <c r="B11" s="30" t="str">
        <f>Input!B11</f>
        <v>Kanye West will have 0 twitter suspensions or bans.</v>
      </c>
      <c r="C11" s="29" t="str">
        <f>Input!C11</f>
        <v>Entertainment</v>
      </c>
      <c r="D11" s="31">
        <v>0.1</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0.1</v>
      </c>
    </row>
    <row r="13">
      <c r="A13" s="29">
        <f>Input!A13</f>
        <v>12</v>
      </c>
      <c r="B13" s="30" t="str">
        <f>Input!B13</f>
        <v>Francis will be the Pope on Christmas eve</v>
      </c>
      <c r="C13" s="29" t="str">
        <f>Input!C13</f>
        <v>Entertainment</v>
      </c>
      <c r="D13" s="31">
        <v>0.7</v>
      </c>
    </row>
    <row r="14">
      <c r="A14" s="29">
        <f>Input!A14</f>
        <v>13</v>
      </c>
      <c r="B14" s="30" t="str">
        <f>Input!B14</f>
        <v>Rohan will not test positive for COVID in 2023</v>
      </c>
      <c r="C14" s="29" t="str">
        <f>Input!C14</f>
        <v>Family</v>
      </c>
      <c r="D14" s="31">
        <v>0.6</v>
      </c>
    </row>
    <row r="15">
      <c r="A15" s="29">
        <f>Input!A15</f>
        <v>14</v>
      </c>
      <c r="B15" s="30" t="str">
        <f>Input!B15</f>
        <v>Baby McCalman is less than 49cm at birth</v>
      </c>
      <c r="C15" s="29" t="str">
        <f>Input!C15</f>
        <v>Family</v>
      </c>
      <c r="D15" s="31">
        <v>0.5</v>
      </c>
    </row>
    <row r="16">
      <c r="A16" s="29">
        <f>Input!A16</f>
        <v>15</v>
      </c>
      <c r="B16" s="30" t="str">
        <f>Input!B16</f>
        <v>Jac and Lachy’s baby will say ‘ma’ or make a similar ‘m’ sound by 24 December 2023.</v>
      </c>
      <c r="C16" s="29" t="str">
        <f>Input!C16</f>
        <v>Family</v>
      </c>
      <c r="D16" s="31">
        <v>0.8</v>
      </c>
    </row>
    <row r="17">
      <c r="A17" s="29">
        <f>Input!A17</f>
        <v>16</v>
      </c>
      <c r="B17" s="30" t="str">
        <f>Input!B17</f>
        <v>Rohan will be at least 6'1"</v>
      </c>
      <c r="C17" s="29" t="str">
        <f>Input!C17</f>
        <v>Family</v>
      </c>
      <c r="D17" s="31">
        <v>0.6</v>
      </c>
    </row>
    <row r="18">
      <c r="A18" s="29">
        <f>Input!A18</f>
        <v>17</v>
      </c>
      <c r="B18" s="30" t="str">
        <f>Input!B18</f>
        <v>Andrew and Eileen will buy a house</v>
      </c>
      <c r="C18" s="29" t="str">
        <f>Input!C18</f>
        <v>Family</v>
      </c>
      <c r="D18" s="31">
        <v>0.7</v>
      </c>
    </row>
    <row r="19">
      <c r="A19" s="29">
        <f>Input!A19</f>
        <v>18</v>
      </c>
      <c r="B19" s="30" t="str">
        <f>Input!B19</f>
        <v>Lachy and Jac’s baby will be at least 68 cm by next Christmas.</v>
      </c>
      <c r="C19" s="29" t="str">
        <f>Input!C19</f>
        <v>Family</v>
      </c>
      <c r="D19" s="31">
        <v>0.4</v>
      </c>
    </row>
    <row r="20">
      <c r="A20" s="29">
        <f>Input!A20</f>
        <v>19</v>
      </c>
      <c r="B20" s="30" t="str">
        <f>Input!B20</f>
        <v>The annual inflation rate in Australia will be below 6% when the RBA releases its announcement of the October 2023 result</v>
      </c>
      <c r="C20" s="29" t="str">
        <f>Input!C20</f>
        <v>Finance</v>
      </c>
      <c r="D20" s="31">
        <v>0.2</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0.3</v>
      </c>
    </row>
    <row r="23">
      <c r="A23" s="29">
        <f>Input!A23</f>
        <v>22</v>
      </c>
      <c r="B23" s="30" t="str">
        <f>Input!B23</f>
        <v>The Australian unemployment rate will be more than 4% at time of judging</v>
      </c>
      <c r="C23" s="29" t="str">
        <f>Input!C23</f>
        <v>Finance</v>
      </c>
      <c r="D23" s="31">
        <v>0.6</v>
      </c>
    </row>
    <row r="24">
      <c r="A24" s="29">
        <f>Input!A24</f>
        <v>23</v>
      </c>
      <c r="B24" s="30" t="str">
        <f>Input!B24</f>
        <v>Binance will collapse slash go into bankruptcy</v>
      </c>
      <c r="C24" s="29" t="str">
        <f>Input!C24</f>
        <v>Finance</v>
      </c>
      <c r="D24" s="31">
        <v>0.7</v>
      </c>
    </row>
    <row r="25">
      <c r="A25" s="29">
        <f>Input!A25</f>
        <v>24</v>
      </c>
      <c r="B25" s="30" t="str">
        <f>Input!B25</f>
        <v>Telsa will remain solvent and operating </v>
      </c>
      <c r="C25" s="29" t="str">
        <f>Input!C25</f>
        <v>Finance</v>
      </c>
      <c r="D25" s="31">
        <v>0.6</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0.6</v>
      </c>
    </row>
    <row r="27">
      <c r="A27" s="29">
        <f>Input!A27</f>
        <v>26</v>
      </c>
      <c r="B27" s="30" t="str">
        <f>Input!B27</f>
        <v>The case against David McBride will be dropped</v>
      </c>
      <c r="C27" s="29" t="str">
        <f>Input!C27</f>
        <v>Law</v>
      </c>
      <c r="D27" s="31">
        <v>0.4</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0.6</v>
      </c>
    </row>
    <row r="29">
      <c r="A29" s="29">
        <f>Input!A29</f>
        <v>28</v>
      </c>
      <c r="B29" s="30" t="str">
        <f>Input!B29</f>
        <v>The New Zealand National party will form government after the next election.</v>
      </c>
      <c r="C29" s="29" t="str">
        <f>Input!C29</f>
        <v>Politics</v>
      </c>
      <c r="D29" s="31">
        <v>0.6</v>
      </c>
    </row>
    <row r="30">
      <c r="A30" s="29">
        <f>Input!A30</f>
        <v>29</v>
      </c>
      <c r="B30" s="30" t="str">
        <f>Input!B30</f>
        <v>The British Labour Party will be ahead in the polls in November 2023.</v>
      </c>
      <c r="C30" s="29" t="str">
        <f>Input!C30</f>
        <v>Politics</v>
      </c>
      <c r="D30" s="31">
        <v>0.6</v>
      </c>
    </row>
    <row r="31">
      <c r="A31" s="29">
        <f>Input!A31</f>
        <v>30</v>
      </c>
      <c r="B31" s="30" t="str">
        <f>Input!B31</f>
        <v>Liz Cheney will not nominate for the presidency in 2023.</v>
      </c>
      <c r="C31" s="29" t="str">
        <f>Input!C31</f>
        <v>Politics</v>
      </c>
      <c r="D31" s="31">
        <v>0.6</v>
      </c>
    </row>
    <row r="32">
      <c r="A32" s="29">
        <f>Input!A32</f>
        <v>31</v>
      </c>
      <c r="B32" s="30" t="str">
        <f>Input!B32</f>
        <v>China will eliminate at least one existing trade sanction against Australia</v>
      </c>
      <c r="C32" s="29" t="str">
        <f>Input!C32</f>
        <v>Politics</v>
      </c>
      <c r="D32" s="31">
        <v>0.7</v>
      </c>
    </row>
    <row r="33">
      <c r="A33" s="29">
        <f>Input!A33</f>
        <v>32</v>
      </c>
      <c r="B33" s="30" t="str">
        <f>Input!B33</f>
        <v>China will not be admitted to full membership of the Comprehensive and Progressive Agreement for Trans-Pacific Partnership</v>
      </c>
      <c r="C33" s="29" t="str">
        <f>Input!C33</f>
        <v>Politics</v>
      </c>
      <c r="D33" s="31">
        <v>0.5</v>
      </c>
    </row>
    <row r="34">
      <c r="A34" s="29">
        <f>Input!A34</f>
        <v>33</v>
      </c>
      <c r="B34" s="30" t="str">
        <f>Input!B34</f>
        <v>Henry Kissinger will die</v>
      </c>
      <c r="C34" s="29" t="str">
        <f>Input!C34</f>
        <v>Politics</v>
      </c>
      <c r="D34" s="31">
        <v>0.3</v>
      </c>
    </row>
    <row r="35">
      <c r="A35" s="29">
        <f>Input!A35</f>
        <v>34</v>
      </c>
      <c r="B35" s="32" t="str">
        <f>Input!B35</f>
        <v>The Australian government will announce that the referendum for the Indigenous Voice to Parliament will occur in 2024</v>
      </c>
      <c r="C35" s="29" t="str">
        <f>Input!C35</f>
        <v>Politics</v>
      </c>
      <c r="D35" s="31">
        <v>0.2</v>
      </c>
    </row>
    <row r="36">
      <c r="A36" s="29">
        <f>Input!A36</f>
        <v>35</v>
      </c>
      <c r="B36" s="32" t="str">
        <f>Input!B36</f>
        <v>Labor will win the NSW state election</v>
      </c>
      <c r="C36" s="29" t="str">
        <f>Input!C36</f>
        <v>Politics</v>
      </c>
      <c r="D36" s="31">
        <v>0.4</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0.6</v>
      </c>
    </row>
    <row r="38">
      <c r="A38" s="29">
        <f>Input!A38</f>
        <v>37</v>
      </c>
      <c r="B38" s="30" t="str">
        <f>Input!B38</f>
        <v>At least one senior public servant (Deputy Secretary or above) will face disciplinary action from the Robodebt royal commission</v>
      </c>
      <c r="C38" s="29" t="str">
        <f>Input!C38</f>
        <v>Politics</v>
      </c>
      <c r="D38" s="31">
        <v>0.6</v>
      </c>
    </row>
    <row r="39">
      <c r="A39" s="29">
        <f>Input!A39</f>
        <v>38</v>
      </c>
      <c r="B39" s="30" t="str">
        <f>Input!B39</f>
        <v>China invades Taiwan</v>
      </c>
      <c r="C39" s="29" t="str">
        <f>Input!C39</f>
        <v>Politics</v>
      </c>
      <c r="D39" s="31">
        <v>0.2</v>
      </c>
    </row>
    <row r="40">
      <c r="A40" s="29">
        <f>Input!A40</f>
        <v>39</v>
      </c>
      <c r="B40" s="30" t="str">
        <f>Input!B40</f>
        <v>The war in Ukraine will be declared over over by MSM</v>
      </c>
      <c r="C40" s="29" t="str">
        <f>Input!C40</f>
        <v>Politics</v>
      </c>
      <c r="D40" s="31">
        <v>0.4</v>
      </c>
    </row>
    <row r="41">
      <c r="A41" s="29">
        <f>Input!A41</f>
        <v>40</v>
      </c>
      <c r="B41" s="30" t="str">
        <f>Input!B41</f>
        <v>Chris Hipkins will be Prime Minister of NZ</v>
      </c>
      <c r="C41" s="29" t="str">
        <f>Input!C41</f>
        <v>Politics</v>
      </c>
      <c r="D41" s="31">
        <v>0.5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0.3</v>
      </c>
    </row>
    <row r="43">
      <c r="A43" s="29">
        <f>Input!A43</f>
        <v>42</v>
      </c>
      <c r="B43" s="30" t="str">
        <f>Input!B43</f>
        <v>Sunak will be British Prime Minister throughout 2023</v>
      </c>
      <c r="C43" s="29" t="str">
        <f>Input!C43</f>
        <v>Politics</v>
      </c>
      <c r="D43" s="31">
        <v>0.6</v>
      </c>
    </row>
    <row r="44">
      <c r="A44" s="29">
        <f>Input!A44</f>
        <v>43</v>
      </c>
      <c r="B44" s="30" t="str">
        <f>Input!B44</f>
        <v>Nikii Haley will drop out of the running for president</v>
      </c>
      <c r="C44" s="29" t="str">
        <f>Input!C44</f>
        <v>Politics</v>
      </c>
      <c r="D44" s="31">
        <v>0.6</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0.3</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0.3</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0.6</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0.7</v>
      </c>
    </row>
    <row r="50">
      <c r="A50" s="29">
        <f>Input!A50</f>
        <v>49</v>
      </c>
      <c r="B50" s="30" t="str">
        <f>Input!B50</f>
        <v>Rafa Nadal will announce his retirement from playing grand slam singles.</v>
      </c>
      <c r="C50" s="29" t="str">
        <f>Input!C50</f>
        <v>Sport</v>
      </c>
      <c r="D50" s="31">
        <v>0.6</v>
      </c>
    </row>
    <row r="51">
      <c r="A51" s="29">
        <f>Input!A51</f>
        <v>50</v>
      </c>
      <c r="B51" s="30" t="str">
        <f>Input!B51</f>
        <v>Australia will win the netball World Cup</v>
      </c>
      <c r="C51" s="29" t="str">
        <f>Input!C51</f>
        <v>Sport</v>
      </c>
      <c r="D51" s="31">
        <v>0.3</v>
      </c>
    </row>
    <row r="52">
      <c r="A52" s="29">
        <f>Input!A52</f>
        <v>51</v>
      </c>
      <c r="B52" s="30" t="str">
        <f>Input!B52</f>
        <v>Ireland will win the Rugby World Cup</v>
      </c>
      <c r="C52" s="29" t="str">
        <f>Input!C52</f>
        <v>Sport</v>
      </c>
      <c r="D52" s="31">
        <v>0.6</v>
      </c>
    </row>
    <row r="53">
      <c r="A53" s="29">
        <f>Input!A53</f>
        <v>52</v>
      </c>
      <c r="B53" s="30" t="str">
        <f>Input!B53</f>
        <v>Warner will have to be dropped as Test match opener sometime during 2023 if not before</v>
      </c>
      <c r="C53" s="29" t="str">
        <f>Input!C53</f>
        <v>Sport</v>
      </c>
      <c r="D53" s="31">
        <v>0.7</v>
      </c>
    </row>
    <row r="54">
      <c r="A54" s="29">
        <f>Input!A54</f>
        <v>53</v>
      </c>
      <c r="B54" s="30" t="str">
        <f>Input!B54</f>
        <v>Boland will oust Hazlewood in at least one test during 2023</v>
      </c>
      <c r="C54" s="29" t="str">
        <f>Input!C54</f>
        <v>Sport</v>
      </c>
      <c r="D54" s="31">
        <v>0.5</v>
      </c>
    </row>
    <row r="55">
      <c r="A55" s="29">
        <f>Input!A55</f>
        <v>54</v>
      </c>
      <c r="B55" s="30" t="str">
        <f>Input!B55</f>
        <v>Team Haas will be 7th or higher in the 2023 F1 constructor's championship</v>
      </c>
      <c r="C55" s="29" t="str">
        <f>Input!C55</f>
        <v>Sport</v>
      </c>
      <c r="D55" s="31">
        <v>0.3</v>
      </c>
    </row>
    <row r="56">
      <c r="A56" s="29">
        <f>Input!A56</f>
        <v>55</v>
      </c>
      <c r="B56" s="30" t="str">
        <f>Input!B56</f>
        <v>Daniel Ricardo signs as a driver with an F1 Team for 2024</v>
      </c>
      <c r="C56" s="29" t="str">
        <f>Input!C56</f>
        <v>Sport</v>
      </c>
      <c r="D56" s="31">
        <v>0.4</v>
      </c>
    </row>
    <row r="57">
      <c r="A57" s="29">
        <f>Input!A57</f>
        <v>56</v>
      </c>
      <c r="B57" s="30" t="str">
        <f>Input!B57</f>
        <v>At least 41% of NZ's energy comes from rewewable sources </v>
      </c>
      <c r="C57" s="29" t="str">
        <f>Input!C57</f>
        <v>Technology</v>
      </c>
      <c r="D57" s="31">
        <v>0.7</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0.6</v>
      </c>
    </row>
    <row r="59">
      <c r="A59" s="29">
        <f>Input!A59</f>
        <v>58</v>
      </c>
      <c r="B59" s="30" t="str">
        <f>Input!B59</f>
        <v>The first orbital launch attempt of SpaceX's starship will occur in 2023, with the vehicle being destroyed on re-entry</v>
      </c>
      <c r="C59" s="29" t="str">
        <f>Input!C59</f>
        <v>Technology</v>
      </c>
      <c r="D59" s="31">
        <v>0.4</v>
      </c>
    </row>
    <row r="60">
      <c r="A60" s="29">
        <f>Input!A60</f>
        <v>59</v>
      </c>
      <c r="B60" s="30" t="str">
        <f>Input!B60</f>
        <v>Elon Musk will commercially launch a virtual/altered reality software or piece of hardware.</v>
      </c>
      <c r="C60" s="29" t="str">
        <f>Input!C60</f>
        <v>Technology</v>
      </c>
      <c r="D60" s="31">
        <v>0.4</v>
      </c>
    </row>
    <row r="61">
      <c r="A61" s="29">
        <f>Input!A61</f>
        <v>60</v>
      </c>
      <c r="B61" s="30" t="str">
        <f>Input!B61</f>
        <v>A country enshrines some form of rights/personhood/protection of AI systems motivated by the welfare of the system itself</v>
      </c>
      <c r="C61" s="29" t="str">
        <f>Input!C61</f>
        <v>Technology</v>
      </c>
      <c r="D61" s="31">
        <v>0.4</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29" t="str">
        <f>Input!A67</f>
        <v/>
      </c>
      <c r="B67" s="30" t="str">
        <f>Input!B67</f>
        <v/>
      </c>
      <c r="C67" s="29" t="str">
        <f>Input!C67</f>
        <v/>
      </c>
      <c r="D67" s="33"/>
    </row>
    <row r="68">
      <c r="A68" s="29" t="str">
        <f>Input!A68</f>
        <v/>
      </c>
      <c r="B68" s="30" t="str">
        <f>Input!B68</f>
        <v>Top score</v>
      </c>
      <c r="C68" s="29" t="str">
        <f>Input!C68</f>
        <v/>
      </c>
      <c r="D68" s="33"/>
    </row>
    <row r="69">
      <c r="A69" s="29" t="str">
        <f>Input!A69</f>
        <v/>
      </c>
      <c r="B69" s="30" t="str">
        <f>Input!B69</f>
        <v>Bottom score</v>
      </c>
      <c r="C69" s="29" t="str">
        <f>Input!C69</f>
        <v/>
      </c>
      <c r="D69" s="33"/>
    </row>
    <row r="70">
      <c r="A70" s="29" t="str">
        <f>Input!A70</f>
        <v/>
      </c>
      <c r="B70" s="30" t="str">
        <f>Input!B70</f>
        <v>Avg +ve</v>
      </c>
      <c r="C70" s="29" t="str">
        <f>Input!C70</f>
        <v/>
      </c>
      <c r="D70" s="33"/>
    </row>
    <row r="71">
      <c r="A71" s="15" t="str">
        <f>Input!A67</f>
        <v/>
      </c>
      <c r="B71" s="20" t="str">
        <f>Input!B67</f>
        <v/>
      </c>
      <c r="C71" s="15" t="str">
        <f>Input!C67</f>
        <v/>
      </c>
    </row>
    <row r="72">
      <c r="A72" s="15" t="str">
        <f>Input!A68</f>
        <v/>
      </c>
      <c r="B72" s="20" t="str">
        <f>Input!B68</f>
        <v>Top score</v>
      </c>
      <c r="C72" s="15" t="str">
        <f>Input!C68</f>
        <v/>
      </c>
    </row>
    <row r="73">
      <c r="A73" s="15" t="str">
        <f>Input!A69</f>
        <v/>
      </c>
      <c r="B73" s="20" t="str">
        <f>Input!B69</f>
        <v>Bottom score</v>
      </c>
      <c r="C73" s="15" t="str">
        <f>Input!C69</f>
        <v/>
      </c>
    </row>
    <row r="74">
      <c r="A74" s="15" t="str">
        <f>Input!A70</f>
        <v/>
      </c>
      <c r="B74" s="20" t="str">
        <f>Input!B70</f>
        <v>Avg +ve</v>
      </c>
      <c r="C74" s="15" t="str">
        <f>Input!C70</f>
        <v/>
      </c>
    </row>
    <row r="75">
      <c r="A75" s="15" t="str">
        <f>Input!A71</f>
        <v/>
      </c>
      <c r="B75" s="20" t="str">
        <f>Input!B71</f>
        <v>Avg -ve</v>
      </c>
      <c r="C75" s="15" t="str">
        <f>Input!C71</f>
        <v/>
      </c>
    </row>
    <row r="76">
      <c r="A76" s="15" t="str">
        <f>Input!A72</f>
        <v/>
      </c>
      <c r="B76" s="20" t="str">
        <f>Input!B72</f>
        <v>avg mag.</v>
      </c>
      <c r="C76" s="15" t="str">
        <f>Input!C72</f>
        <v/>
      </c>
    </row>
    <row r="77">
      <c r="A77" s="15" t="str">
        <f>Input!A73</f>
        <v/>
      </c>
      <c r="B77" s="20" t="str">
        <f>Input!B73</f>
        <v/>
      </c>
      <c r="C77" s="15" t="str">
        <f>Input!C73</f>
        <v/>
      </c>
    </row>
    <row r="78">
      <c r="A78" s="15" t="str">
        <f>Input!A74</f>
        <v/>
      </c>
      <c r="B78" s="20" t="str">
        <f>Input!B74</f>
        <v/>
      </c>
      <c r="C78" s="15" t="str">
        <f>Input!C74</f>
        <v/>
      </c>
    </row>
    <row r="79">
      <c r="A79" s="15" t="str">
        <f>Input!A75</f>
        <v/>
      </c>
      <c r="B79" s="20" t="str">
        <f>Input!B75</f>
        <v/>
      </c>
      <c r="C79" s="15" t="str">
        <f>Input!C75</f>
        <v/>
      </c>
    </row>
    <row r="80">
      <c r="A80" s="15" t="str">
        <f>Input!A76</f>
        <v/>
      </c>
      <c r="B80" s="20" t="str">
        <f>Input!B76</f>
        <v/>
      </c>
      <c r="C80" s="15" t="str">
        <f>Input!C76</f>
        <v/>
      </c>
    </row>
    <row r="81">
      <c r="A81" s="15" t="str">
        <f>Input!A77</f>
        <v/>
      </c>
      <c r="B81" s="20" t="str">
        <f>Input!B77</f>
        <v/>
      </c>
      <c r="C81" s="15" t="str">
        <f>Input!C77</f>
        <v/>
      </c>
    </row>
    <row r="82">
      <c r="A82" s="15" t="str">
        <f>Input!A78</f>
        <v/>
      </c>
      <c r="B82" s="20" t="str">
        <f>Input!B78</f>
        <v/>
      </c>
      <c r="C82" s="15" t="str">
        <f>Input!C78</f>
        <v/>
      </c>
    </row>
    <row r="83">
      <c r="A83" s="15" t="str">
        <f>Input!A79</f>
        <v/>
      </c>
      <c r="B83" s="20" t="str">
        <f>Input!B79</f>
        <v/>
      </c>
      <c r="C83" s="15" t="str">
        <f>Input!C79</f>
        <v/>
      </c>
    </row>
    <row r="84">
      <c r="A84" s="15" t="str">
        <f>Input!A80</f>
        <v/>
      </c>
      <c r="B84" s="20" t="str">
        <f>Input!B80</f>
        <v/>
      </c>
      <c r="C84" s="15" t="str">
        <f>Input!C80</f>
        <v/>
      </c>
    </row>
    <row r="85">
      <c r="A85" s="15" t="str">
        <f>Input!A81</f>
        <v/>
      </c>
      <c r="B85" s="20" t="str">
        <f>Input!B81</f>
        <v/>
      </c>
      <c r="C85" s="15" t="str">
        <f>Input!C81</f>
        <v/>
      </c>
    </row>
    <row r="86">
      <c r="A86" s="15" t="str">
        <f>Input!A82</f>
        <v/>
      </c>
      <c r="B86" s="20" t="str">
        <f>Input!B82</f>
        <v/>
      </c>
      <c r="C86" s="15" t="str">
        <f>Input!C82</f>
        <v/>
      </c>
    </row>
    <row r="87">
      <c r="A87" s="15" t="str">
        <f>Input!A83</f>
        <v/>
      </c>
      <c r="B87" s="20" t="str">
        <f>Input!B83</f>
        <v/>
      </c>
      <c r="C87" s="15" t="str">
        <f>Input!C83</f>
        <v/>
      </c>
    </row>
    <row r="88">
      <c r="A88" s="15" t="str">
        <f>Input!A84</f>
        <v/>
      </c>
      <c r="B88" s="20" t="str">
        <f>Input!B84</f>
        <v/>
      </c>
      <c r="C88" s="15" t="str">
        <f>Input!C84</f>
        <v/>
      </c>
    </row>
    <row r="89">
      <c r="A89" s="15" t="str">
        <f>Input!A85</f>
        <v/>
      </c>
      <c r="B89" s="20" t="str">
        <f>Input!B85</f>
        <v/>
      </c>
      <c r="C89" s="15" t="str">
        <f>Input!C85</f>
        <v/>
      </c>
    </row>
    <row r="90">
      <c r="A90" s="15" t="str">
        <f>Input!A86</f>
        <v/>
      </c>
      <c r="B90" s="20" t="str">
        <f>Input!B86</f>
        <v/>
      </c>
      <c r="C90" s="15" t="str">
        <f>Input!C86</f>
        <v/>
      </c>
    </row>
    <row r="91">
      <c r="A91" s="15" t="str">
        <f>Input!A87</f>
        <v/>
      </c>
      <c r="B91" s="20" t="str">
        <f>Input!B87</f>
        <v/>
      </c>
      <c r="C91" s="15" t="str">
        <f>Input!C87</f>
        <v/>
      </c>
    </row>
    <row r="92">
      <c r="A92" s="15" t="str">
        <f>Input!A88</f>
        <v/>
      </c>
      <c r="B92" s="20" t="str">
        <f>Input!B88</f>
        <v/>
      </c>
      <c r="C92" s="15" t="str">
        <f>Input!C88</f>
        <v/>
      </c>
    </row>
    <row r="93">
      <c r="A93" s="15" t="str">
        <f>Input!A89</f>
        <v/>
      </c>
      <c r="B93" s="20" t="str">
        <f>Input!B89</f>
        <v/>
      </c>
      <c r="C93" s="15" t="str">
        <f>Input!C89</f>
        <v/>
      </c>
    </row>
    <row r="94">
      <c r="A94" s="15" t="str">
        <f>Input!A90</f>
        <v/>
      </c>
      <c r="B94" s="20" t="str">
        <f>Input!B90</f>
        <v/>
      </c>
      <c r="C94" s="15" t="str">
        <f>Input!C90</f>
        <v/>
      </c>
    </row>
    <row r="95">
      <c r="A95" s="15" t="str">
        <f>Input!A91</f>
        <v/>
      </c>
      <c r="B95" s="20" t="str">
        <f>Input!B91</f>
        <v/>
      </c>
      <c r="C95" s="15" t="str">
        <f>Input!C91</f>
        <v/>
      </c>
    </row>
    <row r="96">
      <c r="A96" s="15" t="str">
        <f>Input!A92</f>
        <v/>
      </c>
      <c r="B96" s="20" t="str">
        <f>Input!B92</f>
        <v/>
      </c>
      <c r="C96" s="15" t="str">
        <f>Input!C92</f>
        <v/>
      </c>
    </row>
    <row r="97">
      <c r="A97" s="15" t="str">
        <f>Input!A93</f>
        <v/>
      </c>
      <c r="B97" s="20" t="str">
        <f>Input!B93</f>
        <v/>
      </c>
      <c r="C97" s="15" t="str">
        <f>Input!C93</f>
        <v/>
      </c>
    </row>
    <row r="98">
      <c r="A98" s="15" t="str">
        <f>Input!A94</f>
        <v/>
      </c>
      <c r="B98" s="20" t="str">
        <f>Input!B94</f>
        <v/>
      </c>
      <c r="C98" s="15" t="str">
        <f>Input!C94</f>
        <v/>
      </c>
    </row>
    <row r="99">
      <c r="A99" s="15" t="str">
        <f>Input!A95</f>
        <v/>
      </c>
      <c r="B99" s="20" t="str">
        <f>Input!B95</f>
        <v/>
      </c>
      <c r="C99" s="15" t="str">
        <f>Input!C95</f>
        <v/>
      </c>
    </row>
    <row r="100">
      <c r="A100" s="15" t="str">
        <f>Input!A96</f>
        <v/>
      </c>
      <c r="B100" s="20" t="str">
        <f>Input!B96</f>
        <v/>
      </c>
      <c r="C100" s="15" t="str">
        <f>Input!C96</f>
        <v/>
      </c>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0.8</v>
      </c>
    </row>
    <row r="3">
      <c r="A3" s="29">
        <f>Input!A3</f>
        <v>2</v>
      </c>
      <c r="B3" s="30" t="str">
        <f>Input!B3</f>
        <v>The farthest paper airplane flight will be broken (as reported by Guinness World Records)</v>
      </c>
      <c r="C3" s="29" t="str">
        <f>Input!C3</f>
        <v>Entertainment</v>
      </c>
      <c r="D3" s="31">
        <v>0.8</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0.9</v>
      </c>
    </row>
    <row r="5">
      <c r="A5" s="29">
        <f>Input!A5</f>
        <v>4</v>
      </c>
      <c r="B5" s="30" t="str">
        <f>Input!B5</f>
        <v>There will be a scandal involving the BTS 10 year anniversary as reported by Korean MSM</v>
      </c>
      <c r="C5" s="29" t="str">
        <f>Input!C5</f>
        <v>Entertainment</v>
      </c>
      <c r="D5" s="31">
        <v>0.5</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0.5</v>
      </c>
    </row>
    <row r="8">
      <c r="A8" s="29">
        <f>Input!A8</f>
        <v>7</v>
      </c>
      <c r="B8" s="30" t="str">
        <f>Input!B8</f>
        <v>LOONA will disband</v>
      </c>
      <c r="C8" s="29" t="str">
        <f>Input!C8</f>
        <v>Entertainment</v>
      </c>
      <c r="D8" s="31">
        <v>0.5</v>
      </c>
    </row>
    <row r="9">
      <c r="A9" s="29">
        <f>Input!A9</f>
        <v>8</v>
      </c>
      <c r="B9" s="30" t="str">
        <f>Input!B9</f>
        <v>A new Korean show will get more than 140 million household views on Netflix</v>
      </c>
      <c r="C9" s="29" t="str">
        <f>Input!C9</f>
        <v>Entertainment</v>
      </c>
      <c r="D9" s="31">
        <v>0.2</v>
      </c>
    </row>
    <row r="10">
      <c r="A10" s="29">
        <f>Input!A10</f>
        <v>9</v>
      </c>
      <c r="B10" s="30" t="str">
        <f>Input!B10</f>
        <v>Avatar The Way of Water will remain at 8.0 on IMDb by Christmas next year.</v>
      </c>
      <c r="C10" s="29" t="str">
        <f>Input!C10</f>
        <v>Entertainment</v>
      </c>
      <c r="D10" s="31">
        <v>0.3</v>
      </c>
    </row>
    <row r="11">
      <c r="A11" s="29">
        <f>Input!A11</f>
        <v>10</v>
      </c>
      <c r="B11" s="30" t="str">
        <f>Input!B11</f>
        <v>Kanye West will have 0 twitter suspensions or bans.</v>
      </c>
      <c r="C11" s="29" t="str">
        <f>Input!C11</f>
        <v>Entertainment</v>
      </c>
      <c r="D11" s="31">
        <v>0.9</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0.8</v>
      </c>
    </row>
    <row r="13">
      <c r="A13" s="29">
        <f>Input!A13</f>
        <v>12</v>
      </c>
      <c r="B13" s="30" t="str">
        <f>Input!B13</f>
        <v>Francis will be the Pope on Christmas eve</v>
      </c>
      <c r="C13" s="29" t="str">
        <f>Input!C13</f>
        <v>Entertainment</v>
      </c>
      <c r="D13" s="31">
        <v>0.9</v>
      </c>
    </row>
    <row r="14">
      <c r="A14" s="29">
        <f>Input!A14</f>
        <v>13</v>
      </c>
      <c r="B14" s="30" t="str">
        <f>Input!B14</f>
        <v>Rohan will not test positive for COVID in 2023</v>
      </c>
      <c r="C14" s="29" t="str">
        <f>Input!C14</f>
        <v>Family</v>
      </c>
      <c r="D14" s="31">
        <v>0.7</v>
      </c>
    </row>
    <row r="15">
      <c r="A15" s="29">
        <f>Input!A15</f>
        <v>14</v>
      </c>
      <c r="B15" s="30" t="str">
        <f>Input!B15</f>
        <v>Baby McCalman is less than 49cm at birth</v>
      </c>
      <c r="C15" s="29" t="str">
        <f>Input!C15</f>
        <v>Family</v>
      </c>
      <c r="D15" s="31">
        <v>0.8</v>
      </c>
    </row>
    <row r="16">
      <c r="A16" s="29">
        <f>Input!A16</f>
        <v>15</v>
      </c>
      <c r="B16" s="30" t="str">
        <f>Input!B16</f>
        <v>Jac and Lachy’s baby will say ‘ma’ or make a similar ‘m’ sound by 24 December 2023.</v>
      </c>
      <c r="C16" s="29" t="str">
        <f>Input!C16</f>
        <v>Family</v>
      </c>
      <c r="D16" s="31">
        <v>0.4</v>
      </c>
    </row>
    <row r="17">
      <c r="A17" s="29">
        <f>Input!A17</f>
        <v>16</v>
      </c>
      <c r="B17" s="30" t="str">
        <f>Input!B17</f>
        <v>Rohan will be at least 6'1"</v>
      </c>
      <c r="C17" s="29" t="str">
        <f>Input!C17</f>
        <v>Family</v>
      </c>
      <c r="D17" s="31">
        <v>0.3</v>
      </c>
    </row>
    <row r="18">
      <c r="A18" s="29">
        <f>Input!A18</f>
        <v>17</v>
      </c>
      <c r="B18" s="30" t="str">
        <f>Input!B18</f>
        <v>Andrew and Eileen will buy a house</v>
      </c>
      <c r="C18" s="29" t="str">
        <f>Input!C18</f>
        <v>Family</v>
      </c>
      <c r="D18" s="31">
        <v>0.9</v>
      </c>
    </row>
    <row r="19">
      <c r="A19" s="29">
        <f>Input!A19</f>
        <v>18</v>
      </c>
      <c r="B19" s="30" t="str">
        <f>Input!B19</f>
        <v>Lachy and Jac’s baby will be at least 68 cm by next Christmas.</v>
      </c>
      <c r="C19" s="29" t="str">
        <f>Input!C19</f>
        <v>Family</v>
      </c>
      <c r="D19" s="31">
        <v>0.6</v>
      </c>
    </row>
    <row r="20">
      <c r="A20" s="29">
        <f>Input!A20</f>
        <v>19</v>
      </c>
      <c r="B20" s="30" t="str">
        <f>Input!B20</f>
        <v>The annual inflation rate in Australia will be below 6% when the RBA releases its announcement of the October 2023 result</v>
      </c>
      <c r="C20" s="29" t="str">
        <f>Input!C20</f>
        <v>Finance</v>
      </c>
      <c r="D20" s="31">
        <v>0.4</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0.6</v>
      </c>
    </row>
    <row r="23">
      <c r="A23" s="29">
        <f>Input!A23</f>
        <v>22</v>
      </c>
      <c r="B23" s="30" t="str">
        <f>Input!B23</f>
        <v>The Australian unemployment rate will be more than 4% at time of judging</v>
      </c>
      <c r="C23" s="29" t="str">
        <f>Input!C23</f>
        <v>Finance</v>
      </c>
      <c r="D23" s="31">
        <v>0.3</v>
      </c>
    </row>
    <row r="24">
      <c r="A24" s="29">
        <f>Input!A24</f>
        <v>23</v>
      </c>
      <c r="B24" s="30" t="str">
        <f>Input!B24</f>
        <v>Binance will collapse slash go into bankruptcy</v>
      </c>
      <c r="C24" s="29" t="str">
        <f>Input!C24</f>
        <v>Finance</v>
      </c>
      <c r="D24" s="31">
        <v>0.5</v>
      </c>
    </row>
    <row r="25">
      <c r="A25" s="29">
        <f>Input!A25</f>
        <v>24</v>
      </c>
      <c r="B25" s="30" t="str">
        <f>Input!B25</f>
        <v>Telsa will remain solvent and operating </v>
      </c>
      <c r="C25" s="29" t="str">
        <f>Input!C25</f>
        <v>Finance</v>
      </c>
      <c r="D25" s="31">
        <v>0.8</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0.6</v>
      </c>
    </row>
    <row r="27">
      <c r="A27" s="29">
        <f>Input!A27</f>
        <v>26</v>
      </c>
      <c r="B27" s="30" t="str">
        <f>Input!B27</f>
        <v>The case against David McBride will be dropped</v>
      </c>
      <c r="C27" s="29" t="str">
        <f>Input!C27</f>
        <v>Law</v>
      </c>
      <c r="D27" s="31">
        <v>0.6</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0.3</v>
      </c>
    </row>
    <row r="29">
      <c r="A29" s="29">
        <f>Input!A29</f>
        <v>28</v>
      </c>
      <c r="B29" s="30" t="str">
        <f>Input!B29</f>
        <v>The New Zealand National party will form government after the next election.</v>
      </c>
      <c r="C29" s="29" t="str">
        <f>Input!C29</f>
        <v>Politics</v>
      </c>
      <c r="D29" s="31">
        <v>0.3</v>
      </c>
    </row>
    <row r="30">
      <c r="A30" s="29">
        <f>Input!A30</f>
        <v>29</v>
      </c>
      <c r="B30" s="30" t="str">
        <f>Input!B30</f>
        <v>The British Labour Party will be ahead in the polls in November 2023.</v>
      </c>
      <c r="C30" s="29" t="str">
        <f>Input!C30</f>
        <v>Politics</v>
      </c>
      <c r="D30" s="31">
        <v>0.7</v>
      </c>
    </row>
    <row r="31">
      <c r="A31" s="29">
        <f>Input!A31</f>
        <v>30</v>
      </c>
      <c r="B31" s="30" t="str">
        <f>Input!B31</f>
        <v>Liz Cheney will not nominate for the presidency in 2023.</v>
      </c>
      <c r="C31" s="29" t="str">
        <f>Input!C31</f>
        <v>Politics</v>
      </c>
      <c r="D31" s="31">
        <v>0.8</v>
      </c>
    </row>
    <row r="32">
      <c r="A32" s="29">
        <f>Input!A32</f>
        <v>31</v>
      </c>
      <c r="B32" s="30" t="str">
        <f>Input!B32</f>
        <v>China will eliminate at least one existing trade sanction against Australia</v>
      </c>
      <c r="C32" s="29" t="str">
        <f>Input!C32</f>
        <v>Politics</v>
      </c>
      <c r="D32" s="31">
        <v>0.6</v>
      </c>
    </row>
    <row r="33">
      <c r="A33" s="29">
        <f>Input!A33</f>
        <v>32</v>
      </c>
      <c r="B33" s="30" t="str">
        <f>Input!B33</f>
        <v>China will not be admitted to full membership of the Comprehensive and Progressive Agreement for Trans-Pacific Partnership</v>
      </c>
      <c r="C33" s="29" t="str">
        <f>Input!C33</f>
        <v>Politics</v>
      </c>
      <c r="D33" s="31">
        <v>0.8</v>
      </c>
    </row>
    <row r="34">
      <c r="A34" s="29">
        <f>Input!A34</f>
        <v>33</v>
      </c>
      <c r="B34" s="30" t="str">
        <f>Input!B34</f>
        <v>Henry Kissinger will die</v>
      </c>
      <c r="C34" s="29" t="str">
        <f>Input!C34</f>
        <v>Politics</v>
      </c>
      <c r="D34" s="31">
        <v>0.9</v>
      </c>
    </row>
    <row r="35">
      <c r="A35" s="29">
        <f>Input!A35</f>
        <v>34</v>
      </c>
      <c r="B35" s="32" t="str">
        <f>Input!B35</f>
        <v>The Australian government will announce that the referendum for the Indigenous Voice to Parliament will occur in 2024</v>
      </c>
      <c r="C35" s="29" t="str">
        <f>Input!C35</f>
        <v>Politics</v>
      </c>
      <c r="D35" s="31">
        <v>0.9</v>
      </c>
    </row>
    <row r="36">
      <c r="A36" s="29">
        <f>Input!A36</f>
        <v>35</v>
      </c>
      <c r="B36" s="32" t="str">
        <f>Input!B36</f>
        <v>Labor will win the NSW state election</v>
      </c>
      <c r="C36" s="29" t="str">
        <f>Input!C36</f>
        <v>Politics</v>
      </c>
      <c r="D36" s="31">
        <v>0.4</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0.8</v>
      </c>
    </row>
    <row r="38">
      <c r="A38" s="29">
        <f>Input!A38</f>
        <v>37</v>
      </c>
      <c r="B38" s="30" t="str">
        <f>Input!B38</f>
        <v>At least one senior public servant (Deputy Secretary or above) will face disciplinary action from the Robodebt royal commission</v>
      </c>
      <c r="C38" s="29" t="str">
        <f>Input!C38</f>
        <v>Politics</v>
      </c>
      <c r="D38" s="31">
        <v>0.6</v>
      </c>
    </row>
    <row r="39">
      <c r="A39" s="29">
        <f>Input!A39</f>
        <v>38</v>
      </c>
      <c r="B39" s="30" t="str">
        <f>Input!B39</f>
        <v>China invades Taiwan</v>
      </c>
      <c r="C39" s="29" t="str">
        <f>Input!C39</f>
        <v>Politics</v>
      </c>
      <c r="D39" s="31">
        <v>0.2</v>
      </c>
    </row>
    <row r="40">
      <c r="A40" s="29">
        <f>Input!A40</f>
        <v>39</v>
      </c>
      <c r="B40" s="30" t="str">
        <f>Input!B40</f>
        <v>The war in Ukraine will be declared over over by MSM</v>
      </c>
      <c r="C40" s="29" t="str">
        <f>Input!C40</f>
        <v>Politics</v>
      </c>
      <c r="D40" s="31">
        <v>0.2</v>
      </c>
    </row>
    <row r="41">
      <c r="A41" s="29">
        <f>Input!A41</f>
        <v>40</v>
      </c>
      <c r="B41" s="30" t="str">
        <f>Input!B41</f>
        <v>Chris Hipkins will be Prime Minister of NZ</v>
      </c>
      <c r="C41" s="29" t="str">
        <f>Input!C41</f>
        <v>Politics</v>
      </c>
      <c r="D41" s="31">
        <v>0.8</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0.9</v>
      </c>
    </row>
    <row r="43">
      <c r="A43" s="29">
        <f>Input!A43</f>
        <v>42</v>
      </c>
      <c r="B43" s="30" t="str">
        <f>Input!B43</f>
        <v>Sunak will be British Prime Minister throughout 2023</v>
      </c>
      <c r="C43" s="29" t="str">
        <f>Input!C43</f>
        <v>Politics</v>
      </c>
      <c r="D43" s="31">
        <v>0.9</v>
      </c>
    </row>
    <row r="44">
      <c r="A44" s="29">
        <f>Input!A44</f>
        <v>43</v>
      </c>
      <c r="B44" s="30" t="str">
        <f>Input!B44</f>
        <v>Nikii Haley will drop out of the running for president</v>
      </c>
      <c r="C44" s="29" t="str">
        <f>Input!C44</f>
        <v>Politics</v>
      </c>
      <c r="D44" s="31">
        <v>0.9</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0.5</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0.7</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0.9</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0.4</v>
      </c>
    </row>
    <row r="50">
      <c r="A50" s="29">
        <f>Input!A50</f>
        <v>49</v>
      </c>
      <c r="B50" s="30" t="str">
        <f>Input!B50</f>
        <v>Rafa Nadal will announce his retirement from playing grand slam singles.</v>
      </c>
      <c r="C50" s="29" t="str">
        <f>Input!C50</f>
        <v>Sport</v>
      </c>
      <c r="D50" s="31">
        <v>0.7</v>
      </c>
    </row>
    <row r="51">
      <c r="A51" s="29">
        <f>Input!A51</f>
        <v>50</v>
      </c>
      <c r="B51" s="30" t="str">
        <f>Input!B51</f>
        <v>Australia will win the netball World Cup</v>
      </c>
      <c r="C51" s="29" t="str">
        <f>Input!C51</f>
        <v>Sport</v>
      </c>
      <c r="D51" s="31">
        <v>0.6</v>
      </c>
    </row>
    <row r="52">
      <c r="A52" s="29">
        <f>Input!A52</f>
        <v>51</v>
      </c>
      <c r="B52" s="30" t="str">
        <f>Input!B52</f>
        <v>Ireland will win the Rugby World Cup</v>
      </c>
      <c r="C52" s="29" t="str">
        <f>Input!C52</f>
        <v>Sport</v>
      </c>
      <c r="D52" s="31">
        <v>0.1</v>
      </c>
    </row>
    <row r="53">
      <c r="A53" s="29">
        <f>Input!A53</f>
        <v>52</v>
      </c>
      <c r="B53" s="30" t="str">
        <f>Input!B53</f>
        <v>Warner will have to be dropped as Test match opener sometime during 2023 if not before</v>
      </c>
      <c r="C53" s="29" t="str">
        <f>Input!C53</f>
        <v>Sport</v>
      </c>
      <c r="D53" s="31">
        <v>0.9</v>
      </c>
    </row>
    <row r="54">
      <c r="A54" s="29">
        <f>Input!A54</f>
        <v>53</v>
      </c>
      <c r="B54" s="30" t="str">
        <f>Input!B54</f>
        <v>Boland will oust Hazlewood in at least one test during 2023</v>
      </c>
      <c r="C54" s="29" t="str">
        <f>Input!C54</f>
        <v>Sport</v>
      </c>
      <c r="D54" s="31">
        <v>0.9</v>
      </c>
    </row>
    <row r="55">
      <c r="A55" s="29">
        <f>Input!A55</f>
        <v>54</v>
      </c>
      <c r="B55" s="30" t="str">
        <f>Input!B55</f>
        <v>Team Haas will be 7th or higher in the 2023 F1 constructor's championship</v>
      </c>
      <c r="C55" s="29" t="str">
        <f>Input!C55</f>
        <v>Sport</v>
      </c>
      <c r="D55" s="31">
        <v>0.2</v>
      </c>
    </row>
    <row r="56">
      <c r="A56" s="29">
        <f>Input!A56</f>
        <v>55</v>
      </c>
      <c r="B56" s="30" t="str">
        <f>Input!B56</f>
        <v>Daniel Ricardo signs as a driver with an F1 Team for 2024</v>
      </c>
      <c r="C56" s="29" t="str">
        <f>Input!C56</f>
        <v>Sport</v>
      </c>
      <c r="D56" s="31">
        <v>0.1</v>
      </c>
    </row>
    <row r="57">
      <c r="A57" s="29">
        <f>Input!A57</f>
        <v>56</v>
      </c>
      <c r="B57" s="30" t="str">
        <f>Input!B57</f>
        <v>At least 41% of NZ's energy comes from rewewable sources </v>
      </c>
      <c r="C57" s="29" t="str">
        <f>Input!C57</f>
        <v>Technology</v>
      </c>
      <c r="D57" s="31">
        <v>0.7</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0.6</v>
      </c>
    </row>
    <row r="59">
      <c r="A59" s="29">
        <f>Input!A59</f>
        <v>58</v>
      </c>
      <c r="B59" s="30" t="str">
        <f>Input!B59</f>
        <v>The first orbital launch attempt of SpaceX's starship will occur in 2023, with the vehicle being destroyed on re-entry</v>
      </c>
      <c r="C59" s="29" t="str">
        <f>Input!C59</f>
        <v>Technology</v>
      </c>
      <c r="D59" s="31">
        <v>0.3</v>
      </c>
    </row>
    <row r="60">
      <c r="A60" s="29">
        <f>Input!A60</f>
        <v>59</v>
      </c>
      <c r="B60" s="30" t="str">
        <f>Input!B60</f>
        <v>Elon Musk will commercially launch a virtual/altered reality software or piece of hardware.</v>
      </c>
      <c r="C60" s="29" t="str">
        <f>Input!C60</f>
        <v>Technology</v>
      </c>
      <c r="D60" s="31">
        <v>0.8</v>
      </c>
    </row>
    <row r="61">
      <c r="A61" s="29">
        <f>Input!A61</f>
        <v>60</v>
      </c>
      <c r="B61" s="30" t="str">
        <f>Input!B61</f>
        <v>A country enshrines some form of rights/personhood/protection of AI systems motivated by the welfare of the system itself</v>
      </c>
      <c r="C61" s="29" t="str">
        <f>Input!C61</f>
        <v>Technology</v>
      </c>
      <c r="D61" s="31">
        <v>0.1</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0.38</v>
      </c>
    </row>
    <row r="3">
      <c r="A3" s="29">
        <f>Input!A3</f>
        <v>2</v>
      </c>
      <c r="B3" s="30" t="str">
        <f>Input!B3</f>
        <v>The farthest paper airplane flight will be broken (as reported by Guinness World Records)</v>
      </c>
      <c r="C3" s="29" t="str">
        <f>Input!C3</f>
        <v>Entertainment</v>
      </c>
      <c r="D3" s="31">
        <v>0.999</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0.5</v>
      </c>
    </row>
    <row r="5">
      <c r="A5" s="29">
        <f>Input!A5</f>
        <v>4</v>
      </c>
      <c r="B5" s="30" t="str">
        <f>Input!B5</f>
        <v>There will be a scandal involving the BTS 10 year anniversary as reported by Korean MSM</v>
      </c>
      <c r="C5" s="29" t="str">
        <f>Input!C5</f>
        <v>Entertainment</v>
      </c>
      <c r="D5" s="31">
        <v>0.29</v>
      </c>
    </row>
    <row r="6">
      <c r="A6" s="29">
        <f>Input!A6</f>
        <v>5</v>
      </c>
      <c r="B6" s="30" t="str">
        <f>Input!B6</f>
        <v>Twosetviolin (the Youtube channel) will make a video reporting fresh abuse from kpop fans (excluding Blackpink)</v>
      </c>
      <c r="C6" s="29" t="str">
        <f>Input!C6</f>
        <v>Entertainment</v>
      </c>
      <c r="D6" s="31">
        <v>0.29</v>
      </c>
    </row>
    <row r="7">
      <c r="A7" s="29">
        <f>Input!A7</f>
        <v>6</v>
      </c>
      <c r="B7" s="30" t="str">
        <f>Input!B7</f>
        <v>Lee Min-ho will be the most followed Korean actor on Instagram by the end of 2023 </v>
      </c>
      <c r="C7" s="29" t="str">
        <f>Input!C7</f>
        <v>Entertainment</v>
      </c>
      <c r="D7" s="31">
        <v>0.2</v>
      </c>
    </row>
    <row r="8">
      <c r="A8" s="29">
        <f>Input!A8</f>
        <v>7</v>
      </c>
      <c r="B8" s="30" t="str">
        <f>Input!B8</f>
        <v>LOONA will disband</v>
      </c>
      <c r="C8" s="29" t="str">
        <f>Input!C8</f>
        <v>Entertainment</v>
      </c>
      <c r="D8" s="31">
        <v>0.55</v>
      </c>
    </row>
    <row r="9">
      <c r="A9" s="29">
        <f>Input!A9</f>
        <v>8</v>
      </c>
      <c r="B9" s="30" t="str">
        <f>Input!B9</f>
        <v>A new Korean show will get more than 140 million household views on Netflix</v>
      </c>
      <c r="C9" s="29" t="str">
        <f>Input!C9</f>
        <v>Entertainment</v>
      </c>
      <c r="D9" s="31">
        <v>0.4</v>
      </c>
    </row>
    <row r="10">
      <c r="A10" s="29">
        <f>Input!A10</f>
        <v>9</v>
      </c>
      <c r="B10" s="30" t="str">
        <f>Input!B10</f>
        <v>Avatar The Way of Water will remain at 8.0 on IMDb by Christmas next year.</v>
      </c>
      <c r="C10" s="29" t="str">
        <f>Input!C10</f>
        <v>Entertainment</v>
      </c>
      <c r="D10" s="31">
        <v>0.05</v>
      </c>
    </row>
    <row r="11">
      <c r="A11" s="29">
        <f>Input!A11</f>
        <v>10</v>
      </c>
      <c r="B11" s="30" t="str">
        <f>Input!B11</f>
        <v>Kanye West will have 0 twitter suspensions or bans.</v>
      </c>
      <c r="C11" s="29" t="str">
        <f>Input!C11</f>
        <v>Entertainment</v>
      </c>
      <c r="D11" s="31">
        <v>0.99</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0.15</v>
      </c>
    </row>
    <row r="13">
      <c r="A13" s="29">
        <f>Input!A13</f>
        <v>12</v>
      </c>
      <c r="B13" s="30" t="str">
        <f>Input!B13</f>
        <v>Francis will be the Pope on Christmas eve</v>
      </c>
      <c r="C13" s="29" t="str">
        <f>Input!C13</f>
        <v>Entertainment</v>
      </c>
      <c r="D13" s="31">
        <v>0.75</v>
      </c>
    </row>
    <row r="14">
      <c r="A14" s="29">
        <f>Input!A14</f>
        <v>13</v>
      </c>
      <c r="B14" s="30" t="str">
        <f>Input!B14</f>
        <v>Rohan will not test positive for COVID in 2023</v>
      </c>
      <c r="C14" s="29" t="str">
        <f>Input!C14</f>
        <v>Family</v>
      </c>
      <c r="D14" s="31">
        <v>0.9</v>
      </c>
    </row>
    <row r="15">
      <c r="A15" s="29">
        <f>Input!A15</f>
        <v>14</v>
      </c>
      <c r="B15" s="30" t="str">
        <f>Input!B15</f>
        <v>Baby McCalman is less than 49cm at birth</v>
      </c>
      <c r="C15" s="29" t="str">
        <f>Input!C15</f>
        <v>Family</v>
      </c>
      <c r="D15" s="31">
        <v>0.4</v>
      </c>
    </row>
    <row r="16">
      <c r="A16" s="29">
        <f>Input!A16</f>
        <v>15</v>
      </c>
      <c r="B16" s="30" t="str">
        <f>Input!B16</f>
        <v>Jac and Lachy’s baby will say ‘ma’ or make a similar ‘m’ sound by 24 December 2023.</v>
      </c>
      <c r="C16" s="29" t="str">
        <f>Input!C16</f>
        <v>Family</v>
      </c>
      <c r="D16" s="31">
        <v>0.85</v>
      </c>
    </row>
    <row r="17">
      <c r="A17" s="29">
        <f>Input!A17</f>
        <v>16</v>
      </c>
      <c r="B17" s="30" t="str">
        <f>Input!B17</f>
        <v>Rohan will be at least 6'1"</v>
      </c>
      <c r="C17" s="29" t="str">
        <f>Input!C17</f>
        <v>Family</v>
      </c>
      <c r="D17" s="31">
        <v>0.45</v>
      </c>
    </row>
    <row r="18">
      <c r="A18" s="29">
        <f>Input!A18</f>
        <v>17</v>
      </c>
      <c r="B18" s="30" t="str">
        <f>Input!B18</f>
        <v>Andrew and Eileen will buy a house</v>
      </c>
      <c r="C18" s="29" t="str">
        <f>Input!C18</f>
        <v>Family</v>
      </c>
      <c r="D18" s="31">
        <v>0.65</v>
      </c>
    </row>
    <row r="19">
      <c r="A19" s="29">
        <f>Input!A19</f>
        <v>18</v>
      </c>
      <c r="B19" s="30" t="str">
        <f>Input!B19</f>
        <v>Lachy and Jac’s baby will be at least 68 cm by next Christmas.</v>
      </c>
      <c r="C19" s="29" t="str">
        <f>Input!C19</f>
        <v>Family</v>
      </c>
      <c r="D19" s="31">
        <v>0.55</v>
      </c>
    </row>
    <row r="20">
      <c r="A20" s="29">
        <f>Input!A20</f>
        <v>19</v>
      </c>
      <c r="B20" s="30" t="str">
        <f>Input!B20</f>
        <v>The annual inflation rate in Australia will be below 6% when the RBA releases its announcement of the October 2023 result</v>
      </c>
      <c r="C20" s="29" t="str">
        <f>Input!C20</f>
        <v>Finance</v>
      </c>
      <c r="D20" s="31">
        <v>0.5</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0.47</v>
      </c>
    </row>
    <row r="23">
      <c r="A23" s="29">
        <f>Input!A23</f>
        <v>22</v>
      </c>
      <c r="B23" s="30" t="str">
        <f>Input!B23</f>
        <v>The Australian unemployment rate will be more than 4% at time of judging</v>
      </c>
      <c r="C23" s="29" t="str">
        <f>Input!C23</f>
        <v>Finance</v>
      </c>
      <c r="D23" s="31">
        <v>0.3</v>
      </c>
    </row>
    <row r="24">
      <c r="A24" s="29">
        <f>Input!A24</f>
        <v>23</v>
      </c>
      <c r="B24" s="30" t="str">
        <f>Input!B24</f>
        <v>Binance will collapse slash go into bankruptcy</v>
      </c>
      <c r="C24" s="29" t="str">
        <f>Input!C23</f>
        <v>Finance</v>
      </c>
      <c r="D24" s="31">
        <v>0.51</v>
      </c>
    </row>
    <row r="25">
      <c r="A25" s="29">
        <f>Input!A25</f>
        <v>24</v>
      </c>
      <c r="B25" s="30" t="str">
        <f>Input!B25</f>
        <v>Telsa will remain solvent and operating </v>
      </c>
      <c r="C25" s="29" t="str">
        <f>Input!C25</f>
        <v>Finance</v>
      </c>
      <c r="D25" s="31">
        <v>0.95</v>
      </c>
    </row>
    <row r="26">
      <c r="A26" s="29">
        <f>Input!A26</f>
        <v>25</v>
      </c>
      <c r="B26" s="30" t="str">
        <f>Input!B23</f>
        <v>The Australian unemployment rate will be more than 4% at time of judging</v>
      </c>
      <c r="C26" s="29" t="str">
        <f>Input!C26</f>
        <v>Law</v>
      </c>
      <c r="D26" s="31">
        <v>0.51</v>
      </c>
    </row>
    <row r="27">
      <c r="A27" s="29">
        <f>Input!A27</f>
        <v>26</v>
      </c>
      <c r="B27" s="30" t="str">
        <f>Input!B27</f>
        <v>The case against David McBride will be dropped</v>
      </c>
      <c r="C27" s="29" t="str">
        <f>Input!C27</f>
        <v>Law</v>
      </c>
      <c r="D27" s="31">
        <v>0.47</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0.4</v>
      </c>
    </row>
    <row r="29">
      <c r="A29" s="29">
        <f>Input!A29</f>
        <v>28</v>
      </c>
      <c r="B29" s="30" t="str">
        <f>Input!B29</f>
        <v>The New Zealand National party will form government after the next election.</v>
      </c>
      <c r="C29" s="29" t="str">
        <f>Input!C29</f>
        <v>Politics</v>
      </c>
      <c r="D29" s="31">
        <v>0.01</v>
      </c>
    </row>
    <row r="30">
      <c r="A30" s="29">
        <f>Input!A30</f>
        <v>29</v>
      </c>
      <c r="B30" s="30" t="str">
        <f>Input!B30</f>
        <v>The British Labour Party will be ahead in the polls in November 2023.</v>
      </c>
      <c r="C30" s="29" t="str">
        <f>Input!C30</f>
        <v>Politics</v>
      </c>
      <c r="D30" s="31">
        <v>0.55</v>
      </c>
    </row>
    <row r="31">
      <c r="A31" s="29">
        <f>Input!A31</f>
        <v>30</v>
      </c>
      <c r="B31" s="30" t="str">
        <f>Input!B31</f>
        <v>Liz Cheney will not nominate for the presidency in 2023.</v>
      </c>
      <c r="C31" s="29" t="str">
        <f>Input!C31</f>
        <v>Politics</v>
      </c>
      <c r="D31" s="31">
        <v>0.4</v>
      </c>
    </row>
    <row r="32">
      <c r="A32" s="29">
        <f>Input!A32</f>
        <v>31</v>
      </c>
      <c r="B32" s="30" t="str">
        <f>Input!B32</f>
        <v>China will eliminate at least one existing trade sanction against Australia</v>
      </c>
      <c r="C32" s="29" t="str">
        <f>Input!C32</f>
        <v>Politics</v>
      </c>
      <c r="D32" s="31">
        <v>0.5</v>
      </c>
    </row>
    <row r="33">
      <c r="A33" s="29">
        <f>Input!A33</f>
        <v>32</v>
      </c>
      <c r="B33" s="30" t="str">
        <f>Input!B33</f>
        <v>China will not be admitted to full membership of the Comprehensive and Progressive Agreement for Trans-Pacific Partnership</v>
      </c>
      <c r="C33" s="29" t="str">
        <f>Input!C33</f>
        <v>Politics</v>
      </c>
      <c r="D33" s="31">
        <v>0.49</v>
      </c>
    </row>
    <row r="34">
      <c r="A34" s="29">
        <f>Input!A34</f>
        <v>33</v>
      </c>
      <c r="B34" s="30" t="str">
        <f>Input!B34</f>
        <v>Henry Kissinger will die</v>
      </c>
      <c r="C34" s="29" t="str">
        <f>Input!C34</f>
        <v>Politics</v>
      </c>
      <c r="D34" s="31">
        <v>0.6</v>
      </c>
    </row>
    <row r="35">
      <c r="A35" s="29">
        <f>Input!A35</f>
        <v>34</v>
      </c>
      <c r="B35" s="32" t="str">
        <f>Input!B35</f>
        <v>The Australian government will announce that the referendum for the Indigenous Voice to Parliament will occur in 2024</v>
      </c>
      <c r="C35" s="29" t="str">
        <f>Input!C35</f>
        <v>Politics</v>
      </c>
      <c r="D35" s="31">
        <v>0.49</v>
      </c>
    </row>
    <row r="36">
      <c r="A36" s="29">
        <f>Input!A36</f>
        <v>35</v>
      </c>
      <c r="B36" s="32" t="str">
        <f>Input!B36</f>
        <v>Labor will win the NSW state election</v>
      </c>
      <c r="C36" s="29" t="str">
        <f>Input!C36</f>
        <v>Politics</v>
      </c>
      <c r="D36" s="31">
        <v>0.55</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0.49</v>
      </c>
    </row>
    <row r="38">
      <c r="A38" s="29">
        <f>Input!A38</f>
        <v>37</v>
      </c>
      <c r="B38" s="30" t="str">
        <f>Input!B38</f>
        <v>At least one senior public servant (Deputy Secretary or above) will face disciplinary action from the Robodebt royal commission</v>
      </c>
      <c r="C38" s="29" t="str">
        <f>Input!C38</f>
        <v>Politics</v>
      </c>
      <c r="D38" s="31">
        <v>0.55</v>
      </c>
    </row>
    <row r="39">
      <c r="A39" s="29">
        <f>Input!A39</f>
        <v>38</v>
      </c>
      <c r="B39" s="30" t="str">
        <f>Input!B39</f>
        <v>China invades Taiwan</v>
      </c>
      <c r="C39" s="29" t="str">
        <f>Input!C39</f>
        <v>Politics</v>
      </c>
      <c r="D39" s="31">
        <v>0.35</v>
      </c>
    </row>
    <row r="40">
      <c r="A40" s="29">
        <f>Input!A40</f>
        <v>39</v>
      </c>
      <c r="B40" s="30" t="str">
        <f>Input!B40</f>
        <v>The war in Ukraine will be declared over over by MSM</v>
      </c>
      <c r="C40" s="29" t="str">
        <f>Input!C40</f>
        <v>Politics</v>
      </c>
      <c r="D40" s="31">
        <v>0.1</v>
      </c>
    </row>
    <row r="41">
      <c r="A41" s="29">
        <f>Input!A41</f>
        <v>40</v>
      </c>
      <c r="B41" s="30" t="str">
        <f>Input!B41</f>
        <v>Chris Hipkins will be Prime Minister of NZ</v>
      </c>
      <c r="C41" s="29" t="str">
        <f>Input!C41</f>
        <v>Politics</v>
      </c>
      <c r="D41" s="31">
        <v>0.93</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0.45</v>
      </c>
    </row>
    <row r="43">
      <c r="A43" s="29">
        <f>Input!A43</f>
        <v>42</v>
      </c>
      <c r="B43" s="30" t="str">
        <f>Input!B43</f>
        <v>Sunak will be British Prime Minister throughout 2023</v>
      </c>
      <c r="C43" s="29" t="str">
        <f>Input!C43</f>
        <v>Politics</v>
      </c>
      <c r="D43" s="31">
        <v>0.5</v>
      </c>
    </row>
    <row r="44">
      <c r="A44" s="29">
        <f>Input!A44</f>
        <v>43</v>
      </c>
      <c r="B44" s="30" t="str">
        <f>Input!B44</f>
        <v>Nikii Haley will drop out of the running for president</v>
      </c>
      <c r="C44" s="29" t="str">
        <f>Input!C44</f>
        <v>Politics</v>
      </c>
      <c r="D44" s="31">
        <v>0.48</v>
      </c>
    </row>
    <row r="45">
      <c r="A45" s="29">
        <f>Input!A45</f>
        <v>44</v>
      </c>
      <c r="B45" s="30" t="str">
        <f>Input!B45</f>
        <v>The Telstra  NATSIAA bark painting award will be won by an artist from the Buku-Larrnggay Mulka Centre</v>
      </c>
      <c r="C45" s="29" t="str">
        <f>Input!C45</f>
        <v>Society</v>
      </c>
      <c r="D45" s="31">
        <v>0.49</v>
      </c>
    </row>
    <row r="46">
      <c r="A46" s="29">
        <f>Input!A46</f>
        <v>45</v>
      </c>
      <c r="B46" s="30" t="str">
        <f>Input!B46</f>
        <v>Kanye West arrested or involved in police shooting</v>
      </c>
      <c r="C46" s="29" t="str">
        <f>Input!C46</f>
        <v>Society</v>
      </c>
      <c r="D46" s="31">
        <v>0.01</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0.51</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0.38</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0.5</v>
      </c>
    </row>
    <row r="50">
      <c r="A50" s="29">
        <f>Input!A50</f>
        <v>49</v>
      </c>
      <c r="B50" s="30" t="str">
        <f>Input!B50</f>
        <v>Rafa Nadal will announce his retirement from playing grand slam singles.</v>
      </c>
      <c r="C50" s="29" t="str">
        <f>Input!C50</f>
        <v>Sport</v>
      </c>
      <c r="D50" s="31">
        <v>0.28</v>
      </c>
    </row>
    <row r="51">
      <c r="A51" s="29">
        <f>Input!A51</f>
        <v>50</v>
      </c>
      <c r="B51" s="30" t="str">
        <f>Input!B51</f>
        <v>Australia will win the netball World Cup</v>
      </c>
      <c r="C51" s="29" t="str">
        <f>Input!C51</f>
        <v>Sport</v>
      </c>
      <c r="D51" s="31">
        <v>0.65</v>
      </c>
    </row>
    <row r="52">
      <c r="A52" s="29">
        <f>Input!A52</f>
        <v>51</v>
      </c>
      <c r="B52" s="30" t="str">
        <f>Input!B52</f>
        <v>Ireland will win the Rugby World Cup</v>
      </c>
      <c r="C52" s="29" t="str">
        <f>Input!C52</f>
        <v>Sport</v>
      </c>
      <c r="D52" s="31">
        <v>0.05</v>
      </c>
    </row>
    <row r="53">
      <c r="A53" s="29">
        <f>Input!A53</f>
        <v>52</v>
      </c>
      <c r="B53" s="30" t="str">
        <f>Input!B53</f>
        <v>Warner will have to be dropped as Test match opener sometime during 2023 if not before</v>
      </c>
      <c r="C53" s="29" t="str">
        <f>Input!C53</f>
        <v>Sport</v>
      </c>
      <c r="D53" s="31">
        <v>0.1</v>
      </c>
    </row>
    <row r="54">
      <c r="A54" s="29">
        <f>Input!A54</f>
        <v>53</v>
      </c>
      <c r="B54" s="30" t="str">
        <f>Input!B54</f>
        <v>Boland will oust Hazlewood in at least one test during 2023</v>
      </c>
      <c r="C54" s="29" t="str">
        <f>Input!C54</f>
        <v>Sport</v>
      </c>
      <c r="D54" s="31">
        <v>0.49</v>
      </c>
    </row>
    <row r="55">
      <c r="A55" s="29">
        <f>Input!A55</f>
        <v>54</v>
      </c>
      <c r="B55" s="30" t="str">
        <f>Input!B55</f>
        <v>Team Haas will be 7th or higher in the 2023 F1 constructor's championship</v>
      </c>
      <c r="C55" s="29" t="str">
        <f>Input!C55</f>
        <v>Sport</v>
      </c>
      <c r="D55" s="31">
        <v>0.45</v>
      </c>
    </row>
    <row r="56">
      <c r="A56" s="29">
        <f>Input!A56</f>
        <v>55</v>
      </c>
      <c r="B56" s="30" t="str">
        <f>Input!B56</f>
        <v>Daniel Ricardo signs as a driver with an F1 Team for 2024</v>
      </c>
      <c r="C56" s="29" t="str">
        <f>Input!C56</f>
        <v>Sport</v>
      </c>
      <c r="D56" s="31">
        <v>0.4</v>
      </c>
    </row>
    <row r="57">
      <c r="A57" s="29">
        <f>Input!A57</f>
        <v>56</v>
      </c>
      <c r="B57" s="30" t="str">
        <f>Input!B57</f>
        <v>At least 41% of NZ's energy comes from rewewable sources </v>
      </c>
      <c r="C57" s="29" t="str">
        <f>Input!C57</f>
        <v>Technology</v>
      </c>
      <c r="D57" s="31">
        <v>0.51</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0.6</v>
      </c>
    </row>
    <row r="59">
      <c r="A59" s="29">
        <f>Input!A59</f>
        <v>58</v>
      </c>
      <c r="B59" s="30" t="str">
        <f>Input!B59</f>
        <v>The first orbital launch attempt of SpaceX's starship will occur in 2023, with the vehicle being destroyed on re-entry</v>
      </c>
      <c r="C59" s="29" t="str">
        <f>Input!C59</f>
        <v>Technology</v>
      </c>
      <c r="D59" s="31">
        <v>0.35</v>
      </c>
    </row>
    <row r="60">
      <c r="A60" s="29">
        <f>Input!A60</f>
        <v>59</v>
      </c>
      <c r="B60" s="30" t="str">
        <f>Input!B60</f>
        <v>Elon Musk will commercially launch a virtual/altered reality software or piece of hardware.</v>
      </c>
      <c r="C60" s="29" t="str">
        <f>Input!C60</f>
        <v>Technology</v>
      </c>
      <c r="D60" s="31">
        <v>0.2</v>
      </c>
    </row>
    <row r="61">
      <c r="A61" s="29">
        <f>Input!A61</f>
        <v>60</v>
      </c>
      <c r="B61" s="30" t="str">
        <f>Input!B61</f>
        <v>A country enshrines some form of rights/personhood/protection of AI systems motivated by the welfare of the system itself</v>
      </c>
      <c r="C61" s="29" t="str">
        <f>Input!C61</f>
        <v>Technology</v>
      </c>
      <c r="D61" s="31">
        <v>0.4</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0.7</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0.3</v>
      </c>
    </row>
    <row r="5">
      <c r="A5" s="29">
        <f>Input!A5</f>
        <v>4</v>
      </c>
      <c r="B5" s="30" t="str">
        <f>Input!B5</f>
        <v>There will be a scandal involving the BTS 10 year anniversary as reported by Korean MSM</v>
      </c>
      <c r="C5" s="29" t="str">
        <f>Input!C5</f>
        <v>Entertainment</v>
      </c>
      <c r="D5" s="31">
        <v>0.5</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0.5</v>
      </c>
    </row>
    <row r="8">
      <c r="A8" s="29">
        <f>Input!A8</f>
        <v>7</v>
      </c>
      <c r="B8" s="30" t="str">
        <f>Input!B8</f>
        <v>LOONA will disband</v>
      </c>
      <c r="C8" s="29" t="str">
        <f>Input!C8</f>
        <v>Entertainment</v>
      </c>
      <c r="D8" s="31">
        <v>0.5</v>
      </c>
    </row>
    <row r="9">
      <c r="A9" s="29">
        <f>Input!A9</f>
        <v>8</v>
      </c>
      <c r="B9" s="30" t="str">
        <f>Input!B9</f>
        <v>A new Korean show will get more than 140 million household views on Netflix</v>
      </c>
      <c r="C9" s="29" t="str">
        <f>Input!C9</f>
        <v>Entertainment</v>
      </c>
      <c r="D9" s="31">
        <v>0.4</v>
      </c>
    </row>
    <row r="10">
      <c r="A10" s="29">
        <f>Input!A10</f>
        <v>9</v>
      </c>
      <c r="B10" s="30" t="str">
        <f>Input!B10</f>
        <v>Avatar The Way of Water will remain at 8.0 on IMDb by Christmas next year.</v>
      </c>
      <c r="C10" s="29" t="str">
        <f>Input!C10</f>
        <v>Entertainment</v>
      </c>
      <c r="D10" s="31">
        <v>0.5</v>
      </c>
    </row>
    <row r="11">
      <c r="A11" s="29">
        <f>Input!A11</f>
        <v>10</v>
      </c>
      <c r="B11" s="30" t="str">
        <f>Input!B11</f>
        <v>Kanye West will have 0 twitter suspensions or bans.</v>
      </c>
      <c r="C11" s="29" t="str">
        <f>Input!C11</f>
        <v>Entertainment</v>
      </c>
      <c r="D11" s="31">
        <v>0.5</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0.3</v>
      </c>
    </row>
    <row r="13">
      <c r="A13" s="29">
        <f>Input!A13</f>
        <v>12</v>
      </c>
      <c r="B13" s="30" t="str">
        <f>Input!B13</f>
        <v>Francis will be the Pope on Christmas eve</v>
      </c>
      <c r="C13" s="29" t="str">
        <f>Input!C13</f>
        <v>Entertainment</v>
      </c>
      <c r="D13" s="31">
        <v>0.4</v>
      </c>
    </row>
    <row r="14">
      <c r="A14" s="29">
        <f>Input!A14</f>
        <v>13</v>
      </c>
      <c r="B14" s="30" t="str">
        <f>Input!B14</f>
        <v>Rohan will not test positive for COVID in 2023</v>
      </c>
      <c r="C14" s="29" t="str">
        <f>Input!C14</f>
        <v>Family</v>
      </c>
      <c r="D14" s="31">
        <v>0.8</v>
      </c>
    </row>
    <row r="15">
      <c r="A15" s="29">
        <f>Input!A15</f>
        <v>14</v>
      </c>
      <c r="B15" s="30" t="str">
        <f>Input!B15</f>
        <v>Baby McCalman is less than 49cm at birth</v>
      </c>
      <c r="C15" s="29" t="str">
        <f>Input!C15</f>
        <v>Family</v>
      </c>
      <c r="D15" s="31">
        <v>0.7</v>
      </c>
    </row>
    <row r="16">
      <c r="A16" s="29">
        <f>Input!A16</f>
        <v>15</v>
      </c>
      <c r="B16" s="30" t="str">
        <f>Input!B16</f>
        <v>Jac and Lachy’s baby will say ‘ma’ or make a similar ‘m’ sound by 24 December 2023.</v>
      </c>
      <c r="C16" s="29" t="str">
        <f>Input!C16</f>
        <v>Family</v>
      </c>
      <c r="D16" s="31">
        <v>0.8</v>
      </c>
    </row>
    <row r="17">
      <c r="A17" s="29">
        <f>Input!A17</f>
        <v>16</v>
      </c>
      <c r="B17" s="30" t="str">
        <f>Input!B17</f>
        <v>Rohan will be at least 6'1"</v>
      </c>
      <c r="C17" s="29" t="str">
        <f>Input!C17</f>
        <v>Family</v>
      </c>
      <c r="D17" s="31">
        <v>0.7</v>
      </c>
    </row>
    <row r="18">
      <c r="A18" s="29">
        <f>Input!A18</f>
        <v>17</v>
      </c>
      <c r="B18" s="30" t="str">
        <f>Input!B18</f>
        <v>Andrew and Eileen will buy a house</v>
      </c>
      <c r="C18" s="29" t="str">
        <f>Input!C18</f>
        <v>Family</v>
      </c>
      <c r="D18" s="31">
        <v>0.5</v>
      </c>
    </row>
    <row r="19">
      <c r="A19" s="29">
        <f>Input!A19</f>
        <v>18</v>
      </c>
      <c r="B19" s="30" t="str">
        <f>Input!B19</f>
        <v>Lachy and Jac’s baby will be at least 68 cm by next Christmas.</v>
      </c>
      <c r="C19" s="29" t="str">
        <f>Input!C19</f>
        <v>Family</v>
      </c>
      <c r="D19" s="31">
        <v>0.8</v>
      </c>
    </row>
    <row r="20">
      <c r="A20" s="29">
        <f>Input!A20</f>
        <v>19</v>
      </c>
      <c r="B20" s="30" t="str">
        <f>Input!B20</f>
        <v>The annual inflation rate in Australia will be below 6% when the RBA releases its announcement of the October 2023 result</v>
      </c>
      <c r="C20" s="29" t="str">
        <f>Input!C20</f>
        <v>Finance</v>
      </c>
      <c r="D20" s="31">
        <v>0.5</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0.5</v>
      </c>
    </row>
    <row r="23">
      <c r="A23" s="29">
        <f>Input!A23</f>
        <v>22</v>
      </c>
      <c r="B23" s="30" t="str">
        <f>Input!B23</f>
        <v>The Australian unemployment rate will be more than 4% at time of judging</v>
      </c>
      <c r="C23" s="29" t="str">
        <f>Input!C23</f>
        <v>Finance</v>
      </c>
      <c r="D23" s="31">
        <v>0.3</v>
      </c>
    </row>
    <row r="24">
      <c r="A24" s="29">
        <f>Input!A24</f>
        <v>23</v>
      </c>
      <c r="B24" s="30" t="str">
        <f>Input!B24</f>
        <v>Binance will collapse slash go into bankruptcy</v>
      </c>
      <c r="C24" s="29" t="str">
        <f>Input!C24</f>
        <v>Finance</v>
      </c>
      <c r="D24" s="31">
        <v>0.5</v>
      </c>
    </row>
    <row r="25">
      <c r="A25" s="29">
        <f>Input!A25</f>
        <v>24</v>
      </c>
      <c r="B25" s="30" t="str">
        <f>Input!B25</f>
        <v>Telsa will remain solvent and operating </v>
      </c>
      <c r="C25" s="29" t="str">
        <f>Input!C25</f>
        <v>Finance</v>
      </c>
      <c r="D25" s="31">
        <v>0.9</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0.6</v>
      </c>
    </row>
    <row r="27">
      <c r="A27" s="29">
        <f>Input!A27</f>
        <v>26</v>
      </c>
      <c r="B27" s="30" t="str">
        <f>Input!B27</f>
        <v>The case against David McBride will be dropped</v>
      </c>
      <c r="C27" s="29" t="str">
        <f>Input!C27</f>
        <v>Law</v>
      </c>
      <c r="D27" s="31">
        <v>0.8</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0.5</v>
      </c>
    </row>
    <row r="29">
      <c r="A29" s="29">
        <f>Input!A29</f>
        <v>28</v>
      </c>
      <c r="B29" s="30" t="str">
        <f>Input!B29</f>
        <v>The New Zealand National party will form government after the next election.</v>
      </c>
      <c r="C29" s="29" t="str">
        <f>Input!C29</f>
        <v>Politics</v>
      </c>
      <c r="D29" s="31">
        <v>0.05</v>
      </c>
    </row>
    <row r="30">
      <c r="A30" s="29">
        <f>Input!A30</f>
        <v>29</v>
      </c>
      <c r="B30" s="30" t="str">
        <f>Input!B30</f>
        <v>The British Labour Party will be ahead in the polls in November 2023.</v>
      </c>
      <c r="C30" s="29" t="str">
        <f>Input!C30</f>
        <v>Politics</v>
      </c>
      <c r="D30" s="31">
        <v>0.7</v>
      </c>
    </row>
    <row r="31">
      <c r="A31" s="29">
        <f>Input!A31</f>
        <v>30</v>
      </c>
      <c r="B31" s="30" t="str">
        <f>Input!B31</f>
        <v>Liz Cheney will not nominate for the presidency in 2023.</v>
      </c>
      <c r="C31" s="29" t="str">
        <f>Input!C31</f>
        <v>Politics</v>
      </c>
      <c r="D31" s="31">
        <v>0.3</v>
      </c>
    </row>
    <row r="32">
      <c r="A32" s="29">
        <f>Input!A32</f>
        <v>31</v>
      </c>
      <c r="B32" s="30" t="str">
        <f>Input!B32</f>
        <v>China will eliminate at least one existing trade sanction against Australia</v>
      </c>
      <c r="C32" s="29" t="str">
        <f>Input!C32</f>
        <v>Politics</v>
      </c>
      <c r="D32" s="31">
        <v>0.6</v>
      </c>
    </row>
    <row r="33">
      <c r="A33" s="29">
        <f>Input!A33</f>
        <v>32</v>
      </c>
      <c r="B33" s="30" t="str">
        <f>Input!B33</f>
        <v>China will not be admitted to full membership of the Comprehensive and Progressive Agreement for Trans-Pacific Partnership</v>
      </c>
      <c r="C33" s="29" t="str">
        <f>Input!C33</f>
        <v>Politics</v>
      </c>
      <c r="D33" s="31">
        <v>0.4</v>
      </c>
    </row>
    <row r="34">
      <c r="A34" s="29">
        <f>Input!A34</f>
        <v>33</v>
      </c>
      <c r="B34" s="30" t="str">
        <f>Input!B34</f>
        <v>Henry Kissinger will die</v>
      </c>
      <c r="C34" s="29" t="str">
        <f>Input!C34</f>
        <v>Politics</v>
      </c>
      <c r="D34" s="31">
        <v>0.7</v>
      </c>
    </row>
    <row r="35">
      <c r="A35" s="29">
        <f>Input!A35</f>
        <v>34</v>
      </c>
      <c r="B35" s="32" t="str">
        <f>Input!B35</f>
        <v>The Australian government will announce that the referendum for the Indigenous Voice to Parliament will occur in 2024</v>
      </c>
      <c r="C35" s="29" t="str">
        <f>Input!C35</f>
        <v>Politics</v>
      </c>
      <c r="D35" s="31">
        <v>0.8</v>
      </c>
    </row>
    <row r="36">
      <c r="A36" s="29">
        <f>Input!A36</f>
        <v>35</v>
      </c>
      <c r="B36" s="32" t="str">
        <f>Input!B36</f>
        <v>Labor will win the NSW state election</v>
      </c>
      <c r="C36" s="29" t="str">
        <f>Input!C36</f>
        <v>Politics</v>
      </c>
      <c r="D36" s="31">
        <v>0.8</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0.7</v>
      </c>
    </row>
    <row r="38">
      <c r="A38" s="29">
        <f>Input!A38</f>
        <v>37</v>
      </c>
      <c r="B38" s="30" t="str">
        <f>Input!B38</f>
        <v>At least one senior public servant (Deputy Secretary or above) will face disciplinary action from the Robodebt royal commission</v>
      </c>
      <c r="C38" s="29" t="str">
        <f>Input!C38</f>
        <v>Politics</v>
      </c>
      <c r="D38" s="31">
        <v>0.8</v>
      </c>
    </row>
    <row r="39">
      <c r="A39" s="29">
        <f>Input!A39</f>
        <v>38</v>
      </c>
      <c r="B39" s="30" t="str">
        <f>Input!B39</f>
        <v>China invades Taiwan</v>
      </c>
      <c r="C39" s="29" t="str">
        <f>Input!C39</f>
        <v>Politics</v>
      </c>
      <c r="D39" s="31">
        <v>0.4</v>
      </c>
    </row>
    <row r="40">
      <c r="A40" s="29">
        <f>Input!A40</f>
        <v>39</v>
      </c>
      <c r="B40" s="30" t="str">
        <f>Input!B40</f>
        <v>The war in Ukraine will be declared over over by MSM</v>
      </c>
      <c r="C40" s="29" t="str">
        <f>Input!C40</f>
        <v>Politics</v>
      </c>
      <c r="D40" s="31">
        <v>0.5</v>
      </c>
    </row>
    <row r="41">
      <c r="A41" s="29">
        <f>Input!A41</f>
        <v>40</v>
      </c>
      <c r="B41" s="30" t="str">
        <f>Input!B41</f>
        <v>Chris Hipkins will be Prime Minister of NZ</v>
      </c>
      <c r="C41" s="29" t="str">
        <f>Input!C41</f>
        <v>Politics</v>
      </c>
      <c r="D41" s="31">
        <v>0.5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0.6</v>
      </c>
    </row>
    <row r="43">
      <c r="A43" s="29">
        <f>Input!A43</f>
        <v>42</v>
      </c>
      <c r="B43" s="30" t="str">
        <f>Input!B43</f>
        <v>Sunak will be British Prime Minister throughout 2023</v>
      </c>
      <c r="C43" s="29" t="str">
        <f>Input!C43</f>
        <v>Politics</v>
      </c>
      <c r="D43" s="31">
        <v>0.8</v>
      </c>
    </row>
    <row r="44">
      <c r="A44" s="29">
        <f>Input!A44</f>
        <v>43</v>
      </c>
      <c r="B44" s="30" t="str">
        <f>Input!B44</f>
        <v>Nikii Haley will drop out of the running for president</v>
      </c>
      <c r="C44" s="29" t="str">
        <f>Input!C44</f>
        <v>Politics</v>
      </c>
      <c r="D44" s="31">
        <v>0.5</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0.5</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0.4</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0.7</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0.7</v>
      </c>
    </row>
    <row r="50">
      <c r="A50" s="29">
        <f>Input!A50</f>
        <v>49</v>
      </c>
      <c r="B50" s="30" t="str">
        <f>Input!B50</f>
        <v>Rafa Nadal will announce his retirement from playing grand slam singles.</v>
      </c>
      <c r="C50" s="29" t="str">
        <f>Input!C50</f>
        <v>Sport</v>
      </c>
      <c r="D50" s="31">
        <v>0.8</v>
      </c>
    </row>
    <row r="51">
      <c r="A51" s="29">
        <f>Input!A51</f>
        <v>50</v>
      </c>
      <c r="B51" s="30" t="str">
        <f>Input!B51</f>
        <v>Australia will win the netball World Cup</v>
      </c>
      <c r="C51" s="29" t="str">
        <f>Input!C51</f>
        <v>Sport</v>
      </c>
      <c r="D51" s="31">
        <v>0.8</v>
      </c>
    </row>
    <row r="52">
      <c r="A52" s="29">
        <f>Input!A52</f>
        <v>51</v>
      </c>
      <c r="B52" s="30" t="str">
        <f>Input!B52</f>
        <v>Ireland will win the Rugby World Cup</v>
      </c>
      <c r="C52" s="29" t="str">
        <f>Input!C52</f>
        <v>Sport</v>
      </c>
      <c r="D52" s="31">
        <v>0.4</v>
      </c>
    </row>
    <row r="53">
      <c r="A53" s="29">
        <f>Input!A53</f>
        <v>52</v>
      </c>
      <c r="B53" s="30" t="str">
        <f>Input!B53</f>
        <v>Warner will have to be dropped as Test match opener sometime during 2023 if not before</v>
      </c>
      <c r="C53" s="29" t="str">
        <f>Input!C53</f>
        <v>Sport</v>
      </c>
      <c r="D53" s="31">
        <v>0.3</v>
      </c>
    </row>
    <row r="54">
      <c r="A54" s="29">
        <f>Input!A54</f>
        <v>53</v>
      </c>
      <c r="B54" s="30" t="str">
        <f>Input!B54</f>
        <v>Boland will oust Hazlewood in at least one test during 2023</v>
      </c>
      <c r="C54" s="29" t="str">
        <f>Input!C54</f>
        <v>Sport</v>
      </c>
      <c r="D54" s="31">
        <v>0.4</v>
      </c>
    </row>
    <row r="55">
      <c r="A55" s="29">
        <f>Input!A55</f>
        <v>54</v>
      </c>
      <c r="B55" s="30" t="str">
        <f>Input!B55</f>
        <v>Team Haas will be 7th or higher in the 2023 F1 constructor's championship</v>
      </c>
      <c r="C55" s="29" t="str">
        <f>Input!C55</f>
        <v>Sport</v>
      </c>
      <c r="D55" s="31">
        <v>0.4</v>
      </c>
    </row>
    <row r="56">
      <c r="A56" s="29">
        <f>Input!A56</f>
        <v>55</v>
      </c>
      <c r="B56" s="30" t="str">
        <f>Input!B56</f>
        <v>Daniel Ricardo signs as a driver with an F1 Team for 2024</v>
      </c>
      <c r="C56" s="29" t="str">
        <f>Input!C56</f>
        <v>Sport</v>
      </c>
      <c r="D56" s="31">
        <v>0.8</v>
      </c>
    </row>
    <row r="57">
      <c r="A57" s="29">
        <f>Input!A57</f>
        <v>56</v>
      </c>
      <c r="B57" s="30" t="str">
        <f>Input!B57</f>
        <v>At least 41% of NZ's energy comes from rewewable sources </v>
      </c>
      <c r="C57" s="29" t="str">
        <f>Input!C57</f>
        <v>Technology</v>
      </c>
      <c r="D57" s="31">
        <v>0.4</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0.3</v>
      </c>
    </row>
    <row r="59">
      <c r="A59" s="29">
        <f>Input!A59</f>
        <v>58</v>
      </c>
      <c r="B59" s="30" t="str">
        <f>Input!B59</f>
        <v>The first orbital launch attempt of SpaceX's starship will occur in 2023, with the vehicle being destroyed on re-entry</v>
      </c>
      <c r="C59" s="29" t="str">
        <f>Input!C59</f>
        <v>Technology</v>
      </c>
      <c r="D59" s="31">
        <v>0.7</v>
      </c>
    </row>
    <row r="60">
      <c r="A60" s="29">
        <f>Input!A60</f>
        <v>59</v>
      </c>
      <c r="B60" s="30" t="str">
        <f>Input!B60</f>
        <v>Elon Musk will commercially launch a virtual/altered reality software or piece of hardware.</v>
      </c>
      <c r="C60" s="29" t="str">
        <f>Input!C60</f>
        <v>Technology</v>
      </c>
      <c r="D60" s="31">
        <v>0.4</v>
      </c>
    </row>
    <row r="61">
      <c r="A61" s="29">
        <f>Input!A61</f>
        <v>60</v>
      </c>
      <c r="B61" s="30" t="str">
        <f>Input!B61</f>
        <v>A country enshrines some form of rights/personhood/protection of AI systems motivated by the welfare of the system itself</v>
      </c>
      <c r="C61" s="29" t="str">
        <f>Input!C61</f>
        <v>Technology</v>
      </c>
      <c r="D61" s="31">
        <v>0.5</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0.1</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0.2</v>
      </c>
    </row>
    <row r="5">
      <c r="A5" s="29">
        <f>Input!A5</f>
        <v>4</v>
      </c>
      <c r="B5" s="30" t="str">
        <f>Input!B5</f>
        <v>There will be a scandal involving the BTS 10 year anniversary as reported by Korean MSM</v>
      </c>
      <c r="C5" s="29" t="str">
        <f>Input!C5</f>
        <v>Entertainment</v>
      </c>
      <c r="D5" s="31">
        <v>0.5</v>
      </c>
    </row>
    <row r="6">
      <c r="A6" s="29">
        <f>Input!A6</f>
        <v>5</v>
      </c>
      <c r="B6" s="30" t="str">
        <f>Input!B6</f>
        <v>Twosetviolin (the Youtube channel) will make a video reporting fresh abuse from kpop fans (excluding Blackpink)</v>
      </c>
      <c r="C6" s="29" t="str">
        <f>Input!C6</f>
        <v>Entertainment</v>
      </c>
      <c r="D6" s="31">
        <v>0.9</v>
      </c>
    </row>
    <row r="7">
      <c r="A7" s="29">
        <f>Input!A7</f>
        <v>6</v>
      </c>
      <c r="B7" s="30" t="str">
        <f>Input!B7</f>
        <v>Lee Min-ho will be the most followed Korean actor on Instagram by the end of 2023 </v>
      </c>
      <c r="C7" s="29" t="str">
        <f>Input!C7</f>
        <v>Entertainment</v>
      </c>
      <c r="D7" s="31">
        <v>0.7</v>
      </c>
    </row>
    <row r="8">
      <c r="A8" s="29">
        <f>Input!A8</f>
        <v>7</v>
      </c>
      <c r="B8" s="30" t="str">
        <f>Input!B8</f>
        <v>LOONA will disband</v>
      </c>
      <c r="C8" s="29" t="str">
        <f>Input!C8</f>
        <v>Entertainment</v>
      </c>
      <c r="D8" s="31">
        <v>0.9</v>
      </c>
    </row>
    <row r="9">
      <c r="A9" s="29">
        <f>Input!A9</f>
        <v>8</v>
      </c>
      <c r="B9" s="30" t="str">
        <f>Input!B9</f>
        <v>A new Korean show will get more than 140 million household views on Netflix</v>
      </c>
      <c r="C9" s="29" t="str">
        <f>Input!C9</f>
        <v>Entertainment</v>
      </c>
      <c r="D9" s="31">
        <v>0.9</v>
      </c>
    </row>
    <row r="10">
      <c r="A10" s="29">
        <f>Input!A10</f>
        <v>9</v>
      </c>
      <c r="B10" s="30" t="str">
        <f>Input!B10</f>
        <v>Avatar The Way of Water will remain at 8.0 on IMDb by Christmas next year.</v>
      </c>
      <c r="C10" s="29" t="str">
        <f>Input!C10</f>
        <v>Entertainment</v>
      </c>
      <c r="D10" s="31">
        <v>0.7</v>
      </c>
    </row>
    <row r="11">
      <c r="A11" s="29">
        <f>Input!A11</f>
        <v>10</v>
      </c>
      <c r="B11" s="30" t="str">
        <f>Input!B11</f>
        <v>Kanye West will have 0 twitter suspensions or bans.</v>
      </c>
      <c r="C11" s="29" t="str">
        <f>Input!C11</f>
        <v>Entertainment</v>
      </c>
      <c r="D11" s="31">
        <v>0.8</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0.1</v>
      </c>
    </row>
    <row r="13">
      <c r="A13" s="29">
        <f>Input!A13</f>
        <v>12</v>
      </c>
      <c r="B13" s="30" t="str">
        <f>Input!B13</f>
        <v>Francis will be the Pope on Christmas eve</v>
      </c>
      <c r="C13" s="29" t="str">
        <f>Input!C13</f>
        <v>Entertainment</v>
      </c>
      <c r="D13" s="31">
        <v>0.5</v>
      </c>
    </row>
    <row r="14">
      <c r="A14" s="29">
        <f>Input!A14</f>
        <v>13</v>
      </c>
      <c r="B14" s="30" t="str">
        <f>Input!W1</f>
        <v/>
      </c>
      <c r="C14" s="29" t="str">
        <f>Input!C14</f>
        <v>Family</v>
      </c>
      <c r="D14" s="31">
        <v>0.5</v>
      </c>
    </row>
    <row r="15">
      <c r="A15" s="29">
        <f>Input!A15</f>
        <v>14</v>
      </c>
      <c r="B15" s="30" t="str">
        <f>Input!B15</f>
        <v>Baby McCalman is less than 49cm at birth</v>
      </c>
      <c r="C15" s="29" t="str">
        <f>Input!C15</f>
        <v>Family</v>
      </c>
      <c r="D15" s="31">
        <v>0.3</v>
      </c>
    </row>
    <row r="16">
      <c r="A16" s="29">
        <f>Input!A16</f>
        <v>15</v>
      </c>
      <c r="B16" s="30" t="str">
        <f>Input!B16</f>
        <v>Jac and Lachy’s baby will say ‘ma’ or make a similar ‘m’ sound by 24 December 2023.</v>
      </c>
      <c r="C16" s="29" t="str">
        <f>Input!C16</f>
        <v>Family</v>
      </c>
      <c r="D16" s="31">
        <v>0.8</v>
      </c>
    </row>
    <row r="17">
      <c r="A17" s="29">
        <f>Input!A17</f>
        <v>16</v>
      </c>
      <c r="B17" s="30" t="str">
        <f>Input!B17</f>
        <v>Rohan will be at least 6'1"</v>
      </c>
      <c r="C17" s="29" t="str">
        <f>Input!C17</f>
        <v>Family</v>
      </c>
      <c r="D17" s="31">
        <v>0.7</v>
      </c>
    </row>
    <row r="18">
      <c r="A18" s="29">
        <f>Input!A18</f>
        <v>17</v>
      </c>
      <c r="B18" s="30" t="str">
        <f>Input!B18</f>
        <v>Andrew and Eileen will buy a house</v>
      </c>
      <c r="C18" s="29" t="str">
        <f>Input!C18</f>
        <v>Family</v>
      </c>
      <c r="D18" s="31">
        <v>0.5</v>
      </c>
    </row>
    <row r="19">
      <c r="A19" s="29">
        <f>Input!A19</f>
        <v>18</v>
      </c>
      <c r="B19" s="30" t="str">
        <f>Input!B19</f>
        <v>Lachy and Jac’s baby will be at least 68 cm by next Christmas.</v>
      </c>
      <c r="C19" s="29" t="str">
        <f>Input!C19</f>
        <v>Family</v>
      </c>
      <c r="D19" s="31">
        <v>0.8</v>
      </c>
    </row>
    <row r="20">
      <c r="A20" s="29">
        <f>Input!A20</f>
        <v>19</v>
      </c>
      <c r="B20" s="30" t="str">
        <f>Input!B20</f>
        <v>The annual inflation rate in Australia will be below 6% when the RBA releases its announcement of the October 2023 result</v>
      </c>
      <c r="C20" s="29" t="str">
        <f>Input!C20</f>
        <v>Finance</v>
      </c>
      <c r="D20" s="31">
        <v>0.5</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0.5</v>
      </c>
    </row>
    <row r="23">
      <c r="A23" s="29">
        <f>Input!A23</f>
        <v>22</v>
      </c>
      <c r="B23" s="30" t="str">
        <f>Input!B23</f>
        <v>The Australian unemployment rate will be more than 4% at time of judging</v>
      </c>
      <c r="C23" s="29" t="str">
        <f>Input!C23</f>
        <v>Finance</v>
      </c>
      <c r="D23" s="31">
        <v>0.5</v>
      </c>
    </row>
    <row r="24">
      <c r="A24" s="29">
        <f>Input!A24</f>
        <v>23</v>
      </c>
      <c r="B24" s="30" t="str">
        <f>Input!B24</f>
        <v>Binance will collapse slash go into bankruptcy</v>
      </c>
      <c r="C24" s="29" t="str">
        <f>Input!C24</f>
        <v>Finance</v>
      </c>
      <c r="D24" s="31">
        <v>0.7</v>
      </c>
    </row>
    <row r="25">
      <c r="A25" s="29">
        <f>Input!A25</f>
        <v>24</v>
      </c>
      <c r="B25" s="30" t="str">
        <f>Input!B25</f>
        <v>Telsa will remain solvent and operating </v>
      </c>
      <c r="C25" s="29" t="str">
        <f>Input!C25</f>
        <v>Finance</v>
      </c>
      <c r="D25" s="31">
        <v>0.7</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0.7</v>
      </c>
    </row>
    <row r="27">
      <c r="A27" s="29">
        <f>Input!A27</f>
        <v>26</v>
      </c>
      <c r="B27" s="30" t="str">
        <f>Input!B27</f>
        <v>The case against David McBride will be dropped</v>
      </c>
      <c r="C27" s="29" t="str">
        <f>Input!C27</f>
        <v>Law</v>
      </c>
      <c r="D27" s="31">
        <v>0.5</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0.7</v>
      </c>
    </row>
    <row r="29">
      <c r="A29" s="29">
        <f>Input!A29</f>
        <v>28</v>
      </c>
      <c r="B29" s="30" t="str">
        <f>Input!B29</f>
        <v>The New Zealand National party will form government after the next election.</v>
      </c>
      <c r="C29" s="29" t="str">
        <f>Input!C29</f>
        <v>Politics</v>
      </c>
      <c r="D29" s="31">
        <v>0.5</v>
      </c>
    </row>
    <row r="30">
      <c r="A30" s="29">
        <f>Input!A30</f>
        <v>29</v>
      </c>
      <c r="B30" s="30" t="str">
        <f>Input!B30</f>
        <v>The British Labour Party will be ahead in the polls in November 2023.</v>
      </c>
      <c r="C30" s="29" t="str">
        <f>Input!C30</f>
        <v>Politics</v>
      </c>
      <c r="D30" s="31">
        <v>0.5</v>
      </c>
    </row>
    <row r="31">
      <c r="A31" s="29">
        <f>Input!A31</f>
        <v>30</v>
      </c>
      <c r="B31" s="30" t="str">
        <f>Input!B31</f>
        <v>Liz Cheney will not nominate for the presidency in 2023.</v>
      </c>
      <c r="C31" s="29" t="str">
        <f>Input!C31</f>
        <v>Politics</v>
      </c>
      <c r="D31" s="31">
        <v>0.5</v>
      </c>
    </row>
    <row r="32">
      <c r="A32" s="29">
        <f>Input!A32</f>
        <v>31</v>
      </c>
      <c r="B32" s="30" t="str">
        <f>Input!B32</f>
        <v>China will eliminate at least one existing trade sanction against Australia</v>
      </c>
      <c r="C32" s="29" t="str">
        <f>Input!C32</f>
        <v>Politics</v>
      </c>
      <c r="D32" s="31">
        <v>0.5</v>
      </c>
    </row>
    <row r="33">
      <c r="A33" s="29">
        <f>Input!A33</f>
        <v>32</v>
      </c>
      <c r="B33" s="30" t="str">
        <f>Input!B33</f>
        <v>China will not be admitted to full membership of the Comprehensive and Progressive Agreement for Trans-Pacific Partnership</v>
      </c>
      <c r="C33" s="29" t="str">
        <f>Input!C33</f>
        <v>Politics</v>
      </c>
      <c r="D33" s="31">
        <v>0.7</v>
      </c>
    </row>
    <row r="34">
      <c r="A34" s="29">
        <f>Input!A34</f>
        <v>33</v>
      </c>
      <c r="B34" s="30" t="str">
        <f>Input!B34</f>
        <v>Henry Kissinger will die</v>
      </c>
      <c r="C34" s="29" t="str">
        <f>Input!C34</f>
        <v>Politics</v>
      </c>
      <c r="D34" s="31">
        <v>0.7</v>
      </c>
    </row>
    <row r="35">
      <c r="A35" s="29">
        <f>Input!A35</f>
        <v>34</v>
      </c>
      <c r="B35" s="32" t="str">
        <f>Input!B35</f>
        <v>The Australian government will announce that the referendum for the Indigenous Voice to Parliament will occur in 2024</v>
      </c>
      <c r="C35" s="29" t="str">
        <f>Input!C35</f>
        <v>Politics</v>
      </c>
      <c r="D35" s="31">
        <v>0.7</v>
      </c>
    </row>
    <row r="36">
      <c r="A36" s="29">
        <f>Input!A36</f>
        <v>35</v>
      </c>
      <c r="B36" s="32" t="str">
        <f>Input!B36</f>
        <v>Labor will win the NSW state election</v>
      </c>
      <c r="C36" s="29" t="str">
        <f>Input!C36</f>
        <v>Politics</v>
      </c>
      <c r="D36" s="31">
        <v>0.7</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0.7</v>
      </c>
    </row>
    <row r="38">
      <c r="A38" s="29">
        <f>Input!A38</f>
        <v>37</v>
      </c>
      <c r="B38" s="30" t="str">
        <f>Input!B38</f>
        <v>At least one senior public servant (Deputy Secretary or above) will face disciplinary action from the Robodebt royal commission</v>
      </c>
      <c r="C38" s="29" t="str">
        <f>Input!C38</f>
        <v>Politics</v>
      </c>
      <c r="D38" s="31">
        <v>0.7</v>
      </c>
    </row>
    <row r="39">
      <c r="A39" s="29">
        <f>Input!A39</f>
        <v>38</v>
      </c>
      <c r="B39" s="30" t="str">
        <f>Input!B39</f>
        <v>China invades Taiwan</v>
      </c>
      <c r="C39" s="29" t="str">
        <f>Input!C39</f>
        <v>Politics</v>
      </c>
      <c r="D39" s="31">
        <v>0.2</v>
      </c>
    </row>
    <row r="40">
      <c r="A40" s="29">
        <f>Input!A40</f>
        <v>39</v>
      </c>
      <c r="B40" s="30" t="str">
        <f>Input!B40</f>
        <v>The war in Ukraine will be declared over over by MSM</v>
      </c>
      <c r="C40" s="29" t="str">
        <f>Input!C40</f>
        <v>Politics</v>
      </c>
      <c r="D40" s="31">
        <v>0.7</v>
      </c>
    </row>
    <row r="41">
      <c r="A41" s="29">
        <f>Input!A41</f>
        <v>40</v>
      </c>
      <c r="B41" s="30" t="str">
        <f>Input!B41</f>
        <v>Chris Hipkins will be Prime Minister of NZ</v>
      </c>
      <c r="C41" s="29" t="str">
        <f>Input!C41</f>
        <v>Politics</v>
      </c>
      <c r="D41" s="31">
        <v>0.5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0.1</v>
      </c>
    </row>
    <row r="43">
      <c r="A43" s="29">
        <f>Input!A43</f>
        <v>42</v>
      </c>
      <c r="B43" s="30" t="str">
        <f>Input!B43</f>
        <v>Sunak will be British Prime Minister throughout 2023</v>
      </c>
      <c r="C43" s="29" t="str">
        <f>Input!C43</f>
        <v>Politics</v>
      </c>
      <c r="D43" s="31">
        <v>0.5</v>
      </c>
    </row>
    <row r="44">
      <c r="A44" s="29">
        <f>Input!A44</f>
        <v>43</v>
      </c>
      <c r="B44" s="30" t="str">
        <f>Input!B44</f>
        <v>Nikii Haley will drop out of the running for president</v>
      </c>
      <c r="C44" s="29" t="str">
        <f>Input!C44</f>
        <v>Politics</v>
      </c>
      <c r="D44" s="31">
        <v>0.5</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0.7</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0.7</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0.8</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0.8</v>
      </c>
    </row>
    <row r="50">
      <c r="A50" s="29">
        <f>Input!A50</f>
        <v>49</v>
      </c>
      <c r="B50" s="30" t="str">
        <f>Input!B50</f>
        <v>Rafa Nadal will announce his retirement from playing grand slam singles.</v>
      </c>
      <c r="C50" s="29" t="str">
        <f>Input!C50</f>
        <v>Sport</v>
      </c>
      <c r="D50" s="31">
        <v>0.5</v>
      </c>
    </row>
    <row r="51">
      <c r="A51" s="29">
        <f>Input!A51</f>
        <v>50</v>
      </c>
      <c r="B51" s="30" t="str">
        <f>Input!B51</f>
        <v>Australia will win the netball World Cup</v>
      </c>
      <c r="C51" s="29" t="str">
        <f>Input!C51</f>
        <v>Sport</v>
      </c>
      <c r="D51" s="31">
        <v>0.5</v>
      </c>
    </row>
    <row r="52">
      <c r="A52" s="29">
        <f>Input!A52</f>
        <v>51</v>
      </c>
      <c r="B52" s="30" t="str">
        <f>Input!B52</f>
        <v>Ireland will win the Rugby World Cup</v>
      </c>
      <c r="C52" s="29" t="str">
        <f>Input!C52</f>
        <v>Sport</v>
      </c>
      <c r="D52" s="31">
        <v>0.5</v>
      </c>
    </row>
    <row r="53">
      <c r="A53" s="29">
        <f>Input!A53</f>
        <v>52</v>
      </c>
      <c r="B53" s="30" t="str">
        <f>Input!B53</f>
        <v>Warner will have to be dropped as Test match opener sometime during 2023 if not before</v>
      </c>
      <c r="C53" s="29" t="str">
        <f>Input!C53</f>
        <v>Sport</v>
      </c>
      <c r="D53" s="31">
        <v>0.5</v>
      </c>
    </row>
    <row r="54">
      <c r="A54" s="29">
        <f>Input!A54</f>
        <v>53</v>
      </c>
      <c r="B54" s="30" t="str">
        <f>Input!B54</f>
        <v>Boland will oust Hazlewood in at least one test during 2023</v>
      </c>
      <c r="C54" s="29" t="str">
        <f>Input!C54</f>
        <v>Sport</v>
      </c>
      <c r="D54" s="31">
        <v>0.5</v>
      </c>
    </row>
    <row r="55">
      <c r="A55" s="29">
        <f>Input!A55</f>
        <v>54</v>
      </c>
      <c r="B55" s="30" t="str">
        <f>Input!B55</f>
        <v>Team Haas will be 7th or higher in the 2023 F1 constructor's championship</v>
      </c>
      <c r="C55" s="29" t="str">
        <f>Input!C55</f>
        <v>Sport</v>
      </c>
      <c r="D55" s="31">
        <v>0.5</v>
      </c>
    </row>
    <row r="56">
      <c r="A56" s="29">
        <f>Input!A56</f>
        <v>55</v>
      </c>
      <c r="B56" s="30" t="str">
        <f>Input!B56</f>
        <v>Daniel Ricardo signs as a driver with an F1 Team for 2024</v>
      </c>
      <c r="C56" s="29" t="str">
        <f>Input!C56</f>
        <v>Sport</v>
      </c>
      <c r="D56" s="31">
        <v>0.5</v>
      </c>
    </row>
    <row r="57">
      <c r="A57" s="29">
        <f>Input!A57</f>
        <v>56</v>
      </c>
      <c r="B57" s="30" t="str">
        <f>Input!B57</f>
        <v>At least 41% of NZ's energy comes from rewewable sources </v>
      </c>
      <c r="C57" s="29" t="str">
        <f>Input!C57</f>
        <v>Technology</v>
      </c>
      <c r="D57" s="31">
        <v>0.6</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0.7</v>
      </c>
    </row>
    <row r="59">
      <c r="A59" s="29">
        <f>Input!A59</f>
        <v>58</v>
      </c>
      <c r="B59" s="30" t="str">
        <f>Input!B59</f>
        <v>The first orbital launch attempt of SpaceX's starship will occur in 2023, with the vehicle being destroyed on re-entry</v>
      </c>
      <c r="C59" s="29" t="str">
        <f>Input!C59</f>
        <v>Technology</v>
      </c>
      <c r="D59" s="31">
        <v>0.5</v>
      </c>
    </row>
    <row r="60">
      <c r="A60" s="29">
        <f>Input!A60</f>
        <v>59</v>
      </c>
      <c r="B60" s="30" t="str">
        <f>Input!B60</f>
        <v>Elon Musk will commercially launch a virtual/altered reality software or piece of hardware.</v>
      </c>
      <c r="C60" s="29" t="str">
        <f>Input!C60</f>
        <v>Technology</v>
      </c>
      <c r="D60" s="31">
        <v>0.6</v>
      </c>
    </row>
    <row r="61">
      <c r="A61" s="29">
        <f>Input!A61</f>
        <v>60</v>
      </c>
      <c r="B61" s="30" t="str">
        <f>Input!B61</f>
        <v>A country enshrines some form of rights/personhood/protection of AI systems motivated by the welfare of the system itself</v>
      </c>
      <c r="C61" s="29" t="str">
        <f>Input!C61</f>
        <v>Technology</v>
      </c>
      <c r="D61" s="31">
        <v>0.3</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c r="G1" s="7"/>
      <c r="H1" s="7"/>
    </row>
    <row r="2">
      <c r="A2" s="29">
        <f>Input!A2</f>
        <v>1</v>
      </c>
      <c r="B2" s="30" t="str">
        <f>Input!B2</f>
        <v>Cate Blanchett will win best actress in the Academy Awards.</v>
      </c>
      <c r="C2" s="29" t="str">
        <f>Input!C2</f>
        <v>Entertainment</v>
      </c>
      <c r="D2" s="33">
        <v>0.5</v>
      </c>
      <c r="G2" s="34"/>
      <c r="H2" s="34"/>
      <c r="I2" s="35"/>
    </row>
    <row r="3">
      <c r="A3" s="29">
        <f>Input!A3</f>
        <v>2</v>
      </c>
      <c r="B3" s="30" t="str">
        <f>Input!B3</f>
        <v>The farthest paper airplane flight will be broken (as reported by Guinness World Records)</v>
      </c>
      <c r="C3" s="29" t="str">
        <f>Input!C3</f>
        <v>Entertainment</v>
      </c>
      <c r="D3" s="33">
        <v>0.65</v>
      </c>
      <c r="G3" s="34"/>
      <c r="H3" s="34"/>
      <c r="I3" s="35"/>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0.52</v>
      </c>
      <c r="G4" s="34"/>
      <c r="H4" s="34"/>
      <c r="I4" s="35"/>
    </row>
    <row r="5">
      <c r="A5" s="29">
        <f>Input!A5</f>
        <v>4</v>
      </c>
      <c r="B5" s="30" t="str">
        <f>Input!B5</f>
        <v>There will be a scandal involving the BTS 10 year anniversary as reported by Korean MSM</v>
      </c>
      <c r="C5" s="29" t="str">
        <f>Input!C5</f>
        <v>Entertainment</v>
      </c>
      <c r="D5" s="33">
        <v>0.55</v>
      </c>
      <c r="G5" s="34"/>
      <c r="H5" s="34"/>
      <c r="I5" s="35"/>
    </row>
    <row r="6">
      <c r="A6" s="29">
        <f>Input!A6</f>
        <v>5</v>
      </c>
      <c r="B6" s="30" t="str">
        <f>Input!B6</f>
        <v>Twosetviolin (the Youtube channel) will make a video reporting fresh abuse from kpop fans (excluding Blackpink)</v>
      </c>
      <c r="C6" s="29" t="str">
        <f>Input!C6</f>
        <v>Entertainment</v>
      </c>
      <c r="D6" s="33">
        <v>0.5</v>
      </c>
      <c r="G6" s="34"/>
      <c r="H6" s="34"/>
      <c r="I6" s="35"/>
    </row>
    <row r="7">
      <c r="A7" s="29">
        <f>Input!A7</f>
        <v>6</v>
      </c>
      <c r="B7" s="30" t="str">
        <f>Input!B7</f>
        <v>Lee Min-ho will be the most followed Korean actor on Instagram by the end of 2023 </v>
      </c>
      <c r="C7" s="29" t="str">
        <f>Input!C7</f>
        <v>Entertainment</v>
      </c>
      <c r="D7" s="31">
        <v>0.52</v>
      </c>
      <c r="G7" s="34"/>
      <c r="H7" s="34"/>
      <c r="I7" s="35"/>
    </row>
    <row r="8">
      <c r="A8" s="29">
        <f>Input!A8</f>
        <v>7</v>
      </c>
      <c r="B8" s="30" t="str">
        <f>Input!B8</f>
        <v>LOONA will disband</v>
      </c>
      <c r="C8" s="29" t="str">
        <f>Input!C8</f>
        <v>Entertainment</v>
      </c>
      <c r="D8" s="33">
        <v>0.85</v>
      </c>
      <c r="G8" s="34"/>
      <c r="H8" s="34"/>
      <c r="I8" s="35"/>
    </row>
    <row r="9">
      <c r="A9" s="29">
        <f>Input!A9</f>
        <v>8</v>
      </c>
      <c r="B9" s="30" t="str">
        <f>Input!B9</f>
        <v>A new Korean show will get more than 140 million household views on Netflix</v>
      </c>
      <c r="C9" s="29" t="str">
        <f>Input!C9</f>
        <v>Entertainment</v>
      </c>
      <c r="D9" s="33">
        <v>0.1</v>
      </c>
      <c r="G9" s="34"/>
      <c r="H9" s="34"/>
      <c r="I9" s="35"/>
    </row>
    <row r="10">
      <c r="A10" s="29">
        <f>Input!A10</f>
        <v>9</v>
      </c>
      <c r="B10" s="30" t="str">
        <f>Input!B10</f>
        <v>Avatar The Way of Water will remain at 8.0 on IMDb by Christmas next year.</v>
      </c>
      <c r="C10" s="29" t="str">
        <f>Input!C10</f>
        <v>Entertainment</v>
      </c>
      <c r="D10" s="33">
        <v>0.1</v>
      </c>
      <c r="G10" s="34"/>
      <c r="H10" s="34"/>
      <c r="I10" s="35"/>
    </row>
    <row r="11">
      <c r="A11" s="29">
        <f>Input!A11</f>
        <v>10</v>
      </c>
      <c r="B11" s="30" t="str">
        <f>Input!B11</f>
        <v>Kanye West will have 0 twitter suspensions or bans.</v>
      </c>
      <c r="C11" s="29" t="str">
        <f>Input!C11</f>
        <v>Entertainment</v>
      </c>
      <c r="D11" s="31">
        <v>0.55</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3">
        <v>0.35</v>
      </c>
    </row>
    <row r="13">
      <c r="A13" s="29">
        <f>Input!A13</f>
        <v>12</v>
      </c>
      <c r="B13" s="30" t="str">
        <f>Input!B13</f>
        <v>Francis will be the Pope on Christmas eve</v>
      </c>
      <c r="C13" s="29" t="str">
        <f>Input!C13</f>
        <v>Entertainment</v>
      </c>
      <c r="D13" s="33">
        <v>0.4</v>
      </c>
    </row>
    <row r="14">
      <c r="A14" s="29">
        <f>Input!A14</f>
        <v>13</v>
      </c>
      <c r="B14" s="30" t="str">
        <f>Input!B14</f>
        <v>Rohan will not test positive for COVID in 2023</v>
      </c>
      <c r="C14" s="29" t="str">
        <f>Input!C14</f>
        <v>Family</v>
      </c>
      <c r="D14" s="33">
        <v>0.6</v>
      </c>
    </row>
    <row r="15">
      <c r="A15" s="29">
        <f>Input!A15</f>
        <v>14</v>
      </c>
      <c r="B15" s="30" t="str">
        <f>Input!B15</f>
        <v>Baby McCalman is less than 49cm at birth</v>
      </c>
      <c r="C15" s="29" t="str">
        <f>Input!C15</f>
        <v>Family</v>
      </c>
      <c r="D15" s="33">
        <v>0.5</v>
      </c>
    </row>
    <row r="16">
      <c r="A16" s="29">
        <f>Input!A16</f>
        <v>15</v>
      </c>
      <c r="B16" s="30" t="str">
        <f>Input!B16</f>
        <v>Jac and Lachy’s baby will say ‘ma’ or make a similar ‘m’ sound by 24 December 2023.</v>
      </c>
      <c r="C16" s="29" t="str">
        <f>Input!C16</f>
        <v>Family</v>
      </c>
      <c r="D16" s="33">
        <v>0.7</v>
      </c>
    </row>
    <row r="17">
      <c r="A17" s="29">
        <f>Input!A17</f>
        <v>16</v>
      </c>
      <c r="B17" s="30" t="str">
        <f>Input!B17</f>
        <v>Rohan will be at least 6'1"</v>
      </c>
      <c r="C17" s="29" t="str">
        <f>Input!C17</f>
        <v>Family</v>
      </c>
      <c r="D17" s="33">
        <v>0.35</v>
      </c>
    </row>
    <row r="18">
      <c r="A18" s="29">
        <f>Input!A18</f>
        <v>17</v>
      </c>
      <c r="B18" s="30" t="str">
        <f>Input!B18</f>
        <v>Andrew and Eileen will buy a house</v>
      </c>
      <c r="C18" s="29" t="str">
        <f>Input!C18</f>
        <v>Family</v>
      </c>
      <c r="D18" s="33">
        <v>0.7</v>
      </c>
    </row>
    <row r="19">
      <c r="A19" s="29">
        <f>Input!A19</f>
        <v>18</v>
      </c>
      <c r="B19" s="30" t="str">
        <f>Input!B19</f>
        <v>Lachy and Jac’s baby will be at least 68 cm by next Christmas.</v>
      </c>
      <c r="C19" s="29" t="str">
        <f>Input!C19</f>
        <v>Family</v>
      </c>
      <c r="D19" s="33">
        <v>0.85</v>
      </c>
    </row>
    <row r="20">
      <c r="A20" s="29">
        <f>Input!A20</f>
        <v>19</v>
      </c>
      <c r="B20" s="30" t="str">
        <f>Input!B20</f>
        <v>The annual inflation rate in Australia will be below 6% when the RBA releases its announcement of the October 2023 result</v>
      </c>
      <c r="C20" s="29" t="str">
        <f>Input!C20</f>
        <v>Finance</v>
      </c>
      <c r="D20" s="31">
        <v>0.9</v>
      </c>
    </row>
    <row r="21">
      <c r="A21" s="29">
        <f>Input!A21</f>
        <v>20</v>
      </c>
      <c r="B21" s="30" t="str">
        <f>Input!B21</f>
        <v>AUD falls below USD0.64</v>
      </c>
      <c r="C21" s="29" t="str">
        <f>Input!C21</f>
        <v>Finance</v>
      </c>
      <c r="D21" s="33">
        <v>0.35</v>
      </c>
    </row>
    <row r="22">
      <c r="A22" s="29">
        <f>Input!A22</f>
        <v>21</v>
      </c>
      <c r="B22" s="30" t="str">
        <f>Input!B22</f>
        <v>Pro-GOP investor makes a meaningful (&gt;US$100m) investment in Twitter</v>
      </c>
      <c r="C22" s="29" t="str">
        <f>Input!C22</f>
        <v>Finance</v>
      </c>
      <c r="D22" s="33">
        <v>0.15</v>
      </c>
    </row>
    <row r="23">
      <c r="A23" s="29">
        <f>Input!A23</f>
        <v>22</v>
      </c>
      <c r="B23" s="30" t="str">
        <f>Input!B23</f>
        <v>The Australian unemployment rate will be more than 4% at time of judging</v>
      </c>
      <c r="C23" s="29" t="str">
        <f>Input!C23</f>
        <v>Finance</v>
      </c>
      <c r="D23" s="33">
        <v>0.3</v>
      </c>
    </row>
    <row r="24">
      <c r="A24" s="29">
        <f>Input!A24</f>
        <v>23</v>
      </c>
      <c r="B24" s="30" t="str">
        <f>Input!B24</f>
        <v>Binance will collapse slash go into bankruptcy</v>
      </c>
      <c r="C24" s="29" t="str">
        <f>Input!C24</f>
        <v>Finance</v>
      </c>
      <c r="D24" s="33">
        <v>0.9</v>
      </c>
    </row>
    <row r="25">
      <c r="A25" s="29">
        <f>Input!A25</f>
        <v>24</v>
      </c>
      <c r="B25" s="30" t="str">
        <f>Input!B25</f>
        <v>Telsa will remain solvent and operating </v>
      </c>
      <c r="C25" s="29" t="str">
        <f>Input!C25</f>
        <v>Finance</v>
      </c>
      <c r="D25" s="33">
        <v>0.85</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0.9</v>
      </c>
    </row>
    <row r="27">
      <c r="A27" s="29">
        <f>Input!A27</f>
        <v>26</v>
      </c>
      <c r="B27" s="30" t="str">
        <f>Input!B27</f>
        <v>The case against David McBride will be dropped</v>
      </c>
      <c r="C27" s="29" t="str">
        <f>Input!C27</f>
        <v>Law</v>
      </c>
      <c r="D27" s="33">
        <v>0.1</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0.55</v>
      </c>
    </row>
    <row r="29">
      <c r="A29" s="29">
        <f>Input!A29</f>
        <v>28</v>
      </c>
      <c r="B29" s="30" t="str">
        <f>Input!B29</f>
        <v>The New Zealand National party will form government after the next election.</v>
      </c>
      <c r="C29" s="29" t="str">
        <f>Input!C29</f>
        <v>Politics</v>
      </c>
      <c r="D29" s="33">
        <v>0.2</v>
      </c>
    </row>
    <row r="30">
      <c r="A30" s="29">
        <f>Input!A30</f>
        <v>29</v>
      </c>
      <c r="B30" s="30" t="str">
        <f>Input!B30</f>
        <v>The British Labour Party will be ahead in the polls in November 2023.</v>
      </c>
      <c r="C30" s="29" t="str">
        <f>Input!C30</f>
        <v>Politics</v>
      </c>
      <c r="D30" s="33">
        <v>0.65</v>
      </c>
    </row>
    <row r="31">
      <c r="A31" s="29">
        <f>Input!A31</f>
        <v>30</v>
      </c>
      <c r="B31" s="30" t="str">
        <f>Input!B31</f>
        <v>Liz Cheney will not nominate for the presidency in 2023.</v>
      </c>
      <c r="C31" s="29" t="str">
        <f>Input!C31</f>
        <v>Politics</v>
      </c>
      <c r="D31" s="33">
        <v>0.65</v>
      </c>
    </row>
    <row r="32">
      <c r="A32" s="29">
        <f>Input!A32</f>
        <v>31</v>
      </c>
      <c r="B32" s="30" t="str">
        <f>Input!B32</f>
        <v>China will eliminate at least one existing trade sanction against Australia</v>
      </c>
      <c r="C32" s="29" t="str">
        <f>Input!C32</f>
        <v>Politics</v>
      </c>
      <c r="D32" s="33">
        <v>0.2</v>
      </c>
    </row>
    <row r="33">
      <c r="A33" s="29">
        <f>Input!A33</f>
        <v>32</v>
      </c>
      <c r="B33" s="30" t="str">
        <f>Input!B33</f>
        <v>China will not be admitted to full membership of the Comprehensive and Progressive Agreement for Trans-Pacific Partnership</v>
      </c>
      <c r="C33" s="29" t="str">
        <f>Input!C33</f>
        <v>Politics</v>
      </c>
      <c r="D33" s="33">
        <v>0.7</v>
      </c>
    </row>
    <row r="34">
      <c r="A34" s="29">
        <f>Input!A34</f>
        <v>33</v>
      </c>
      <c r="B34" s="30" t="str">
        <f>Input!B34</f>
        <v>Henry Kissinger will die</v>
      </c>
      <c r="C34" s="29" t="str">
        <f>Input!C34</f>
        <v>Politics</v>
      </c>
      <c r="D34" s="33">
        <v>0.5</v>
      </c>
    </row>
    <row r="35">
      <c r="A35" s="29">
        <f>Input!A35</f>
        <v>34</v>
      </c>
      <c r="B35" s="32" t="str">
        <f>Input!B35</f>
        <v>The Australian government will announce that the referendum for the Indigenous Voice to Parliament will occur in 2024</v>
      </c>
      <c r="C35" s="29" t="str">
        <f>Input!C35</f>
        <v>Politics</v>
      </c>
      <c r="D35" s="33">
        <v>0.15</v>
      </c>
    </row>
    <row r="36">
      <c r="A36" s="29">
        <f>Input!A36</f>
        <v>35</v>
      </c>
      <c r="B36" s="32" t="str">
        <f>Input!B36</f>
        <v>Labor will win the NSW state election</v>
      </c>
      <c r="C36" s="29" t="str">
        <f>Input!C36</f>
        <v>Politics</v>
      </c>
      <c r="D36" s="33">
        <v>0.5</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3">
        <v>0.5</v>
      </c>
    </row>
    <row r="38">
      <c r="A38" s="29">
        <f>Input!A38</f>
        <v>37</v>
      </c>
      <c r="B38" s="30" t="str">
        <f>Input!B38</f>
        <v>At least one senior public servant (Deputy Secretary or above) will face disciplinary action from the Robodebt royal commission</v>
      </c>
      <c r="C38" s="29" t="str">
        <f>Input!C38</f>
        <v>Politics</v>
      </c>
      <c r="D38" s="33">
        <v>0.35</v>
      </c>
    </row>
    <row r="39">
      <c r="A39" s="29">
        <f>Input!A39</f>
        <v>38</v>
      </c>
      <c r="B39" s="30" t="str">
        <f>Input!B39</f>
        <v>China invades Taiwan</v>
      </c>
      <c r="C39" s="29" t="str">
        <f>Input!C39</f>
        <v>Politics</v>
      </c>
      <c r="D39" s="31">
        <v>0.01</v>
      </c>
    </row>
    <row r="40">
      <c r="A40" s="29">
        <f>Input!A40</f>
        <v>39</v>
      </c>
      <c r="B40" s="30" t="str">
        <f>Input!B40</f>
        <v>The war in Ukraine will be declared over over by MSM</v>
      </c>
      <c r="C40" s="29" t="str">
        <f>Input!C40</f>
        <v>Politics</v>
      </c>
      <c r="D40" s="33">
        <v>0.35</v>
      </c>
    </row>
    <row r="41">
      <c r="A41" s="29">
        <f>Input!A41</f>
        <v>40</v>
      </c>
      <c r="B41" s="30" t="str">
        <f>Input!B41</f>
        <v>Chris Hipkins will be Prime Minister of NZ</v>
      </c>
      <c r="C41" s="29" t="str">
        <f>Input!C41</f>
        <v>Politics</v>
      </c>
      <c r="D41" s="33">
        <v>0.6</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3">
        <v>0.15</v>
      </c>
    </row>
    <row r="43">
      <c r="A43" s="29">
        <f>Input!A43</f>
        <v>42</v>
      </c>
      <c r="B43" s="30" t="str">
        <f>Input!B43</f>
        <v>Sunak will be British Prime Minister throughout 2023</v>
      </c>
      <c r="C43" s="29" t="str">
        <f>Input!C43</f>
        <v>Politics</v>
      </c>
      <c r="D43" s="33">
        <v>0.65</v>
      </c>
    </row>
    <row r="44">
      <c r="A44" s="29">
        <f>Input!A44</f>
        <v>43</v>
      </c>
      <c r="B44" s="30" t="str">
        <f>Input!B44</f>
        <v>Nikii Haley will drop out of the running for president</v>
      </c>
      <c r="C44" s="29" t="str">
        <f>Input!C44</f>
        <v>Politics</v>
      </c>
      <c r="D44" s="33">
        <v>0.35</v>
      </c>
    </row>
    <row r="45">
      <c r="A45" s="29">
        <f>Input!A45</f>
        <v>44</v>
      </c>
      <c r="B45" s="30" t="str">
        <f>Input!B45</f>
        <v>The Telstra  NATSIAA bark painting award will be won by an artist from the Buku-Larrnggay Mulka Centre</v>
      </c>
      <c r="C45" s="29" t="str">
        <f>Input!C45</f>
        <v>Society</v>
      </c>
      <c r="D45" s="33">
        <v>0.35</v>
      </c>
    </row>
    <row r="46">
      <c r="A46" s="29">
        <f>Input!A46</f>
        <v>45</v>
      </c>
      <c r="B46" s="30" t="str">
        <f>Input!B46</f>
        <v>Kanye West arrested or involved in police shooting</v>
      </c>
      <c r="C46" s="29" t="str">
        <f>Input!C46</f>
        <v>Society</v>
      </c>
      <c r="D46" s="33">
        <v>0.65</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3">
        <v>0.35</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3">
        <v>0.65</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3">
        <v>0.65</v>
      </c>
    </row>
    <row r="50">
      <c r="A50" s="29">
        <f>Input!A50</f>
        <v>49</v>
      </c>
      <c r="B50" s="30" t="str">
        <f>Input!B50</f>
        <v>Rafa Nadal will announce his retirement from playing grand slam singles.</v>
      </c>
      <c r="C50" s="29" t="str">
        <f>Input!C50</f>
        <v>Sport</v>
      </c>
      <c r="D50" s="33">
        <v>0.15</v>
      </c>
    </row>
    <row r="51">
      <c r="A51" s="29">
        <f>Input!A51</f>
        <v>50</v>
      </c>
      <c r="B51" s="30" t="str">
        <f>Input!B51</f>
        <v>Australia will win the netball World Cup</v>
      </c>
      <c r="C51" s="29" t="str">
        <f>Input!C51</f>
        <v>Sport</v>
      </c>
      <c r="D51" s="33">
        <v>0.65</v>
      </c>
    </row>
    <row r="52">
      <c r="A52" s="29">
        <f>Input!A52</f>
        <v>51</v>
      </c>
      <c r="B52" s="30" t="str">
        <f>Input!B52</f>
        <v>Ireland will win the Rugby World Cup</v>
      </c>
      <c r="C52" s="29" t="str">
        <f>Input!C52</f>
        <v>Sport</v>
      </c>
      <c r="D52" s="31">
        <v>0.1</v>
      </c>
    </row>
    <row r="53">
      <c r="A53" s="29">
        <f>Input!A53</f>
        <v>52</v>
      </c>
      <c r="B53" s="30" t="str">
        <f>Input!B53</f>
        <v>Warner will have to be dropped as Test match opener sometime during 2023 if not before</v>
      </c>
      <c r="C53" s="29" t="str">
        <f>Input!C53</f>
        <v>Sport</v>
      </c>
      <c r="D53" s="33">
        <v>0.65</v>
      </c>
    </row>
    <row r="54">
      <c r="A54" s="29">
        <f>Input!A54</f>
        <v>53</v>
      </c>
      <c r="B54" s="30" t="str">
        <f>Input!B54</f>
        <v>Boland will oust Hazlewood in at least one test during 2023</v>
      </c>
      <c r="C54" s="29" t="str">
        <f>Input!C54</f>
        <v>Sport</v>
      </c>
      <c r="D54" s="33">
        <v>0.5</v>
      </c>
    </row>
    <row r="55">
      <c r="A55" s="29">
        <f>Input!A55</f>
        <v>54</v>
      </c>
      <c r="B55" s="30" t="str">
        <f>Input!B55</f>
        <v>Team Haas will be 7th or higher in the 2023 F1 constructor's championship</v>
      </c>
      <c r="C55" s="29" t="str">
        <f>Input!C55</f>
        <v>Sport</v>
      </c>
      <c r="D55" s="33">
        <v>0.65</v>
      </c>
    </row>
    <row r="56">
      <c r="A56" s="29">
        <f>Input!A56</f>
        <v>55</v>
      </c>
      <c r="B56" s="30" t="str">
        <f>Input!B56</f>
        <v>Daniel Ricardo signs as a driver with an F1 Team for 2024</v>
      </c>
      <c r="C56" s="29" t="str">
        <f>Input!C56</f>
        <v>Sport</v>
      </c>
      <c r="D56" s="33">
        <v>0.65</v>
      </c>
    </row>
    <row r="57">
      <c r="A57" s="29">
        <f>Input!A57</f>
        <v>56</v>
      </c>
      <c r="B57" s="30" t="str">
        <f>Input!B57</f>
        <v>At least 41% of NZ's energy comes from rewewable sources </v>
      </c>
      <c r="C57" s="29" t="str">
        <f>Input!C57</f>
        <v>Technology</v>
      </c>
      <c r="D57" s="33">
        <v>0.85</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3">
        <v>0.65</v>
      </c>
    </row>
    <row r="59">
      <c r="A59" s="29">
        <f>Input!A59</f>
        <v>58</v>
      </c>
      <c r="B59" s="30" t="str">
        <f>Input!B59</f>
        <v>The first orbital launch attempt of SpaceX's starship will occur in 2023, with the vehicle being destroyed on re-entry</v>
      </c>
      <c r="C59" s="29" t="str">
        <f>Input!C59</f>
        <v>Technology</v>
      </c>
      <c r="D59" s="33">
        <v>0.65</v>
      </c>
    </row>
    <row r="60">
      <c r="A60" s="29">
        <f>Input!A60</f>
        <v>59</v>
      </c>
      <c r="B60" s="30" t="str">
        <f>Input!B60</f>
        <v>Elon Musk will commercially launch a virtual/altered reality software or piece of hardware.</v>
      </c>
      <c r="C60" s="29" t="str">
        <f>Input!C60</f>
        <v>Technology</v>
      </c>
      <c r="D60" s="33">
        <v>0.35</v>
      </c>
    </row>
    <row r="61">
      <c r="A61" s="29">
        <f>Input!A61</f>
        <v>60</v>
      </c>
      <c r="B61" s="30" t="str">
        <f>Input!B61</f>
        <v>A country enshrines some form of rights/personhood/protection of AI systems motivated by the welfare of the system itself</v>
      </c>
      <c r="C61" s="29" t="str">
        <f>Input!C61</f>
        <v>Technology</v>
      </c>
      <c r="D61" s="33">
        <v>0.15</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0.5</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0.35</v>
      </c>
    </row>
    <row r="5">
      <c r="A5" s="29">
        <f>Input!A5</f>
        <v>4</v>
      </c>
      <c r="B5" s="30" t="str">
        <f>Input!B5</f>
        <v>There will be a scandal involving the BTS 10 year anniversary as reported by Korean MSM</v>
      </c>
      <c r="C5" s="29" t="str">
        <f>Input!C5</f>
        <v>Entertainment</v>
      </c>
      <c r="D5" s="31">
        <v>0.1</v>
      </c>
    </row>
    <row r="6">
      <c r="A6" s="29">
        <f>Input!A6</f>
        <v>5</v>
      </c>
      <c r="B6" s="30" t="str">
        <f>Input!B6</f>
        <v>Twosetviolin (the Youtube channel) will make a video reporting fresh abuse from kpop fans (excluding Blackpink)</v>
      </c>
      <c r="C6" s="29" t="str">
        <f>Input!C6</f>
        <v>Entertainment</v>
      </c>
      <c r="D6" s="31">
        <v>0.4</v>
      </c>
    </row>
    <row r="7">
      <c r="A7" s="29">
        <f>Input!A7</f>
        <v>6</v>
      </c>
      <c r="B7" s="30" t="str">
        <f>Input!B7</f>
        <v>Lee Min-ho will be the most followed Korean actor on Instagram by the end of 2023 </v>
      </c>
      <c r="C7" s="29" t="str">
        <f>Input!C7</f>
        <v>Entertainment</v>
      </c>
      <c r="D7" s="31">
        <v>0.6</v>
      </c>
    </row>
    <row r="8">
      <c r="A8" s="29">
        <f>Input!A8</f>
        <v>7</v>
      </c>
      <c r="B8" s="30" t="str">
        <f>Input!B8</f>
        <v>LOONA will disband</v>
      </c>
      <c r="C8" s="29" t="str">
        <f>Input!C8</f>
        <v>Entertainment</v>
      </c>
      <c r="D8" s="31">
        <v>0.6</v>
      </c>
    </row>
    <row r="9">
      <c r="A9" s="29">
        <f>Input!A9</f>
        <v>8</v>
      </c>
      <c r="B9" s="30" t="str">
        <f>Input!B9</f>
        <v>A new Korean show will get more than 140 million household views on Netflix</v>
      </c>
      <c r="C9" s="29" t="str">
        <f>Input!C9</f>
        <v>Entertainment</v>
      </c>
      <c r="D9" s="31">
        <v>0.3</v>
      </c>
    </row>
    <row r="10">
      <c r="A10" s="29">
        <f>Input!A10</f>
        <v>9</v>
      </c>
      <c r="B10" s="30" t="str">
        <f>Input!B10</f>
        <v>Avatar The Way of Water will remain at 8.0 on IMDb by Christmas next year.</v>
      </c>
      <c r="C10" s="29" t="str">
        <f>Input!C10</f>
        <v>Entertainment</v>
      </c>
      <c r="D10" s="31">
        <v>0.01</v>
      </c>
    </row>
    <row r="11">
      <c r="A11" s="29">
        <f>Input!A11</f>
        <v>10</v>
      </c>
      <c r="B11" s="30" t="str">
        <f>Input!B11</f>
        <v>Kanye West will have 0 twitter suspensions or bans.</v>
      </c>
      <c r="C11" s="29" t="str">
        <f>Input!C11</f>
        <v>Entertainment</v>
      </c>
      <c r="D11" s="31">
        <v>0.5</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0.3</v>
      </c>
    </row>
    <row r="13">
      <c r="A13" s="29">
        <f>Input!A13</f>
        <v>12</v>
      </c>
      <c r="B13" s="30" t="str">
        <f>Input!B13</f>
        <v>Francis will be the Pope on Christmas eve</v>
      </c>
      <c r="C13" s="29" t="str">
        <f>Input!C13</f>
        <v>Entertainment</v>
      </c>
      <c r="D13" s="31">
        <v>0.7</v>
      </c>
    </row>
    <row r="14">
      <c r="A14" s="29">
        <f>Input!A14</f>
        <v>13</v>
      </c>
      <c r="B14" s="30" t="str">
        <f>Input!B14</f>
        <v>Rohan will not test positive for COVID in 2023</v>
      </c>
      <c r="C14" s="29" t="str">
        <f>Input!C14</f>
        <v>Family</v>
      </c>
      <c r="D14" s="31">
        <v>0.7</v>
      </c>
    </row>
    <row r="15">
      <c r="A15" s="29">
        <f>Input!A15</f>
        <v>14</v>
      </c>
      <c r="B15" s="30" t="str">
        <f>Input!B15</f>
        <v>Baby McCalman is less than 49cm at birth</v>
      </c>
      <c r="C15" s="29" t="str">
        <f>Input!C15</f>
        <v>Family</v>
      </c>
      <c r="D15" s="31">
        <v>0.7</v>
      </c>
    </row>
    <row r="16">
      <c r="A16" s="29">
        <f>Input!A16</f>
        <v>15</v>
      </c>
      <c r="B16" s="30" t="str">
        <f>Input!B16</f>
        <v>Jac and Lachy’s baby will say ‘ma’ or make a similar ‘m’ sound by 24 December 2023.</v>
      </c>
      <c r="C16" s="29" t="str">
        <f>Input!C16</f>
        <v>Family</v>
      </c>
      <c r="D16" s="31">
        <v>0.3</v>
      </c>
    </row>
    <row r="17">
      <c r="A17" s="29">
        <f>Input!A17</f>
        <v>16</v>
      </c>
      <c r="B17" s="30" t="str">
        <f>Input!B17</f>
        <v>Rohan will be at least 6'1"</v>
      </c>
      <c r="C17" s="29" t="str">
        <f>Input!C17</f>
        <v>Family</v>
      </c>
      <c r="D17" s="31">
        <v>0.5</v>
      </c>
    </row>
    <row r="18">
      <c r="A18" s="29">
        <f>Input!A18</f>
        <v>17</v>
      </c>
      <c r="B18" s="30" t="str">
        <f>Input!B18</f>
        <v>Andrew and Eileen will buy a house</v>
      </c>
      <c r="C18" s="29" t="str">
        <f>Input!C18</f>
        <v>Family</v>
      </c>
      <c r="D18" s="31">
        <v>0.5</v>
      </c>
    </row>
    <row r="19">
      <c r="A19" s="29">
        <f>Input!A19</f>
        <v>18</v>
      </c>
      <c r="B19" s="30" t="str">
        <f>Input!B19</f>
        <v>Lachy and Jac’s baby will be at least 68 cm by next Christmas.</v>
      </c>
      <c r="C19" s="29" t="str">
        <f>Input!C19</f>
        <v>Family</v>
      </c>
      <c r="D19" s="31">
        <v>0.5</v>
      </c>
    </row>
    <row r="20">
      <c r="A20" s="29">
        <f>Input!A20</f>
        <v>19</v>
      </c>
      <c r="B20" s="30" t="str">
        <f>Input!B20</f>
        <v>The annual inflation rate in Australia will be below 6% when the RBA releases its announcement of the October 2023 result</v>
      </c>
      <c r="C20" s="29" t="str">
        <f>Input!C20</f>
        <v>Finance</v>
      </c>
      <c r="D20" s="31">
        <v>0.5</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0.6</v>
      </c>
    </row>
    <row r="23">
      <c r="A23" s="29">
        <f>Input!A23</f>
        <v>22</v>
      </c>
      <c r="B23" s="30" t="str">
        <f>Input!B23</f>
        <v>The Australian unemployment rate will be more than 4% at time of judging</v>
      </c>
      <c r="C23" s="29" t="str">
        <f>Input!C23</f>
        <v>Finance</v>
      </c>
      <c r="D23" s="31">
        <v>0.6</v>
      </c>
    </row>
    <row r="24">
      <c r="A24" s="29">
        <f>Input!A24</f>
        <v>23</v>
      </c>
      <c r="B24" s="30" t="str">
        <f>Input!B24</f>
        <v>Binance will collapse slash go into bankruptcy</v>
      </c>
      <c r="C24" s="29" t="str">
        <f>Input!C24</f>
        <v>Finance</v>
      </c>
      <c r="D24" s="31">
        <v>0.7</v>
      </c>
    </row>
    <row r="25">
      <c r="A25" s="29">
        <f>Input!A25</f>
        <v>24</v>
      </c>
      <c r="B25" s="30" t="str">
        <f>Input!B25</f>
        <v>Telsa will remain solvent and operating </v>
      </c>
      <c r="C25" s="29" t="str">
        <f>Input!C25</f>
        <v>Finance</v>
      </c>
      <c r="D25" s="31">
        <v>0.9</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0.6</v>
      </c>
    </row>
    <row r="27">
      <c r="A27" s="29">
        <f>Input!A27</f>
        <v>26</v>
      </c>
      <c r="B27" s="30" t="str">
        <f>Input!B27</f>
        <v>The case against David McBride will be dropped</v>
      </c>
      <c r="C27" s="29" t="str">
        <f>Input!C27</f>
        <v>Law</v>
      </c>
      <c r="D27" s="31">
        <v>0.4</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0.6</v>
      </c>
    </row>
    <row r="29">
      <c r="A29" s="29">
        <f>Input!A29</f>
        <v>28</v>
      </c>
      <c r="B29" s="30" t="str">
        <f>Input!B29</f>
        <v>The New Zealand National party will form government after the next election.</v>
      </c>
      <c r="C29" s="29" t="str">
        <f>Input!C29</f>
        <v>Politics</v>
      </c>
      <c r="D29" s="31">
        <v>0.5</v>
      </c>
    </row>
    <row r="30">
      <c r="A30" s="29">
        <f>Input!A30</f>
        <v>29</v>
      </c>
      <c r="B30" s="30" t="str">
        <f>Input!B30</f>
        <v>The British Labour Party will be ahead in the polls in November 2023.</v>
      </c>
      <c r="C30" s="29" t="str">
        <f>Input!C30</f>
        <v>Politics</v>
      </c>
      <c r="D30" s="31">
        <v>0.5</v>
      </c>
    </row>
    <row r="31">
      <c r="A31" s="29">
        <f>Input!A31</f>
        <v>30</v>
      </c>
      <c r="B31" s="30" t="str">
        <f>Input!B31</f>
        <v>Liz Cheney will not nominate for the presidency in 2023.</v>
      </c>
      <c r="C31" s="29" t="str">
        <f>Input!C31</f>
        <v>Politics</v>
      </c>
      <c r="D31" s="31">
        <v>0.6</v>
      </c>
    </row>
    <row r="32">
      <c r="A32" s="29">
        <f>Input!A32</f>
        <v>31</v>
      </c>
      <c r="B32" s="30" t="str">
        <f>Input!B32</f>
        <v>China will eliminate at least one existing trade sanction against Australia</v>
      </c>
      <c r="C32" s="29" t="str">
        <f>Input!C32</f>
        <v>Politics</v>
      </c>
      <c r="D32" s="31">
        <v>0.5</v>
      </c>
    </row>
    <row r="33">
      <c r="A33" s="29">
        <f>Input!A33</f>
        <v>32</v>
      </c>
      <c r="B33" s="30" t="str">
        <f>Input!B33</f>
        <v>China will not be admitted to full membership of the Comprehensive and Progressive Agreement for Trans-Pacific Partnership</v>
      </c>
      <c r="C33" s="29" t="str">
        <f>Input!C33</f>
        <v>Politics</v>
      </c>
      <c r="D33" s="31">
        <v>0.7</v>
      </c>
    </row>
    <row r="34">
      <c r="A34" s="29">
        <f>Input!A34</f>
        <v>33</v>
      </c>
      <c r="B34" s="30" t="str">
        <f>Input!B34</f>
        <v>Henry Kissinger will die</v>
      </c>
      <c r="C34" s="29" t="str">
        <f>Input!C34</f>
        <v>Politics</v>
      </c>
      <c r="D34" s="31">
        <v>0.6</v>
      </c>
    </row>
    <row r="35">
      <c r="A35" s="29">
        <f>Input!A35</f>
        <v>34</v>
      </c>
      <c r="B35" s="32" t="str">
        <f>Input!B35</f>
        <v>The Australian government will announce that the referendum for the Indigenous Voice to Parliament will occur in 2024</v>
      </c>
      <c r="C35" s="29" t="str">
        <f>Input!C35</f>
        <v>Politics</v>
      </c>
      <c r="D35" s="31">
        <v>0.7</v>
      </c>
    </row>
    <row r="36">
      <c r="A36" s="29">
        <f>Input!A36</f>
        <v>35</v>
      </c>
      <c r="B36" s="32" t="str">
        <f>Input!B36</f>
        <v>Labor will win the NSW state election</v>
      </c>
      <c r="C36" s="29" t="str">
        <f>Input!C36</f>
        <v>Politics</v>
      </c>
      <c r="D36" s="31">
        <v>0.5</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0.8</v>
      </c>
    </row>
    <row r="38">
      <c r="A38" s="29">
        <f>Input!A38</f>
        <v>37</v>
      </c>
      <c r="B38" s="30" t="str">
        <f>Input!B38</f>
        <v>At least one senior public servant (Deputy Secretary or above) will face disciplinary action from the Robodebt royal commission</v>
      </c>
      <c r="C38" s="29" t="str">
        <f>Input!C38</f>
        <v>Politics</v>
      </c>
      <c r="D38" s="31">
        <v>0.6</v>
      </c>
    </row>
    <row r="39">
      <c r="A39" s="29">
        <f>Input!A39</f>
        <v>38</v>
      </c>
      <c r="B39" s="30" t="str">
        <f>Input!B39</f>
        <v>China invades Taiwan</v>
      </c>
      <c r="C39" s="29" t="str">
        <f>Input!C39</f>
        <v>Politics</v>
      </c>
      <c r="D39" s="31">
        <v>0.6</v>
      </c>
    </row>
    <row r="40">
      <c r="A40" s="29">
        <f>Input!A40</f>
        <v>39</v>
      </c>
      <c r="B40" s="30" t="str">
        <f>Input!B40</f>
        <v>The war in Ukraine will be declared over over by MSM</v>
      </c>
      <c r="C40" s="29" t="str">
        <f>Input!C40</f>
        <v>Politics</v>
      </c>
      <c r="D40" s="31">
        <v>0.3</v>
      </c>
    </row>
    <row r="41">
      <c r="A41" s="29">
        <f>Input!A41</f>
        <v>40</v>
      </c>
      <c r="B41" s="30" t="str">
        <f>Input!B41</f>
        <v>Chris Hipkins will be Prime Minister of NZ</v>
      </c>
      <c r="C41" s="29" t="str">
        <f>Input!C41</f>
        <v>Politics</v>
      </c>
      <c r="D41" s="31">
        <v>0.5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0.5</v>
      </c>
    </row>
    <row r="43">
      <c r="A43" s="29">
        <f>Input!A43</f>
        <v>42</v>
      </c>
      <c r="B43" s="30" t="str">
        <f>Input!B43</f>
        <v>Sunak will be British Prime Minister throughout 2023</v>
      </c>
      <c r="C43" s="29" t="str">
        <f>Input!C43</f>
        <v>Politics</v>
      </c>
      <c r="D43" s="31">
        <v>0.7</v>
      </c>
    </row>
    <row r="44">
      <c r="A44" s="29">
        <f>Input!A44</f>
        <v>43</v>
      </c>
      <c r="B44" s="30" t="str">
        <f>Input!B44</f>
        <v>Nikii Haley will drop out of the running for president</v>
      </c>
      <c r="C44" s="29" t="str">
        <f>Input!C44</f>
        <v>Politics</v>
      </c>
      <c r="D44" s="31">
        <v>0.5</v>
      </c>
    </row>
    <row r="45">
      <c r="A45" s="29">
        <f>Input!A45</f>
        <v>44</v>
      </c>
      <c r="B45" s="30" t="str">
        <f>Input!B45</f>
        <v>The Telstra  NATSIAA bark painting award will be won by an artist from the Buku-Larrnggay Mulka Centre</v>
      </c>
      <c r="C45" s="29" t="str">
        <f>Input!C45</f>
        <v>Society</v>
      </c>
      <c r="D45" s="31">
        <v>0.5</v>
      </c>
    </row>
    <row r="46">
      <c r="A46" s="29">
        <f>Input!A46</f>
        <v>45</v>
      </c>
      <c r="B46" s="30" t="str">
        <f>Input!B46</f>
        <v>Kanye West arrested or involved in police shooting</v>
      </c>
      <c r="C46" s="29" t="str">
        <f>Input!C46</f>
        <v>Society</v>
      </c>
      <c r="D46" s="31">
        <v>0.6</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0.6</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0.6</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0.6</v>
      </c>
    </row>
    <row r="50">
      <c r="A50" s="29">
        <f>Input!A50</f>
        <v>49</v>
      </c>
      <c r="B50" s="30" t="str">
        <f>Input!B50</f>
        <v>Rafa Nadal will announce his retirement from playing grand slam singles.</v>
      </c>
      <c r="C50" s="29" t="str">
        <f>Input!C50</f>
        <v>Sport</v>
      </c>
      <c r="D50" s="31">
        <v>0.6</v>
      </c>
    </row>
    <row r="51">
      <c r="A51" s="29">
        <f>Input!A51</f>
        <v>50</v>
      </c>
      <c r="B51" s="30" t="str">
        <f>Input!B51</f>
        <v>Australia will win the netball World Cup</v>
      </c>
      <c r="C51" s="29" t="str">
        <f>Input!C51</f>
        <v>Sport</v>
      </c>
      <c r="D51" s="31">
        <v>0.5</v>
      </c>
    </row>
    <row r="52">
      <c r="A52" s="29">
        <f>Input!A52</f>
        <v>51</v>
      </c>
      <c r="B52" s="30" t="str">
        <f>Input!B52</f>
        <v>Ireland will win the Rugby World Cup</v>
      </c>
      <c r="C52" s="29" t="str">
        <f>Input!C52</f>
        <v>Sport</v>
      </c>
      <c r="D52" s="31">
        <v>0.1</v>
      </c>
    </row>
    <row r="53">
      <c r="A53" s="29">
        <f>Input!A53</f>
        <v>52</v>
      </c>
      <c r="B53" s="30" t="str">
        <f>Input!B53</f>
        <v>Warner will have to be dropped as Test match opener sometime during 2023 if not before</v>
      </c>
      <c r="C53" s="29" t="str">
        <f>Input!C53</f>
        <v>Sport</v>
      </c>
      <c r="D53" s="31">
        <v>0.5</v>
      </c>
    </row>
    <row r="54">
      <c r="A54" s="29">
        <f>Input!A54</f>
        <v>53</v>
      </c>
      <c r="B54" s="30" t="str">
        <f>Input!B54</f>
        <v>Boland will oust Hazlewood in at least one test during 2023</v>
      </c>
      <c r="C54" s="29" t="str">
        <f>Input!C54</f>
        <v>Sport</v>
      </c>
      <c r="D54" s="31">
        <v>0.5</v>
      </c>
    </row>
    <row r="55">
      <c r="A55" s="29">
        <f>Input!A55</f>
        <v>54</v>
      </c>
      <c r="B55" s="30" t="str">
        <f>Input!B55</f>
        <v>Team Haas will be 7th or higher in the 2023 F1 constructor's championship</v>
      </c>
      <c r="C55" s="29" t="str">
        <f>Input!C55</f>
        <v>Sport</v>
      </c>
      <c r="D55" s="31">
        <v>0.5</v>
      </c>
    </row>
    <row r="56">
      <c r="A56" s="29">
        <f>Input!A56</f>
        <v>55</v>
      </c>
      <c r="B56" s="30" t="str">
        <f>Input!B56</f>
        <v>Daniel Ricardo signs as a driver with an F1 Team for 2024</v>
      </c>
      <c r="C56" s="29" t="str">
        <f>Input!C56</f>
        <v>Sport</v>
      </c>
      <c r="D56" s="31">
        <v>0.4</v>
      </c>
    </row>
    <row r="57">
      <c r="A57" s="29">
        <f>Input!A57</f>
        <v>56</v>
      </c>
      <c r="B57" s="30" t="str">
        <f>Input!B57</f>
        <v>At least 41% of NZ's energy comes from rewewable sources </v>
      </c>
      <c r="C57" s="29" t="str">
        <f>Input!C57</f>
        <v>Technology</v>
      </c>
      <c r="D57" s="31">
        <v>0.6</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0.6</v>
      </c>
    </row>
    <row r="59">
      <c r="A59" s="29">
        <f>Input!A59</f>
        <v>58</v>
      </c>
      <c r="B59" s="30" t="str">
        <f>Input!B59</f>
        <v>The first orbital launch attempt of SpaceX's starship will occur in 2023, with the vehicle being destroyed on re-entry</v>
      </c>
      <c r="C59" s="29" t="str">
        <f>Input!C59</f>
        <v>Technology</v>
      </c>
      <c r="D59" s="31">
        <v>0.5</v>
      </c>
    </row>
    <row r="60">
      <c r="A60" s="29">
        <f>Input!A60</f>
        <v>59</v>
      </c>
      <c r="B60" s="30" t="str">
        <f>Input!B60</f>
        <v>Elon Musk will commercially launch a virtual/altered reality software or piece of hardware.</v>
      </c>
      <c r="C60" s="29" t="str">
        <f>Input!C60</f>
        <v>Technology</v>
      </c>
      <c r="D60" s="31">
        <v>0.3</v>
      </c>
    </row>
    <row r="61">
      <c r="A61" s="29">
        <f>Input!A61</f>
        <v>60</v>
      </c>
      <c r="B61" s="30" t="str">
        <f>Input!B61</f>
        <v>A country enshrines some form of rights/personhood/protection of AI systems motivated by the welfare of the system itself</v>
      </c>
      <c r="C61" s="29" t="str">
        <f>Input!C61</f>
        <v>Technology</v>
      </c>
      <c r="D61" s="31">
        <v>0.1</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0.5</v>
      </c>
    </row>
    <row r="3">
      <c r="A3" s="29">
        <f>Input!A3</f>
        <v>2</v>
      </c>
      <c r="B3" s="30" t="str">
        <f>Input!B3</f>
        <v>The farthest paper airplane flight will be broken (as reported by Guinness World Records)</v>
      </c>
      <c r="C3" s="29" t="str">
        <f>Input!C3</f>
        <v>Entertainment</v>
      </c>
      <c r="D3" s="31">
        <v>0.5</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0.7</v>
      </c>
    </row>
    <row r="5">
      <c r="A5" s="29">
        <f>Input!A5</f>
        <v>4</v>
      </c>
      <c r="B5" s="30" t="str">
        <f>Input!B5</f>
        <v>There will be a scandal involving the BTS 10 year anniversary as reported by Korean MSM</v>
      </c>
      <c r="C5" s="29" t="str">
        <f>Input!C5</f>
        <v>Entertainment</v>
      </c>
      <c r="D5" s="31">
        <v>0.6</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0.5</v>
      </c>
    </row>
    <row r="8">
      <c r="A8" s="29">
        <f>Input!A8</f>
        <v>7</v>
      </c>
      <c r="B8" s="30" t="str">
        <f>Input!B8</f>
        <v>LOONA will disband</v>
      </c>
      <c r="C8" s="29" t="str">
        <f>Input!C8</f>
        <v>Entertainment</v>
      </c>
      <c r="D8" s="31">
        <v>0.5</v>
      </c>
    </row>
    <row r="9">
      <c r="A9" s="29">
        <f>Input!A9</f>
        <v>8</v>
      </c>
      <c r="B9" s="30" t="str">
        <f>Input!B9</f>
        <v>A new Korean show will get more than 140 million household views on Netflix</v>
      </c>
      <c r="C9" s="29" t="str">
        <f>Input!C9</f>
        <v>Entertainment</v>
      </c>
      <c r="D9" s="31">
        <v>0.7</v>
      </c>
    </row>
    <row r="10">
      <c r="A10" s="29">
        <f>Input!A10</f>
        <v>9</v>
      </c>
      <c r="B10" s="30" t="str">
        <f>Input!B10</f>
        <v>Avatar The Way of Water will remain at 8.0 on IMDb by Christmas next year.</v>
      </c>
      <c r="C10" s="29" t="str">
        <f>Input!C10</f>
        <v>Entertainment</v>
      </c>
      <c r="D10" s="31">
        <v>0.4</v>
      </c>
    </row>
    <row r="11">
      <c r="A11" s="29">
        <f>Input!A11</f>
        <v>10</v>
      </c>
      <c r="B11" s="30" t="str">
        <f>Input!B11</f>
        <v>Kanye West will have 0 twitter suspensions or bans.</v>
      </c>
      <c r="C11" s="29" t="str">
        <f>Input!C11</f>
        <v>Entertainment</v>
      </c>
      <c r="D11" s="31">
        <v>0.5</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0.1</v>
      </c>
    </row>
    <row r="13">
      <c r="A13" s="29">
        <f>Input!A13</f>
        <v>12</v>
      </c>
      <c r="B13" s="30" t="str">
        <f>Input!B13</f>
        <v>Francis will be the Pope on Christmas eve</v>
      </c>
      <c r="C13" s="29" t="str">
        <f>Input!C13</f>
        <v>Entertainment</v>
      </c>
      <c r="D13" s="31">
        <v>0.8</v>
      </c>
    </row>
    <row r="14">
      <c r="A14" s="29">
        <f>Input!A14</f>
        <v>13</v>
      </c>
      <c r="B14" s="30" t="str">
        <f>Input!B14</f>
        <v>Rohan will not test positive for COVID in 2023</v>
      </c>
      <c r="C14" s="29" t="str">
        <f>Input!C14</f>
        <v>Family</v>
      </c>
      <c r="D14" s="31">
        <v>0.6</v>
      </c>
    </row>
    <row r="15">
      <c r="A15" s="29">
        <f>Input!A15</f>
        <v>14</v>
      </c>
      <c r="B15" s="30" t="str">
        <f>Input!B15</f>
        <v>Baby McCalman is less than 49cm at birth</v>
      </c>
      <c r="C15" s="29" t="str">
        <f>Input!C15</f>
        <v>Family</v>
      </c>
      <c r="D15" s="31">
        <v>0.5</v>
      </c>
    </row>
    <row r="16">
      <c r="A16" s="29">
        <f>Input!A16</f>
        <v>15</v>
      </c>
      <c r="B16" s="30" t="str">
        <f>Input!B16</f>
        <v>Jac and Lachy’s baby will say ‘ma’ or make a similar ‘m’ sound by 24 December 2023.</v>
      </c>
      <c r="C16" s="29" t="str">
        <f>Input!C16</f>
        <v>Family</v>
      </c>
      <c r="D16" s="31">
        <v>0.7</v>
      </c>
    </row>
    <row r="17">
      <c r="A17" s="29">
        <f>Input!A17</f>
        <v>16</v>
      </c>
      <c r="B17" s="30" t="str">
        <f>Input!B17</f>
        <v>Rohan will be at least 6'1"</v>
      </c>
      <c r="C17" s="29" t="str">
        <f>Input!C17</f>
        <v>Family</v>
      </c>
      <c r="D17" s="31">
        <v>0.3</v>
      </c>
    </row>
    <row r="18">
      <c r="A18" s="29">
        <f>Input!A18</f>
        <v>17</v>
      </c>
      <c r="B18" s="30" t="str">
        <f>Input!B18</f>
        <v>Andrew and Eileen will buy a house</v>
      </c>
      <c r="C18" s="29" t="str">
        <f>Input!C18</f>
        <v>Family</v>
      </c>
      <c r="D18" s="31">
        <v>0.9</v>
      </c>
    </row>
    <row r="19">
      <c r="A19" s="29">
        <f>Input!A19</f>
        <v>18</v>
      </c>
      <c r="B19" s="30" t="str">
        <f>Input!B19</f>
        <v>Lachy and Jac’s baby will be at least 68 cm by next Christmas.</v>
      </c>
      <c r="C19" s="29" t="str">
        <f>Input!C19</f>
        <v>Family</v>
      </c>
      <c r="D19" s="31">
        <v>0.5</v>
      </c>
    </row>
    <row r="20">
      <c r="A20" s="29">
        <f>Input!A20</f>
        <v>19</v>
      </c>
      <c r="B20" s="30" t="str">
        <f>Input!B20</f>
        <v>The annual inflation rate in Australia will be below 6% when the RBA releases its announcement of the October 2023 result</v>
      </c>
      <c r="C20" s="29" t="str">
        <f>Input!C20</f>
        <v>Finance</v>
      </c>
      <c r="D20" s="31">
        <v>0.7</v>
      </c>
    </row>
    <row r="21">
      <c r="A21" s="29">
        <f>Input!A21</f>
        <v>20</v>
      </c>
      <c r="B21" s="30" t="str">
        <f>Input!B21</f>
        <v>AUD falls below USD0.64</v>
      </c>
      <c r="C21" s="29" t="str">
        <f>Input!C21</f>
        <v>Finance</v>
      </c>
      <c r="D21" s="31">
        <v>0.5</v>
      </c>
    </row>
    <row r="22">
      <c r="A22" s="29">
        <f>Input!A22</f>
        <v>21</v>
      </c>
      <c r="B22" s="30" t="str">
        <f>Input!B22</f>
        <v>Pro-GOP investor makes a meaningful (&gt;US$100m) investment in Twitter</v>
      </c>
      <c r="C22" s="29" t="str">
        <f>Input!C22</f>
        <v>Finance</v>
      </c>
      <c r="D22" s="31">
        <v>0.3</v>
      </c>
    </row>
    <row r="23">
      <c r="A23" s="29">
        <f>Input!A23</f>
        <v>22</v>
      </c>
      <c r="B23" s="30" t="str">
        <f>Input!B23</f>
        <v>The Australian unemployment rate will be more than 4% at time of judging</v>
      </c>
      <c r="C23" s="29" t="str">
        <f>Input!C23</f>
        <v>Finance</v>
      </c>
      <c r="D23" s="31">
        <v>0.2</v>
      </c>
    </row>
    <row r="24">
      <c r="A24" s="29">
        <f>Input!A24</f>
        <v>23</v>
      </c>
      <c r="B24" s="30" t="str">
        <f>Input!B24</f>
        <v>Binance will collapse slash go into bankruptcy</v>
      </c>
      <c r="C24" s="29" t="str">
        <f>Input!C24</f>
        <v>Finance</v>
      </c>
      <c r="D24" s="31">
        <v>0.4</v>
      </c>
    </row>
    <row r="25">
      <c r="A25" s="29">
        <f>Input!A25</f>
        <v>24</v>
      </c>
      <c r="B25" s="30" t="str">
        <f>Input!B25</f>
        <v>Telsa will remain solvent and operating </v>
      </c>
      <c r="C25" s="29" t="str">
        <f>Input!C25</f>
        <v>Finance</v>
      </c>
      <c r="D25" s="31">
        <v>0.7</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0.5</v>
      </c>
    </row>
    <row r="27">
      <c r="A27" s="29">
        <f>Input!A27</f>
        <v>26</v>
      </c>
      <c r="B27" s="30" t="str">
        <f>Input!B27</f>
        <v>The case against David McBride will be dropped</v>
      </c>
      <c r="C27" s="29" t="str">
        <f>Input!C27</f>
        <v>Law</v>
      </c>
      <c r="D27" s="31">
        <v>0.2</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0.6</v>
      </c>
    </row>
    <row r="29">
      <c r="A29" s="29">
        <f>Input!A29</f>
        <v>28</v>
      </c>
      <c r="B29" s="30" t="str">
        <f>Input!B29</f>
        <v>The New Zealand National party will form government after the next election.</v>
      </c>
      <c r="C29" s="29" t="str">
        <f>Input!C29</f>
        <v>Politics</v>
      </c>
      <c r="D29" s="31">
        <v>0.7</v>
      </c>
    </row>
    <row r="30">
      <c r="A30" s="29">
        <f>Input!A30</f>
        <v>29</v>
      </c>
      <c r="B30" s="30" t="str">
        <f>Input!B30</f>
        <v>The British Labour Party will be ahead in the polls in November 2023.</v>
      </c>
      <c r="C30" s="29" t="str">
        <f>Input!C30</f>
        <v>Politics</v>
      </c>
      <c r="D30" s="31">
        <v>0.3</v>
      </c>
    </row>
    <row r="31">
      <c r="A31" s="29">
        <f>Input!A31</f>
        <v>30</v>
      </c>
      <c r="B31" s="30" t="str">
        <f>Input!B31</f>
        <v>Liz Cheney will not nominate for the presidency in 2023.</v>
      </c>
      <c r="C31" s="29" t="str">
        <f>Input!C31</f>
        <v>Politics</v>
      </c>
      <c r="D31" s="31">
        <v>0.8</v>
      </c>
    </row>
    <row r="32">
      <c r="A32" s="29">
        <f>Input!A32</f>
        <v>31</v>
      </c>
      <c r="B32" s="30" t="str">
        <f>Input!B32</f>
        <v>China will eliminate at least one existing trade sanction against Australia</v>
      </c>
      <c r="C32" s="29" t="str">
        <f>Input!C32</f>
        <v>Politics</v>
      </c>
      <c r="D32" s="31">
        <v>0.4</v>
      </c>
    </row>
    <row r="33">
      <c r="A33" s="29">
        <f>Input!A33</f>
        <v>32</v>
      </c>
      <c r="B33" s="30" t="str">
        <f>Input!B33</f>
        <v>China will not be admitted to full membership of the Comprehensive and Progressive Agreement for Trans-Pacific Partnership</v>
      </c>
      <c r="C33" s="29" t="str">
        <f>Input!C33</f>
        <v>Politics</v>
      </c>
      <c r="D33" s="31">
        <v>0.8</v>
      </c>
    </row>
    <row r="34">
      <c r="A34" s="29">
        <f>Input!A34</f>
        <v>33</v>
      </c>
      <c r="B34" s="30" t="str">
        <f>Input!B34</f>
        <v>Henry Kissinger will die</v>
      </c>
      <c r="C34" s="29" t="str">
        <f>Input!C34</f>
        <v>Politics</v>
      </c>
      <c r="D34" s="31">
        <v>0.5</v>
      </c>
    </row>
    <row r="35">
      <c r="A35" s="29">
        <f>Input!A35</f>
        <v>34</v>
      </c>
      <c r="B35" s="32" t="str">
        <f>Input!B35</f>
        <v>The Australian government will announce that the referendum for the Indigenous Voice to Parliament will occur in 2024</v>
      </c>
      <c r="C35" s="29" t="str">
        <f>Input!C35</f>
        <v>Politics</v>
      </c>
      <c r="D35" s="31">
        <v>0.7</v>
      </c>
    </row>
    <row r="36">
      <c r="A36" s="29">
        <f>Input!A36</f>
        <v>35</v>
      </c>
      <c r="B36" s="32" t="str">
        <f>Input!B36</f>
        <v>Labor will win the NSW state election</v>
      </c>
      <c r="C36" s="29" t="str">
        <f>Input!C36</f>
        <v>Politics</v>
      </c>
      <c r="D36" s="31">
        <v>0.7</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0.9</v>
      </c>
    </row>
    <row r="38">
      <c r="A38" s="29">
        <f>Input!A38</f>
        <v>37</v>
      </c>
      <c r="B38" s="30" t="str">
        <f>Input!B38</f>
        <v>At least one senior public servant (Deputy Secretary or above) will face disciplinary action from the Robodebt royal commission</v>
      </c>
      <c r="C38" s="29" t="str">
        <f>Input!C38</f>
        <v>Politics</v>
      </c>
      <c r="D38" s="31">
        <v>0.9</v>
      </c>
    </row>
    <row r="39">
      <c r="A39" s="29">
        <f>Input!A39</f>
        <v>38</v>
      </c>
      <c r="B39" s="30" t="str">
        <f>Input!B39</f>
        <v>China invades Taiwan</v>
      </c>
      <c r="C39" s="29" t="str">
        <f>Input!C39</f>
        <v>Politics</v>
      </c>
      <c r="D39" s="31">
        <v>0.01</v>
      </c>
    </row>
    <row r="40">
      <c r="A40" s="29">
        <f>Input!A40</f>
        <v>39</v>
      </c>
      <c r="B40" s="30" t="str">
        <f>Input!B40</f>
        <v>The war in Ukraine will be declared over over by MSM</v>
      </c>
      <c r="C40" s="29" t="str">
        <f>Input!C40</f>
        <v>Politics</v>
      </c>
      <c r="D40" s="31">
        <v>0.3</v>
      </c>
    </row>
    <row r="41">
      <c r="A41" s="29">
        <f>Input!A41</f>
        <v>40</v>
      </c>
      <c r="B41" s="30" t="str">
        <f>Input!B41</f>
        <v>Chris Hipkins will be Prime Minister of NZ</v>
      </c>
      <c r="C41" s="29" t="str">
        <f>Input!C41</f>
        <v>Politics</v>
      </c>
      <c r="D41" s="31">
        <v>0.5</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0.7</v>
      </c>
    </row>
    <row r="43">
      <c r="A43" s="29">
        <f>Input!A43</f>
        <v>42</v>
      </c>
      <c r="B43" s="30" t="str">
        <f>Input!B43</f>
        <v>Sunak will be British Prime Minister throughout 2023</v>
      </c>
      <c r="C43" s="29" t="str">
        <f>Input!C43</f>
        <v>Politics</v>
      </c>
      <c r="D43" s="31">
        <v>0.8</v>
      </c>
    </row>
    <row r="44">
      <c r="A44" s="29">
        <f>Input!A44</f>
        <v>43</v>
      </c>
      <c r="B44" s="30" t="str">
        <f>Input!B44</f>
        <v>Nikii Haley will drop out of the running for president</v>
      </c>
      <c r="C44" s="29" t="str">
        <f>Input!C44</f>
        <v>Politics</v>
      </c>
      <c r="D44" s="31">
        <v>0.2</v>
      </c>
    </row>
    <row r="45">
      <c r="A45" s="29">
        <f>Input!A45</f>
        <v>44</v>
      </c>
      <c r="B45" s="30" t="str">
        <f>Input!B45</f>
        <v>The Telstra  NATSIAA bark painting award will be won by an artist from the Buku-Larrnggay Mulka Centre</v>
      </c>
      <c r="C45" s="29" t="str">
        <f>Input!C45</f>
        <v>Society</v>
      </c>
      <c r="D45" s="31">
        <v>0.3</v>
      </c>
    </row>
    <row r="46">
      <c r="A46" s="29">
        <f>Input!A46</f>
        <v>45</v>
      </c>
      <c r="B46" s="30" t="str">
        <f>Input!B46</f>
        <v>Kanye West arrested or involved in police shooting</v>
      </c>
      <c r="C46" s="29" t="str">
        <f>Input!C46</f>
        <v>Society</v>
      </c>
      <c r="D46" s="31">
        <v>0.1</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0.6</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0.7</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0.8</v>
      </c>
    </row>
    <row r="50">
      <c r="A50" s="29">
        <f>Input!A50</f>
        <v>49</v>
      </c>
      <c r="B50" s="30" t="str">
        <f>Input!B50</f>
        <v>Rafa Nadal will announce his retirement from playing grand slam singles.</v>
      </c>
      <c r="C50" s="29" t="str">
        <f>Input!C50</f>
        <v>Sport</v>
      </c>
      <c r="D50" s="31">
        <v>0.4</v>
      </c>
    </row>
    <row r="51">
      <c r="A51" s="29">
        <f>Input!A51</f>
        <v>50</v>
      </c>
      <c r="B51" s="30" t="str">
        <f>Input!B51</f>
        <v>Australia will win the netball World Cup</v>
      </c>
      <c r="C51" s="29" t="str">
        <f>Input!C51</f>
        <v>Sport</v>
      </c>
      <c r="D51" s="31">
        <v>0.8</v>
      </c>
    </row>
    <row r="52">
      <c r="A52" s="29">
        <f>Input!A52</f>
        <v>51</v>
      </c>
      <c r="B52" s="30" t="str">
        <f>Input!B52</f>
        <v>Ireland will win the Rugby World Cup</v>
      </c>
      <c r="C52" s="29" t="str">
        <f>Input!C52</f>
        <v>Sport</v>
      </c>
      <c r="D52" s="31">
        <v>0.2</v>
      </c>
    </row>
    <row r="53">
      <c r="A53" s="29">
        <f>Input!A53</f>
        <v>52</v>
      </c>
      <c r="B53" s="30" t="str">
        <f>Input!B53</f>
        <v>Warner will have to be dropped as Test match opener sometime during 2023 if not before</v>
      </c>
      <c r="C53" s="29" t="str">
        <f>Input!C53</f>
        <v>Sport</v>
      </c>
      <c r="D53" s="31">
        <v>0.2</v>
      </c>
    </row>
    <row r="54">
      <c r="A54" s="29">
        <f>Input!A54</f>
        <v>53</v>
      </c>
      <c r="B54" s="30" t="str">
        <f>Input!B54</f>
        <v>Boland will oust Hazlewood in at least one test during 2023</v>
      </c>
      <c r="C54" s="29" t="str">
        <f>Input!C54</f>
        <v>Sport</v>
      </c>
      <c r="D54" s="31">
        <v>0.7</v>
      </c>
    </row>
    <row r="55">
      <c r="A55" s="29">
        <f>Input!A55</f>
        <v>54</v>
      </c>
      <c r="B55" s="30" t="str">
        <f>Input!B55</f>
        <v>Team Haas will be 7th or higher in the 2023 F1 constructor's championship</v>
      </c>
      <c r="C55" s="29" t="str">
        <f>Input!C55</f>
        <v>Sport</v>
      </c>
      <c r="D55" s="31">
        <v>0.6</v>
      </c>
    </row>
    <row r="56">
      <c r="A56" s="29">
        <f>Input!A56</f>
        <v>55</v>
      </c>
      <c r="B56" s="30" t="str">
        <f>Input!B56</f>
        <v>Daniel Ricardo signs as a driver with an F1 Team for 2024</v>
      </c>
      <c r="C56" s="29" t="str">
        <f>Input!C56</f>
        <v>Sport</v>
      </c>
      <c r="D56" s="31">
        <v>0.2</v>
      </c>
    </row>
    <row r="57">
      <c r="A57" s="29">
        <f>Input!A57</f>
        <v>56</v>
      </c>
      <c r="B57" s="30" t="str">
        <f>Input!B57</f>
        <v>At least 41% of NZ's energy comes from rewewable sources </v>
      </c>
      <c r="C57" s="29" t="str">
        <f>Input!C57</f>
        <v>Technology</v>
      </c>
      <c r="D57" s="31">
        <v>0.5</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0.8</v>
      </c>
    </row>
    <row r="59">
      <c r="A59" s="29">
        <f>Input!A59</f>
        <v>58</v>
      </c>
      <c r="B59" s="30" t="str">
        <f>Input!B59</f>
        <v>The first orbital launch attempt of SpaceX's starship will occur in 2023, with the vehicle being destroyed on re-entry</v>
      </c>
      <c r="C59" s="29" t="str">
        <f>Input!C59</f>
        <v>Technology</v>
      </c>
      <c r="D59" s="31">
        <v>0.7</v>
      </c>
    </row>
    <row r="60">
      <c r="A60" s="29">
        <f>Input!A60</f>
        <v>59</v>
      </c>
      <c r="B60" s="30" t="str">
        <f>Input!B60</f>
        <v>Elon Musk will commercially launch a virtual/altered reality software or piece of hardware.</v>
      </c>
      <c r="C60" s="29" t="str">
        <f>Input!C60</f>
        <v>Technology</v>
      </c>
      <c r="D60" s="31">
        <v>0.2</v>
      </c>
    </row>
    <row r="61">
      <c r="A61" s="29">
        <f>Input!A61</f>
        <v>60</v>
      </c>
      <c r="B61" s="30" t="str">
        <f>Input!B61</f>
        <v>A country enshrines some form of rights/personhood/protection of AI systems motivated by the welfare of the system itself</v>
      </c>
      <c r="C61" s="29" t="str">
        <f>Input!C61</f>
        <v>Technology</v>
      </c>
      <c r="D61" s="31">
        <v>0.3</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0.9</v>
      </c>
    </row>
    <row r="3">
      <c r="A3" s="29">
        <f>Input!A3</f>
        <v>2</v>
      </c>
      <c r="B3" s="30" t="str">
        <f>Input!B3</f>
        <v>The farthest paper airplane flight will be broken (as reported by Guinness World Records)</v>
      </c>
      <c r="C3" s="29" t="str">
        <f>Input!C3</f>
        <v>Entertainment</v>
      </c>
      <c r="D3" s="31">
        <v>0.7</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0.5</v>
      </c>
    </row>
    <row r="5">
      <c r="A5" s="29">
        <f>Input!A5</f>
        <v>4</v>
      </c>
      <c r="B5" s="30" t="str">
        <f>Input!B5</f>
        <v>There will be a scandal involving the BTS 10 year anniversary as reported by Korean MSM</v>
      </c>
      <c r="C5" s="29" t="str">
        <f>Input!C5</f>
        <v>Entertainment</v>
      </c>
      <c r="D5" s="31">
        <v>0.5</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0.6</v>
      </c>
    </row>
    <row r="8">
      <c r="A8" s="29">
        <f>Input!A8</f>
        <v>7</v>
      </c>
      <c r="B8" s="30" t="str">
        <f>Input!B8</f>
        <v>LOONA will disband</v>
      </c>
      <c r="C8" s="29"/>
      <c r="D8" s="31">
        <v>0.6</v>
      </c>
    </row>
    <row r="9">
      <c r="A9" s="29">
        <f>Input!A9</f>
        <v>8</v>
      </c>
      <c r="B9" s="30" t="str">
        <f>Input!B9</f>
        <v>A new Korean show will get more than 140 million household views on Netflix</v>
      </c>
      <c r="C9" s="29"/>
      <c r="D9" s="31">
        <v>0.7</v>
      </c>
    </row>
    <row r="10">
      <c r="A10" s="29">
        <f>Input!A10</f>
        <v>9</v>
      </c>
      <c r="B10" s="30" t="str">
        <f>Input!B10</f>
        <v>Avatar The Way of Water will remain at 8.0 on IMDb by Christmas next year.</v>
      </c>
      <c r="C10" s="29" t="str">
        <f>Input!C10</f>
        <v>Entertainment</v>
      </c>
      <c r="D10" s="31">
        <v>0.5</v>
      </c>
    </row>
    <row r="11">
      <c r="A11" s="29">
        <f>Input!A11</f>
        <v>10</v>
      </c>
      <c r="B11" s="30" t="str">
        <f>Input!B11</f>
        <v>Kanye West will have 0 twitter suspensions or bans.</v>
      </c>
      <c r="C11" s="29" t="str">
        <f>Input!C11</f>
        <v>Entertainment</v>
      </c>
      <c r="D11" s="31">
        <v>0.4</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0.3</v>
      </c>
    </row>
    <row r="13">
      <c r="A13" s="29">
        <f>Input!A13</f>
        <v>12</v>
      </c>
      <c r="B13" s="30" t="str">
        <f>Input!B13</f>
        <v>Francis will be the Pope on Christmas eve</v>
      </c>
      <c r="C13" s="29" t="str">
        <f>Input!C13</f>
        <v>Entertainment</v>
      </c>
      <c r="D13" s="31">
        <v>0.7</v>
      </c>
    </row>
    <row r="14">
      <c r="A14" s="29">
        <f>Input!A14</f>
        <v>13</v>
      </c>
      <c r="B14" s="30" t="str">
        <f>Input!B14</f>
        <v>Rohan will not test positive for COVID in 2023</v>
      </c>
      <c r="C14" s="29" t="str">
        <f>Input!C14</f>
        <v>Family</v>
      </c>
      <c r="D14" s="31">
        <v>0.8</v>
      </c>
    </row>
    <row r="15">
      <c r="A15" s="29">
        <f>Input!A15</f>
        <v>14</v>
      </c>
      <c r="B15" s="30" t="str">
        <f>Input!B15</f>
        <v>Baby McCalman is less than 49cm at birth</v>
      </c>
      <c r="C15" s="29" t="str">
        <f>Input!C15</f>
        <v>Family</v>
      </c>
      <c r="D15" s="31">
        <v>0.6</v>
      </c>
    </row>
    <row r="16">
      <c r="A16" s="29">
        <f>Input!A16</f>
        <v>15</v>
      </c>
      <c r="B16" s="30" t="str">
        <f>Input!B16</f>
        <v>Jac and Lachy’s baby will say ‘ma’ or make a similar ‘m’ sound by 24 December 2023.</v>
      </c>
      <c r="C16" s="29" t="str">
        <f>Input!C16</f>
        <v>Family</v>
      </c>
      <c r="D16" s="31">
        <v>0.8</v>
      </c>
    </row>
    <row r="17">
      <c r="A17" s="29">
        <f>Input!A17</f>
        <v>16</v>
      </c>
      <c r="B17" s="30" t="str">
        <f>Input!B17</f>
        <v>Rohan will be at least 6'1"</v>
      </c>
      <c r="C17" s="29" t="str">
        <f>Input!C17</f>
        <v>Family</v>
      </c>
      <c r="D17" s="31">
        <v>0.4</v>
      </c>
    </row>
    <row r="18">
      <c r="A18" s="29">
        <f>Input!A18</f>
        <v>17</v>
      </c>
      <c r="B18" s="30" t="str">
        <f>Input!B18</f>
        <v>Andrew and Eileen will buy a house</v>
      </c>
      <c r="C18" s="29" t="str">
        <f>Input!C18</f>
        <v>Family</v>
      </c>
      <c r="D18" s="31">
        <v>0.7</v>
      </c>
    </row>
    <row r="19">
      <c r="A19" s="29">
        <f>Input!A19</f>
        <v>18</v>
      </c>
      <c r="B19" s="30" t="str">
        <f>Input!B19</f>
        <v>Lachy and Jac’s baby will be at least 68 cm by next Christmas.</v>
      </c>
      <c r="C19" s="29" t="str">
        <f>Input!C19</f>
        <v>Family</v>
      </c>
      <c r="D19" s="31">
        <v>0.7</v>
      </c>
    </row>
    <row r="20">
      <c r="A20" s="29">
        <f>Input!A20</f>
        <v>19</v>
      </c>
      <c r="B20" s="30" t="str">
        <f>Input!B20</f>
        <v>The annual inflation rate in Australia will be below 6% when the RBA releases its announcement of the October 2023 result</v>
      </c>
      <c r="C20" s="29" t="str">
        <f>Input!C20</f>
        <v>Finance</v>
      </c>
      <c r="D20" s="31">
        <v>0.7</v>
      </c>
    </row>
    <row r="21">
      <c r="A21" s="29">
        <f>Input!A21</f>
        <v>20</v>
      </c>
      <c r="B21" s="30" t="str">
        <f>Input!B21</f>
        <v>AUD falls below USD0.64</v>
      </c>
      <c r="C21" s="29" t="str">
        <f>Input!C21</f>
        <v>Finance</v>
      </c>
      <c r="D21" s="31">
        <v>0.7</v>
      </c>
    </row>
    <row r="22">
      <c r="A22" s="29">
        <f>Input!A22</f>
        <v>21</v>
      </c>
      <c r="B22" s="30" t="str">
        <f>Input!B22</f>
        <v>Pro-GOP investor makes a meaningful (&gt;US$100m) investment in Twitter</v>
      </c>
      <c r="C22" s="29" t="str">
        <f>Input!C22</f>
        <v>Finance</v>
      </c>
      <c r="D22" s="31">
        <v>0.7</v>
      </c>
    </row>
    <row r="23">
      <c r="A23" s="29">
        <f>Input!A23</f>
        <v>22</v>
      </c>
      <c r="B23" s="30" t="str">
        <f>Input!B23</f>
        <v>The Australian unemployment rate will be more than 4% at time of judging</v>
      </c>
      <c r="C23" s="29" t="str">
        <f>Input!C23</f>
        <v>Finance</v>
      </c>
      <c r="D23" s="31">
        <v>0.6</v>
      </c>
    </row>
    <row r="24">
      <c r="A24" s="29">
        <f>Input!A24</f>
        <v>23</v>
      </c>
      <c r="B24" s="30" t="str">
        <f>Input!B24</f>
        <v>Binance will collapse slash go into bankruptcy</v>
      </c>
      <c r="C24" s="29" t="str">
        <f>Input!C24</f>
        <v>Finance</v>
      </c>
      <c r="D24" s="31">
        <v>0.5</v>
      </c>
    </row>
    <row r="25">
      <c r="A25" s="29">
        <f>Input!A25</f>
        <v>24</v>
      </c>
      <c r="B25" s="30" t="str">
        <f>Input!B25</f>
        <v>Telsa will remain solvent and operating </v>
      </c>
      <c r="C25" s="29" t="str">
        <f>Input!C25</f>
        <v>Finance</v>
      </c>
      <c r="D25" s="31">
        <v>0.8</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0.7</v>
      </c>
    </row>
    <row r="27">
      <c r="A27" s="29">
        <f>Input!A27</f>
        <v>26</v>
      </c>
      <c r="B27" s="30" t="str">
        <f>Input!B27</f>
        <v>The case against David McBride will be dropped</v>
      </c>
      <c r="C27" s="29" t="str">
        <f>Input!C27</f>
        <v>Law</v>
      </c>
      <c r="D27" s="31">
        <v>0.8</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0.8</v>
      </c>
    </row>
    <row r="29">
      <c r="A29" s="29">
        <f>Input!A29</f>
        <v>28</v>
      </c>
      <c r="B29" s="30" t="str">
        <f>Input!B29</f>
        <v>The New Zealand National party will form government after the next election.</v>
      </c>
      <c r="C29" s="29" t="str">
        <f>Input!C29</f>
        <v>Politics</v>
      </c>
      <c r="D29" s="31">
        <v>0.8</v>
      </c>
    </row>
    <row r="30">
      <c r="A30" s="29">
        <f>Input!A30</f>
        <v>29</v>
      </c>
      <c r="B30" s="30" t="str">
        <f>Input!B30</f>
        <v>The British Labour Party will be ahead in the polls in November 2023.</v>
      </c>
      <c r="C30" s="29" t="str">
        <f>Input!C30</f>
        <v>Politics</v>
      </c>
      <c r="D30" s="31">
        <v>0.9</v>
      </c>
    </row>
    <row r="31">
      <c r="A31" s="29">
        <f>Input!A31</f>
        <v>30</v>
      </c>
      <c r="B31" s="30" t="str">
        <f>Input!B31</f>
        <v>Liz Cheney will not nominate for the presidency in 2023.</v>
      </c>
      <c r="C31" s="29" t="str">
        <f>Input!C31</f>
        <v>Politics</v>
      </c>
      <c r="D31" s="31">
        <v>0.9</v>
      </c>
    </row>
    <row r="32">
      <c r="A32" s="29">
        <f>Input!A32</f>
        <v>31</v>
      </c>
      <c r="B32" s="30" t="str">
        <f>Input!B32</f>
        <v>China will eliminate at least one existing trade sanction against Australia</v>
      </c>
      <c r="C32" s="29" t="str">
        <f>Input!C32</f>
        <v>Politics</v>
      </c>
      <c r="D32" s="31">
        <v>0.9</v>
      </c>
    </row>
    <row r="33">
      <c r="A33" s="29">
        <f>Input!A33</f>
        <v>32</v>
      </c>
      <c r="B33" s="30" t="str">
        <f>Input!B33</f>
        <v>China will not be admitted to full membership of the Comprehensive and Progressive Agreement for Trans-Pacific Partnership</v>
      </c>
      <c r="C33" s="29" t="str">
        <f>Input!C33</f>
        <v>Politics</v>
      </c>
      <c r="D33" s="31">
        <v>0.4</v>
      </c>
    </row>
    <row r="34">
      <c r="A34" s="29">
        <f>Input!A34</f>
        <v>33</v>
      </c>
      <c r="B34" s="30" t="str">
        <f>Input!B34</f>
        <v>Henry Kissinger will die</v>
      </c>
      <c r="C34" s="29" t="str">
        <f>Input!C34</f>
        <v>Politics</v>
      </c>
      <c r="D34" s="31">
        <v>0.9</v>
      </c>
    </row>
    <row r="35">
      <c r="A35" s="29">
        <f>Input!A35</f>
        <v>34</v>
      </c>
      <c r="B35" s="32" t="str">
        <f>Input!B35</f>
        <v>The Australian government will announce that the referendum for the Indigenous Voice to Parliament will occur in 2024</v>
      </c>
      <c r="C35" s="29" t="str">
        <f>Input!C35</f>
        <v>Politics</v>
      </c>
      <c r="D35" s="31">
        <v>0.8</v>
      </c>
    </row>
    <row r="36">
      <c r="A36" s="29">
        <f>Input!A36</f>
        <v>35</v>
      </c>
      <c r="B36" s="32" t="str">
        <f>Input!B36</f>
        <v>Labor will win the NSW state election</v>
      </c>
      <c r="C36" s="29" t="str">
        <f>Input!C36</f>
        <v>Politics</v>
      </c>
      <c r="D36" s="31">
        <v>0.6</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0.9</v>
      </c>
    </row>
    <row r="38">
      <c r="A38" s="29">
        <f>Input!A38</f>
        <v>37</v>
      </c>
      <c r="B38" s="30" t="str">
        <f>Input!B38</f>
        <v>At least one senior public servant (Deputy Secretary or above) will face disciplinary action from the Robodebt royal commission</v>
      </c>
      <c r="C38" s="29" t="str">
        <f>Input!C38</f>
        <v>Politics</v>
      </c>
      <c r="D38" s="31">
        <v>0.9</v>
      </c>
    </row>
    <row r="39">
      <c r="A39" s="29">
        <f>Input!A39</f>
        <v>38</v>
      </c>
      <c r="B39" s="30" t="str">
        <f>Input!B39</f>
        <v>China invades Taiwan</v>
      </c>
      <c r="C39" s="29" t="str">
        <f>Input!C39</f>
        <v>Politics</v>
      </c>
      <c r="D39" s="31">
        <v>0.2</v>
      </c>
    </row>
    <row r="40">
      <c r="A40" s="29">
        <f>Input!A40</f>
        <v>39</v>
      </c>
      <c r="B40" s="30" t="str">
        <f>Input!B40</f>
        <v>The war in Ukraine will be declared over over by MSM</v>
      </c>
      <c r="C40" s="29" t="str">
        <f>Input!C40</f>
        <v>Politics</v>
      </c>
      <c r="D40" s="31">
        <v>0.7</v>
      </c>
    </row>
    <row r="41">
      <c r="A41" s="29">
        <f>Input!A41</f>
        <v>40</v>
      </c>
      <c r="B41" s="30" t="str">
        <f>Input!B41</f>
        <v>Chris Hipkins will be Prime Minister of NZ</v>
      </c>
      <c r="C41" s="29" t="str">
        <f>Input!C41</f>
        <v>Politics</v>
      </c>
      <c r="D41" s="31">
        <v>0.9</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0.7</v>
      </c>
    </row>
    <row r="43">
      <c r="A43" s="29">
        <f>Input!A43</f>
        <v>42</v>
      </c>
      <c r="B43" s="30" t="str">
        <f>Input!B43</f>
        <v>Sunak will be British Prime Minister throughout 2023</v>
      </c>
      <c r="C43" s="29" t="str">
        <f>Input!C43</f>
        <v>Politics</v>
      </c>
      <c r="D43" s="31">
        <v>0.8</v>
      </c>
    </row>
    <row r="44">
      <c r="A44" s="29">
        <f>Input!A44</f>
        <v>43</v>
      </c>
      <c r="B44" s="30" t="str">
        <f>Input!B44</f>
        <v>Nikii Haley will drop out of the running for president</v>
      </c>
      <c r="C44" s="29" t="str">
        <f>Input!C44</f>
        <v>Politics</v>
      </c>
      <c r="D44" s="31">
        <v>0.7</v>
      </c>
    </row>
    <row r="45">
      <c r="A45" s="29">
        <f>Input!A45</f>
        <v>44</v>
      </c>
      <c r="B45" s="30" t="str">
        <f>Input!B45</f>
        <v>The Telstra  NATSIAA bark painting award will be won by an artist from the Buku-Larrnggay Mulka Centre</v>
      </c>
      <c r="C45" s="29" t="str">
        <f>Input!C45</f>
        <v>Society</v>
      </c>
      <c r="D45" s="31">
        <v>0.7</v>
      </c>
    </row>
    <row r="46">
      <c r="A46" s="29">
        <f>Input!A46</f>
        <v>45</v>
      </c>
      <c r="B46" s="30" t="str">
        <f>Input!B46</f>
        <v>Kanye West arrested or involved in police shooting</v>
      </c>
      <c r="C46" s="29" t="str">
        <f>Input!C46</f>
        <v>Society</v>
      </c>
      <c r="D46" s="31">
        <v>0.3</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0.7</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0.7</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0.7</v>
      </c>
    </row>
    <row r="50">
      <c r="A50" s="29">
        <f>Input!A50</f>
        <v>49</v>
      </c>
      <c r="B50" s="30" t="str">
        <f>Input!B50</f>
        <v>Rafa Nadal will announce his retirement from playing grand slam singles.</v>
      </c>
      <c r="C50" s="29" t="str">
        <f>Input!C50</f>
        <v>Sport</v>
      </c>
      <c r="D50" s="31">
        <v>0.9</v>
      </c>
    </row>
    <row r="51">
      <c r="A51" s="29">
        <f>Input!A51</f>
        <v>50</v>
      </c>
      <c r="B51" s="30" t="str">
        <f>Input!B51</f>
        <v>Australia will win the netball World Cup</v>
      </c>
      <c r="C51" s="29" t="str">
        <f>Input!C51</f>
        <v>Sport</v>
      </c>
      <c r="D51" s="31">
        <v>0.8</v>
      </c>
    </row>
    <row r="52">
      <c r="A52" s="29">
        <f>Input!A52</f>
        <v>51</v>
      </c>
      <c r="B52" s="30" t="str">
        <f>Input!B52</f>
        <v>Ireland will win the Rugby World Cup</v>
      </c>
      <c r="C52" s="29" t="str">
        <f>Input!C52</f>
        <v>Sport</v>
      </c>
      <c r="D52" s="31">
        <v>0.7</v>
      </c>
    </row>
    <row r="53">
      <c r="A53" s="29">
        <f>Input!A53</f>
        <v>52</v>
      </c>
      <c r="B53" s="30" t="str">
        <f>Input!B53</f>
        <v>Warner will have to be dropped as Test match opener sometime during 2023 if not before</v>
      </c>
      <c r="C53" s="29" t="str">
        <f>Input!C53</f>
        <v>Sport</v>
      </c>
      <c r="D53" s="31">
        <v>0.6</v>
      </c>
    </row>
    <row r="54">
      <c r="A54" s="29">
        <f>Input!A54</f>
        <v>53</v>
      </c>
      <c r="B54" s="30" t="str">
        <f>Input!B54</f>
        <v>Boland will oust Hazlewood in at least one test during 2023</v>
      </c>
      <c r="C54" s="29" t="str">
        <f>Input!C54</f>
        <v>Sport</v>
      </c>
      <c r="D54" s="31">
        <v>0.6</v>
      </c>
    </row>
    <row r="55">
      <c r="A55" s="29">
        <f>Input!A55</f>
        <v>54</v>
      </c>
      <c r="B55" s="30" t="str">
        <f>Input!B55</f>
        <v>Team Haas will be 7th or higher in the 2023 F1 constructor's championship</v>
      </c>
      <c r="C55" s="29" t="str">
        <f>Input!C55</f>
        <v>Sport</v>
      </c>
      <c r="D55" s="31">
        <v>0.5</v>
      </c>
    </row>
    <row r="56">
      <c r="A56" s="29">
        <f>Input!A56</f>
        <v>55</v>
      </c>
      <c r="B56" s="30" t="str">
        <f>Input!B56</f>
        <v>Daniel Ricardo signs as a driver with an F1 Team for 2024</v>
      </c>
      <c r="C56" s="29" t="str">
        <f>Input!C56</f>
        <v>Sport</v>
      </c>
      <c r="D56" s="31">
        <v>0.7</v>
      </c>
    </row>
    <row r="57">
      <c r="A57" s="29">
        <f>Input!A57</f>
        <v>56</v>
      </c>
      <c r="B57" s="30" t="str">
        <f>Input!B57</f>
        <v>At least 41% of NZ's energy comes from rewewable sources </v>
      </c>
      <c r="C57" s="29" t="str">
        <f>Input!C57</f>
        <v>Technology</v>
      </c>
      <c r="D57" s="31">
        <v>0.7</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0.8</v>
      </c>
    </row>
    <row r="59">
      <c r="A59" s="29">
        <f>Input!A59</f>
        <v>58</v>
      </c>
      <c r="B59" s="30" t="str">
        <f>Input!B59</f>
        <v>The first orbital launch attempt of SpaceX's starship will occur in 2023, with the vehicle being destroyed on re-entry</v>
      </c>
      <c r="C59" s="29" t="str">
        <f>Input!C59</f>
        <v>Technology</v>
      </c>
      <c r="D59" s="31">
        <v>0.5</v>
      </c>
    </row>
    <row r="60">
      <c r="A60" s="29">
        <f>Input!A60</f>
        <v>59</v>
      </c>
      <c r="B60" s="30" t="str">
        <f>Input!B60</f>
        <v>Elon Musk will commercially launch a virtual/altered reality software or piece of hardware.</v>
      </c>
      <c r="C60" s="29" t="str">
        <f>Input!C60</f>
        <v>Technology</v>
      </c>
      <c r="D60" s="31">
        <v>0.7</v>
      </c>
    </row>
    <row r="61">
      <c r="A61" s="29">
        <f>Input!A61</f>
        <v>60</v>
      </c>
      <c r="B61" s="30" t="str">
        <f>Input!B61</f>
        <v>A country enshrines some form of rights/personhood/protection of AI systems motivated by the welfare of the system itself</v>
      </c>
      <c r="C61" s="29" t="str">
        <f>Input!C61</f>
        <v>Technology</v>
      </c>
      <c r="D61" s="31">
        <v>0.3</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s>
  <sheetData>
    <row r="1">
      <c r="A1" s="26" t="s">
        <v>2</v>
      </c>
      <c r="B1" s="27" t="s">
        <v>3</v>
      </c>
      <c r="C1" s="26" t="s">
        <v>4</v>
      </c>
      <c r="D1" s="28" t="s">
        <v>108</v>
      </c>
    </row>
    <row r="2">
      <c r="A2" s="29">
        <f>Input!A2</f>
        <v>1</v>
      </c>
      <c r="B2" s="30" t="str">
        <f>Input!B2</f>
        <v>Cate Blanchett will win best actress in the Academy Awards.</v>
      </c>
      <c r="C2" s="29" t="str">
        <f>Input!C2</f>
        <v>Entertainment</v>
      </c>
      <c r="D2" s="31">
        <v>0.9</v>
      </c>
    </row>
    <row r="3">
      <c r="A3" s="29">
        <f>Input!A3</f>
        <v>2</v>
      </c>
      <c r="B3" s="30" t="str">
        <f>Input!B3</f>
        <v>The farthest paper airplane flight will be broken (as reported by Guinness World Records)</v>
      </c>
      <c r="C3" s="29" t="str">
        <f>Input!C3</f>
        <v>Entertainment</v>
      </c>
      <c r="D3" s="31">
        <v>0.1</v>
      </c>
    </row>
    <row r="4">
      <c r="A4" s="29">
        <f>Input!A4</f>
        <v>3</v>
      </c>
      <c r="B4" s="30" t="str">
        <f>Input!B4</f>
        <v>Meghan and/or harry will post on social media content relating to the Coronation of King Charles III that, states or implies that Queen Elizabeth 2 'would have wanted them / is looking down from heaven wanting them' at the coronation, and/or describes a counter-ceremony with dubious historical precident performed by harry, meghan or their children to mark the occasion, and/or indicates that their presence at the coronation was prevented by 'deep palace' operatives or similar.</v>
      </c>
      <c r="C4" s="29" t="str">
        <f>Input!C4</f>
        <v>Entertainment</v>
      </c>
      <c r="D4" s="31">
        <v>0.1</v>
      </c>
    </row>
    <row r="5">
      <c r="A5" s="29">
        <f>Input!A5</f>
        <v>4</v>
      </c>
      <c r="B5" s="30" t="str">
        <f>Input!B5</f>
        <v>There will be a scandal involving the BTS 10 year anniversary as reported by Korean MSM</v>
      </c>
      <c r="C5" s="29" t="str">
        <f>Input!C5</f>
        <v>Entertainment</v>
      </c>
      <c r="D5" s="31">
        <v>0.5</v>
      </c>
    </row>
    <row r="6">
      <c r="A6" s="29">
        <f>Input!A6</f>
        <v>5</v>
      </c>
      <c r="B6" s="30" t="str">
        <f>Input!B6</f>
        <v>Twosetviolin (the Youtube channel) will make a video reporting fresh abuse from kpop fans (excluding Blackpink)</v>
      </c>
      <c r="C6" s="29" t="str">
        <f>Input!C6</f>
        <v>Entertainment</v>
      </c>
      <c r="D6" s="31">
        <v>0.5</v>
      </c>
    </row>
    <row r="7">
      <c r="A7" s="29">
        <f>Input!A7</f>
        <v>6</v>
      </c>
      <c r="B7" s="30" t="str">
        <f>Input!B7</f>
        <v>Lee Min-ho will be the most followed Korean actor on Instagram by the end of 2023 </v>
      </c>
      <c r="C7" s="29" t="str">
        <f>Input!C7</f>
        <v>Entertainment</v>
      </c>
      <c r="D7" s="31">
        <v>0.5</v>
      </c>
    </row>
    <row r="8">
      <c r="A8" s="29">
        <f>Input!A8</f>
        <v>7</v>
      </c>
      <c r="B8" s="30" t="str">
        <f>Input!B8</f>
        <v>LOONA will disband</v>
      </c>
      <c r="C8" s="29" t="str">
        <f>Input!C8</f>
        <v>Entertainment</v>
      </c>
      <c r="D8" s="31">
        <v>0.8</v>
      </c>
    </row>
    <row r="9">
      <c r="A9" s="29">
        <f>Input!A9</f>
        <v>8</v>
      </c>
      <c r="B9" s="30" t="str">
        <f>Input!B9</f>
        <v>A new Korean show will get more than 140 million household views on Netflix</v>
      </c>
      <c r="C9" s="29" t="str">
        <f>Input!C9</f>
        <v>Entertainment</v>
      </c>
      <c r="D9" s="31">
        <v>0.5</v>
      </c>
    </row>
    <row r="10">
      <c r="A10" s="29">
        <f>Input!A10</f>
        <v>9</v>
      </c>
      <c r="B10" s="30" t="str">
        <f>Input!B10</f>
        <v>Avatar The Way of Water will remain at 8.0 on IMDb by Christmas next year.</v>
      </c>
      <c r="C10" s="29" t="str">
        <f>Input!C10</f>
        <v>Entertainment</v>
      </c>
      <c r="D10" s="31">
        <v>0.3</v>
      </c>
    </row>
    <row r="11">
      <c r="A11" s="29">
        <f>Input!A11</f>
        <v>10</v>
      </c>
      <c r="B11" s="30" t="str">
        <f>Input!B11</f>
        <v>Kanye West will have 0 twitter suspensions or bans.</v>
      </c>
      <c r="C11" s="29" t="str">
        <f>Input!C11</f>
        <v>Entertainment</v>
      </c>
      <c r="D11" s="31">
        <v>0.7</v>
      </c>
    </row>
    <row r="12">
      <c r="A12" s="29">
        <f>Input!A12</f>
        <v>11</v>
      </c>
      <c r="B12" s="30" t="str">
        <f>Input!B12</f>
        <v>At either the Grammys, the Oscars, the Emmys or the game awards there will be a significant interruption comparable to the Will Smith Chris Rock slap or the game awards Bill Clinton kid.</v>
      </c>
      <c r="C12" s="29" t="str">
        <f>Input!C12</f>
        <v>Entertainment</v>
      </c>
      <c r="D12" s="31">
        <v>0.2</v>
      </c>
    </row>
    <row r="13">
      <c r="A13" s="29">
        <f>Input!A13</f>
        <v>12</v>
      </c>
      <c r="B13" s="30" t="str">
        <f>Input!B13</f>
        <v>Francis will be the Pope on Christmas eve</v>
      </c>
      <c r="C13" s="29" t="str">
        <f>Input!C13</f>
        <v>Entertainment</v>
      </c>
      <c r="D13" s="31">
        <v>0.9</v>
      </c>
    </row>
    <row r="14">
      <c r="A14" s="29">
        <f>Input!A14</f>
        <v>13</v>
      </c>
      <c r="B14" s="30" t="str">
        <f>Input!B14</f>
        <v>Rohan will not test positive for COVID in 2023</v>
      </c>
      <c r="C14" s="29" t="str">
        <f>Input!C14</f>
        <v>Family</v>
      </c>
      <c r="D14" s="31">
        <v>0.6</v>
      </c>
    </row>
    <row r="15">
      <c r="A15" s="29">
        <f>Input!A15</f>
        <v>14</v>
      </c>
      <c r="B15" s="30" t="str">
        <f>Input!B15</f>
        <v>Baby McCalman is less than 49cm at birth</v>
      </c>
      <c r="C15" s="29" t="str">
        <f>Input!C15</f>
        <v>Family</v>
      </c>
      <c r="D15" s="31">
        <v>0.85</v>
      </c>
    </row>
    <row r="16">
      <c r="A16" s="29">
        <f>Input!A16</f>
        <v>15</v>
      </c>
      <c r="B16" s="30" t="str">
        <f>Input!B16</f>
        <v>Jac and Lachy’s baby will say ‘ma’ or make a similar ‘m’ sound by 24 December 2023.</v>
      </c>
      <c r="C16" s="29" t="str">
        <f>Input!C16</f>
        <v>Family</v>
      </c>
      <c r="D16" s="31">
        <v>0.8</v>
      </c>
    </row>
    <row r="17">
      <c r="A17" s="29">
        <f>Input!A17</f>
        <v>16</v>
      </c>
      <c r="B17" s="30" t="str">
        <f>Input!B17</f>
        <v>Rohan will be at least 6'1"</v>
      </c>
      <c r="C17" s="29" t="str">
        <f>Input!C17</f>
        <v>Family</v>
      </c>
      <c r="D17" s="31">
        <v>0.1</v>
      </c>
    </row>
    <row r="18">
      <c r="A18" s="29">
        <f>Input!A18</f>
        <v>17</v>
      </c>
      <c r="B18" s="30" t="str">
        <f>Input!B18</f>
        <v>Andrew and Eileen will buy a house</v>
      </c>
      <c r="C18" s="29" t="str">
        <f>Input!C18</f>
        <v>Family</v>
      </c>
      <c r="D18" s="31">
        <v>0.7</v>
      </c>
    </row>
    <row r="19">
      <c r="A19" s="29">
        <f>Input!A19</f>
        <v>18</v>
      </c>
      <c r="B19" s="30" t="str">
        <f>Input!B19</f>
        <v>Lachy and Jac’s baby will be at least 68 cm by next Christmas.</v>
      </c>
      <c r="C19" s="29" t="str">
        <f>Input!C19</f>
        <v>Family</v>
      </c>
      <c r="D19" s="31">
        <v>0.6</v>
      </c>
    </row>
    <row r="20">
      <c r="A20" s="29">
        <f>Input!A20</f>
        <v>19</v>
      </c>
      <c r="B20" s="30" t="str">
        <f>Input!B20</f>
        <v>The annual inflation rate in Australia will be below 6% when the RBA releases its announcement of the October 2023 result</v>
      </c>
      <c r="C20" s="29" t="str">
        <f>Input!C20</f>
        <v>Finance</v>
      </c>
      <c r="D20" s="31">
        <v>0.75</v>
      </c>
    </row>
    <row r="21">
      <c r="A21" s="29">
        <f>Input!A21</f>
        <v>20</v>
      </c>
      <c r="B21" s="30" t="str">
        <f>Input!B21</f>
        <v>AUD falls below USD0.64</v>
      </c>
      <c r="C21" s="29" t="str">
        <f>Input!C21</f>
        <v>Finance</v>
      </c>
      <c r="D21" s="31">
        <v>0.25</v>
      </c>
    </row>
    <row r="22">
      <c r="A22" s="29">
        <f>Input!A22</f>
        <v>21</v>
      </c>
      <c r="B22" s="30" t="str">
        <f>Input!B22</f>
        <v>Pro-GOP investor makes a meaningful (&gt;US$100m) investment in Twitter</v>
      </c>
      <c r="C22" s="29" t="str">
        <f>Input!C22</f>
        <v>Finance</v>
      </c>
      <c r="D22" s="31">
        <v>0.3</v>
      </c>
    </row>
    <row r="23">
      <c r="A23" s="29">
        <f>Input!A23</f>
        <v>22</v>
      </c>
      <c r="B23" s="30" t="str">
        <f>Input!B23</f>
        <v>The Australian unemployment rate will be more than 4% at time of judging</v>
      </c>
      <c r="C23" s="29" t="str">
        <f>Input!C23</f>
        <v>Finance</v>
      </c>
      <c r="D23" s="31">
        <v>0.7</v>
      </c>
    </row>
    <row r="24">
      <c r="A24" s="29">
        <f>Input!A24</f>
        <v>23</v>
      </c>
      <c r="B24" s="30" t="str">
        <f>Input!B24</f>
        <v>Binance will collapse slash go into bankruptcy</v>
      </c>
      <c r="C24" s="29" t="str">
        <f>Input!C24</f>
        <v>Finance</v>
      </c>
      <c r="D24" s="31">
        <v>0.2</v>
      </c>
    </row>
    <row r="25">
      <c r="A25" s="29">
        <f>Input!A25</f>
        <v>24</v>
      </c>
      <c r="B25" s="30" t="str">
        <f>Input!B25</f>
        <v>Telsa will remain solvent and operating </v>
      </c>
      <c r="C25" s="29" t="str">
        <f>Input!C25</f>
        <v>Finance</v>
      </c>
      <c r="D25" s="31">
        <v>0.99</v>
      </c>
    </row>
    <row r="26">
      <c r="A26" s="29">
        <f>Input!A26</f>
        <v>25</v>
      </c>
      <c r="B26" s="30" t="str">
        <f>Input!B26</f>
        <v>At least three class action proceedings (or equivalent eg. aggregate litigation) will be filed around the world against Elon Musk or Tesla about the self-driving technology in Tesla cars</v>
      </c>
      <c r="C26" s="29" t="str">
        <f>Input!C26</f>
        <v>Law</v>
      </c>
      <c r="D26" s="31">
        <v>0.9</v>
      </c>
    </row>
    <row r="27">
      <c r="A27" s="29">
        <f>Input!A27</f>
        <v>26</v>
      </c>
      <c r="B27" s="30" t="str">
        <f>Input!B27</f>
        <v>The case against David McBride will be dropped</v>
      </c>
      <c r="C27" s="29" t="str">
        <f>Input!C27</f>
        <v>Law</v>
      </c>
      <c r="D27" s="31">
        <v>0.3</v>
      </c>
    </row>
    <row r="28">
      <c r="A28" s="29">
        <f>Input!A28</f>
        <v>27</v>
      </c>
      <c r="B28" s="30" t="str">
        <f>Input!B28</f>
        <v>In FY19, there were 58 class actions filed. In FY20, there were 55 class actions filed. In FY21, there were 64 class actions filed. In FY22, there were 54 class actions filed. In FY23, there will be more than 64 class actions filed. (In the first 9 months of CY22, there were 25 class action filings.)</v>
      </c>
      <c r="C28" s="29" t="str">
        <f>Input!C28</f>
        <v>Law</v>
      </c>
      <c r="D28" s="31">
        <v>0.4</v>
      </c>
    </row>
    <row r="29">
      <c r="A29" s="29">
        <f>Input!A29</f>
        <v>28</v>
      </c>
      <c r="B29" s="30" t="str">
        <f>Input!B29</f>
        <v>The New Zealand National party will form government after the next election.</v>
      </c>
      <c r="C29" s="29" t="str">
        <f>Input!C29</f>
        <v>Politics</v>
      </c>
      <c r="D29" s="31">
        <v>0.7</v>
      </c>
    </row>
    <row r="30">
      <c r="A30" s="29">
        <f>Input!A30</f>
        <v>29</v>
      </c>
      <c r="B30" s="30" t="str">
        <f>Input!B30</f>
        <v>The British Labour Party will be ahead in the polls in November 2023.</v>
      </c>
      <c r="C30" s="29" t="str">
        <f>Input!C30</f>
        <v>Politics</v>
      </c>
      <c r="D30" s="31">
        <v>0.8</v>
      </c>
    </row>
    <row r="31">
      <c r="A31" s="29">
        <f>Input!A31</f>
        <v>30</v>
      </c>
      <c r="B31" s="30" t="str">
        <f>Input!B31</f>
        <v>Liz Cheney will not nominate for the presidency in 2023.</v>
      </c>
      <c r="C31" s="29" t="str">
        <f>Input!C31</f>
        <v>Politics</v>
      </c>
      <c r="D31" s="31">
        <v>0.8</v>
      </c>
    </row>
    <row r="32">
      <c r="A32" s="29">
        <f>Input!A32</f>
        <v>31</v>
      </c>
      <c r="B32" s="30" t="str">
        <f>Input!B32</f>
        <v>China will eliminate at least one existing trade sanction against Australia</v>
      </c>
      <c r="C32" s="29" t="str">
        <f>Input!C32</f>
        <v>Politics</v>
      </c>
      <c r="D32" s="31">
        <v>0.9</v>
      </c>
    </row>
    <row r="33">
      <c r="A33" s="29">
        <f>Input!A33</f>
        <v>32</v>
      </c>
      <c r="B33" s="30" t="str">
        <f>Input!B33</f>
        <v>China will not be admitted to full membership of the Comprehensive and Progressive Agreement for Trans-Pacific Partnership</v>
      </c>
      <c r="C33" s="29" t="str">
        <f>Input!C33</f>
        <v>Politics</v>
      </c>
      <c r="D33" s="31">
        <v>0.95</v>
      </c>
    </row>
    <row r="34">
      <c r="A34" s="29">
        <f>Input!A34</f>
        <v>33</v>
      </c>
      <c r="B34" s="30" t="str">
        <f>Input!B34</f>
        <v>Henry Kissinger will die</v>
      </c>
      <c r="C34" s="29" t="str">
        <f>Input!C34</f>
        <v>Politics</v>
      </c>
      <c r="D34" s="31">
        <v>0.7</v>
      </c>
    </row>
    <row r="35">
      <c r="A35" s="29">
        <f>Input!A35</f>
        <v>34</v>
      </c>
      <c r="B35" s="32" t="str">
        <f>Input!B35</f>
        <v>The Australian government will announce that the referendum for the Indigenous Voice to Parliament will occur in 2024</v>
      </c>
      <c r="C35" s="29" t="str">
        <f>Input!C35</f>
        <v>Politics</v>
      </c>
      <c r="D35" s="31">
        <v>0.3</v>
      </c>
    </row>
    <row r="36">
      <c r="A36" s="29">
        <f>Input!A36</f>
        <v>35</v>
      </c>
      <c r="B36" s="32" t="str">
        <f>Input!B36</f>
        <v>Labor will win the NSW state election</v>
      </c>
      <c r="C36" s="29" t="str">
        <f>Input!C36</f>
        <v>Politics</v>
      </c>
      <c r="D36" s="31">
        <v>0.7</v>
      </c>
    </row>
    <row r="37">
      <c r="A37" s="29">
        <f>Input!A37</f>
        <v>36</v>
      </c>
      <c r="B37" s="30" t="str">
        <f>Input!B37</f>
        <v>There will be international concerns about the validity of the results of the Myanmar general election e.g. being a 'fair election', counting irregularities (as reported in The Guardian or wikipedia)</v>
      </c>
      <c r="C37" s="29" t="str">
        <f>Input!C37</f>
        <v>Politics</v>
      </c>
      <c r="D37" s="31">
        <v>0.9</v>
      </c>
    </row>
    <row r="38">
      <c r="A38" s="29">
        <f>Input!A38</f>
        <v>37</v>
      </c>
      <c r="B38" s="30" t="str">
        <f>Input!B38</f>
        <v>At least one senior public servant (Deputy Secretary or above) will face disciplinary action from the Robodebt royal commission</v>
      </c>
      <c r="C38" s="29" t="str">
        <f>Input!C38</f>
        <v>Politics</v>
      </c>
      <c r="D38" s="31">
        <v>0.6</v>
      </c>
    </row>
    <row r="39">
      <c r="A39" s="29">
        <f>Input!A39</f>
        <v>38</v>
      </c>
      <c r="B39" s="30" t="str">
        <f>Input!B39</f>
        <v>China invades Taiwan</v>
      </c>
      <c r="C39" s="29" t="str">
        <f>Input!C39</f>
        <v>Politics</v>
      </c>
      <c r="D39" s="31">
        <v>0.2</v>
      </c>
    </row>
    <row r="40">
      <c r="A40" s="29">
        <f>Input!A40</f>
        <v>39</v>
      </c>
      <c r="B40" s="30" t="str">
        <f>Input!B40</f>
        <v>The war in Ukraine will be declared over over by MSM</v>
      </c>
      <c r="C40" s="29" t="str">
        <f>Input!C40</f>
        <v>Politics</v>
      </c>
      <c r="D40" s="31">
        <v>0.1</v>
      </c>
    </row>
    <row r="41">
      <c r="A41" s="29">
        <f>Input!A41</f>
        <v>40</v>
      </c>
      <c r="B41" s="30" t="str">
        <f>Input!B41</f>
        <v>Chris Hipkins will be Prime Minister of NZ</v>
      </c>
      <c r="C41" s="29" t="str">
        <f>Input!C41</f>
        <v>Politics</v>
      </c>
      <c r="D41" s="31">
        <v>0.3</v>
      </c>
    </row>
    <row r="42">
      <c r="A42" s="29">
        <f>Input!A42</f>
        <v>41</v>
      </c>
      <c r="B42" s="30" t="str">
        <f>Input!B42</f>
        <v>Two or more republican presidential candidates will state their intention to build a wall on the southern border, and at least one will favorably compare their wall plan to the other candidate's, noting physical features such as height, building material, moats etc.</v>
      </c>
      <c r="C42" s="29" t="str">
        <f>Input!C42</f>
        <v>Politics</v>
      </c>
      <c r="D42" s="31">
        <v>0.6</v>
      </c>
    </row>
    <row r="43">
      <c r="A43" s="29">
        <f>Input!A43</f>
        <v>42</v>
      </c>
      <c r="B43" s="30" t="str">
        <f>Input!B43</f>
        <v>Sunak will be British Prime Minister throughout 2023</v>
      </c>
      <c r="C43" s="29" t="str">
        <f>Input!C43</f>
        <v>Politics</v>
      </c>
      <c r="D43" s="31">
        <v>0.99</v>
      </c>
    </row>
    <row r="44">
      <c r="A44" s="29">
        <f>Input!A44</f>
        <v>43</v>
      </c>
      <c r="B44" s="30" t="str">
        <f>Input!B44</f>
        <v>Nikii Haley will drop out of the running for president</v>
      </c>
      <c r="C44" s="29" t="str">
        <f>Input!C44</f>
        <v>Politics</v>
      </c>
      <c r="D44" s="31">
        <v>0.15</v>
      </c>
    </row>
    <row r="45">
      <c r="A45" s="29">
        <f>Input!A45</f>
        <v>44</v>
      </c>
      <c r="B45" s="30" t="str">
        <f>Input!B45</f>
        <v>The Telstra  NATSIAA bark painting award will be won by an artist from the Buku-Larrnggay Mulka Centre</v>
      </c>
      <c r="C45" s="29" t="str">
        <f>Input!C45</f>
        <v>Society</v>
      </c>
      <c r="D45" s="31">
        <v>0.6</v>
      </c>
    </row>
    <row r="46">
      <c r="A46" s="29">
        <f>Input!A46</f>
        <v>45</v>
      </c>
      <c r="B46" s="30" t="str">
        <f>Input!B46</f>
        <v>Kanye West arrested or involved in police shooting</v>
      </c>
      <c r="C46" s="29" t="str">
        <f>Input!C46</f>
        <v>Society</v>
      </c>
      <c r="D46" s="31">
        <v>0.1</v>
      </c>
    </row>
    <row r="47">
      <c r="A47" s="29">
        <f>Input!A47</f>
        <v>46</v>
      </c>
      <c r="B47" s="30" t="str">
        <f>Input!B47</f>
        <v>The Pantone colour of the year for 2023 is ‘Viva Magenta’, a nuanced crimson red with pink tones that presents a balance between warm and cool. Rooted in nature, this hybrid colour is powerful, empowering and assertive, but not aggressive – it encourages experimentation and self-expression without restraint. In recent years, the Pantone colour of the year were periwinkle; yellow and grey; classic blue; coral. Prediction: The Pantone colour of the year for 2024 will be a green tone (that is, either ‘green’ is used by Pantone in the description, or if the values in RBY values indicates green).</v>
      </c>
      <c r="C47" s="29" t="str">
        <f>Input!C47</f>
        <v>Society</v>
      </c>
      <c r="D47" s="31">
        <v>0.4</v>
      </c>
    </row>
    <row r="48">
      <c r="A48" s="29">
        <f>Input!A48</f>
        <v>47</v>
      </c>
      <c r="B48" s="30" t="str">
        <f>Input!B48</f>
        <v>According to ‘BabyCenter.com’, the name Harry ranked #607 in 2022. I predict that Harry will drop by at least 50 places in 2023 – when checked on 23 December 2023.</v>
      </c>
      <c r="C48" s="29" t="str">
        <f>Input!C48</f>
        <v>Society</v>
      </c>
      <c r="D48" s="31">
        <v>0.2</v>
      </c>
    </row>
    <row r="49">
      <c r="A49" s="29">
        <f>Input!A49</f>
        <v>48</v>
      </c>
      <c r="B49" s="30" t="str">
        <f>Input!B49</f>
        <v>According to ‘BabyCenter.com’, the name Meghan ranked #1,450 in 2022. I predict that Meghan will drop by at least 100 places in 2023 – when checked on 23 December 2023.'</v>
      </c>
      <c r="C49" s="29" t="str">
        <f>Input!C49</f>
        <v>Society</v>
      </c>
      <c r="D49" s="31">
        <v>0.2</v>
      </c>
    </row>
    <row r="50">
      <c r="A50" s="29">
        <f>Input!A50</f>
        <v>49</v>
      </c>
      <c r="B50" s="30" t="str">
        <f>Input!B50</f>
        <v>Rafa Nadal will announce his retirement from playing grand slam singles.</v>
      </c>
      <c r="C50" s="29" t="str">
        <f>Input!C50</f>
        <v>Sport</v>
      </c>
      <c r="D50" s="31">
        <v>0.8</v>
      </c>
    </row>
    <row r="51">
      <c r="A51" s="29">
        <f>Input!A51</f>
        <v>50</v>
      </c>
      <c r="B51" s="30" t="str">
        <f>Input!B51</f>
        <v>Australia will win the netball World Cup</v>
      </c>
      <c r="C51" s="29" t="str">
        <f>Input!C51</f>
        <v>Sport</v>
      </c>
      <c r="D51" s="31">
        <v>0.7</v>
      </c>
    </row>
    <row r="52">
      <c r="A52" s="29">
        <f>Input!A52</f>
        <v>51</v>
      </c>
      <c r="B52" s="30" t="str">
        <f>Input!B52</f>
        <v>Ireland will win the Rugby World Cup</v>
      </c>
      <c r="C52" s="29" t="str">
        <f>Input!C52</f>
        <v>Sport</v>
      </c>
      <c r="D52" s="31">
        <v>0.2</v>
      </c>
    </row>
    <row r="53">
      <c r="A53" s="29">
        <f>Input!A53</f>
        <v>52</v>
      </c>
      <c r="B53" s="30" t="str">
        <f>Input!B53</f>
        <v>Warner will have to be dropped as Test match opener sometime during 2023 if not before</v>
      </c>
      <c r="C53" s="29" t="str">
        <f>Input!C53</f>
        <v>Sport</v>
      </c>
      <c r="D53" s="31">
        <v>0.9</v>
      </c>
    </row>
    <row r="54">
      <c r="A54" s="29">
        <f>Input!A54</f>
        <v>53</v>
      </c>
      <c r="B54" s="30" t="str">
        <f>Input!B54</f>
        <v>Boland will oust Hazlewood in at least one test during 2023</v>
      </c>
      <c r="C54" s="29" t="str">
        <f>Input!C54</f>
        <v>Sport</v>
      </c>
      <c r="D54" s="31">
        <v>0.2</v>
      </c>
    </row>
    <row r="55">
      <c r="A55" s="29">
        <f>Input!A55</f>
        <v>54</v>
      </c>
      <c r="B55" s="30" t="str">
        <f>Input!B55</f>
        <v>Team Haas will be 7th or higher in the 2023 F1 constructor's championship</v>
      </c>
      <c r="C55" s="29" t="str">
        <f>Input!C55</f>
        <v>Sport</v>
      </c>
      <c r="D55" s="31">
        <v>0.3</v>
      </c>
    </row>
    <row r="56">
      <c r="A56" s="29">
        <f>Input!A56</f>
        <v>55</v>
      </c>
      <c r="B56" s="30" t="str">
        <f>Input!B56</f>
        <v>Daniel Ricardo signs as a driver with an F1 Team for 2024</v>
      </c>
      <c r="C56" s="29" t="str">
        <f>Input!C56</f>
        <v>Sport</v>
      </c>
      <c r="D56" s="31">
        <v>0.2</v>
      </c>
    </row>
    <row r="57">
      <c r="A57" s="29">
        <f>Input!A57</f>
        <v>56</v>
      </c>
      <c r="B57" s="30" t="str">
        <f>Input!B57</f>
        <v>At least 41% of NZ's energy comes from rewewable sources </v>
      </c>
      <c r="C57" s="29" t="str">
        <f>Input!C57</f>
        <v>Technology</v>
      </c>
      <c r="D57" s="31">
        <v>0.8</v>
      </c>
    </row>
    <row r="58">
      <c r="A58" s="29">
        <f>Input!A58</f>
        <v>57</v>
      </c>
      <c r="B58" s="30" t="str">
        <f>Input!B58</f>
        <v>An image or video scandal involving a public figure will be reported in the guardian, with the report (or the person themselves) raising the possibility that the images or video are 'deepfakes' or AI-generated</v>
      </c>
      <c r="C58" s="29" t="str">
        <f>Input!C58</f>
        <v>Technology</v>
      </c>
      <c r="D58" s="31">
        <v>0.5</v>
      </c>
    </row>
    <row r="59">
      <c r="A59" s="29">
        <f>Input!A59</f>
        <v>58</v>
      </c>
      <c r="B59" s="30" t="str">
        <f>Input!B59</f>
        <v>The first orbital launch attempt of SpaceX's starship will occur in 2023, with the vehicle being destroyed on re-entry</v>
      </c>
      <c r="C59" s="29" t="str">
        <f>Input!C59</f>
        <v>Technology</v>
      </c>
      <c r="D59" s="31">
        <v>0.2</v>
      </c>
    </row>
    <row r="60">
      <c r="A60" s="29">
        <f>Input!A60</f>
        <v>59</v>
      </c>
      <c r="B60" s="30" t="str">
        <f>Input!B60</f>
        <v>Elon Musk will commercially launch a virtual/altered reality software or piece of hardware.</v>
      </c>
      <c r="C60" s="29" t="str">
        <f>Input!C60</f>
        <v>Technology</v>
      </c>
      <c r="D60" s="31">
        <v>0.5</v>
      </c>
    </row>
    <row r="61">
      <c r="A61" s="29">
        <f>Input!A61</f>
        <v>60</v>
      </c>
      <c r="B61" s="30" t="str">
        <f>Input!B61</f>
        <v>A country enshrines some form of rights/personhood/protection of AI systems motivated by the welfare of the system itself</v>
      </c>
      <c r="C61" s="29" t="str">
        <f>Input!C61</f>
        <v>Technology</v>
      </c>
      <c r="D61" s="31">
        <v>0.2</v>
      </c>
    </row>
    <row r="62">
      <c r="A62" s="29" t="str">
        <f>Input!A62</f>
        <v/>
      </c>
      <c r="B62" s="30" t="str">
        <f>Input!B62</f>
        <v/>
      </c>
      <c r="C62" s="29" t="str">
        <f>Input!C62</f>
        <v/>
      </c>
      <c r="D62" s="33"/>
    </row>
    <row r="63">
      <c r="A63" s="29" t="str">
        <f>Input!A63</f>
        <v/>
      </c>
      <c r="B63" s="30" t="str">
        <f>Input!B63</f>
        <v/>
      </c>
      <c r="C63" s="29" t="str">
        <f>Input!C63</f>
        <v/>
      </c>
      <c r="D63" s="33"/>
    </row>
    <row r="64">
      <c r="A64" s="29" t="str">
        <f>Input!A64</f>
        <v/>
      </c>
      <c r="B64" s="30" t="str">
        <f>Input!B64</f>
        <v/>
      </c>
      <c r="C64" s="29" t="str">
        <f>Input!C64</f>
        <v/>
      </c>
      <c r="D64" s="33"/>
    </row>
    <row r="65">
      <c r="A65" s="29" t="str">
        <f>Input!A65</f>
        <v/>
      </c>
      <c r="B65" s="30" t="str">
        <f>Input!B65</f>
        <v/>
      </c>
      <c r="C65" s="29" t="str">
        <f>Input!C65</f>
        <v/>
      </c>
      <c r="D65" s="33"/>
    </row>
    <row r="66">
      <c r="A66" s="29" t="str">
        <f>Input!A66</f>
        <v/>
      </c>
      <c r="B66" s="30" t="str">
        <f>Input!B66</f>
        <v/>
      </c>
      <c r="C66" s="29" t="str">
        <f>Input!C66</f>
        <v/>
      </c>
      <c r="D66" s="33"/>
    </row>
    <row r="67">
      <c r="A67" s="15" t="str">
        <f>Input!A67</f>
        <v/>
      </c>
      <c r="B67" s="20" t="str">
        <f>Input!B67</f>
        <v/>
      </c>
      <c r="C67" s="15" t="str">
        <f>Input!C67</f>
        <v/>
      </c>
    </row>
    <row r="68">
      <c r="A68" s="15" t="str">
        <f>Input!A68</f>
        <v/>
      </c>
      <c r="B68" s="20" t="str">
        <f>Input!B68</f>
        <v>Top score</v>
      </c>
      <c r="C68" s="15" t="str">
        <f>Input!C68</f>
        <v/>
      </c>
    </row>
    <row r="69">
      <c r="A69" s="15" t="str">
        <f>Input!A69</f>
        <v/>
      </c>
      <c r="B69" s="20" t="str">
        <f>Input!B69</f>
        <v>Bottom score</v>
      </c>
      <c r="C69" s="15" t="str">
        <f>Input!C69</f>
        <v/>
      </c>
    </row>
    <row r="70">
      <c r="A70" s="15" t="str">
        <f>Input!A70</f>
        <v/>
      </c>
      <c r="B70" s="20" t="str">
        <f>Input!B70</f>
        <v>Avg +ve</v>
      </c>
      <c r="C70" s="15" t="str">
        <f>Input!C70</f>
        <v/>
      </c>
    </row>
    <row r="71">
      <c r="A71" s="15" t="str">
        <f>Input!A71</f>
        <v/>
      </c>
      <c r="B71" s="20" t="str">
        <f>Input!B71</f>
        <v>Avg -ve</v>
      </c>
      <c r="C71" s="15" t="str">
        <f>Input!C71</f>
        <v/>
      </c>
    </row>
    <row r="72">
      <c r="A72" s="15" t="str">
        <f>Input!A72</f>
        <v/>
      </c>
      <c r="B72" s="20" t="str">
        <f>Input!B72</f>
        <v>avg mag.</v>
      </c>
      <c r="C72" s="15" t="str">
        <f>Input!C72</f>
        <v/>
      </c>
    </row>
    <row r="73">
      <c r="A73" s="15" t="str">
        <f>Input!A73</f>
        <v/>
      </c>
      <c r="B73" s="20" t="str">
        <f>Input!B73</f>
        <v/>
      </c>
      <c r="C73" s="15" t="str">
        <f>Input!C73</f>
        <v/>
      </c>
    </row>
    <row r="74">
      <c r="A74" s="15" t="str">
        <f>Input!A74</f>
        <v/>
      </c>
      <c r="B74" s="20" t="str">
        <f>Input!B74</f>
        <v/>
      </c>
      <c r="C74" s="15" t="str">
        <f>Input!C74</f>
        <v/>
      </c>
    </row>
    <row r="75">
      <c r="A75" s="15" t="str">
        <f>Input!A75</f>
        <v/>
      </c>
      <c r="B75" s="20" t="str">
        <f>Input!B75</f>
        <v/>
      </c>
      <c r="C75" s="15" t="str">
        <f>Input!C75</f>
        <v/>
      </c>
    </row>
    <row r="76">
      <c r="A76" s="15" t="str">
        <f>Input!A76</f>
        <v/>
      </c>
      <c r="B76" s="20" t="str">
        <f>Input!B76</f>
        <v/>
      </c>
      <c r="C76" s="15" t="str">
        <f>Input!C76</f>
        <v/>
      </c>
    </row>
    <row r="77">
      <c r="A77" s="15" t="str">
        <f>Input!A77</f>
        <v/>
      </c>
      <c r="B77" s="20" t="str">
        <f>Input!B77</f>
        <v/>
      </c>
      <c r="C77" s="15" t="str">
        <f>Input!C77</f>
        <v/>
      </c>
    </row>
    <row r="78">
      <c r="A78" s="15" t="str">
        <f>Input!A78</f>
        <v/>
      </c>
      <c r="B78" s="20" t="str">
        <f>Input!B78</f>
        <v/>
      </c>
      <c r="C78" s="15" t="str">
        <f>Input!C78</f>
        <v/>
      </c>
    </row>
    <row r="79">
      <c r="A79" s="15" t="str">
        <f>Input!A79</f>
        <v/>
      </c>
      <c r="B79" s="20" t="str">
        <f>Input!B79</f>
        <v/>
      </c>
      <c r="C79" s="15" t="str">
        <f>Input!C79</f>
        <v/>
      </c>
    </row>
    <row r="80">
      <c r="A80" s="15" t="str">
        <f>Input!A80</f>
        <v/>
      </c>
      <c r="B80" s="20" t="str">
        <f>Input!B80</f>
        <v/>
      </c>
      <c r="C80" s="15" t="str">
        <f>Input!C80</f>
        <v/>
      </c>
    </row>
    <row r="81">
      <c r="A81" s="15" t="str">
        <f>Input!A81</f>
        <v/>
      </c>
      <c r="B81" s="20" t="str">
        <f>Input!B81</f>
        <v/>
      </c>
      <c r="C81" s="15" t="str">
        <f>Input!C81</f>
        <v/>
      </c>
    </row>
    <row r="82">
      <c r="A82" s="15" t="str">
        <f>Input!A82</f>
        <v/>
      </c>
      <c r="B82" s="20" t="str">
        <f>Input!B82</f>
        <v/>
      </c>
      <c r="C82" s="15" t="str">
        <f>Input!C82</f>
        <v/>
      </c>
    </row>
    <row r="83">
      <c r="A83" s="15" t="str">
        <f>Input!A83</f>
        <v/>
      </c>
      <c r="B83" s="20" t="str">
        <f>Input!B83</f>
        <v/>
      </c>
      <c r="C83" s="15" t="str">
        <f>Input!C83</f>
        <v/>
      </c>
    </row>
    <row r="84">
      <c r="A84" s="15" t="str">
        <f>Input!A84</f>
        <v/>
      </c>
      <c r="B84" s="20" t="str">
        <f>Input!B84</f>
        <v/>
      </c>
      <c r="C84" s="15" t="str">
        <f>Input!C84</f>
        <v/>
      </c>
    </row>
    <row r="85">
      <c r="A85" s="15" t="str">
        <f>Input!A85</f>
        <v/>
      </c>
      <c r="B85" s="20" t="str">
        <f>Input!B85</f>
        <v/>
      </c>
      <c r="C85" s="15" t="str">
        <f>Input!C85</f>
        <v/>
      </c>
    </row>
    <row r="86">
      <c r="A86" s="15" t="str">
        <f>Input!A86</f>
        <v/>
      </c>
      <c r="B86" s="20" t="str">
        <f>Input!B86</f>
        <v/>
      </c>
      <c r="C86" s="15" t="str">
        <f>Input!C86</f>
        <v/>
      </c>
    </row>
    <row r="87">
      <c r="A87" s="15" t="str">
        <f>Input!A87</f>
        <v/>
      </c>
      <c r="B87" s="20" t="str">
        <f>Input!B87</f>
        <v/>
      </c>
      <c r="C87" s="15" t="str">
        <f>Input!C87</f>
        <v/>
      </c>
    </row>
    <row r="88">
      <c r="A88" s="15" t="str">
        <f>Input!A88</f>
        <v/>
      </c>
      <c r="B88" s="20" t="str">
        <f>Input!B88</f>
        <v/>
      </c>
      <c r="C88" s="15" t="str">
        <f>Input!C88</f>
        <v/>
      </c>
    </row>
    <row r="89">
      <c r="A89" s="15" t="str">
        <f>Input!A89</f>
        <v/>
      </c>
      <c r="B89" s="20" t="str">
        <f>Input!B89</f>
        <v/>
      </c>
      <c r="C89" s="15" t="str">
        <f>Input!C89</f>
        <v/>
      </c>
    </row>
    <row r="90">
      <c r="A90" s="15" t="str">
        <f>Input!A90</f>
        <v/>
      </c>
      <c r="B90" s="20" t="str">
        <f>Input!B90</f>
        <v/>
      </c>
      <c r="C90" s="15" t="str">
        <f>Input!C90</f>
        <v/>
      </c>
    </row>
    <row r="91">
      <c r="A91" s="15" t="str">
        <f>Input!A91</f>
        <v/>
      </c>
      <c r="B91" s="20" t="str">
        <f>Input!B91</f>
        <v/>
      </c>
      <c r="C91" s="15" t="str">
        <f>Input!C91</f>
        <v/>
      </c>
    </row>
    <row r="92">
      <c r="A92" s="15" t="str">
        <f>Input!A92</f>
        <v/>
      </c>
      <c r="B92" s="20" t="str">
        <f>Input!B92</f>
        <v/>
      </c>
      <c r="C92" s="15" t="str">
        <f>Input!C92</f>
        <v/>
      </c>
    </row>
    <row r="93">
      <c r="A93" s="15" t="str">
        <f>Input!A93</f>
        <v/>
      </c>
      <c r="B93" s="20" t="str">
        <f>Input!B93</f>
        <v/>
      </c>
      <c r="C93" s="15" t="str">
        <f>Input!C93</f>
        <v/>
      </c>
    </row>
    <row r="94">
      <c r="A94" s="15" t="str">
        <f>Input!A94</f>
        <v/>
      </c>
      <c r="B94" s="20" t="str">
        <f>Input!B94</f>
        <v/>
      </c>
      <c r="C94" s="15" t="str">
        <f>Input!C94</f>
        <v/>
      </c>
    </row>
    <row r="95">
      <c r="A95" s="15" t="str">
        <f>Input!A95</f>
        <v/>
      </c>
      <c r="B95" s="20" t="str">
        <f>Input!B95</f>
        <v/>
      </c>
      <c r="C95" s="15" t="str">
        <f>Input!C95</f>
        <v/>
      </c>
    </row>
    <row r="96">
      <c r="A96" s="15" t="str">
        <f>Input!A96</f>
        <v/>
      </c>
      <c r="B96" s="20" t="str">
        <f>Input!B96</f>
        <v/>
      </c>
      <c r="C96" s="15" t="str">
        <f>Input!C96</f>
        <v/>
      </c>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sheetData>
  <drawing r:id="rId1"/>
</worksheet>
</file>