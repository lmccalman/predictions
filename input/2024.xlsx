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tatements" sheetId="2" r:id="rId6"/>
    <sheet state="visible" name="Analysis" sheetId="3" r:id="rId7"/>
    <sheet state="visible" name="Andrew" sheetId="4" r:id="rId8"/>
    <sheet state="visible" name="Bruce" sheetId="5" r:id="rId9"/>
    <sheet state="visible" name="Eileen" sheetId="6" r:id="rId10"/>
    <sheet state="visible" name="Gael" sheetId="7" r:id="rId11"/>
    <sheet state="visible" name="Iain" sheetId="8" r:id="rId12"/>
    <sheet state="visible" name="Jac" sheetId="9" r:id="rId13"/>
    <sheet state="visible" name="James" sheetId="10" r:id="rId14"/>
    <sheet state="visible" name="Kate" sheetId="11" r:id="rId15"/>
    <sheet state="visible" name="Lachy" sheetId="12" r:id="rId16"/>
    <sheet state="visible" name="Pete" sheetId="13" r:id="rId17"/>
    <sheet state="visible" name="Rohan" sheetId="14" r:id="rId18"/>
    <sheet state="hidden" name="Christine" sheetId="15" r:id="rId19"/>
  </sheets>
  <definedNames/>
  <calcPr/>
</workbook>
</file>

<file path=xl/sharedStrings.xml><?xml version="1.0" encoding="utf-8"?>
<sst xmlns="http://schemas.openxmlformats.org/spreadsheetml/2006/main" count="465" uniqueCount="124">
  <si>
    <t>Predictions resolved</t>
  </si>
  <si>
    <t>Predictions to come</t>
  </si>
  <si>
    <t>Number</t>
  </si>
  <si>
    <t>Prediction</t>
  </si>
  <si>
    <t>Author</t>
  </si>
  <si>
    <t>Category</t>
  </si>
  <si>
    <t>Outcome (1 = true, 0 = false)</t>
  </si>
  <si>
    <t>Andrew</t>
  </si>
  <si>
    <t>Eileen</t>
  </si>
  <si>
    <t>Iain</t>
  </si>
  <si>
    <t>Kate</t>
  </si>
  <si>
    <t>Rohan</t>
  </si>
  <si>
    <t>Pete</t>
  </si>
  <si>
    <t>Jac</t>
  </si>
  <si>
    <t>James</t>
  </si>
  <si>
    <t>Lachy</t>
  </si>
  <si>
    <t>Gael</t>
  </si>
  <si>
    <t>Bruce</t>
  </si>
  <si>
    <t>Total</t>
  </si>
  <si>
    <t>”What was I made for?” (Billie Eilish) wins Best Music - Original Song at the Oscars</t>
  </si>
  <si>
    <t>Christine</t>
  </si>
  <si>
    <t>Entertainment</t>
  </si>
  <si>
    <t>-</t>
  </si>
  <si>
    <t>NewJeans surpass 13M subscribers on instagram (currently 11.3M)</t>
  </si>
  <si>
    <t>Timothee and Kylie break up</t>
  </si>
  <si>
    <t>A guest on Hot Ones will not complete the full set of hot sauces/wings</t>
  </si>
  <si>
    <t>An alone participant in a 2024 season (Australia/Denmark/UK) will fall ill from eating poisonous fruit they misidentify</t>
  </si>
  <si>
    <t>An Australian or New Zealand restaurant will feature on the 2024 "World's 50 Best Restaurants" list</t>
  </si>
  <si>
    <t>Dex (Kim Jin Young) will feature as a guest or star in a food-based show available on Netflix AU/NZ</t>
  </si>
  <si>
    <t>Taylor will break up with Travis</t>
  </si>
  <si>
    <t>Taylor will release the re-record of her debut album in 2024.</t>
  </si>
  <si>
    <t>Barbie will win best picture at the academy awards.</t>
  </si>
  <si>
    <t>Kate will win at least two prizes for her Phillip and Bennelong book.</t>
  </si>
  <si>
    <t>Family</t>
  </si>
  <si>
    <t>Baby Starmeadow will be under 50cm long at birth (Oz average is 50.8cm).</t>
  </si>
  <si>
    <t>The Reserve Bank will announce at least three interest rate reductions in 2024</t>
  </si>
  <si>
    <t>Finance</t>
  </si>
  <si>
    <t>Bruce Lehrmann will be awarded damages</t>
  </si>
  <si>
    <t>Law</t>
  </si>
  <si>
    <t>Chinese courts will refuse Evergrande liquidators’ requests to seize the developer’s assets in mainland China</t>
  </si>
  <si>
    <t>David McBride will be sentenced to a lifetime jail sentence</t>
  </si>
  <si>
    <t>The federal court will find that Bruce Lehrmann was not defamed</t>
  </si>
  <si>
    <t>OpenAI successfully defends the New York Times' claim on the basis of fair use</t>
  </si>
  <si>
    <t>2024 will be the hottest European summer on record.</t>
  </si>
  <si>
    <t>Nature</t>
  </si>
  <si>
    <t>The  NOAA will announce an alert level 5 bleaching event on the Great Barrier Reef</t>
  </si>
  <si>
    <t>At least three cyclones will drench North Queensland before the end of the year.</t>
  </si>
  <si>
    <t>A head of state or relevant minister from an island nation will declare their geographic country no longer inhabitable in the long term, due to climate-related issues. This will include a commitment to relevant action of some kind</t>
  </si>
  <si>
    <t>Politics</t>
  </si>
  <si>
    <t>Trump will promise to enact an order or legislation with the express intention of negatively impacting Taylor Swift</t>
  </si>
  <si>
    <t>Netanyahu will lose the prime ministership of Israel during 2024</t>
  </si>
  <si>
    <t>There will be an Australian Federal election in 2024</t>
  </si>
  <si>
    <t>Donald Trump will get less of the Popular vote than the Democratic candidate.</t>
  </si>
  <si>
    <t>An Australian Aboriginal organisation will sign at least one state-based treaty this year.</t>
  </si>
  <si>
    <t>Donald Trump will not go to prison this year.</t>
  </si>
  <si>
    <t>Modi will be re-elected in the upcoming Indian election</t>
  </si>
  <si>
    <t>Josh Frydenberg returns to politics, specifically, announces he will contest Kooyong</t>
  </si>
  <si>
    <t>The 2024 US Presidential election result will instigate widespread (multiple cities) violent (with injuries or deaths) unrest</t>
  </si>
  <si>
    <t>Taylor swift will be credited/mentioned in U.S legislation created this year.</t>
  </si>
  <si>
    <t>The guardian Australia will publish more articles covering the UK election than the Russian and Ukrainian elections combined.</t>
  </si>
  <si>
    <t>Pope Francis will retire.</t>
  </si>
  <si>
    <t>Religion</t>
  </si>
  <si>
    <t>King Charles will announce his abdication of the throne</t>
  </si>
  <si>
    <t>Royals</t>
  </si>
  <si>
    <t>Prince Andrew remains resident of the Royal Lodge until 15 Dec 2024</t>
  </si>
  <si>
    <t>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t>
  </si>
  <si>
    <t>A direct flight between Canberra and Queenstown will commence and run at regular intervals (at least fortnightly, completing at least 3 cycles of its schedule)</t>
  </si>
  <si>
    <t>Society</t>
  </si>
  <si>
    <t>Canberra restaurants will have more than 30 hats by the end of 2024 as per the Australian Good Food Guide</t>
  </si>
  <si>
    <t>Pantone Colour of the Year for 2025 is a blue tone colour (either it has the word blue in its name, or is closer to blue on the colour scale - e.g. teal is considered blue tone, but turquoise is considered green tone)</t>
  </si>
  <si>
    <t>Elon Musk confirmed to have another child on the way</t>
  </si>
  <si>
    <t>A notional 0 will be given to a student in any of Rohans classes for being caught using ai in an assignment.</t>
  </si>
  <si>
    <t>Rafael Nadal will win the French tennis open in 2024</t>
  </si>
  <si>
    <t>Sport</t>
  </si>
  <si>
    <t>The AFL premiership will be won by a team whose name starts with a letter from the second half of the alphabet</t>
  </si>
  <si>
    <t>Australia will win more medals at the Paris Olympics than the last Olympics.</t>
  </si>
  <si>
    <t>Brisbane will win the AFL Grand Final.</t>
  </si>
  <si>
    <t>Collingwood will win the Grand Final</t>
  </si>
  <si>
    <t>Australia will win at least 9 gold in swimming at the Paris Olympics (they won 9 at Tokyo2020)</t>
  </si>
  <si>
    <t>China will win the most gold medals of any nation at the Paris Olympics</t>
  </si>
  <si>
    <t>Australia will collect fewer medals at the forthcoming 2024 Olympics than they did at their last Olympics (Tokyo 2021, 46 medals) and will be ranked lower than 6th (as they were in Tokyo).</t>
  </si>
  <si>
    <t>Central Coast Mariners will win the A league premiership this year.</t>
  </si>
  <si>
    <t>The Tour de France will not be won by a French national in 2024.</t>
  </si>
  <si>
    <t>Sergio Perez’s average qualifying position will be below p6.</t>
  </si>
  <si>
    <t>A service will exist to generate full episodes of bespoke TV (or films) based on prompts about the plot and casting</t>
  </si>
  <si>
    <t>Technology</t>
  </si>
  <si>
    <t>Materially adverse complications arise to human subjects that have Neuralink installed</t>
  </si>
  <si>
    <t>Some UAPs confirmed to be military aircraft by government officials or an official government statement</t>
  </si>
  <si>
    <t>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t>
  </si>
  <si>
    <t>An AI model whose architecture is not a GPT-style transformer will spend any amount of time at the top of the LMSYS Chatbot Arena Leaderboard (https://huggingface.co/spaces/lmsys/chatbot-arena-leaderboard).</t>
  </si>
  <si>
    <t>SpaceX's Starship vehicle will complete at least 1 full orbit of the Earth</t>
  </si>
  <si>
    <t>A reputable newspaper publishes a story that Kate Middleton's disappearance is linked to William getting funky with Lady Rose Hanbury (otherwise known as: the Marchioness of Molmondeley)</t>
  </si>
  <si>
    <t>TOTAL</t>
  </si>
  <si>
    <t>Top score</t>
  </si>
  <si>
    <t>Bottom score</t>
  </si>
  <si>
    <t>Avg +ve</t>
  </si>
  <si>
    <t>Avg -ve</t>
  </si>
  <si>
    <t>Top scorers</t>
  </si>
  <si>
    <t>Worst scorers</t>
  </si>
  <si>
    <t>Net score</t>
  </si>
  <si>
    <t>Andrew, Eileen</t>
  </si>
  <si>
    <t>Kate, Lachy/Dad</t>
  </si>
  <si>
    <t>Dad, Rohan</t>
  </si>
  <si>
    <t>James, Dad</t>
  </si>
  <si>
    <t>Boof, James</t>
  </si>
  <si>
    <t>James, Boof</t>
  </si>
  <si>
    <t>Eileen, Dad</t>
  </si>
  <si>
    <t>Jac, Lachy, Rohan</t>
  </si>
  <si>
    <t>Kate, Boof, James</t>
  </si>
  <si>
    <t>Lachy/Dad, Jac</t>
  </si>
  <si>
    <t>James, Jac</t>
  </si>
  <si>
    <t>Gael/Dad</t>
  </si>
  <si>
    <t>Boof, Eileen</t>
  </si>
  <si>
    <t>Probability</t>
  </si>
  <si>
    <t>Score</t>
  </si>
  <si>
    <t>NA</t>
  </si>
  <si>
    <t>Highest scoring prediction</t>
  </si>
  <si>
    <t>Lowest scoring prediction</t>
  </si>
  <si>
    <t>min</t>
  </si>
  <si>
    <t>max</t>
  </si>
  <si>
    <t>2024 will be the hottest European summer on record</t>
  </si>
  <si>
    <t>The NOAA will announce an alert level 5 bleaching event on the Great Barrier Reef</t>
  </si>
  <si>
    <t>Donald Trump will not go to prison this year</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</si>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</sst>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1">
    <font>
      <sz val="10.0"/>
      <color rgb="FF000000"/>
      <name val="Arial"/>
      <scheme val="minor"/>
    </font>
    <font>
      <b/>
      <sz val="12.0"/>
      <color theme="1"/>
      <name val="Arial"/>
    </font>
    <font>
      <color theme="1"/>
      <name val="Arial"/>
    </font>
    <font>
      <b/>
      <color theme="1"/>
      <name val="Arial"/>
      <scheme val="minor"/>
    </font>
    <font>
      <b/>
      <color theme="1"/>
      <name val="Arial"/>
    </font>
    <font>
      <color theme="1"/>
      <name val="Arial"/>
      <scheme val="minor"/>
    </font>
    <font>
      <strike/>
      <color theme="1"/>
      <name val="Arial"/>
      <scheme val="minor"/>
    </font>
    <font>
      <color rgb="FF000000"/>
      <name val="&quot;Arial&quot;"/>
    </font>
    <font>
      <color rgb="FFFFFFFF"/>
      <name val="Arial"/>
    </font>
    <font>
      <sz val="9.0"/>
      <color rgb="FFF7981D"/>
      <name val="Arial"/>
    </font>
    <font>
      <i/>
      <color theme="1"/>
      <name val="Arial"/>
      <scheme val="minor"/>
    </font>
  </fonts>
  <fills count="12">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000000"/>
        <bgColor rgb="FF000000"/>
      </patternFill>
    </fill>
    <fill>
      <patternFill patternType="solid">
        <fgColor rgb="FFBDBDBD"/>
        <bgColor rgb="FFBDBDBD"/>
      </patternFill>
    </fill>
    <fill>
      <patternFill patternType="solid">
        <fgColor rgb="FFFFFF00"/>
        <bgColor rgb="FFFFFF00"/>
      </patternFill>
    </fill>
    <fill>
      <patternFill patternType="solid">
        <fgColor rgb="FF93C47D"/>
        <bgColor rgb="FF93C47D"/>
      </patternFill>
    </fill>
    <fill>
      <patternFill patternType="solid">
        <fgColor rgb="FFF1C232"/>
        <bgColor rgb="FFF1C232"/>
      </patternFill>
    </fill>
    <fill>
      <patternFill patternType="solid">
        <fgColor rgb="FFB6D7A8"/>
        <bgColor rgb="FFB6D7A8"/>
      </patternFill>
    </fill>
    <fill>
      <patternFill patternType="solid">
        <fgColor rgb="FFEA9999"/>
        <bgColor rgb="FFEA9999"/>
      </patternFill>
    </fill>
    <fill>
      <patternFill patternType="solid">
        <fgColor theme="6"/>
        <bgColor theme="6"/>
      </patternFill>
    </fill>
  </fills>
  <borders count="6">
    <border/>
    <border>
      <bottom style="thin">
        <color rgb="FF000000"/>
      </bottom>
    </border>
    <border>
      <top style="thin">
        <color rgb="FF000000"/>
      </top>
    </border>
    <border>
      <left style="thin">
        <color rgb="FF000000"/>
      </left>
      <bottom style="thin">
        <color rgb="FF000000"/>
      </bottom>
    </border>
    <border>
      <left style="thin">
        <color rgb="FF000000"/>
      </left>
    </border>
    <border>
      <left style="thin">
        <color rgb="FF000000"/>
      </left>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vertical="bottom"/>
    </xf>
    <xf borderId="0" fillId="2" fontId="1" numFmtId="0" xfId="0" applyAlignment="1" applyFont="1">
      <alignment horizontal="right" vertical="bottom"/>
    </xf>
    <xf borderId="1" fillId="0" fontId="3" numFmtId="0" xfId="0" applyAlignment="1" applyBorder="1" applyFont="1">
      <alignment readingOrder="0"/>
    </xf>
    <xf borderId="1" fillId="0" fontId="3" numFmtId="0" xfId="0" applyAlignment="1" applyBorder="1" applyFont="1">
      <alignment readingOrder="0" shrinkToFit="0" wrapText="1"/>
    </xf>
    <xf borderId="1" fillId="0" fontId="4" numFmtId="0" xfId="0" applyAlignment="1" applyBorder="1" applyFont="1">
      <alignment readingOrder="0" vertical="bottom"/>
    </xf>
    <xf borderId="1" fillId="0" fontId="4" numFmtId="0" xfId="0" applyAlignment="1" applyBorder="1" applyFont="1">
      <alignment vertical="bottom"/>
    </xf>
    <xf borderId="1" fillId="0" fontId="4" numFmtId="0" xfId="0" applyAlignment="1" applyBorder="1" applyFont="1">
      <alignment shrinkToFit="0" vertical="bottom" wrapText="1"/>
    </xf>
    <xf borderId="0" fillId="0" fontId="2" numFmtId="0" xfId="0" applyAlignment="1" applyFont="1">
      <alignment readingOrder="0" vertical="bottom"/>
    </xf>
    <xf borderId="0" fillId="0" fontId="5"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xf>
    <xf borderId="0" fillId="3" fontId="2" numFmtId="164" xfId="0" applyAlignment="1" applyFill="1" applyFont="1" applyNumberFormat="1">
      <alignment horizontal="right" vertical="bottom"/>
    </xf>
    <xf borderId="0" fillId="0" fontId="2" numFmtId="164" xfId="0" applyAlignment="1" applyFont="1" applyNumberFormat="1">
      <alignment vertical="bottom"/>
    </xf>
    <xf borderId="0" fillId="4" fontId="2" numFmtId="164" xfId="0" applyAlignment="1" applyFill="1" applyFont="1" applyNumberFormat="1">
      <alignment horizontal="right" vertical="bottom"/>
    </xf>
    <xf borderId="0" fillId="0" fontId="5" numFmtId="0" xfId="0" applyAlignment="1" applyFont="1">
      <alignment readingOrder="0" shrinkToFit="0" wrapText="1"/>
    </xf>
    <xf borderId="0" fillId="5" fontId="2" numFmtId="164" xfId="0" applyAlignment="1" applyFill="1" applyFont="1" applyNumberFormat="1">
      <alignment horizontal="right" vertical="bottom"/>
    </xf>
    <xf borderId="0" fillId="0" fontId="7" numFmtId="0" xfId="0" applyAlignment="1" applyFont="1">
      <alignment readingOrder="0" shrinkToFit="0" wrapText="1"/>
    </xf>
    <xf borderId="0" fillId="6" fontId="5" numFmtId="0" xfId="0" applyAlignment="1" applyFill="1" applyFont="1">
      <alignment readingOrder="0" shrinkToFit="0" wrapText="1"/>
    </xf>
    <xf borderId="0" fillId="6" fontId="2" numFmtId="164" xfId="0" applyAlignment="1" applyFont="1" applyNumberFormat="1">
      <alignment horizontal="right" vertical="bottom"/>
    </xf>
    <xf borderId="0" fillId="4" fontId="8" numFmtId="164" xfId="0" applyAlignment="1" applyFont="1" applyNumberFormat="1">
      <alignment horizontal="right" readingOrder="0" vertical="bottom"/>
    </xf>
    <xf borderId="0" fillId="0" fontId="5" numFmtId="0" xfId="0" applyAlignment="1" applyFont="1">
      <alignment shrinkToFit="0" wrapText="1"/>
    </xf>
    <xf borderId="2" fillId="0" fontId="4" numFmtId="0" xfId="0" applyAlignment="1" applyBorder="1" applyFont="1">
      <alignment vertical="bottom"/>
    </xf>
    <xf borderId="2" fillId="0" fontId="4" numFmtId="164" xfId="0" applyAlignment="1" applyBorder="1" applyFont="1" applyNumberFormat="1">
      <alignment horizontal="right" vertical="bottom"/>
    </xf>
    <xf borderId="1" fillId="0" fontId="2" numFmtId="0" xfId="0" applyAlignment="1" applyBorder="1" applyFont="1">
      <alignment vertical="bottom"/>
    </xf>
    <xf borderId="1" fillId="0" fontId="4" numFmtId="164" xfId="0" applyAlignment="1" applyBorder="1" applyFont="1" applyNumberFormat="1">
      <alignment horizontal="center" vertical="bottom"/>
    </xf>
    <xf borderId="1" fillId="0" fontId="4" numFmtId="164" xfId="0" applyAlignment="1" applyBorder="1" applyFont="1" applyNumberFormat="1">
      <alignment vertical="bottom"/>
    </xf>
    <xf borderId="1" fillId="0" fontId="4" numFmtId="0" xfId="0" applyAlignment="1" applyBorder="1" applyFont="1">
      <alignment horizontal="center" vertical="bottom"/>
    </xf>
    <xf borderId="0" fillId="0" fontId="2" numFmtId="0" xfId="0" applyAlignment="1" applyFont="1">
      <alignment shrinkToFit="0" vertical="bottom" wrapText="1"/>
    </xf>
    <xf borderId="0" fillId="0" fontId="2" numFmtId="164" xfId="0" applyAlignment="1" applyFont="1" applyNumberFormat="1">
      <alignment horizontal="right" vertical="bottom"/>
    </xf>
    <xf borderId="0" fillId="0" fontId="9" numFmtId="164" xfId="0" applyAlignment="1" applyFont="1" applyNumberFormat="1">
      <alignment horizontal="right" vertical="bottom"/>
    </xf>
    <xf borderId="0" fillId="0" fontId="5" numFmtId="2" xfId="0" applyFont="1" applyNumberFormat="1"/>
    <xf borderId="0" fillId="0" fontId="5" numFmtId="1" xfId="0" applyFont="1" applyNumberFormat="1"/>
    <xf borderId="0" fillId="0" fontId="5" numFmtId="0" xfId="0" applyFont="1"/>
    <xf borderId="0" fillId="6" fontId="5" numFmtId="2" xfId="0" applyFont="1" applyNumberFormat="1"/>
    <xf borderId="1" fillId="0" fontId="3" numFmtId="0" xfId="0" applyBorder="1" applyFont="1"/>
    <xf borderId="1" fillId="0" fontId="3" numFmtId="0" xfId="0" applyAlignment="1" applyBorder="1" applyFont="1">
      <alignment shrinkToFit="0" wrapText="1"/>
    </xf>
    <xf borderId="3" fillId="0" fontId="3" numFmtId="0" xfId="0" applyAlignment="1" applyBorder="1" applyFont="1">
      <alignment readingOrder="0"/>
    </xf>
    <xf borderId="4" fillId="0" fontId="5" numFmtId="0" xfId="0" applyAlignment="1" applyBorder="1" applyFont="1">
      <alignment readingOrder="0"/>
    </xf>
    <xf borderId="0" fillId="0" fontId="5" numFmtId="164" xfId="0" applyAlignment="1" applyFont="1" applyNumberFormat="1">
      <alignment readingOrder="0"/>
    </xf>
    <xf borderId="0" fillId="7" fontId="5" numFmtId="0" xfId="0" applyAlignment="1" applyFill="1" applyFont="1">
      <alignment shrinkToFit="0" wrapText="1"/>
    </xf>
    <xf borderId="4" fillId="7" fontId="5" numFmtId="0" xfId="0" applyAlignment="1" applyBorder="1" applyFont="1">
      <alignment readingOrder="0"/>
    </xf>
    <xf borderId="0" fillId="7" fontId="5" numFmtId="164" xfId="0" applyAlignment="1" applyFont="1" applyNumberFormat="1">
      <alignment readingOrder="0"/>
    </xf>
    <xf borderId="4" fillId="8" fontId="5" numFmtId="0" xfId="0" applyAlignment="1" applyBorder="1" applyFill="1" applyFont="1">
      <alignment readingOrder="0"/>
    </xf>
    <xf borderId="0" fillId="9" fontId="5" numFmtId="0" xfId="0" applyAlignment="1" applyFill="1" applyFont="1">
      <alignment shrinkToFit="0" wrapText="1"/>
    </xf>
    <xf borderId="4" fillId="9" fontId="5" numFmtId="0" xfId="0" applyAlignment="1" applyBorder="1" applyFont="1">
      <alignment readingOrder="0"/>
    </xf>
    <xf borderId="0" fillId="9" fontId="5" numFmtId="164" xfId="0" applyAlignment="1" applyFont="1" applyNumberFormat="1">
      <alignment readingOrder="0"/>
    </xf>
    <xf borderId="0" fillId="10" fontId="5" numFmtId="0" xfId="0" applyAlignment="1" applyFill="1" applyFont="1">
      <alignment shrinkToFit="0" wrapText="1"/>
    </xf>
    <xf borderId="4" fillId="10" fontId="5" numFmtId="0" xfId="0" applyAlignment="1" applyBorder="1" applyFont="1">
      <alignment readingOrder="0"/>
    </xf>
    <xf borderId="0" fillId="10" fontId="5" numFmtId="164" xfId="0" applyAlignment="1" applyFont="1" applyNumberFormat="1">
      <alignment readingOrder="0"/>
    </xf>
    <xf borderId="4" fillId="11" fontId="5" numFmtId="0" xfId="0" applyAlignment="1" applyBorder="1" applyFill="1" applyFont="1">
      <alignment readingOrder="0"/>
    </xf>
    <xf borderId="0" fillId="0" fontId="5" numFmtId="164" xfId="0" applyFont="1" applyNumberFormat="1"/>
    <xf borderId="0" fillId="0" fontId="10" numFmtId="0" xfId="0" applyAlignment="1" applyFont="1">
      <alignment horizontal="right" readingOrder="0"/>
    </xf>
    <xf borderId="0" fillId="9" fontId="2" numFmtId="0" xfId="0" applyAlignment="1" applyFont="1">
      <alignment vertical="bottom"/>
    </xf>
    <xf borderId="0" fillId="9" fontId="5" numFmtId="2" xfId="0" applyFont="1" applyNumberFormat="1"/>
    <xf borderId="0" fillId="0" fontId="2" numFmtId="0" xfId="0" applyAlignment="1" applyFont="1">
      <alignment vertical="bottom"/>
    </xf>
    <xf borderId="0" fillId="10" fontId="2" numFmtId="0" xfId="0" applyAlignment="1" applyFont="1">
      <alignment vertical="bottom"/>
    </xf>
    <xf borderId="0" fillId="10" fontId="5" numFmtId="2" xfId="0" applyFont="1" applyNumberFormat="1"/>
    <xf borderId="0" fillId="10" fontId="5" numFmtId="0" xfId="0" applyAlignment="1" applyFont="1">
      <alignment readingOrder="0" shrinkToFit="0" wrapText="1"/>
    </xf>
    <xf borderId="0" fillId="9" fontId="5" numFmtId="0" xfId="0" applyAlignment="1" applyFont="1">
      <alignment readingOrder="0" shrinkToFit="0" wrapText="1"/>
    </xf>
    <xf borderId="5" fillId="0" fontId="2" numFmtId="0" xfId="0" applyAlignment="1" applyBorder="1" applyFont="1">
      <alignment horizontal="right" vertical="bottom"/>
    </xf>
    <xf borderId="4" fillId="0" fontId="2" numFmtId="0" xfId="0" applyAlignment="1" applyBorder="1" applyFont="1">
      <alignment horizontal="right" vertical="bottom"/>
    </xf>
    <xf borderId="4" fillId="0" fontId="2" numFmtId="0" xfId="0" applyAlignment="1" applyBorder="1" applyFont="1">
      <alignment horizontal="right" readingOrder="0" vertical="bottom"/>
    </xf>
    <xf borderId="4" fillId="10" fontId="2" numFmtId="0" xfId="0" applyAlignment="1" applyBorder="1" applyFont="1">
      <alignment horizontal="right" vertical="bottom"/>
    </xf>
    <xf borderId="4" fillId="10" fontId="2" numFmtId="0" xfId="0" applyAlignment="1" applyBorder="1" applyFont="1">
      <alignment horizontal="right" readingOrder="0" vertical="bottom"/>
    </xf>
    <xf borderId="4" fillId="6" fontId="5" numFmtId="0" xfId="0" applyAlignment="1" applyBorder="1" applyFont="1">
      <alignment readingOrder="0"/>
    </xf>
    <xf borderId="4" fillId="0" fontId="5" numFmtId="0" xfId="0" applyBorder="1" applyFont="1"/>
  </cellXfs>
  <cellStyles count="1">
    <cellStyle xfId="0" name="Normal" builtinId="0"/>
  </cellStyles>
  <dxfs count="1">
    <dxf>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Statements!$F$1:$P$1</c:f>
            </c:strRef>
          </c:cat>
          <c:val>
            <c:numRef>
              <c:f>Statements!$F$63:$P$63</c:f>
              <c:numCache/>
            </c:numRef>
          </c:val>
        </c:ser>
        <c:ser>
          <c:idx val="1"/>
          <c:order val="1"/>
          <c:spPr>
            <a:solidFill>
              <a:schemeClr val="accent2"/>
            </a:solidFill>
            <a:ln cmpd="sng">
              <a:solidFill>
                <a:srgbClr val="000000"/>
              </a:solidFill>
            </a:ln>
          </c:spPr>
          <c:dLbls>
            <c:numFmt formatCode="0.00" sourceLinked="0"/>
            <c:txPr>
              <a:bodyPr/>
              <a:lstStyle/>
              <a:p>
                <a:pPr lvl="0">
                  <a:defRPr b="1" i="0"/>
                </a:pPr>
              </a:p>
            </c:txPr>
            <c:showLegendKey val="0"/>
            <c:showVal val="1"/>
            <c:showCatName val="0"/>
            <c:showSerName val="0"/>
            <c:showPercent val="0"/>
            <c:showBubbleSize val="0"/>
          </c:dLbls>
          <c:cat>
            <c:strRef>
              <c:f>Statements!$F$1:$P$1</c:f>
            </c:strRef>
          </c:cat>
          <c:val>
            <c:numRef>
              <c:f>Statements!$F$64:$P$64</c:f>
              <c:numCache/>
            </c:numRef>
          </c:val>
        </c:ser>
        <c:axId val="298571879"/>
        <c:axId val="780097336"/>
      </c:barChart>
      <c:catAx>
        <c:axId val="298571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80097336"/>
      </c:catAx>
      <c:valAx>
        <c:axId val="7800973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98571879"/>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2</xdr:row>
      <xdr:rowOff>152400</xdr:rowOff>
    </xdr:from>
    <xdr:ext cx="572452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2"/>
      <c r="C1" s="3">
        <f>COUNTIF(Statements!E2:E61,0)+COUNTIF(Statements!E2:E61,1)</f>
        <v>56</v>
      </c>
    </row>
    <row r="2">
      <c r="A2" s="1" t="s">
        <v>1</v>
      </c>
      <c r="B2" s="2"/>
      <c r="C2" s="3">
        <f>COUNTA(Statements!A2:A103)-C1</f>
        <v>4</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63"/>
    <col customWidth="1" min="2" max="2" width="89.88"/>
  </cols>
  <sheetData>
    <row r="1">
      <c r="A1" s="4" t="s">
        <v>2</v>
      </c>
      <c r="B1" s="5" t="s">
        <v>3</v>
      </c>
      <c r="C1" s="4" t="s">
        <v>4</v>
      </c>
      <c r="D1" s="4" t="s">
        <v>5</v>
      </c>
      <c r="E1" s="6" t="s">
        <v>6</v>
      </c>
      <c r="F1" s="7" t="s">
        <v>7</v>
      </c>
      <c r="G1" s="7" t="s">
        <v>8</v>
      </c>
      <c r="H1" s="7" t="s">
        <v>9</v>
      </c>
      <c r="I1" s="7" t="s">
        <v>10</v>
      </c>
      <c r="J1" s="7" t="s">
        <v>11</v>
      </c>
      <c r="K1" s="7" t="s">
        <v>12</v>
      </c>
      <c r="L1" s="7" t="s">
        <v>13</v>
      </c>
      <c r="M1" s="8" t="s">
        <v>14</v>
      </c>
      <c r="N1" s="7" t="s">
        <v>15</v>
      </c>
      <c r="O1" s="7" t="s">
        <v>16</v>
      </c>
      <c r="P1" s="7" t="s">
        <v>17</v>
      </c>
      <c r="Q1" s="9" t="s">
        <v>18</v>
      </c>
      <c r="R1" s="7" t="s">
        <v>7</v>
      </c>
      <c r="S1" s="7" t="s">
        <v>8</v>
      </c>
      <c r="T1" s="7" t="s">
        <v>9</v>
      </c>
      <c r="U1" s="7" t="s">
        <v>10</v>
      </c>
      <c r="V1" s="7" t="s">
        <v>11</v>
      </c>
      <c r="W1" s="7" t="s">
        <v>12</v>
      </c>
      <c r="X1" s="7" t="s">
        <v>13</v>
      </c>
      <c r="Y1" s="7" t="s">
        <v>14</v>
      </c>
      <c r="Z1" s="7" t="s">
        <v>15</v>
      </c>
      <c r="AA1" s="7" t="s">
        <v>16</v>
      </c>
      <c r="AB1" s="7" t="s">
        <v>17</v>
      </c>
    </row>
    <row r="2">
      <c r="A2" s="10">
        <v>1.0</v>
      </c>
      <c r="B2" s="11" t="s">
        <v>19</v>
      </c>
      <c r="C2" s="12" t="s">
        <v>20</v>
      </c>
      <c r="D2" s="12" t="s">
        <v>21</v>
      </c>
      <c r="E2" s="10" t="s">
        <v>22</v>
      </c>
      <c r="F2" s="13" t="str">
        <f t="shared" ref="F2:P2" si="1">IF($E2=1,(LOG(R2,2)+1),IF($E2=0,(LOG(1-R2,2)+1),""))</f>
        <v/>
      </c>
      <c r="G2" s="13" t="str">
        <f t="shared" si="1"/>
        <v/>
      </c>
      <c r="H2" s="13" t="str">
        <f t="shared" si="1"/>
        <v/>
      </c>
      <c r="I2" s="13" t="str">
        <f t="shared" si="1"/>
        <v/>
      </c>
      <c r="J2" s="13" t="str">
        <f t="shared" si="1"/>
        <v/>
      </c>
      <c r="K2" s="13" t="str">
        <f t="shared" si="1"/>
        <v/>
      </c>
      <c r="L2" s="13" t="str">
        <f t="shared" si="1"/>
        <v/>
      </c>
      <c r="M2" s="13" t="str">
        <f t="shared" si="1"/>
        <v/>
      </c>
      <c r="N2" s="13" t="str">
        <f t="shared" si="1"/>
        <v/>
      </c>
      <c r="O2" s="13" t="str">
        <f t="shared" si="1"/>
        <v/>
      </c>
      <c r="P2" s="13" t="str">
        <f t="shared" si="1"/>
        <v/>
      </c>
      <c r="Q2" s="14">
        <f t="shared" ref="Q2:Q61" si="3">SUM(F2:P2)</f>
        <v>0</v>
      </c>
      <c r="R2" s="15"/>
      <c r="S2" s="15"/>
      <c r="T2" s="15"/>
      <c r="U2" s="15"/>
      <c r="V2" s="15"/>
      <c r="W2" s="15"/>
      <c r="X2" s="15"/>
      <c r="Y2" s="15"/>
      <c r="Z2" s="15"/>
      <c r="AA2" s="15"/>
      <c r="AB2" s="15"/>
    </row>
    <row r="3">
      <c r="A3" s="10">
        <v>2.0</v>
      </c>
      <c r="B3" s="16" t="s">
        <v>23</v>
      </c>
      <c r="C3" s="10" t="s">
        <v>20</v>
      </c>
      <c r="D3" s="10" t="s">
        <v>21</v>
      </c>
      <c r="E3" s="10">
        <v>1.0</v>
      </c>
      <c r="F3" s="13">
        <f t="shared" ref="F3:P3" si="2">IF($E3=1,(LOG(R3,2)+1),IF($E3=0,(LOG(1-R3,2)+1),""))</f>
        <v>0.8479969066</v>
      </c>
      <c r="G3" s="13">
        <f t="shared" si="2"/>
        <v>0.8479969066</v>
      </c>
      <c r="H3" s="13">
        <f t="shared" si="2"/>
        <v>-1.321928095</v>
      </c>
      <c r="I3" s="13">
        <f t="shared" si="2"/>
        <v>0</v>
      </c>
      <c r="J3" s="13">
        <f t="shared" si="2"/>
        <v>0.1110313124</v>
      </c>
      <c r="K3" s="13">
        <f t="shared" si="2"/>
        <v>0.2630344058</v>
      </c>
      <c r="L3" s="13">
        <f t="shared" si="2"/>
        <v>-0.1520030934</v>
      </c>
      <c r="M3" s="13">
        <f t="shared" si="2"/>
        <v>0.6780719051</v>
      </c>
      <c r="N3" s="13">
        <f t="shared" si="2"/>
        <v>-0.1520030934</v>
      </c>
      <c r="O3" s="13">
        <f t="shared" si="2"/>
        <v>0</v>
      </c>
      <c r="P3" s="13">
        <f t="shared" si="2"/>
        <v>0.9855004303</v>
      </c>
      <c r="Q3" s="14">
        <f t="shared" si="3"/>
        <v>2.107697585</v>
      </c>
      <c r="R3" s="17">
        <f>Andrew!C3</f>
        <v>0.9</v>
      </c>
      <c r="S3" s="17">
        <f>Eileen!C3</f>
        <v>0.9</v>
      </c>
      <c r="T3" s="17">
        <f>Iain!C3</f>
        <v>0.2</v>
      </c>
      <c r="U3" s="17">
        <f>Kate!C3</f>
        <v>0.5</v>
      </c>
      <c r="V3" s="17">
        <f>Rohan!C3</f>
        <v>0.54</v>
      </c>
      <c r="W3" s="17">
        <f>Pete!C3</f>
        <v>0.6</v>
      </c>
      <c r="X3" s="17">
        <f>Jac!C3</f>
        <v>0.45</v>
      </c>
      <c r="Y3" s="17">
        <f>James!C3</f>
        <v>0.8</v>
      </c>
      <c r="Z3" s="17">
        <f>Lachy!C3</f>
        <v>0.45</v>
      </c>
      <c r="AA3" s="17">
        <f>Gael!C3</f>
        <v>0.5</v>
      </c>
      <c r="AB3" s="17">
        <f>Bruce!C3</f>
        <v>0.99</v>
      </c>
    </row>
    <row r="4">
      <c r="A4" s="10">
        <v>3.0</v>
      </c>
      <c r="B4" s="16" t="s">
        <v>24</v>
      </c>
      <c r="C4" s="10" t="s">
        <v>20</v>
      </c>
      <c r="D4" s="10" t="s">
        <v>21</v>
      </c>
      <c r="E4" s="10">
        <v>0.0</v>
      </c>
      <c r="F4" s="13">
        <f t="shared" ref="F4:P4" si="4">IF($E4=1,(LOG(R4,2)+1),IF($E4=0,(LOG(1-R4,2)+1),""))</f>
        <v>-0.5145731728</v>
      </c>
      <c r="G4" s="13">
        <f t="shared" si="4"/>
        <v>-0.7369655942</v>
      </c>
      <c r="H4" s="13">
        <f t="shared" si="4"/>
        <v>-1.321928095</v>
      </c>
      <c r="I4" s="13">
        <f t="shared" si="4"/>
        <v>-1.321928095</v>
      </c>
      <c r="J4" s="13">
        <f t="shared" si="4"/>
        <v>-0.1520030934</v>
      </c>
      <c r="K4" s="13">
        <f t="shared" si="4"/>
        <v>0.2630344058</v>
      </c>
      <c r="L4" s="13">
        <f t="shared" si="4"/>
        <v>0</v>
      </c>
      <c r="M4" s="13">
        <f t="shared" si="4"/>
        <v>0</v>
      </c>
      <c r="N4" s="13">
        <f t="shared" si="4"/>
        <v>0.4854268272</v>
      </c>
      <c r="O4" s="13">
        <f t="shared" si="4"/>
        <v>-0.3219280949</v>
      </c>
      <c r="P4" s="13">
        <f t="shared" si="4"/>
        <v>0</v>
      </c>
      <c r="Q4" s="14">
        <f t="shared" si="3"/>
        <v>-3.620864912</v>
      </c>
      <c r="R4" s="17">
        <f>Andrew!C4</f>
        <v>0.65</v>
      </c>
      <c r="S4" s="17">
        <f>Eileen!C4</f>
        <v>0.7</v>
      </c>
      <c r="T4" s="17">
        <f>Iain!C4</f>
        <v>0.8</v>
      </c>
      <c r="U4" s="17">
        <f>Kate!C4</f>
        <v>0.8</v>
      </c>
      <c r="V4" s="17">
        <f>Rohan!C4</f>
        <v>0.55</v>
      </c>
      <c r="W4" s="17">
        <f>Pete!C4</f>
        <v>0.4</v>
      </c>
      <c r="X4" s="17">
        <f>Jac!C4</f>
        <v>0.5</v>
      </c>
      <c r="Y4" s="17">
        <f>James!C4</f>
        <v>0.5</v>
      </c>
      <c r="Z4" s="17">
        <f>Lachy!C4</f>
        <v>0.3</v>
      </c>
      <c r="AA4" s="17">
        <f>Gael!C4</f>
        <v>0.6</v>
      </c>
      <c r="AB4" s="17">
        <f>Bruce!C4</f>
        <v>0.5</v>
      </c>
    </row>
    <row r="5">
      <c r="A5" s="10">
        <v>4.0</v>
      </c>
      <c r="B5" s="18" t="s">
        <v>25</v>
      </c>
      <c r="C5" s="10" t="s">
        <v>8</v>
      </c>
      <c r="D5" s="10" t="s">
        <v>21</v>
      </c>
      <c r="E5" s="10">
        <v>0.0</v>
      </c>
      <c r="F5" s="13">
        <f t="shared" ref="F5:P5" si="5">IF($E5=1,(LOG(R5,2)+1),IF($E5=0,(LOG(1-R5,2)+1),""))</f>
        <v>0.6780719051</v>
      </c>
      <c r="G5" s="13">
        <f t="shared" si="5"/>
        <v>0.8479969066</v>
      </c>
      <c r="H5" s="13">
        <f t="shared" si="5"/>
        <v>0.8479969066</v>
      </c>
      <c r="I5" s="13">
        <f t="shared" si="5"/>
        <v>-1.321928095</v>
      </c>
      <c r="J5" s="13">
        <f t="shared" si="5"/>
        <v>-1.184424571</v>
      </c>
      <c r="K5" s="13">
        <f t="shared" si="5"/>
        <v>0.2630344058</v>
      </c>
      <c r="L5" s="13">
        <f t="shared" si="5"/>
        <v>-0.5145731728</v>
      </c>
      <c r="M5" s="13">
        <f t="shared" si="5"/>
        <v>-0.7369655942</v>
      </c>
      <c r="N5" s="13">
        <f t="shared" si="5"/>
        <v>-1.321928095</v>
      </c>
      <c r="O5" s="13">
        <f t="shared" si="5"/>
        <v>0.2630344058</v>
      </c>
      <c r="P5" s="13">
        <f t="shared" si="5"/>
        <v>0.2630344058</v>
      </c>
      <c r="Q5" s="14">
        <f t="shared" si="3"/>
        <v>-1.916650592</v>
      </c>
      <c r="R5" s="17">
        <f>Andrew!C5</f>
        <v>0.2</v>
      </c>
      <c r="S5" s="17">
        <f>Eileen!C5</f>
        <v>0.1</v>
      </c>
      <c r="T5" s="17">
        <f>Iain!C5</f>
        <v>0.1</v>
      </c>
      <c r="U5" s="17">
        <f>Kate!C5</f>
        <v>0.8</v>
      </c>
      <c r="V5" s="17">
        <f>Rohan!C5</f>
        <v>0.78</v>
      </c>
      <c r="W5" s="17">
        <f>Pete!C5</f>
        <v>0.4</v>
      </c>
      <c r="X5" s="17">
        <f>Jac!C5</f>
        <v>0.65</v>
      </c>
      <c r="Y5" s="17">
        <f>James!C5</f>
        <v>0.7</v>
      </c>
      <c r="Z5" s="17">
        <f>Lachy!C5</f>
        <v>0.8</v>
      </c>
      <c r="AA5" s="17">
        <f>Gael!C5</f>
        <v>0.4</v>
      </c>
      <c r="AB5" s="17">
        <f>Bruce!C5</f>
        <v>0.4</v>
      </c>
    </row>
    <row r="6">
      <c r="A6" s="10">
        <v>5.0</v>
      </c>
      <c r="B6" s="19" t="s">
        <v>26</v>
      </c>
      <c r="C6" s="10" t="s">
        <v>8</v>
      </c>
      <c r="D6" s="10" t="s">
        <v>21</v>
      </c>
      <c r="E6" s="10">
        <v>1.0</v>
      </c>
      <c r="F6" s="13">
        <f t="shared" ref="F6:P6" si="6">IF($E6=1,(LOG(R6,2)+1),IF($E6=0,(LOG(1-R6,2)+1),""))</f>
        <v>0.5849625007</v>
      </c>
      <c r="G6" s="13">
        <f t="shared" si="6"/>
        <v>0.4854268272</v>
      </c>
      <c r="H6" s="13">
        <f t="shared" si="6"/>
        <v>-0.7369655942</v>
      </c>
      <c r="I6" s="13">
        <f t="shared" si="6"/>
        <v>-1.321928095</v>
      </c>
      <c r="J6" s="13">
        <f t="shared" si="6"/>
        <v>-0.1520030934</v>
      </c>
      <c r="K6" s="13">
        <f t="shared" si="6"/>
        <v>-0.7369655942</v>
      </c>
      <c r="L6" s="13">
        <f t="shared" si="6"/>
        <v>-0.7369655942</v>
      </c>
      <c r="M6" s="13">
        <f t="shared" si="6"/>
        <v>-0.3219280949</v>
      </c>
      <c r="N6" s="13">
        <f t="shared" si="6"/>
        <v>-1.321928095</v>
      </c>
      <c r="O6" s="13">
        <f t="shared" si="6"/>
        <v>-0.3219280949</v>
      </c>
      <c r="P6" s="13">
        <f t="shared" si="6"/>
        <v>-0.7369655942</v>
      </c>
      <c r="Q6" s="14">
        <f t="shared" si="3"/>
        <v>-5.317188522</v>
      </c>
      <c r="R6" s="17">
        <f>Andrew!C6</f>
        <v>0.75</v>
      </c>
      <c r="S6" s="17">
        <f>Eileen!C6</f>
        <v>0.7</v>
      </c>
      <c r="T6" s="17">
        <f>Iain!C6</f>
        <v>0.3</v>
      </c>
      <c r="U6" s="17">
        <f>Kate!C6</f>
        <v>0.2</v>
      </c>
      <c r="V6" s="17">
        <f>Rohan!C6</f>
        <v>0.45</v>
      </c>
      <c r="W6" s="17">
        <f>Pete!C6</f>
        <v>0.3</v>
      </c>
      <c r="X6" s="17">
        <f>Jac!C6</f>
        <v>0.3</v>
      </c>
      <c r="Y6" s="17">
        <f>James!C6</f>
        <v>0.4</v>
      </c>
      <c r="Z6" s="17">
        <f>Lachy!C6</f>
        <v>0.2</v>
      </c>
      <c r="AA6" s="17">
        <f>Gael!C6</f>
        <v>0.4</v>
      </c>
      <c r="AB6" s="17">
        <f>Bruce!C6</f>
        <v>0.3</v>
      </c>
    </row>
    <row r="7">
      <c r="A7" s="10">
        <v>6.0</v>
      </c>
      <c r="B7" s="18" t="s">
        <v>27</v>
      </c>
      <c r="C7" s="10" t="s">
        <v>8</v>
      </c>
      <c r="D7" s="10" t="s">
        <v>21</v>
      </c>
      <c r="E7" s="10">
        <v>0.0</v>
      </c>
      <c r="F7" s="13">
        <f t="shared" ref="F7:P7" si="7">IF($E7=1,(LOG(R7,2)+1),IF($E7=0,(LOG(1-R7,2)+1),""))</f>
        <v>0.4854268272</v>
      </c>
      <c r="G7" s="13">
        <f t="shared" si="7"/>
        <v>0.6780719051</v>
      </c>
      <c r="H7" s="13">
        <f t="shared" si="7"/>
        <v>-0.7369655942</v>
      </c>
      <c r="I7" s="13">
        <f t="shared" si="7"/>
        <v>-0.7369655942</v>
      </c>
      <c r="J7" s="13">
        <f t="shared" si="7"/>
        <v>0.1375035237</v>
      </c>
      <c r="K7" s="13">
        <f t="shared" si="7"/>
        <v>0.2630344058</v>
      </c>
      <c r="L7" s="13">
        <f t="shared" si="7"/>
        <v>0.2630344058</v>
      </c>
      <c r="M7" s="13">
        <f t="shared" si="7"/>
        <v>0.4854268272</v>
      </c>
      <c r="N7" s="13">
        <f t="shared" si="7"/>
        <v>-2.321928095</v>
      </c>
      <c r="O7" s="13">
        <f t="shared" si="7"/>
        <v>0.2630344058</v>
      </c>
      <c r="P7" s="13">
        <f t="shared" si="7"/>
        <v>0.2630344058</v>
      </c>
      <c r="Q7" s="14">
        <f t="shared" si="3"/>
        <v>-0.9572925767</v>
      </c>
      <c r="R7" s="17">
        <f>Andrew!C7</f>
        <v>0.3</v>
      </c>
      <c r="S7" s="17">
        <f>Eileen!C7</f>
        <v>0.2</v>
      </c>
      <c r="T7" s="17">
        <f>Iain!C7</f>
        <v>0.7</v>
      </c>
      <c r="U7" s="17">
        <f>Kate!C7</f>
        <v>0.7</v>
      </c>
      <c r="V7" s="17">
        <f>Rohan!C7</f>
        <v>0.45</v>
      </c>
      <c r="W7" s="17">
        <f>Pete!C7</f>
        <v>0.4</v>
      </c>
      <c r="X7" s="17">
        <f>Jac!C7</f>
        <v>0.4</v>
      </c>
      <c r="Y7" s="17">
        <f>James!C7</f>
        <v>0.3</v>
      </c>
      <c r="Z7" s="17">
        <f>Lachy!C7</f>
        <v>0.9</v>
      </c>
      <c r="AA7" s="17">
        <f>Gael!C7</f>
        <v>0.4</v>
      </c>
      <c r="AB7" s="17">
        <f>Bruce!C7</f>
        <v>0.4</v>
      </c>
    </row>
    <row r="8">
      <c r="A8" s="10">
        <v>7.0</v>
      </c>
      <c r="B8" s="16" t="s">
        <v>28</v>
      </c>
      <c r="C8" s="10" t="s">
        <v>8</v>
      </c>
      <c r="D8" s="10" t="s">
        <v>21</v>
      </c>
      <c r="E8" s="10">
        <v>0.0</v>
      </c>
      <c r="F8" s="13">
        <f t="shared" ref="F8:P8" si="8">IF($E8=1,(LOG(R8,2)+1),IF($E8=0,(LOG(1-R8,2)+1),""))</f>
        <v>0.3785116233</v>
      </c>
      <c r="G8" s="13">
        <f t="shared" si="8"/>
        <v>0.4854268272</v>
      </c>
      <c r="H8" s="13">
        <f t="shared" si="8"/>
        <v>0</v>
      </c>
      <c r="I8" s="13">
        <f t="shared" si="8"/>
        <v>0</v>
      </c>
      <c r="J8" s="13">
        <f t="shared" si="8"/>
        <v>0.4854268272</v>
      </c>
      <c r="K8" s="13">
        <f t="shared" si="8"/>
        <v>0.4854268272</v>
      </c>
      <c r="L8" s="13">
        <f t="shared" si="8"/>
        <v>0.3785116233</v>
      </c>
      <c r="M8" s="13">
        <f t="shared" si="8"/>
        <v>0</v>
      </c>
      <c r="N8" s="13">
        <f t="shared" si="8"/>
        <v>0</v>
      </c>
      <c r="O8" s="13">
        <f t="shared" si="8"/>
        <v>-0.3219280949</v>
      </c>
      <c r="P8" s="13">
        <f t="shared" si="8"/>
        <v>0.2630344058</v>
      </c>
      <c r="Q8" s="14">
        <f t="shared" si="3"/>
        <v>2.154410039</v>
      </c>
      <c r="R8" s="17">
        <f>Andrew!C8</f>
        <v>0.35</v>
      </c>
      <c r="S8" s="17">
        <f>Eileen!C8</f>
        <v>0.3</v>
      </c>
      <c r="T8" s="17">
        <f>Iain!C8</f>
        <v>0.5</v>
      </c>
      <c r="U8" s="17">
        <f>Kate!C8</f>
        <v>0.5</v>
      </c>
      <c r="V8" s="17">
        <f>Rohan!C8</f>
        <v>0.3</v>
      </c>
      <c r="W8" s="17">
        <f>Pete!C8</f>
        <v>0.3</v>
      </c>
      <c r="X8" s="17">
        <f>Jac!C8</f>
        <v>0.35</v>
      </c>
      <c r="Y8" s="17">
        <f>James!C8</f>
        <v>0.5</v>
      </c>
      <c r="Z8" s="17">
        <f>Lachy!C8</f>
        <v>0.5</v>
      </c>
      <c r="AA8" s="17">
        <f>Gael!C8</f>
        <v>0.6</v>
      </c>
      <c r="AB8" s="17">
        <f>Bruce!C8</f>
        <v>0.4</v>
      </c>
    </row>
    <row r="9">
      <c r="A9" s="10">
        <v>8.0</v>
      </c>
      <c r="B9" s="16" t="s">
        <v>29</v>
      </c>
      <c r="C9" s="10" t="s">
        <v>10</v>
      </c>
      <c r="D9" s="10" t="s">
        <v>21</v>
      </c>
      <c r="E9" s="10">
        <v>0.0</v>
      </c>
      <c r="F9" s="13">
        <f t="shared" ref="F9:P9" si="9">IF($E9=1,(LOG(R9,2)+1),IF($E9=0,(LOG(1-R9,2)+1),""))</f>
        <v>-0.1520030934</v>
      </c>
      <c r="G9" s="13">
        <f t="shared" si="9"/>
        <v>0.1375035237</v>
      </c>
      <c r="H9" s="13">
        <f t="shared" si="9"/>
        <v>0.6780719051</v>
      </c>
      <c r="I9" s="13">
        <f t="shared" si="9"/>
        <v>0.2630344058</v>
      </c>
      <c r="J9" s="13">
        <f t="shared" si="9"/>
        <v>0.2630344058</v>
      </c>
      <c r="K9" s="13">
        <f t="shared" si="9"/>
        <v>0.2630344058</v>
      </c>
      <c r="L9" s="13">
        <f t="shared" si="9"/>
        <v>-0.1520030934</v>
      </c>
      <c r="M9" s="13">
        <f t="shared" si="9"/>
        <v>-0.3219280949</v>
      </c>
      <c r="N9" s="13">
        <f t="shared" si="9"/>
        <v>0.4854268272</v>
      </c>
      <c r="O9" s="13">
        <f t="shared" si="9"/>
        <v>0.2630344058</v>
      </c>
      <c r="P9" s="13">
        <f t="shared" si="9"/>
        <v>0.2630344058</v>
      </c>
      <c r="Q9" s="14">
        <f t="shared" si="3"/>
        <v>1.990240003</v>
      </c>
      <c r="R9" s="17">
        <f>Andrew!C9</f>
        <v>0.55</v>
      </c>
      <c r="S9" s="17">
        <f>Eileen!C9</f>
        <v>0.45</v>
      </c>
      <c r="T9" s="17">
        <f>Iain!C9</f>
        <v>0.2</v>
      </c>
      <c r="U9" s="17">
        <f>Kate!C9</f>
        <v>0.4</v>
      </c>
      <c r="V9" s="17">
        <f>Rohan!C9</f>
        <v>0.4</v>
      </c>
      <c r="W9" s="17">
        <f>Pete!C9</f>
        <v>0.4</v>
      </c>
      <c r="X9" s="17">
        <f>Jac!C9</f>
        <v>0.55</v>
      </c>
      <c r="Y9" s="17">
        <f>James!C9</f>
        <v>0.6</v>
      </c>
      <c r="Z9" s="17">
        <f>Lachy!C9</f>
        <v>0.3</v>
      </c>
      <c r="AA9" s="17">
        <f>Gael!C9</f>
        <v>0.4</v>
      </c>
      <c r="AB9" s="17">
        <f>Bruce!C9</f>
        <v>0.4</v>
      </c>
    </row>
    <row r="10">
      <c r="A10" s="10">
        <v>9.0</v>
      </c>
      <c r="B10" s="16" t="s">
        <v>30</v>
      </c>
      <c r="C10" s="10" t="s">
        <v>10</v>
      </c>
      <c r="D10" s="10" t="s">
        <v>21</v>
      </c>
      <c r="E10" s="10">
        <v>0.0</v>
      </c>
      <c r="F10" s="13">
        <f t="shared" ref="F10:P10" si="10">IF($E10=1,(LOG(R10,2)+1),IF($E10=0,(LOG(1-R10,2)+1),""))</f>
        <v>0.2630344058</v>
      </c>
      <c r="G10" s="13">
        <f t="shared" si="10"/>
        <v>-0.3219280949</v>
      </c>
      <c r="H10" s="13">
        <f t="shared" si="10"/>
        <v>-0.7369655942</v>
      </c>
      <c r="I10" s="13">
        <f t="shared" si="10"/>
        <v>-0.7369655942</v>
      </c>
      <c r="J10" s="13">
        <f t="shared" si="10"/>
        <v>0</v>
      </c>
      <c r="K10" s="13">
        <f t="shared" si="10"/>
        <v>0.2630344058</v>
      </c>
      <c r="L10" s="13">
        <f t="shared" si="10"/>
        <v>0.4854268272</v>
      </c>
      <c r="M10" s="13">
        <f t="shared" si="10"/>
        <v>0.4854268272</v>
      </c>
      <c r="N10" s="13">
        <f t="shared" si="10"/>
        <v>0.2630344058</v>
      </c>
      <c r="O10" s="13">
        <f t="shared" si="10"/>
        <v>-0.7369655942</v>
      </c>
      <c r="P10" s="13">
        <f t="shared" si="10"/>
        <v>0.3785116233</v>
      </c>
      <c r="Q10" s="14">
        <f t="shared" si="3"/>
        <v>-0.3943563823</v>
      </c>
      <c r="R10" s="17">
        <f>Andrew!C10</f>
        <v>0.4</v>
      </c>
      <c r="S10" s="17">
        <f>Eileen!C10</f>
        <v>0.6</v>
      </c>
      <c r="T10" s="17">
        <f>Iain!C10</f>
        <v>0.7</v>
      </c>
      <c r="U10" s="17">
        <f>Kate!C10</f>
        <v>0.7</v>
      </c>
      <c r="V10" s="17">
        <f>Rohan!C10</f>
        <v>0.5</v>
      </c>
      <c r="W10" s="17">
        <f>Pete!C10</f>
        <v>0.4</v>
      </c>
      <c r="X10" s="17">
        <f>Jac!C10</f>
        <v>0.3</v>
      </c>
      <c r="Y10" s="17">
        <f>James!C10</f>
        <v>0.3</v>
      </c>
      <c r="Z10" s="17">
        <f>Lachy!C10</f>
        <v>0.4</v>
      </c>
      <c r="AA10" s="17">
        <f>Gael!C10</f>
        <v>0.7</v>
      </c>
      <c r="AB10" s="17">
        <f>Bruce!C10</f>
        <v>0.35</v>
      </c>
    </row>
    <row r="11">
      <c r="A11" s="10">
        <v>10.0</v>
      </c>
      <c r="B11" s="11" t="s">
        <v>31</v>
      </c>
      <c r="C11" s="12" t="s">
        <v>11</v>
      </c>
      <c r="D11" s="12" t="s">
        <v>21</v>
      </c>
      <c r="E11" s="10" t="s">
        <v>22</v>
      </c>
      <c r="F11" s="13" t="str">
        <f t="shared" ref="F11:P11" si="11">IF($E11=1,(LOG(R11,2)+1),IF($E11=0,(LOG(1-R11,2)+1),""))</f>
        <v/>
      </c>
      <c r="G11" s="13" t="str">
        <f t="shared" si="11"/>
        <v/>
      </c>
      <c r="H11" s="13" t="str">
        <f t="shared" si="11"/>
        <v/>
      </c>
      <c r="I11" s="13" t="str">
        <f t="shared" si="11"/>
        <v/>
      </c>
      <c r="J11" s="13" t="str">
        <f t="shared" si="11"/>
        <v/>
      </c>
      <c r="K11" s="13" t="str">
        <f t="shared" si="11"/>
        <v/>
      </c>
      <c r="L11" s="13" t="str">
        <f t="shared" si="11"/>
        <v/>
      </c>
      <c r="M11" s="13" t="str">
        <f t="shared" si="11"/>
        <v/>
      </c>
      <c r="N11" s="13" t="str">
        <f t="shared" si="11"/>
        <v/>
      </c>
      <c r="O11" s="13" t="str">
        <f t="shared" si="11"/>
        <v/>
      </c>
      <c r="P11" s="13" t="str">
        <f t="shared" si="11"/>
        <v/>
      </c>
      <c r="Q11" s="14">
        <f t="shared" si="3"/>
        <v>0</v>
      </c>
      <c r="R11" s="15"/>
      <c r="S11" s="15"/>
      <c r="T11" s="15"/>
      <c r="U11" s="15"/>
      <c r="V11" s="15"/>
      <c r="W11" s="15"/>
      <c r="X11" s="15"/>
      <c r="Y11" s="15"/>
      <c r="Z11" s="15"/>
      <c r="AA11" s="15"/>
      <c r="AB11" s="15"/>
    </row>
    <row r="12">
      <c r="A12" s="10">
        <v>11.0</v>
      </c>
      <c r="B12" s="16" t="s">
        <v>32</v>
      </c>
      <c r="C12" s="10" t="s">
        <v>9</v>
      </c>
      <c r="D12" s="10" t="s">
        <v>33</v>
      </c>
      <c r="E12" s="10">
        <v>1.0</v>
      </c>
      <c r="F12" s="13">
        <f t="shared" ref="F12:P12" si="12">IF($E12=1,(LOG(R12,2)+1),IF($E12=0,(LOG(1-R12,2)+1),""))</f>
        <v>0.5849625007</v>
      </c>
      <c r="G12" s="13">
        <f t="shared" si="12"/>
        <v>0.5849625007</v>
      </c>
      <c r="H12" s="13">
        <f t="shared" si="12"/>
        <v>0.6780719051</v>
      </c>
      <c r="I12" s="13">
        <f t="shared" si="12"/>
        <v>-1.321928095</v>
      </c>
      <c r="J12" s="13">
        <f t="shared" si="12"/>
        <v>0.6229303509</v>
      </c>
      <c r="K12" s="13">
        <f t="shared" si="12"/>
        <v>0.4854268272</v>
      </c>
      <c r="L12" s="13">
        <f t="shared" si="12"/>
        <v>0</v>
      </c>
      <c r="M12" s="13">
        <f t="shared" si="12"/>
        <v>0.4854268272</v>
      </c>
      <c r="N12" s="13">
        <f t="shared" si="12"/>
        <v>0.2630344058</v>
      </c>
      <c r="O12" s="13">
        <f t="shared" si="12"/>
        <v>0.4854268272</v>
      </c>
      <c r="P12" s="13">
        <f t="shared" si="12"/>
        <v>0.2630344058</v>
      </c>
      <c r="Q12" s="14">
        <f t="shared" si="3"/>
        <v>3.131348456</v>
      </c>
      <c r="R12" s="17">
        <f>Andrew!C12</f>
        <v>0.75</v>
      </c>
      <c r="S12" s="17">
        <f>Eileen!C12</f>
        <v>0.75</v>
      </c>
      <c r="T12" s="17">
        <f>Iain!C12</f>
        <v>0.8</v>
      </c>
      <c r="U12" s="17">
        <f>Kate!C12</f>
        <v>0.2</v>
      </c>
      <c r="V12" s="17">
        <f>Rohan!C12</f>
        <v>0.77</v>
      </c>
      <c r="W12" s="17">
        <f>Pete!C12</f>
        <v>0.7</v>
      </c>
      <c r="X12" s="17">
        <f>Jac!C12</f>
        <v>0.5</v>
      </c>
      <c r="Y12" s="17">
        <f>James!C12</f>
        <v>0.7</v>
      </c>
      <c r="Z12" s="17">
        <f>Lachy!C12</f>
        <v>0.6</v>
      </c>
      <c r="AA12" s="17">
        <f>Gael!C12</f>
        <v>0.7</v>
      </c>
      <c r="AB12" s="17">
        <f>Bruce!C12</f>
        <v>0.6</v>
      </c>
    </row>
    <row r="13">
      <c r="A13" s="10">
        <v>12.0</v>
      </c>
      <c r="B13" s="11" t="s">
        <v>34</v>
      </c>
      <c r="C13" s="12" t="s">
        <v>10</v>
      </c>
      <c r="D13" s="12" t="s">
        <v>33</v>
      </c>
      <c r="E13" s="10" t="s">
        <v>22</v>
      </c>
      <c r="F13" s="13" t="str">
        <f t="shared" ref="F13:P13" si="13">IF($E13=1,(LOG(R13,2)+1),IF($E13=0,(LOG(1-R13,2)+1),""))</f>
        <v/>
      </c>
      <c r="G13" s="13" t="str">
        <f t="shared" si="13"/>
        <v/>
      </c>
      <c r="H13" s="13" t="str">
        <f t="shared" si="13"/>
        <v/>
      </c>
      <c r="I13" s="13" t="str">
        <f t="shared" si="13"/>
        <v/>
      </c>
      <c r="J13" s="13" t="str">
        <f t="shared" si="13"/>
        <v/>
      </c>
      <c r="K13" s="13" t="str">
        <f t="shared" si="13"/>
        <v/>
      </c>
      <c r="L13" s="13" t="str">
        <f t="shared" si="13"/>
        <v/>
      </c>
      <c r="M13" s="13" t="str">
        <f t="shared" si="13"/>
        <v/>
      </c>
      <c r="N13" s="13" t="str">
        <f t="shared" si="13"/>
        <v/>
      </c>
      <c r="O13" s="13" t="str">
        <f t="shared" si="13"/>
        <v/>
      </c>
      <c r="P13" s="13" t="str">
        <f t="shared" si="13"/>
        <v/>
      </c>
      <c r="Q13" s="14">
        <f t="shared" si="3"/>
        <v>0</v>
      </c>
      <c r="R13" s="15"/>
      <c r="S13" s="15"/>
      <c r="T13" s="15"/>
      <c r="U13" s="15"/>
      <c r="V13" s="15"/>
      <c r="W13" s="15"/>
      <c r="X13" s="15"/>
      <c r="Y13" s="15"/>
      <c r="Z13" s="15"/>
      <c r="AA13" s="15"/>
      <c r="AB13" s="15"/>
    </row>
    <row r="14">
      <c r="A14" s="10">
        <v>13.0</v>
      </c>
      <c r="B14" s="16" t="s">
        <v>35</v>
      </c>
      <c r="C14" s="10" t="s">
        <v>17</v>
      </c>
      <c r="D14" s="10" t="s">
        <v>36</v>
      </c>
      <c r="E14" s="10">
        <v>0.0</v>
      </c>
      <c r="F14" s="13">
        <f t="shared" ref="F14:P14" si="14">IF($E14=1,(LOG(R14,2)+1),IF($E14=0,(LOG(1-R14,2)+1),""))</f>
        <v>0.4854268272</v>
      </c>
      <c r="G14" s="13">
        <f t="shared" si="14"/>
        <v>0.2630344058</v>
      </c>
      <c r="H14" s="13">
        <f t="shared" si="14"/>
        <v>0.2630344058</v>
      </c>
      <c r="I14" s="13">
        <f t="shared" si="14"/>
        <v>0.2630344058</v>
      </c>
      <c r="J14" s="13">
        <f t="shared" si="14"/>
        <v>0.4854268272</v>
      </c>
      <c r="K14" s="13">
        <f t="shared" si="14"/>
        <v>0.4854268272</v>
      </c>
      <c r="L14" s="13">
        <f t="shared" si="14"/>
        <v>0.4854268272</v>
      </c>
      <c r="M14" s="13">
        <f t="shared" si="14"/>
        <v>-0.7369655942</v>
      </c>
      <c r="N14" s="13">
        <f t="shared" si="14"/>
        <v>0.6780719051</v>
      </c>
      <c r="O14" s="13">
        <f t="shared" si="14"/>
        <v>-0.3219280949</v>
      </c>
      <c r="P14" s="13">
        <f t="shared" si="14"/>
        <v>0.4854268272</v>
      </c>
      <c r="Q14" s="14">
        <f t="shared" si="3"/>
        <v>2.835415569</v>
      </c>
      <c r="R14" s="17">
        <f>Andrew!C14</f>
        <v>0.3</v>
      </c>
      <c r="S14" s="17">
        <f>Eileen!C14</f>
        <v>0.4</v>
      </c>
      <c r="T14" s="17">
        <f>Iain!C14</f>
        <v>0.4</v>
      </c>
      <c r="U14" s="17">
        <f>Kate!C14</f>
        <v>0.4</v>
      </c>
      <c r="V14" s="17">
        <f>Rohan!C14</f>
        <v>0.3</v>
      </c>
      <c r="W14" s="17">
        <f>Pete!C14</f>
        <v>0.3</v>
      </c>
      <c r="X14" s="17">
        <f>Jac!C14</f>
        <v>0.3</v>
      </c>
      <c r="Y14" s="17">
        <f>James!C14</f>
        <v>0.7</v>
      </c>
      <c r="Z14" s="17">
        <f>Lachy!C14</f>
        <v>0.2</v>
      </c>
      <c r="AA14" s="17">
        <f>Gael!C14</f>
        <v>0.6</v>
      </c>
      <c r="AB14" s="17">
        <f>Bruce!C14</f>
        <v>0.3</v>
      </c>
    </row>
    <row r="15">
      <c r="A15" s="10">
        <v>14.0</v>
      </c>
      <c r="B15" s="16" t="s">
        <v>37</v>
      </c>
      <c r="C15" s="10" t="s">
        <v>13</v>
      </c>
      <c r="D15" s="10" t="s">
        <v>38</v>
      </c>
      <c r="E15" s="10">
        <v>0.0</v>
      </c>
      <c r="F15" s="13">
        <f t="shared" ref="F15:P15" si="15">IF($E15=1,(LOG(R15,2)+1),IF($E15=0,(LOG(1-R15,2)+1),""))</f>
        <v>0.6780719051</v>
      </c>
      <c r="G15" s="13">
        <f t="shared" si="15"/>
        <v>0.4854268272</v>
      </c>
      <c r="H15" s="13">
        <f t="shared" si="15"/>
        <v>0.8479969066</v>
      </c>
      <c r="I15" s="13">
        <f t="shared" si="15"/>
        <v>0.8479969066</v>
      </c>
      <c r="J15" s="13">
        <f t="shared" si="15"/>
        <v>-0.8365012677</v>
      </c>
      <c r="K15" s="13">
        <f t="shared" si="15"/>
        <v>0.2630344058</v>
      </c>
      <c r="L15" s="13">
        <f t="shared" si="15"/>
        <v>0.2630344058</v>
      </c>
      <c r="M15" s="13">
        <f t="shared" si="15"/>
        <v>0</v>
      </c>
      <c r="N15" s="13">
        <f t="shared" si="15"/>
        <v>-0.3219280949</v>
      </c>
      <c r="O15" s="13">
        <f t="shared" si="15"/>
        <v>0.2630344058</v>
      </c>
      <c r="P15" s="13">
        <f t="shared" si="15"/>
        <v>0.8479969066</v>
      </c>
      <c r="Q15" s="14">
        <f t="shared" si="3"/>
        <v>3.338163307</v>
      </c>
      <c r="R15" s="17">
        <f>Andrew!C15</f>
        <v>0.2</v>
      </c>
      <c r="S15" s="17">
        <f>Eileen!C15</f>
        <v>0.3</v>
      </c>
      <c r="T15" s="17">
        <f>Iain!C15</f>
        <v>0.1</v>
      </c>
      <c r="U15" s="17">
        <f>Kate!C15</f>
        <v>0.1</v>
      </c>
      <c r="V15" s="17">
        <f>Rohan!C15</f>
        <v>0.72</v>
      </c>
      <c r="W15" s="17">
        <f>Pete!C15</f>
        <v>0.4</v>
      </c>
      <c r="X15" s="17">
        <f>Jac!C15</f>
        <v>0.4</v>
      </c>
      <c r="Y15" s="17">
        <f>James!C15</f>
        <v>0.5</v>
      </c>
      <c r="Z15" s="17">
        <f>Lachy!C15</f>
        <v>0.6</v>
      </c>
      <c r="AA15" s="17">
        <f>Gael!C15</f>
        <v>0.4</v>
      </c>
      <c r="AB15" s="17">
        <f>Bruce!C15</f>
        <v>0.1</v>
      </c>
    </row>
    <row r="16">
      <c r="A16" s="10">
        <v>15.0</v>
      </c>
      <c r="B16" s="16" t="s">
        <v>39</v>
      </c>
      <c r="C16" s="10" t="s">
        <v>13</v>
      </c>
      <c r="D16" s="10" t="s">
        <v>38</v>
      </c>
      <c r="E16" s="10">
        <v>0.0</v>
      </c>
      <c r="F16" s="13">
        <f t="shared" ref="F16:P16" si="16">IF($E16=1,(LOG(R16,2)+1),IF($E16=0,(LOG(1-R16,2)+1),""))</f>
        <v>0.4854268272</v>
      </c>
      <c r="G16" s="13">
        <f t="shared" si="16"/>
        <v>0</v>
      </c>
      <c r="H16" s="13">
        <f t="shared" si="16"/>
        <v>0</v>
      </c>
      <c r="I16" s="13">
        <f t="shared" si="16"/>
        <v>0</v>
      </c>
      <c r="J16" s="13">
        <f t="shared" si="16"/>
        <v>-0.3219280949</v>
      </c>
      <c r="K16" s="13">
        <f t="shared" si="16"/>
        <v>-0.3219280949</v>
      </c>
      <c r="L16" s="13">
        <f t="shared" si="16"/>
        <v>0.6780719051</v>
      </c>
      <c r="M16" s="13">
        <f t="shared" si="16"/>
        <v>-2.321928095</v>
      </c>
      <c r="N16" s="13">
        <f t="shared" si="16"/>
        <v>-0.7369655942</v>
      </c>
      <c r="O16" s="13">
        <f t="shared" si="16"/>
        <v>-0.7369655942</v>
      </c>
      <c r="P16" s="13">
        <f t="shared" si="16"/>
        <v>-1.321928095</v>
      </c>
      <c r="Q16" s="14">
        <f t="shared" si="3"/>
        <v>-4.598144836</v>
      </c>
      <c r="R16" s="17">
        <f>Andrew!C16</f>
        <v>0.3</v>
      </c>
      <c r="S16" s="17">
        <f>Eileen!C16</f>
        <v>0.5</v>
      </c>
      <c r="T16" s="17">
        <f>Iain!C16</f>
        <v>0.5</v>
      </c>
      <c r="U16" s="17">
        <f>Kate!C16</f>
        <v>0.5</v>
      </c>
      <c r="V16" s="17">
        <f>Rohan!C16</f>
        <v>0.6</v>
      </c>
      <c r="W16" s="17">
        <f>Pete!C16</f>
        <v>0.6</v>
      </c>
      <c r="X16" s="17">
        <f>Jac!C16</f>
        <v>0.2</v>
      </c>
      <c r="Y16" s="17">
        <f>James!C16</f>
        <v>0.9</v>
      </c>
      <c r="Z16" s="17">
        <f>Lachy!C16</f>
        <v>0.7</v>
      </c>
      <c r="AA16" s="17">
        <f>Gael!C16</f>
        <v>0.7</v>
      </c>
      <c r="AB16" s="17">
        <f>Bruce!C16</f>
        <v>0.8</v>
      </c>
    </row>
    <row r="17">
      <c r="A17" s="10">
        <v>16.0</v>
      </c>
      <c r="B17" s="16" t="s">
        <v>40</v>
      </c>
      <c r="C17" s="10" t="s">
        <v>13</v>
      </c>
      <c r="D17" s="10" t="s">
        <v>38</v>
      </c>
      <c r="E17" s="10">
        <v>0.0</v>
      </c>
      <c r="F17" s="13">
        <f t="shared" ref="F17:P17" si="17">IF($E17=1,(LOG(R17,2)+1),IF($E17=0,(LOG(1-R17,2)+1),""))</f>
        <v>0.2630344058</v>
      </c>
      <c r="G17" s="13">
        <f t="shared" si="17"/>
        <v>-0.7369655942</v>
      </c>
      <c r="H17" s="13">
        <f t="shared" si="17"/>
        <v>0.4854268272</v>
      </c>
      <c r="I17" s="13">
        <f t="shared" si="17"/>
        <v>-0.3219280949</v>
      </c>
      <c r="J17" s="13">
        <f t="shared" si="17"/>
        <v>0.2630344058</v>
      </c>
      <c r="K17" s="13">
        <f t="shared" si="17"/>
        <v>-0.3219280949</v>
      </c>
      <c r="L17" s="13">
        <f t="shared" si="17"/>
        <v>0.1375035237</v>
      </c>
      <c r="M17" s="13">
        <f t="shared" si="17"/>
        <v>0.6780719051</v>
      </c>
      <c r="N17" s="13">
        <f t="shared" si="17"/>
        <v>-0.1520030934</v>
      </c>
      <c r="O17" s="13">
        <f t="shared" si="17"/>
        <v>-0.7369655942</v>
      </c>
      <c r="P17" s="13">
        <f t="shared" si="17"/>
        <v>0.8479969066</v>
      </c>
      <c r="Q17" s="14">
        <f t="shared" si="3"/>
        <v>0.4052775027</v>
      </c>
      <c r="R17" s="17">
        <f>Andrew!C17</f>
        <v>0.4</v>
      </c>
      <c r="S17" s="17">
        <f>Eileen!C17</f>
        <v>0.7</v>
      </c>
      <c r="T17" s="17">
        <f>Iain!C17</f>
        <v>0.3</v>
      </c>
      <c r="U17" s="17">
        <f>Kate!C17</f>
        <v>0.6</v>
      </c>
      <c r="V17" s="17">
        <f>Rohan!C17</f>
        <v>0.4</v>
      </c>
      <c r="W17" s="17">
        <f>Pete!C17</f>
        <v>0.6</v>
      </c>
      <c r="X17" s="17">
        <f>Jac!C17</f>
        <v>0.45</v>
      </c>
      <c r="Y17" s="17">
        <f>James!C17</f>
        <v>0.2</v>
      </c>
      <c r="Z17" s="17">
        <f>Lachy!C17</f>
        <v>0.55</v>
      </c>
      <c r="AA17" s="17">
        <f>Gael!C17</f>
        <v>0.7</v>
      </c>
      <c r="AB17" s="17">
        <f>Bruce!C17</f>
        <v>0.1</v>
      </c>
    </row>
    <row r="18">
      <c r="A18" s="10">
        <v>17.0</v>
      </c>
      <c r="B18" s="16" t="s">
        <v>41</v>
      </c>
      <c r="C18" s="10" t="s">
        <v>13</v>
      </c>
      <c r="D18" s="10" t="s">
        <v>38</v>
      </c>
      <c r="E18" s="10">
        <v>1.0</v>
      </c>
      <c r="F18" s="13">
        <f t="shared" ref="F18:P18" si="18">IF($E18=1,(LOG(R18,2)+1),IF($E18=0,(LOG(1-R18,2)+1),""))</f>
        <v>0.3785116233</v>
      </c>
      <c r="G18" s="13">
        <f t="shared" si="18"/>
        <v>0.4854268272</v>
      </c>
      <c r="H18" s="13">
        <f t="shared" si="18"/>
        <v>0.2630344058</v>
      </c>
      <c r="I18" s="13">
        <f t="shared" si="18"/>
        <v>0.2630344058</v>
      </c>
      <c r="J18" s="13">
        <f t="shared" si="18"/>
        <v>0</v>
      </c>
      <c r="K18" s="13">
        <f t="shared" si="18"/>
        <v>-0.3219280949</v>
      </c>
      <c r="L18" s="13">
        <f t="shared" si="18"/>
        <v>0.6780719051</v>
      </c>
      <c r="M18" s="13">
        <f t="shared" si="18"/>
        <v>0</v>
      </c>
      <c r="N18" s="13">
        <f t="shared" si="18"/>
        <v>-0.3219280949</v>
      </c>
      <c r="O18" s="13">
        <f t="shared" si="18"/>
        <v>0.4854268272</v>
      </c>
      <c r="P18" s="13">
        <f t="shared" si="18"/>
        <v>0.6780719051</v>
      </c>
      <c r="Q18" s="14">
        <f t="shared" si="3"/>
        <v>2.58772171</v>
      </c>
      <c r="R18" s="17">
        <f>Andrew!C18</f>
        <v>0.65</v>
      </c>
      <c r="S18" s="17">
        <f>Eileen!C18</f>
        <v>0.7</v>
      </c>
      <c r="T18" s="17">
        <f>Iain!C18</f>
        <v>0.6</v>
      </c>
      <c r="U18" s="17">
        <f>Kate!C18</f>
        <v>0.6</v>
      </c>
      <c r="V18" s="17">
        <f>Rohan!C18</f>
        <v>0.5</v>
      </c>
      <c r="W18" s="17">
        <f>Pete!C18</f>
        <v>0.4</v>
      </c>
      <c r="X18" s="17">
        <f>Jac!C18</f>
        <v>0.8</v>
      </c>
      <c r="Y18" s="17">
        <f>James!C18</f>
        <v>0.5</v>
      </c>
      <c r="Z18" s="17">
        <f>Lachy!C18</f>
        <v>0.4</v>
      </c>
      <c r="AA18" s="17">
        <f>Gael!C18</f>
        <v>0.7</v>
      </c>
      <c r="AB18" s="17">
        <f>Bruce!C18</f>
        <v>0.8</v>
      </c>
    </row>
    <row r="19">
      <c r="A19" s="10">
        <v>18.0</v>
      </c>
      <c r="B19" s="16" t="s">
        <v>42</v>
      </c>
      <c r="C19" s="10" t="s">
        <v>14</v>
      </c>
      <c r="D19" s="10" t="s">
        <v>38</v>
      </c>
      <c r="E19" s="10">
        <v>0.0</v>
      </c>
      <c r="F19" s="13">
        <f t="shared" ref="F19:P19" si="19">IF($E19=1,(LOG(R19,2)+1),IF($E19=0,(LOG(1-R19,2)+1),""))</f>
        <v>-0.1520030934</v>
      </c>
      <c r="G19" s="13">
        <f t="shared" si="19"/>
        <v>0</v>
      </c>
      <c r="H19" s="13">
        <f t="shared" si="19"/>
        <v>0.2630344058</v>
      </c>
      <c r="I19" s="13">
        <f t="shared" si="19"/>
        <v>0.2630344058</v>
      </c>
      <c r="J19" s="13">
        <f t="shared" si="19"/>
        <v>-0.1202942337</v>
      </c>
      <c r="K19" s="13">
        <f t="shared" si="19"/>
        <v>-0.3219280949</v>
      </c>
      <c r="L19" s="13">
        <f t="shared" si="19"/>
        <v>0.6780719051</v>
      </c>
      <c r="M19" s="13">
        <f t="shared" si="19"/>
        <v>0.2630344058</v>
      </c>
      <c r="N19" s="13">
        <f t="shared" si="19"/>
        <v>0.6780719051</v>
      </c>
      <c r="O19" s="13">
        <f t="shared" si="19"/>
        <v>0</v>
      </c>
      <c r="P19" s="13">
        <f t="shared" si="19"/>
        <v>-0.3219280949</v>
      </c>
      <c r="Q19" s="14">
        <f t="shared" si="3"/>
        <v>1.229093511</v>
      </c>
      <c r="R19" s="17">
        <f>Andrew!C19</f>
        <v>0.55</v>
      </c>
      <c r="S19" s="17">
        <f>Eileen!C19</f>
        <v>0.5</v>
      </c>
      <c r="T19" s="17">
        <f>Iain!C19</f>
        <v>0.4</v>
      </c>
      <c r="U19" s="17">
        <f>Kate!C19</f>
        <v>0.4</v>
      </c>
      <c r="V19" s="17">
        <f>Rohan!C19</f>
        <v>0.54</v>
      </c>
      <c r="W19" s="17">
        <f>Pete!C19</f>
        <v>0.6</v>
      </c>
      <c r="X19" s="17">
        <f>Jac!C19</f>
        <v>0.2</v>
      </c>
      <c r="Y19" s="17">
        <f>James!C19</f>
        <v>0.4</v>
      </c>
      <c r="Z19" s="17">
        <f>Lachy!C19</f>
        <v>0.2</v>
      </c>
      <c r="AA19" s="17">
        <f>Gael!C19</f>
        <v>0.5</v>
      </c>
      <c r="AB19" s="17">
        <f>Bruce!C19</f>
        <v>0.6</v>
      </c>
    </row>
    <row r="20">
      <c r="A20" s="10">
        <v>19.0</v>
      </c>
      <c r="B20" s="16" t="s">
        <v>43</v>
      </c>
      <c r="C20" s="10" t="s">
        <v>16</v>
      </c>
      <c r="D20" s="10" t="s">
        <v>44</v>
      </c>
      <c r="E20" s="10">
        <v>1.0</v>
      </c>
      <c r="F20" s="13">
        <f t="shared" ref="F20:P20" si="20">IF($E20=1,(LOG(R20,2)+1),IF($E20=0,(LOG(1-R20,2)+1),""))</f>
        <v>0.2630344058</v>
      </c>
      <c r="G20" s="13">
        <f t="shared" si="20"/>
        <v>0.6780719051</v>
      </c>
      <c r="H20" s="13">
        <f t="shared" si="20"/>
        <v>0.2630344058</v>
      </c>
      <c r="I20" s="13">
        <f t="shared" si="20"/>
        <v>0.2630344058</v>
      </c>
      <c r="J20" s="13">
        <f t="shared" si="20"/>
        <v>-0.5563933485</v>
      </c>
      <c r="K20" s="13">
        <f t="shared" si="20"/>
        <v>0.2630344058</v>
      </c>
      <c r="L20" s="13">
        <f t="shared" si="20"/>
        <v>-0.1520030934</v>
      </c>
      <c r="M20" s="13">
        <f t="shared" si="20"/>
        <v>-3.321928095</v>
      </c>
      <c r="N20" s="13">
        <f t="shared" si="20"/>
        <v>0.4854268272</v>
      </c>
      <c r="O20" s="13">
        <f t="shared" si="20"/>
        <v>0.6780719051</v>
      </c>
      <c r="P20" s="13">
        <f t="shared" si="20"/>
        <v>-5.64385619</v>
      </c>
      <c r="Q20" s="14">
        <f t="shared" si="3"/>
        <v>-6.780472466</v>
      </c>
      <c r="R20" s="17">
        <f>Andrew!C20</f>
        <v>0.6</v>
      </c>
      <c r="S20" s="17">
        <f>Eileen!C20</f>
        <v>0.8</v>
      </c>
      <c r="T20" s="17">
        <f>Iain!C20</f>
        <v>0.6</v>
      </c>
      <c r="U20" s="17">
        <f>Kate!C20</f>
        <v>0.6</v>
      </c>
      <c r="V20" s="17">
        <f>Rohan!C20</f>
        <v>0.34</v>
      </c>
      <c r="W20" s="17">
        <f>Pete!C20</f>
        <v>0.6</v>
      </c>
      <c r="X20" s="17">
        <f>Jac!C20</f>
        <v>0.45</v>
      </c>
      <c r="Y20" s="17">
        <f>James!C20</f>
        <v>0.05</v>
      </c>
      <c r="Z20" s="17">
        <f>Lachy!C20</f>
        <v>0.7</v>
      </c>
      <c r="AA20" s="17">
        <f>Gael!C20</f>
        <v>0.8</v>
      </c>
      <c r="AB20" s="17">
        <f>Bruce!C20</f>
        <v>0.01</v>
      </c>
    </row>
    <row r="21">
      <c r="A21" s="10">
        <v>20.0</v>
      </c>
      <c r="B21" s="16" t="s">
        <v>45</v>
      </c>
      <c r="C21" s="10" t="s">
        <v>9</v>
      </c>
      <c r="D21" s="10" t="s">
        <v>44</v>
      </c>
      <c r="E21" s="10">
        <v>0.0</v>
      </c>
      <c r="F21" s="13">
        <f t="shared" ref="F21:P21" si="21">IF($E21=1,(LOG(R21,2)+1),IF($E21=0,(LOG(1-R21,2)+1),""))</f>
        <v>-0.5145731728</v>
      </c>
      <c r="G21" s="13">
        <f t="shared" si="21"/>
        <v>-0.3219280949</v>
      </c>
      <c r="H21" s="13">
        <f t="shared" si="21"/>
        <v>-0.7369655942</v>
      </c>
      <c r="I21" s="13">
        <f t="shared" si="21"/>
        <v>-0.3219280949</v>
      </c>
      <c r="J21" s="13">
        <f t="shared" si="21"/>
        <v>0.6780719051</v>
      </c>
      <c r="K21" s="13">
        <f t="shared" si="21"/>
        <v>0.2630344058</v>
      </c>
      <c r="L21" s="13">
        <f t="shared" si="21"/>
        <v>0.4854268272</v>
      </c>
      <c r="M21" s="13">
        <f t="shared" si="21"/>
        <v>0.2630344058</v>
      </c>
      <c r="N21" s="13">
        <f t="shared" si="21"/>
        <v>0.8479969066</v>
      </c>
      <c r="O21" s="13">
        <f t="shared" si="21"/>
        <v>-0.7369655942</v>
      </c>
      <c r="P21" s="13">
        <f t="shared" si="21"/>
        <v>0.2630344058</v>
      </c>
      <c r="Q21" s="14">
        <f t="shared" si="3"/>
        <v>0.1682383054</v>
      </c>
      <c r="R21" s="17">
        <f>Andrew!C21</f>
        <v>0.65</v>
      </c>
      <c r="S21" s="17">
        <f>Eileen!C21</f>
        <v>0.6</v>
      </c>
      <c r="T21" s="17">
        <f>Iain!C21</f>
        <v>0.7</v>
      </c>
      <c r="U21" s="17">
        <f>Kate!C21</f>
        <v>0.6</v>
      </c>
      <c r="V21" s="17">
        <f>Rohan!C21</f>
        <v>0.2</v>
      </c>
      <c r="W21" s="17">
        <f>Pete!C21</f>
        <v>0.4</v>
      </c>
      <c r="X21" s="17">
        <f>Jac!C21</f>
        <v>0.3</v>
      </c>
      <c r="Y21" s="17">
        <f>James!C21</f>
        <v>0.4</v>
      </c>
      <c r="Z21" s="17">
        <f>Lachy!C21</f>
        <v>0.1</v>
      </c>
      <c r="AA21" s="17">
        <f>Gael!C21</f>
        <v>0.7</v>
      </c>
      <c r="AB21" s="17">
        <f>Bruce!C21</f>
        <v>0.4</v>
      </c>
    </row>
    <row r="22">
      <c r="A22" s="10">
        <v>21.0</v>
      </c>
      <c r="B22" s="16" t="s">
        <v>46</v>
      </c>
      <c r="C22" s="10" t="s">
        <v>12</v>
      </c>
      <c r="D22" s="10" t="s">
        <v>44</v>
      </c>
      <c r="E22" s="10">
        <v>0.0</v>
      </c>
      <c r="F22" s="13">
        <f t="shared" ref="F22:P22" si="22">IF($E22=1,(LOG(R22,2)+1),IF($E22=0,(LOG(1-R22,2)+1),""))</f>
        <v>0.3785116233</v>
      </c>
      <c r="G22" s="13">
        <f t="shared" si="22"/>
        <v>-0.3219280949</v>
      </c>
      <c r="H22" s="13">
        <f t="shared" si="22"/>
        <v>-1.321928095</v>
      </c>
      <c r="I22" s="13">
        <f t="shared" si="22"/>
        <v>0.2630344058</v>
      </c>
      <c r="J22" s="13">
        <f t="shared" si="22"/>
        <v>0.2630344058</v>
      </c>
      <c r="K22" s="13">
        <f t="shared" si="22"/>
        <v>-0.7369655942</v>
      </c>
      <c r="L22" s="13">
        <f t="shared" si="22"/>
        <v>0</v>
      </c>
      <c r="M22" s="13">
        <f t="shared" si="22"/>
        <v>-0.3219280949</v>
      </c>
      <c r="N22" s="13">
        <f t="shared" si="22"/>
        <v>0.6780719051</v>
      </c>
      <c r="O22" s="13">
        <f t="shared" si="22"/>
        <v>-0.3219280949</v>
      </c>
      <c r="P22" s="13">
        <f t="shared" si="22"/>
        <v>0.4854268272</v>
      </c>
      <c r="Q22" s="14">
        <f t="shared" si="3"/>
        <v>-0.9565988065</v>
      </c>
      <c r="R22" s="17">
        <f>Andrew!C22</f>
        <v>0.35</v>
      </c>
      <c r="S22" s="17">
        <f>Eileen!C22</f>
        <v>0.6</v>
      </c>
      <c r="T22" s="17">
        <f>Iain!C22</f>
        <v>0.8</v>
      </c>
      <c r="U22" s="17">
        <f>Kate!C22</f>
        <v>0.4</v>
      </c>
      <c r="V22" s="17">
        <f>Rohan!C22</f>
        <v>0.4</v>
      </c>
      <c r="W22" s="17">
        <f>Pete!C22</f>
        <v>0.7</v>
      </c>
      <c r="X22" s="17">
        <f>Jac!C22</f>
        <v>0.5</v>
      </c>
      <c r="Y22" s="17">
        <f>James!C22</f>
        <v>0.6</v>
      </c>
      <c r="Z22" s="17">
        <f>Lachy!C22</f>
        <v>0.2</v>
      </c>
      <c r="AA22" s="17">
        <f>Gael!C22</f>
        <v>0.6</v>
      </c>
      <c r="AB22" s="17">
        <f>Bruce!C22</f>
        <v>0.3</v>
      </c>
    </row>
    <row r="23">
      <c r="A23" s="10">
        <v>22.0</v>
      </c>
      <c r="B23" s="16" t="s">
        <v>47</v>
      </c>
      <c r="C23" s="10" t="s">
        <v>7</v>
      </c>
      <c r="D23" s="10" t="s">
        <v>48</v>
      </c>
      <c r="E23" s="10">
        <v>0.0</v>
      </c>
      <c r="F23" s="13">
        <f t="shared" ref="F23:P23" si="23">IF($E23=1,(LOG(R23,2)+1),IF($E23=0,(LOG(1-R23,2)+1),""))</f>
        <v>0.8479969066</v>
      </c>
      <c r="G23" s="13">
        <f t="shared" si="23"/>
        <v>0.6780719051</v>
      </c>
      <c r="H23" s="13">
        <f t="shared" si="23"/>
        <v>-1.321928095</v>
      </c>
      <c r="I23" s="13">
        <f t="shared" si="23"/>
        <v>0.6780719051</v>
      </c>
      <c r="J23" s="13">
        <f t="shared" si="23"/>
        <v>-0.7369655942</v>
      </c>
      <c r="K23" s="13">
        <f t="shared" si="23"/>
        <v>-0.3219280949</v>
      </c>
      <c r="L23" s="13">
        <f t="shared" si="23"/>
        <v>0.1375035237</v>
      </c>
      <c r="M23" s="13">
        <f t="shared" si="23"/>
        <v>-0.3219280949</v>
      </c>
      <c r="N23" s="13">
        <f t="shared" si="23"/>
        <v>0.9855004303</v>
      </c>
      <c r="O23" s="13">
        <f t="shared" si="23"/>
        <v>-0.3219280949</v>
      </c>
      <c r="P23" s="13">
        <f t="shared" si="23"/>
        <v>0.2630344058</v>
      </c>
      <c r="Q23" s="14">
        <f t="shared" si="3"/>
        <v>0.565501103</v>
      </c>
      <c r="R23" s="17">
        <f>Andrew!C23</f>
        <v>0.1</v>
      </c>
      <c r="S23" s="17">
        <f>Eileen!C23</f>
        <v>0.2</v>
      </c>
      <c r="T23" s="17">
        <f>Iain!C23</f>
        <v>0.8</v>
      </c>
      <c r="U23" s="17">
        <f>Kate!C23</f>
        <v>0.2</v>
      </c>
      <c r="V23" s="17">
        <f>Rohan!C23</f>
        <v>0.7</v>
      </c>
      <c r="W23" s="17">
        <f>Pete!C23</f>
        <v>0.6</v>
      </c>
      <c r="X23" s="17">
        <f>Jac!C23</f>
        <v>0.45</v>
      </c>
      <c r="Y23" s="17">
        <f>James!C23</f>
        <v>0.6</v>
      </c>
      <c r="Z23" s="17">
        <f>Lachy!C23</f>
        <v>0.01</v>
      </c>
      <c r="AA23" s="17">
        <f>Gael!C23</f>
        <v>0.6</v>
      </c>
      <c r="AB23" s="17">
        <f>Bruce!C23</f>
        <v>0.4</v>
      </c>
    </row>
    <row r="24">
      <c r="A24" s="10">
        <v>23.0</v>
      </c>
      <c r="B24" s="16" t="s">
        <v>49</v>
      </c>
      <c r="C24" s="10" t="s">
        <v>7</v>
      </c>
      <c r="D24" s="10" t="s">
        <v>48</v>
      </c>
      <c r="E24" s="10">
        <v>0.0</v>
      </c>
      <c r="F24" s="13">
        <f t="shared" ref="F24:P24" si="24">IF($E24=1,(LOG(R24,2)+1),IF($E24=0,(LOG(1-R24,2)+1),""))</f>
        <v>-0.1520030934</v>
      </c>
      <c r="G24" s="13">
        <f t="shared" si="24"/>
        <v>-0.3219280949</v>
      </c>
      <c r="H24" s="13">
        <f t="shared" si="24"/>
        <v>-0.7369655942</v>
      </c>
      <c r="I24" s="13">
        <f t="shared" si="24"/>
        <v>0.8479969066</v>
      </c>
      <c r="J24" s="13">
        <f t="shared" si="24"/>
        <v>0.0285691522</v>
      </c>
      <c r="K24" s="13">
        <f t="shared" si="24"/>
        <v>0.2630344058</v>
      </c>
      <c r="L24" s="13">
        <f t="shared" si="24"/>
        <v>0.2630344058</v>
      </c>
      <c r="M24" s="13">
        <f t="shared" si="24"/>
        <v>0.8479969066</v>
      </c>
      <c r="N24" s="13">
        <f t="shared" si="24"/>
        <v>-0.3219280949</v>
      </c>
      <c r="O24" s="13">
        <f t="shared" si="24"/>
        <v>0.4854268272</v>
      </c>
      <c r="P24" s="13">
        <f t="shared" si="24"/>
        <v>0.9259994186</v>
      </c>
      <c r="Q24" s="14">
        <f t="shared" si="3"/>
        <v>2.129233145</v>
      </c>
      <c r="R24" s="17">
        <f>Andrew!C24</f>
        <v>0.55</v>
      </c>
      <c r="S24" s="17">
        <f>Eileen!C24</f>
        <v>0.6</v>
      </c>
      <c r="T24" s="17">
        <f>Iain!C24</f>
        <v>0.7</v>
      </c>
      <c r="U24" s="17">
        <f>Kate!C24</f>
        <v>0.1</v>
      </c>
      <c r="V24" s="17">
        <f>Rohan!C24</f>
        <v>0.49</v>
      </c>
      <c r="W24" s="17">
        <f>Pete!C24</f>
        <v>0.4</v>
      </c>
      <c r="X24" s="17">
        <f>Jac!C24</f>
        <v>0.4</v>
      </c>
      <c r="Y24" s="17">
        <f>James!C24</f>
        <v>0.1</v>
      </c>
      <c r="Z24" s="17">
        <f>Lachy!C24</f>
        <v>0.6</v>
      </c>
      <c r="AA24" s="17">
        <f>Gael!C24</f>
        <v>0.3</v>
      </c>
      <c r="AB24" s="17">
        <f>Bruce!C24</f>
        <v>0.05</v>
      </c>
    </row>
    <row r="25">
      <c r="A25" s="10">
        <v>24.0</v>
      </c>
      <c r="B25" s="16" t="s">
        <v>50</v>
      </c>
      <c r="C25" s="10" t="s">
        <v>17</v>
      </c>
      <c r="D25" s="10" t="s">
        <v>48</v>
      </c>
      <c r="E25" s="10">
        <v>0.0</v>
      </c>
      <c r="F25" s="13">
        <f t="shared" ref="F25:P25" si="25">IF($E25=1,(LOG(R25,2)+1),IF($E25=0,(LOG(1-R25,2)+1),""))</f>
        <v>0.4854268272</v>
      </c>
      <c r="G25" s="13">
        <f t="shared" si="25"/>
        <v>0</v>
      </c>
      <c r="H25" s="13">
        <f t="shared" si="25"/>
        <v>-0.7369655942</v>
      </c>
      <c r="I25" s="13">
        <f t="shared" si="25"/>
        <v>0.2630344058</v>
      </c>
      <c r="J25" s="13">
        <f t="shared" si="25"/>
        <v>-0.1520030934</v>
      </c>
      <c r="K25" s="13">
        <f t="shared" si="25"/>
        <v>0.2630344058</v>
      </c>
      <c r="L25" s="13">
        <f t="shared" si="25"/>
        <v>0.6780719051</v>
      </c>
      <c r="M25" s="13">
        <f t="shared" si="25"/>
        <v>0.6780719051</v>
      </c>
      <c r="N25" s="13">
        <f t="shared" si="25"/>
        <v>0.4854268272</v>
      </c>
      <c r="O25" s="13">
        <f t="shared" si="25"/>
        <v>-0.3219280949</v>
      </c>
      <c r="P25" s="13">
        <f t="shared" si="25"/>
        <v>0.4854268272</v>
      </c>
      <c r="Q25" s="14">
        <f t="shared" si="3"/>
        <v>2.127596321</v>
      </c>
      <c r="R25" s="17">
        <f>Andrew!C25</f>
        <v>0.3</v>
      </c>
      <c r="S25" s="17">
        <f>Eileen!C25</f>
        <v>0.5</v>
      </c>
      <c r="T25" s="17">
        <f>Iain!C25</f>
        <v>0.7</v>
      </c>
      <c r="U25" s="17">
        <f>Kate!C25</f>
        <v>0.4</v>
      </c>
      <c r="V25" s="17">
        <f>Rohan!C25</f>
        <v>0.55</v>
      </c>
      <c r="W25" s="17">
        <f>Pete!C25</f>
        <v>0.4</v>
      </c>
      <c r="X25" s="17">
        <f>Jac!C25</f>
        <v>0.2</v>
      </c>
      <c r="Y25" s="17">
        <f>James!C25</f>
        <v>0.2</v>
      </c>
      <c r="Z25" s="17">
        <f>Lachy!C25</f>
        <v>0.3</v>
      </c>
      <c r="AA25" s="17">
        <f>Gael!C25</f>
        <v>0.6</v>
      </c>
      <c r="AB25" s="17">
        <f>Bruce!C25</f>
        <v>0.3</v>
      </c>
    </row>
    <row r="26">
      <c r="A26" s="10">
        <v>25.0</v>
      </c>
      <c r="B26" s="16" t="s">
        <v>51</v>
      </c>
      <c r="C26" s="10" t="s">
        <v>17</v>
      </c>
      <c r="D26" s="10" t="s">
        <v>48</v>
      </c>
      <c r="E26" s="10">
        <v>0.0</v>
      </c>
      <c r="F26" s="13">
        <f t="shared" ref="F26:P26" si="26">IF($E26=1,(LOG(R26,2)+1),IF($E26=0,(LOG(1-R26,2)+1),""))</f>
        <v>-0.7369655942</v>
      </c>
      <c r="G26" s="13">
        <f t="shared" si="26"/>
        <v>-1.321928095</v>
      </c>
      <c r="H26" s="13">
        <f t="shared" si="26"/>
        <v>0.4854268272</v>
      </c>
      <c r="I26" s="13">
        <f t="shared" si="26"/>
        <v>-0.3219280949</v>
      </c>
      <c r="J26" s="13">
        <f t="shared" si="26"/>
        <v>0.9855004303</v>
      </c>
      <c r="K26" s="13">
        <f t="shared" si="26"/>
        <v>0.4854268272</v>
      </c>
      <c r="L26" s="13">
        <f t="shared" si="26"/>
        <v>0.8479969066</v>
      </c>
      <c r="M26" s="13">
        <f t="shared" si="26"/>
        <v>0.9259994186</v>
      </c>
      <c r="N26" s="13">
        <f t="shared" si="26"/>
        <v>-1.321928095</v>
      </c>
      <c r="O26" s="13">
        <f t="shared" si="26"/>
        <v>0.4854268272</v>
      </c>
      <c r="P26" s="13">
        <f t="shared" si="26"/>
        <v>0.9855004303</v>
      </c>
      <c r="Q26" s="14">
        <f t="shared" si="3"/>
        <v>1.498527788</v>
      </c>
      <c r="R26" s="17">
        <f>Andrew!C26</f>
        <v>0.7</v>
      </c>
      <c r="S26" s="17">
        <f>Eileen!C26</f>
        <v>0.8</v>
      </c>
      <c r="T26" s="17">
        <f>Iain!C26</f>
        <v>0.3</v>
      </c>
      <c r="U26" s="17">
        <f>Kate!C26</f>
        <v>0.6</v>
      </c>
      <c r="V26" s="17">
        <f>Rohan!C26</f>
        <v>0.01</v>
      </c>
      <c r="W26" s="17">
        <f>Pete!C26</f>
        <v>0.3</v>
      </c>
      <c r="X26" s="17">
        <f>Jac!C26</f>
        <v>0.1</v>
      </c>
      <c r="Y26" s="17">
        <f>James!C26</f>
        <v>0.05</v>
      </c>
      <c r="Z26" s="17">
        <f>Lachy!C26</f>
        <v>0.8</v>
      </c>
      <c r="AA26" s="17">
        <f>Gael!C26</f>
        <v>0.3</v>
      </c>
      <c r="AB26" s="17">
        <f>Bruce!C26</f>
        <v>0.01</v>
      </c>
    </row>
    <row r="27">
      <c r="A27" s="10">
        <v>26.0</v>
      </c>
      <c r="B27" s="16" t="s">
        <v>52</v>
      </c>
      <c r="C27" s="10" t="s">
        <v>16</v>
      </c>
      <c r="D27" s="10" t="s">
        <v>48</v>
      </c>
      <c r="E27" s="10">
        <v>0.0</v>
      </c>
      <c r="F27" s="13">
        <f t="shared" ref="F27:P27" si="27">IF($E27=1,(LOG(R27,2)+1),IF($E27=0,(LOG(1-R27,2)+1),""))</f>
        <v>-0.5145731728</v>
      </c>
      <c r="G27" s="13">
        <f t="shared" si="27"/>
        <v>-1</v>
      </c>
      <c r="H27" s="13">
        <f t="shared" si="27"/>
        <v>-1.321928095</v>
      </c>
      <c r="I27" s="13">
        <f t="shared" si="27"/>
        <v>-0.7369655942</v>
      </c>
      <c r="J27" s="13">
        <f t="shared" si="27"/>
        <v>-0.3219280949</v>
      </c>
      <c r="K27" s="13">
        <f t="shared" si="27"/>
        <v>0.4854268272</v>
      </c>
      <c r="L27" s="13">
        <f t="shared" si="27"/>
        <v>-0.7369655942</v>
      </c>
      <c r="M27" s="13">
        <f t="shared" si="27"/>
        <v>-2.321928095</v>
      </c>
      <c r="N27" s="13">
        <f t="shared" si="27"/>
        <v>-2.321928095</v>
      </c>
      <c r="O27" s="13">
        <f t="shared" si="27"/>
        <v>-0.7369655942</v>
      </c>
      <c r="P27" s="13">
        <f t="shared" si="27"/>
        <v>-3.321928095</v>
      </c>
      <c r="Q27" s="14">
        <f t="shared" si="3"/>
        <v>-12.8496836</v>
      </c>
      <c r="R27" s="17">
        <f>Andrew!C27</f>
        <v>0.65</v>
      </c>
      <c r="S27" s="17">
        <f>Eileen!C27</f>
        <v>0.75</v>
      </c>
      <c r="T27" s="17">
        <f>Iain!C27</f>
        <v>0.8</v>
      </c>
      <c r="U27" s="17">
        <f>Kate!C27</f>
        <v>0.7</v>
      </c>
      <c r="V27" s="17">
        <f>Rohan!C27</f>
        <v>0.6</v>
      </c>
      <c r="W27" s="17">
        <f>Pete!C27</f>
        <v>0.3</v>
      </c>
      <c r="X27" s="17">
        <f>Jac!C27</f>
        <v>0.7</v>
      </c>
      <c r="Y27" s="17">
        <f>James!C27</f>
        <v>0.9</v>
      </c>
      <c r="Z27" s="17">
        <f>Lachy!C27</f>
        <v>0.9</v>
      </c>
      <c r="AA27" s="17">
        <f>Gael!C27</f>
        <v>0.7</v>
      </c>
      <c r="AB27" s="17">
        <f>Bruce!C27</f>
        <v>0.95</v>
      </c>
    </row>
    <row r="28">
      <c r="A28" s="10">
        <v>27.0</v>
      </c>
      <c r="B28" s="16" t="s">
        <v>53</v>
      </c>
      <c r="C28" s="10" t="s">
        <v>9</v>
      </c>
      <c r="D28" s="10" t="s">
        <v>48</v>
      </c>
      <c r="E28" s="10">
        <v>0.0</v>
      </c>
      <c r="F28" s="13">
        <f t="shared" ref="F28:P28" si="28">IF($E28=1,(LOG(R28,2)+1),IF($E28=0,(LOG(1-R28,2)+1),""))</f>
        <v>-0.1520030934</v>
      </c>
      <c r="G28" s="13">
        <f t="shared" si="28"/>
        <v>0</v>
      </c>
      <c r="H28" s="13">
        <f t="shared" si="28"/>
        <v>0</v>
      </c>
      <c r="I28" s="13">
        <f t="shared" si="28"/>
        <v>0.8479969066</v>
      </c>
      <c r="J28" s="13">
        <f t="shared" si="28"/>
        <v>0.4854268272</v>
      </c>
      <c r="K28" s="13">
        <f t="shared" si="28"/>
        <v>-0.3219280949</v>
      </c>
      <c r="L28" s="13">
        <f t="shared" si="28"/>
        <v>0.1375035237</v>
      </c>
      <c r="M28" s="13">
        <f t="shared" si="28"/>
        <v>0.9259994186</v>
      </c>
      <c r="N28" s="13">
        <f t="shared" si="28"/>
        <v>0.8479969066</v>
      </c>
      <c r="O28" s="13">
        <f t="shared" si="28"/>
        <v>-0.3219280949</v>
      </c>
      <c r="P28" s="13">
        <f t="shared" si="28"/>
        <v>0.9855004303</v>
      </c>
      <c r="Q28" s="14">
        <f t="shared" si="3"/>
        <v>3.43456473</v>
      </c>
      <c r="R28" s="17">
        <f>Andrew!C28</f>
        <v>0.55</v>
      </c>
      <c r="S28" s="17">
        <f>Eileen!C28</f>
        <v>0.5</v>
      </c>
      <c r="T28" s="17">
        <f>Iain!C28</f>
        <v>0.5</v>
      </c>
      <c r="U28" s="17">
        <f>Kate!C28</f>
        <v>0.1</v>
      </c>
      <c r="V28" s="17">
        <f>Rohan!C28</f>
        <v>0.3</v>
      </c>
      <c r="W28" s="17">
        <f>Pete!C28</f>
        <v>0.6</v>
      </c>
      <c r="X28" s="17">
        <f>Jac!C28</f>
        <v>0.45</v>
      </c>
      <c r="Y28" s="17">
        <f>James!C28</f>
        <v>0.05</v>
      </c>
      <c r="Z28" s="17">
        <f>Lachy!C28</f>
        <v>0.1</v>
      </c>
      <c r="AA28" s="17">
        <f>Gael!C28</f>
        <v>0.6</v>
      </c>
      <c r="AB28" s="17">
        <f>Bruce!C28</f>
        <v>0.01</v>
      </c>
    </row>
    <row r="29">
      <c r="A29" s="10">
        <v>28.0</v>
      </c>
      <c r="B29" s="16" t="s">
        <v>54</v>
      </c>
      <c r="C29" s="10" t="s">
        <v>9</v>
      </c>
      <c r="D29" s="10" t="s">
        <v>48</v>
      </c>
      <c r="E29" s="10">
        <v>1.0</v>
      </c>
      <c r="F29" s="13">
        <f t="shared" ref="F29:P29" si="29">IF($E29=1,(LOG(R29,2)+1),IF($E29=0,(LOG(1-R29,2)+1),""))</f>
        <v>0.6780719051</v>
      </c>
      <c r="G29" s="13">
        <f t="shared" si="29"/>
        <v>-0.3219280949</v>
      </c>
      <c r="H29" s="13">
        <f t="shared" si="29"/>
        <v>0.6780719051</v>
      </c>
      <c r="I29" s="13">
        <f t="shared" si="29"/>
        <v>0.8479969066</v>
      </c>
      <c r="J29" s="13">
        <f t="shared" si="29"/>
        <v>0.6780719051</v>
      </c>
      <c r="K29" s="13">
        <f t="shared" si="29"/>
        <v>-0.7369655942</v>
      </c>
      <c r="L29" s="13">
        <f t="shared" si="29"/>
        <v>-0.1520030934</v>
      </c>
      <c r="M29" s="13">
        <f t="shared" si="29"/>
        <v>0.8479969066</v>
      </c>
      <c r="N29" s="13">
        <f t="shared" si="29"/>
        <v>-0.3219280949</v>
      </c>
      <c r="O29" s="13">
        <f t="shared" si="29"/>
        <v>0.8479969066</v>
      </c>
      <c r="P29" s="13">
        <f t="shared" si="29"/>
        <v>0.9259994186</v>
      </c>
      <c r="Q29" s="14">
        <f t="shared" si="3"/>
        <v>3.971380976</v>
      </c>
      <c r="R29" s="17">
        <f>Andrew!C29</f>
        <v>0.8</v>
      </c>
      <c r="S29" s="17">
        <f>Eileen!C29</f>
        <v>0.4</v>
      </c>
      <c r="T29" s="17">
        <f>Iain!C29</f>
        <v>0.8</v>
      </c>
      <c r="U29" s="17">
        <f>Kate!C29</f>
        <v>0.9</v>
      </c>
      <c r="V29" s="17">
        <f>Rohan!C29</f>
        <v>0.8</v>
      </c>
      <c r="W29" s="17">
        <f>Pete!C29</f>
        <v>0.3</v>
      </c>
      <c r="X29" s="17">
        <f>Jac!C29</f>
        <v>0.45</v>
      </c>
      <c r="Y29" s="17">
        <f>James!C29</f>
        <v>0.9</v>
      </c>
      <c r="Z29" s="17">
        <f>Lachy!C29</f>
        <v>0.4</v>
      </c>
      <c r="AA29" s="17">
        <f>Gael!C29</f>
        <v>0.9</v>
      </c>
      <c r="AB29" s="17">
        <f>Bruce!C29</f>
        <v>0.95</v>
      </c>
    </row>
    <row r="30">
      <c r="A30" s="10">
        <v>29.0</v>
      </c>
      <c r="B30" s="16" t="s">
        <v>55</v>
      </c>
      <c r="C30" s="10" t="s">
        <v>13</v>
      </c>
      <c r="D30" s="10" t="s">
        <v>48</v>
      </c>
      <c r="E30" s="10">
        <v>1.0</v>
      </c>
      <c r="F30" s="13">
        <f t="shared" ref="F30:P30" si="30">IF($E30=1,(LOG(R30,2)+1),IF($E30=0,(LOG(1-R30,2)+1),""))</f>
        <v>0.2630344058</v>
      </c>
      <c r="G30" s="13">
        <f t="shared" si="30"/>
        <v>0</v>
      </c>
      <c r="H30" s="13">
        <f t="shared" si="30"/>
        <v>0.8479969066</v>
      </c>
      <c r="I30" s="13">
        <f t="shared" si="30"/>
        <v>0</v>
      </c>
      <c r="J30" s="13">
        <f t="shared" si="30"/>
        <v>0.5849625007</v>
      </c>
      <c r="K30" s="13">
        <f t="shared" si="30"/>
        <v>0.2630344058</v>
      </c>
      <c r="L30" s="13">
        <f t="shared" si="30"/>
        <v>0.6780719051</v>
      </c>
      <c r="M30" s="13">
        <f t="shared" si="30"/>
        <v>0.9855004303</v>
      </c>
      <c r="N30" s="13">
        <f t="shared" si="30"/>
        <v>0.6780719051</v>
      </c>
      <c r="O30" s="13">
        <f t="shared" si="30"/>
        <v>0.6780719051</v>
      </c>
      <c r="P30" s="13">
        <f t="shared" si="30"/>
        <v>0.9855004303</v>
      </c>
      <c r="Q30" s="14">
        <f t="shared" si="3"/>
        <v>5.964244795</v>
      </c>
      <c r="R30" s="17">
        <f>Andrew!C30</f>
        <v>0.6</v>
      </c>
      <c r="S30" s="17">
        <f>Eileen!C30</f>
        <v>0.5</v>
      </c>
      <c r="T30" s="17">
        <f>Iain!C30</f>
        <v>0.9</v>
      </c>
      <c r="U30" s="17">
        <f>Kate!C30</f>
        <v>0.5</v>
      </c>
      <c r="V30" s="17">
        <f>Rohan!C30</f>
        <v>0.75</v>
      </c>
      <c r="W30" s="17">
        <f>Pete!C30</f>
        <v>0.6</v>
      </c>
      <c r="X30" s="17">
        <f>Jac!C30</f>
        <v>0.8</v>
      </c>
      <c r="Y30" s="17">
        <f>James!C30</f>
        <v>0.99</v>
      </c>
      <c r="Z30" s="17">
        <f>Lachy!C30</f>
        <v>0.8</v>
      </c>
      <c r="AA30" s="17">
        <f>Gael!C30</f>
        <v>0.8</v>
      </c>
      <c r="AB30" s="17">
        <f>Bruce!C30</f>
        <v>0.99</v>
      </c>
    </row>
    <row r="31">
      <c r="A31" s="10">
        <v>30.0</v>
      </c>
      <c r="B31" s="16" t="s">
        <v>56</v>
      </c>
      <c r="C31" s="10" t="s">
        <v>14</v>
      </c>
      <c r="D31" s="10" t="s">
        <v>48</v>
      </c>
      <c r="E31" s="10">
        <v>0.0</v>
      </c>
      <c r="F31" s="13">
        <f t="shared" ref="F31:P31" si="31">IF($E31=1,(LOG(R31,2)+1),IF($E31=0,(LOG(1-R31,2)+1),""))</f>
        <v>0.2630344058</v>
      </c>
      <c r="G31" s="13">
        <f t="shared" si="31"/>
        <v>0</v>
      </c>
      <c r="H31" s="13">
        <f t="shared" si="31"/>
        <v>0</v>
      </c>
      <c r="I31" s="13">
        <f t="shared" si="31"/>
        <v>0.8479969066</v>
      </c>
      <c r="J31" s="13">
        <f t="shared" si="31"/>
        <v>0.7655347464</v>
      </c>
      <c r="K31" s="13">
        <f t="shared" si="31"/>
        <v>0.2630344058</v>
      </c>
      <c r="L31" s="13">
        <f t="shared" si="31"/>
        <v>0.9259994186</v>
      </c>
      <c r="M31" s="13">
        <f t="shared" si="31"/>
        <v>0.9259994186</v>
      </c>
      <c r="N31" s="13">
        <f t="shared" si="31"/>
        <v>0.8479969066</v>
      </c>
      <c r="O31" s="13">
        <f t="shared" si="31"/>
        <v>0.4854268272</v>
      </c>
      <c r="P31" s="13">
        <f t="shared" si="31"/>
        <v>0.9855004303</v>
      </c>
      <c r="Q31" s="14">
        <f t="shared" si="3"/>
        <v>6.310523466</v>
      </c>
      <c r="R31" s="17">
        <f>Andrew!C31</f>
        <v>0.4</v>
      </c>
      <c r="S31" s="17">
        <f>Eileen!C31</f>
        <v>0.5</v>
      </c>
      <c r="T31" s="17">
        <f>Iain!C31</f>
        <v>0.5</v>
      </c>
      <c r="U31" s="17">
        <f>Kate!C31</f>
        <v>0.1</v>
      </c>
      <c r="V31" s="17">
        <f>Rohan!C31</f>
        <v>0.15</v>
      </c>
      <c r="W31" s="17">
        <f>Pete!C31</f>
        <v>0.4</v>
      </c>
      <c r="X31" s="17">
        <f>Jac!C31</f>
        <v>0.05</v>
      </c>
      <c r="Y31" s="17">
        <f>James!C31</f>
        <v>0.05</v>
      </c>
      <c r="Z31" s="17">
        <f>Lachy!C31</f>
        <v>0.1</v>
      </c>
      <c r="AA31" s="17">
        <f>Gael!C31</f>
        <v>0.3</v>
      </c>
      <c r="AB31" s="17">
        <f>Bruce!C31</f>
        <v>0.01</v>
      </c>
    </row>
    <row r="32">
      <c r="A32" s="10">
        <v>31.0</v>
      </c>
      <c r="B32" s="16" t="s">
        <v>57</v>
      </c>
      <c r="C32" s="10" t="s">
        <v>15</v>
      </c>
      <c r="D32" s="10" t="s">
        <v>48</v>
      </c>
      <c r="E32" s="10">
        <v>0.0</v>
      </c>
      <c r="F32" s="13">
        <f t="shared" ref="F32:P32" si="32">IF($E32=1,(LOG(R32,2)+1),IF($E32=0,(LOG(1-R32,2)+1),""))</f>
        <v>-0.7369655942</v>
      </c>
      <c r="G32" s="13">
        <f t="shared" si="32"/>
        <v>0.1375035237</v>
      </c>
      <c r="H32" s="13">
        <f t="shared" si="32"/>
        <v>0.2630344058</v>
      </c>
      <c r="I32" s="13">
        <f t="shared" si="32"/>
        <v>-0.7369655942</v>
      </c>
      <c r="J32" s="13">
        <f t="shared" si="32"/>
        <v>-1.251538767</v>
      </c>
      <c r="K32" s="13">
        <f t="shared" si="32"/>
        <v>0.2630344058</v>
      </c>
      <c r="L32" s="13">
        <f t="shared" si="32"/>
        <v>0.2630344058</v>
      </c>
      <c r="M32" s="13">
        <f t="shared" si="32"/>
        <v>0.4854268272</v>
      </c>
      <c r="N32" s="13">
        <f t="shared" si="32"/>
        <v>-0.7369655942</v>
      </c>
      <c r="O32" s="13">
        <f t="shared" si="32"/>
        <v>-0.7369655942</v>
      </c>
      <c r="P32" s="13">
        <f t="shared" si="32"/>
        <v>0.4854268272</v>
      </c>
      <c r="Q32" s="14">
        <f t="shared" si="3"/>
        <v>-2.301940748</v>
      </c>
      <c r="R32" s="17">
        <f>Andrew!C32</f>
        <v>0.7</v>
      </c>
      <c r="S32" s="17">
        <f>Eileen!C32</f>
        <v>0.45</v>
      </c>
      <c r="T32" s="17">
        <f>Iain!C32</f>
        <v>0.4</v>
      </c>
      <c r="U32" s="17">
        <f>Kate!C32</f>
        <v>0.7</v>
      </c>
      <c r="V32" s="17">
        <f>Rohan!C32</f>
        <v>0.79</v>
      </c>
      <c r="W32" s="17">
        <f>Pete!C32</f>
        <v>0.4</v>
      </c>
      <c r="X32" s="17">
        <f>Jac!C32</f>
        <v>0.4</v>
      </c>
      <c r="Y32" s="17">
        <f>James!C32</f>
        <v>0.3</v>
      </c>
      <c r="Z32" s="17">
        <f>Lachy!C32</f>
        <v>0.7</v>
      </c>
      <c r="AA32" s="17">
        <f>Gael!C32</f>
        <v>0.7</v>
      </c>
      <c r="AB32" s="17">
        <f>Bruce!C32</f>
        <v>0.3</v>
      </c>
    </row>
    <row r="33">
      <c r="A33" s="10">
        <v>32.0</v>
      </c>
      <c r="B33" s="16" t="s">
        <v>58</v>
      </c>
      <c r="C33" s="10" t="s">
        <v>11</v>
      </c>
      <c r="D33" s="10" t="s">
        <v>48</v>
      </c>
      <c r="E33" s="10">
        <v>0.0</v>
      </c>
      <c r="F33" s="13">
        <f t="shared" ref="F33:P33" si="33">IF($E33=1,(LOG(R33,2)+1),IF($E33=0,(LOG(1-R33,2)+1),""))</f>
        <v>0.4854268272</v>
      </c>
      <c r="G33" s="13">
        <f t="shared" si="33"/>
        <v>-0.3219280949</v>
      </c>
      <c r="H33" s="13">
        <f t="shared" si="33"/>
        <v>-0.3219280949</v>
      </c>
      <c r="I33" s="13">
        <f t="shared" si="33"/>
        <v>0.8479969066</v>
      </c>
      <c r="J33" s="13">
        <f t="shared" si="33"/>
        <v>0.2630344058</v>
      </c>
      <c r="K33" s="13">
        <f t="shared" si="33"/>
        <v>0.2630344058</v>
      </c>
      <c r="L33" s="13">
        <f t="shared" si="33"/>
        <v>0</v>
      </c>
      <c r="M33" s="13">
        <f t="shared" si="33"/>
        <v>0.2630344058</v>
      </c>
      <c r="N33" s="13">
        <f t="shared" si="33"/>
        <v>0.6780719051</v>
      </c>
      <c r="O33" s="13">
        <f t="shared" si="33"/>
        <v>0.4854268272</v>
      </c>
      <c r="P33" s="13">
        <f t="shared" si="33"/>
        <v>0.4854268272</v>
      </c>
      <c r="Q33" s="14">
        <f t="shared" si="3"/>
        <v>3.127596321</v>
      </c>
      <c r="R33" s="17">
        <f>Andrew!C33</f>
        <v>0.3</v>
      </c>
      <c r="S33" s="17">
        <f>Eileen!C33</f>
        <v>0.6</v>
      </c>
      <c r="T33" s="17">
        <f>Iain!C33</f>
        <v>0.6</v>
      </c>
      <c r="U33" s="17">
        <f>Kate!C33</f>
        <v>0.1</v>
      </c>
      <c r="V33" s="17">
        <f>Rohan!C33</f>
        <v>0.4</v>
      </c>
      <c r="W33" s="17">
        <f>Pete!C33</f>
        <v>0.4</v>
      </c>
      <c r="X33" s="17">
        <f>Jac!C33</f>
        <v>0.5</v>
      </c>
      <c r="Y33" s="17">
        <f>James!C33</f>
        <v>0.4</v>
      </c>
      <c r="Z33" s="17">
        <f>Lachy!C33</f>
        <v>0.2</v>
      </c>
      <c r="AA33" s="17">
        <f>Gael!C33</f>
        <v>0.3</v>
      </c>
      <c r="AB33" s="17">
        <f>Bruce!C33</f>
        <v>0.3</v>
      </c>
    </row>
    <row r="34">
      <c r="A34" s="10">
        <v>33.0</v>
      </c>
      <c r="B34" s="16" t="s">
        <v>59</v>
      </c>
      <c r="C34" s="10" t="s">
        <v>11</v>
      </c>
      <c r="D34" s="10" t="s">
        <v>48</v>
      </c>
      <c r="E34" s="10">
        <v>1.0</v>
      </c>
      <c r="F34" s="13">
        <f t="shared" ref="F34:P34" si="34">IF($E34=1,(LOG(R34,2)+1),IF($E34=0,(LOG(1-R34,2)+1),""))</f>
        <v>0.6780719051</v>
      </c>
      <c r="G34" s="13">
        <f t="shared" si="34"/>
        <v>0.2630344058</v>
      </c>
      <c r="H34" s="13">
        <f t="shared" si="34"/>
        <v>0</v>
      </c>
      <c r="I34" s="13">
        <f t="shared" si="34"/>
        <v>-0.7369655942</v>
      </c>
      <c r="J34" s="13">
        <f t="shared" si="34"/>
        <v>0.8479969066</v>
      </c>
      <c r="K34" s="13">
        <f t="shared" si="34"/>
        <v>0.2630344058</v>
      </c>
      <c r="L34" s="13">
        <f t="shared" si="34"/>
        <v>0.2630344058</v>
      </c>
      <c r="M34" s="13">
        <f t="shared" si="34"/>
        <v>0.6780719051</v>
      </c>
      <c r="N34" s="13">
        <f t="shared" si="34"/>
        <v>0.6780719051</v>
      </c>
      <c r="O34" s="13">
        <f t="shared" si="34"/>
        <v>0.2630344058</v>
      </c>
      <c r="P34" s="13">
        <f t="shared" si="34"/>
        <v>0.4854268272</v>
      </c>
      <c r="Q34" s="14">
        <f t="shared" si="3"/>
        <v>3.682811478</v>
      </c>
      <c r="R34" s="17">
        <f>Andrew!C34</f>
        <v>0.8</v>
      </c>
      <c r="S34" s="17">
        <f>Eileen!C34</f>
        <v>0.6</v>
      </c>
      <c r="T34" s="17">
        <f>Iain!C34</f>
        <v>0.5</v>
      </c>
      <c r="U34" s="17">
        <f>Kate!C34</f>
        <v>0.3</v>
      </c>
      <c r="V34" s="17">
        <f>Rohan!C34</f>
        <v>0.9</v>
      </c>
      <c r="W34" s="17">
        <f>Pete!C34</f>
        <v>0.6</v>
      </c>
      <c r="X34" s="17">
        <f>Jac!C34</f>
        <v>0.6</v>
      </c>
      <c r="Y34" s="17">
        <f>James!C34</f>
        <v>0.8</v>
      </c>
      <c r="Z34" s="17">
        <f>Lachy!C34</f>
        <v>0.8</v>
      </c>
      <c r="AA34" s="17">
        <f>Gael!C34</f>
        <v>0.6</v>
      </c>
      <c r="AB34" s="17">
        <f>Bruce!C34</f>
        <v>0.7</v>
      </c>
    </row>
    <row r="35">
      <c r="A35" s="10">
        <v>34.0</v>
      </c>
      <c r="B35" s="16" t="s">
        <v>60</v>
      </c>
      <c r="C35" s="10" t="s">
        <v>16</v>
      </c>
      <c r="D35" s="10" t="s">
        <v>61</v>
      </c>
      <c r="E35" s="10">
        <v>0.0</v>
      </c>
      <c r="F35" s="13">
        <f t="shared" ref="F35:P35" si="35">IF($E35=1,(LOG(R35,2)+1),IF($E35=0,(LOG(1-R35,2)+1),""))</f>
        <v>0.4854268272</v>
      </c>
      <c r="G35" s="13">
        <f t="shared" si="35"/>
        <v>0.4854268272</v>
      </c>
      <c r="H35" s="13">
        <f t="shared" si="35"/>
        <v>0.4854268272</v>
      </c>
      <c r="I35" s="13">
        <f t="shared" si="35"/>
        <v>0.6780719051</v>
      </c>
      <c r="J35" s="13">
        <f t="shared" si="35"/>
        <v>0.8479969066</v>
      </c>
      <c r="K35" s="13">
        <f t="shared" si="35"/>
        <v>0.2630344058</v>
      </c>
      <c r="L35" s="13">
        <f t="shared" si="35"/>
        <v>0.8479969066</v>
      </c>
      <c r="M35" s="13">
        <f t="shared" si="35"/>
        <v>-0.3219280949</v>
      </c>
      <c r="N35" s="13">
        <f t="shared" si="35"/>
        <v>0.8479969066</v>
      </c>
      <c r="O35" s="13">
        <f t="shared" si="35"/>
        <v>-0.7369655942</v>
      </c>
      <c r="P35" s="13">
        <f t="shared" si="35"/>
        <v>-0.3219280949</v>
      </c>
      <c r="Q35" s="14">
        <f t="shared" si="3"/>
        <v>3.560555728</v>
      </c>
      <c r="R35" s="17">
        <f>Andrew!C35</f>
        <v>0.3</v>
      </c>
      <c r="S35" s="17">
        <f>Eileen!C35</f>
        <v>0.3</v>
      </c>
      <c r="T35" s="17">
        <f>Iain!C35</f>
        <v>0.3</v>
      </c>
      <c r="U35" s="17">
        <f>Kate!C35</f>
        <v>0.2</v>
      </c>
      <c r="V35" s="17">
        <f>Rohan!C35</f>
        <v>0.1</v>
      </c>
      <c r="W35" s="17">
        <f>Pete!C35</f>
        <v>0.4</v>
      </c>
      <c r="X35" s="17">
        <f>Jac!C35</f>
        <v>0.1</v>
      </c>
      <c r="Y35" s="17">
        <f>James!C35</f>
        <v>0.6</v>
      </c>
      <c r="Z35" s="17">
        <f>Lachy!C35</f>
        <v>0.1</v>
      </c>
      <c r="AA35" s="17">
        <f>Gael!C35</f>
        <v>0.7</v>
      </c>
      <c r="AB35" s="17">
        <f>Bruce!C35</f>
        <v>0.6</v>
      </c>
    </row>
    <row r="36">
      <c r="A36" s="10">
        <v>35.0</v>
      </c>
      <c r="B36" s="16" t="s">
        <v>62</v>
      </c>
      <c r="C36" s="10" t="s">
        <v>7</v>
      </c>
      <c r="D36" s="10" t="s">
        <v>63</v>
      </c>
      <c r="E36" s="10">
        <v>0.0</v>
      </c>
      <c r="F36" s="13">
        <f t="shared" ref="F36:P36" si="36">IF($E36=1,(LOG(R36,2)+1),IF($E36=0,(LOG(1-R36,2)+1),""))</f>
        <v>0.6780719051</v>
      </c>
      <c r="G36" s="13">
        <f t="shared" si="36"/>
        <v>0.2630344058</v>
      </c>
      <c r="H36" s="13">
        <f t="shared" si="36"/>
        <v>0.2630344058</v>
      </c>
      <c r="I36" s="13">
        <f t="shared" si="36"/>
        <v>0.9259994186</v>
      </c>
      <c r="J36" s="13">
        <f t="shared" si="36"/>
        <v>0.8479969066</v>
      </c>
      <c r="K36" s="13">
        <f t="shared" si="36"/>
        <v>-0.3219280949</v>
      </c>
      <c r="L36" s="13">
        <f t="shared" si="36"/>
        <v>0.8479969066</v>
      </c>
      <c r="M36" s="13">
        <f t="shared" si="36"/>
        <v>0.9259994186</v>
      </c>
      <c r="N36" s="13">
        <f t="shared" si="36"/>
        <v>0.9855004303</v>
      </c>
      <c r="O36" s="13">
        <f t="shared" si="36"/>
        <v>0.4854268272</v>
      </c>
      <c r="P36" s="13">
        <f t="shared" si="36"/>
        <v>0.9855004303</v>
      </c>
      <c r="Q36" s="14">
        <f t="shared" si="3"/>
        <v>6.88663296</v>
      </c>
      <c r="R36" s="17">
        <f>Andrew!C36</f>
        <v>0.2</v>
      </c>
      <c r="S36" s="17">
        <f>Eileen!C36</f>
        <v>0.4</v>
      </c>
      <c r="T36" s="17">
        <f>Iain!C36</f>
        <v>0.4</v>
      </c>
      <c r="U36" s="17">
        <f>Kate!C36</f>
        <v>0.05</v>
      </c>
      <c r="V36" s="17">
        <f>Rohan!C36</f>
        <v>0.1</v>
      </c>
      <c r="W36" s="17">
        <f>Pete!C36</f>
        <v>0.6</v>
      </c>
      <c r="X36" s="17">
        <f>Jac!C36</f>
        <v>0.1</v>
      </c>
      <c r="Y36" s="17">
        <f>James!C36</f>
        <v>0.05</v>
      </c>
      <c r="Z36" s="17">
        <f>Lachy!C36</f>
        <v>0.01</v>
      </c>
      <c r="AA36" s="17">
        <f>Gael!C36</f>
        <v>0.3</v>
      </c>
      <c r="AB36" s="17">
        <f>Bruce!C36</f>
        <v>0.01</v>
      </c>
    </row>
    <row r="37">
      <c r="A37" s="10">
        <v>36.0</v>
      </c>
      <c r="B37" s="16" t="s">
        <v>64</v>
      </c>
      <c r="C37" s="10" t="s">
        <v>20</v>
      </c>
      <c r="D37" s="10" t="s">
        <v>63</v>
      </c>
      <c r="E37" s="10">
        <v>1.0</v>
      </c>
      <c r="F37" s="13">
        <f t="shared" ref="F37:P37" si="37">IF($E37=1,(LOG(R37,2)+1),IF($E37=0,(LOG(1-R37,2)+1),""))</f>
        <v>0.3785116233</v>
      </c>
      <c r="G37" s="13">
        <f t="shared" si="37"/>
        <v>-1.321928095</v>
      </c>
      <c r="H37" s="13">
        <f t="shared" si="37"/>
        <v>0</v>
      </c>
      <c r="I37" s="13">
        <f t="shared" si="37"/>
        <v>0.6780719051</v>
      </c>
      <c r="J37" s="13">
        <f t="shared" si="37"/>
        <v>0.2630344058</v>
      </c>
      <c r="K37" s="13">
        <f t="shared" si="37"/>
        <v>0.2630344058</v>
      </c>
      <c r="L37" s="13">
        <f t="shared" si="37"/>
        <v>0.2630344058</v>
      </c>
      <c r="M37" s="13">
        <f t="shared" si="37"/>
        <v>0.2630344058</v>
      </c>
      <c r="N37" s="13">
        <f t="shared" si="37"/>
        <v>0.6780719051</v>
      </c>
      <c r="O37" s="13">
        <f t="shared" si="37"/>
        <v>0.4854268272</v>
      </c>
      <c r="P37" s="13">
        <f t="shared" si="37"/>
        <v>0.2630344058</v>
      </c>
      <c r="Q37" s="14">
        <f t="shared" si="3"/>
        <v>2.213326195</v>
      </c>
      <c r="R37" s="17">
        <f>Andrew!C37</f>
        <v>0.65</v>
      </c>
      <c r="S37" s="17">
        <f>Eileen!C37</f>
        <v>0.2</v>
      </c>
      <c r="T37" s="17">
        <f>Iain!C37</f>
        <v>0.5</v>
      </c>
      <c r="U37" s="17">
        <f>Kate!C37</f>
        <v>0.8</v>
      </c>
      <c r="V37" s="17">
        <f>Rohan!C37</f>
        <v>0.6</v>
      </c>
      <c r="W37" s="17">
        <f>Pete!C37</f>
        <v>0.6</v>
      </c>
      <c r="X37" s="17">
        <f>Jac!C37</f>
        <v>0.6</v>
      </c>
      <c r="Y37" s="17">
        <f>James!C37</f>
        <v>0.6</v>
      </c>
      <c r="Z37" s="17">
        <f>Lachy!C37</f>
        <v>0.8</v>
      </c>
      <c r="AA37" s="17">
        <f>Gael!C37</f>
        <v>0.7</v>
      </c>
      <c r="AB37" s="17">
        <f>Bruce!C37</f>
        <v>0.6</v>
      </c>
    </row>
    <row r="38">
      <c r="A38" s="10">
        <v>37.0</v>
      </c>
      <c r="B38" s="16" t="s">
        <v>65</v>
      </c>
      <c r="C38" s="10" t="s">
        <v>15</v>
      </c>
      <c r="D38" s="10" t="s">
        <v>63</v>
      </c>
      <c r="E38" s="10">
        <v>0.0</v>
      </c>
      <c r="F38" s="13">
        <f t="shared" ref="F38:P38" si="38">IF($E38=1,(LOG(R38,2)+1),IF($E38=0,(LOG(1-R38,2)+1),""))</f>
        <v>0.1375035237</v>
      </c>
      <c r="G38" s="13">
        <f t="shared" si="38"/>
        <v>0.9855004303</v>
      </c>
      <c r="H38" s="13">
        <f t="shared" si="38"/>
        <v>0.6780719051</v>
      </c>
      <c r="I38" s="13">
        <f t="shared" si="38"/>
        <v>0.8479969066</v>
      </c>
      <c r="J38" s="13">
        <f t="shared" si="38"/>
        <v>0.5058909297</v>
      </c>
      <c r="K38" s="13">
        <f t="shared" si="38"/>
        <v>0.4854268272</v>
      </c>
      <c r="L38" s="13">
        <f t="shared" si="38"/>
        <v>0.2630344058</v>
      </c>
      <c r="M38" s="13">
        <f t="shared" si="38"/>
        <v>0.8479969066</v>
      </c>
      <c r="N38" s="13">
        <f t="shared" si="38"/>
        <v>-0.7369655942</v>
      </c>
      <c r="O38" s="13">
        <f t="shared" si="38"/>
        <v>0.4854268272</v>
      </c>
      <c r="P38" s="13">
        <f t="shared" si="38"/>
        <v>0.9259994186</v>
      </c>
      <c r="Q38" s="14">
        <f t="shared" si="3"/>
        <v>5.425882487</v>
      </c>
      <c r="R38" s="17">
        <f>Andrew!C38</f>
        <v>0.45</v>
      </c>
      <c r="S38" s="17">
        <f>Eileen!C38</f>
        <v>0.01</v>
      </c>
      <c r="T38" s="17">
        <f>Iain!C38</f>
        <v>0.2</v>
      </c>
      <c r="U38" s="17">
        <f>Kate!C38</f>
        <v>0.1</v>
      </c>
      <c r="V38" s="17">
        <f>Rohan!C38</f>
        <v>0.29</v>
      </c>
      <c r="W38" s="17">
        <f>Pete!C38</f>
        <v>0.3</v>
      </c>
      <c r="X38" s="17">
        <f>Jac!C38</f>
        <v>0.4</v>
      </c>
      <c r="Y38" s="17">
        <f>James!C38</f>
        <v>0.1</v>
      </c>
      <c r="Z38" s="17">
        <f>Lachy!C38</f>
        <v>0.7</v>
      </c>
      <c r="AA38" s="17">
        <f>Gael!C38</f>
        <v>0.3</v>
      </c>
      <c r="AB38" s="17">
        <f>Bruce!C38</f>
        <v>0.05</v>
      </c>
    </row>
    <row r="39">
      <c r="A39" s="10">
        <v>38.0</v>
      </c>
      <c r="B39" s="16" t="s">
        <v>66</v>
      </c>
      <c r="C39" s="10" t="s">
        <v>7</v>
      </c>
      <c r="D39" s="10" t="s">
        <v>67</v>
      </c>
      <c r="E39" s="10">
        <v>0.0</v>
      </c>
      <c r="F39" s="13">
        <f t="shared" ref="F39:P39" si="39">IF($E39=1,(LOG(R39,2)+1),IF($E39=0,(LOG(1-R39,2)+1),""))</f>
        <v>0.4854268272</v>
      </c>
      <c r="G39" s="13">
        <f t="shared" si="39"/>
        <v>0.1375035237</v>
      </c>
      <c r="H39" s="13">
        <f t="shared" si="39"/>
        <v>0.4854268272</v>
      </c>
      <c r="I39" s="13">
        <f t="shared" si="39"/>
        <v>0.8479969066</v>
      </c>
      <c r="J39" s="13">
        <f t="shared" si="39"/>
        <v>0.2630344058</v>
      </c>
      <c r="K39" s="13">
        <f t="shared" si="39"/>
        <v>0.2630344058</v>
      </c>
      <c r="L39" s="13">
        <f t="shared" si="39"/>
        <v>0.4854268272</v>
      </c>
      <c r="M39" s="13">
        <f t="shared" si="39"/>
        <v>0.2630344058</v>
      </c>
      <c r="N39" s="13">
        <f t="shared" si="39"/>
        <v>0.2630344058</v>
      </c>
      <c r="O39" s="13">
        <f t="shared" si="39"/>
        <v>-0.3219280949</v>
      </c>
      <c r="P39" s="13">
        <f t="shared" si="39"/>
        <v>0.4854268272</v>
      </c>
      <c r="Q39" s="14">
        <f t="shared" si="3"/>
        <v>3.657417267</v>
      </c>
      <c r="R39" s="17">
        <f>Andrew!C39</f>
        <v>0.3</v>
      </c>
      <c r="S39" s="17">
        <f>Eileen!C39</f>
        <v>0.45</v>
      </c>
      <c r="T39" s="17">
        <f>Iain!C39</f>
        <v>0.3</v>
      </c>
      <c r="U39" s="17">
        <f>Kate!C39</f>
        <v>0.1</v>
      </c>
      <c r="V39" s="17">
        <f>Rohan!C39</f>
        <v>0.4</v>
      </c>
      <c r="W39" s="17">
        <f>Pete!C39</f>
        <v>0.4</v>
      </c>
      <c r="X39" s="17">
        <f>Jac!C39</f>
        <v>0.3</v>
      </c>
      <c r="Y39" s="17">
        <f>James!C39</f>
        <v>0.4</v>
      </c>
      <c r="Z39" s="17">
        <f>Lachy!C39</f>
        <v>0.4</v>
      </c>
      <c r="AA39" s="17">
        <f>Gael!C39</f>
        <v>0.6</v>
      </c>
      <c r="AB39" s="17">
        <f>Bruce!C39</f>
        <v>0.3</v>
      </c>
    </row>
    <row r="40">
      <c r="A40" s="10">
        <v>39.0</v>
      </c>
      <c r="B40" s="16" t="s">
        <v>68</v>
      </c>
      <c r="C40" s="10" t="s">
        <v>8</v>
      </c>
      <c r="D40" s="10" t="s">
        <v>67</v>
      </c>
      <c r="E40" s="10">
        <v>0.0</v>
      </c>
      <c r="F40" s="13">
        <f t="shared" ref="F40:P40" si="40">IF($E40=1,(LOG(R40,2)+1),IF($E40=0,(LOG(1-R40,2)+1),""))</f>
        <v>-0.5145731728</v>
      </c>
      <c r="G40" s="13">
        <f t="shared" si="40"/>
        <v>-0.3219280949</v>
      </c>
      <c r="H40" s="13">
        <f t="shared" si="40"/>
        <v>0.6780719051</v>
      </c>
      <c r="I40" s="13">
        <f t="shared" si="40"/>
        <v>0.6780719051</v>
      </c>
      <c r="J40" s="13">
        <f t="shared" si="40"/>
        <v>0</v>
      </c>
      <c r="K40" s="13">
        <f t="shared" si="40"/>
        <v>0.2630344058</v>
      </c>
      <c r="L40" s="13">
        <f t="shared" si="40"/>
        <v>0.05658352837</v>
      </c>
      <c r="M40" s="13">
        <f t="shared" si="40"/>
        <v>0.4854268272</v>
      </c>
      <c r="N40" s="13">
        <f t="shared" si="40"/>
        <v>0</v>
      </c>
      <c r="O40" s="13">
        <f t="shared" si="40"/>
        <v>0.2630344058</v>
      </c>
      <c r="P40" s="13">
        <f t="shared" si="40"/>
        <v>0</v>
      </c>
      <c r="Q40" s="14">
        <f t="shared" si="3"/>
        <v>1.58772171</v>
      </c>
      <c r="R40" s="17">
        <f>Andrew!C40</f>
        <v>0.65</v>
      </c>
      <c r="S40" s="17">
        <f>Eileen!C40</f>
        <v>0.6</v>
      </c>
      <c r="T40" s="17">
        <f>Iain!C40</f>
        <v>0.2</v>
      </c>
      <c r="U40" s="17">
        <f>Kate!C40</f>
        <v>0.2</v>
      </c>
      <c r="V40" s="17">
        <f>Rohan!C40</f>
        <v>0.5</v>
      </c>
      <c r="W40" s="17">
        <f>Pete!C40</f>
        <v>0.4</v>
      </c>
      <c r="X40" s="17">
        <f>Jac!C40</f>
        <v>0.48</v>
      </c>
      <c r="Y40" s="17">
        <f>James!C40</f>
        <v>0.3</v>
      </c>
      <c r="Z40" s="17">
        <f>Lachy!C40</f>
        <v>0.5</v>
      </c>
      <c r="AA40" s="17">
        <f>Gael!C40</f>
        <v>0.4</v>
      </c>
      <c r="AB40" s="17">
        <f>Bruce!C40</f>
        <v>0.5</v>
      </c>
    </row>
    <row r="41">
      <c r="A41" s="10">
        <v>40.0</v>
      </c>
      <c r="B41" s="16" t="s">
        <v>69</v>
      </c>
      <c r="C41" s="10" t="s">
        <v>20</v>
      </c>
      <c r="D41" s="10" t="s">
        <v>67</v>
      </c>
      <c r="E41" s="10">
        <v>0.0</v>
      </c>
      <c r="F41" s="13">
        <f t="shared" ref="F41:P41" si="41">IF($E41=1,(LOG(R41,2)+1),IF($E41=0,(LOG(1-R41,2)+1),""))</f>
        <v>0.2630344058</v>
      </c>
      <c r="G41" s="13">
        <f t="shared" si="41"/>
        <v>0</v>
      </c>
      <c r="H41" s="13">
        <f t="shared" si="41"/>
        <v>0</v>
      </c>
      <c r="I41" s="13">
        <f t="shared" si="41"/>
        <v>0</v>
      </c>
      <c r="J41" s="13">
        <f t="shared" si="41"/>
        <v>0.3785116233</v>
      </c>
      <c r="K41" s="13">
        <f t="shared" si="41"/>
        <v>0.2630344058</v>
      </c>
      <c r="L41" s="13">
        <f t="shared" si="41"/>
        <v>0.4854268272</v>
      </c>
      <c r="M41" s="13">
        <f t="shared" si="41"/>
        <v>0</v>
      </c>
      <c r="N41" s="13">
        <f t="shared" si="41"/>
        <v>0.4854268272</v>
      </c>
      <c r="O41" s="13">
        <f t="shared" si="41"/>
        <v>-0.7369655942</v>
      </c>
      <c r="P41" s="13">
        <f t="shared" si="41"/>
        <v>0.2630344058</v>
      </c>
      <c r="Q41" s="14">
        <f t="shared" si="3"/>
        <v>1.401502901</v>
      </c>
      <c r="R41" s="17">
        <f>Andrew!C41</f>
        <v>0.4</v>
      </c>
      <c r="S41" s="17">
        <f>Eileen!C41</f>
        <v>0.5</v>
      </c>
      <c r="T41" s="17">
        <f>Iain!C41</f>
        <v>0.5</v>
      </c>
      <c r="U41" s="17">
        <f>Kate!C41</f>
        <v>0.5</v>
      </c>
      <c r="V41" s="17">
        <f>Rohan!C41</f>
        <v>0.35</v>
      </c>
      <c r="W41" s="17">
        <f>Pete!C41</f>
        <v>0.4</v>
      </c>
      <c r="X41" s="17">
        <f>Jac!C41</f>
        <v>0.3</v>
      </c>
      <c r="Y41" s="17">
        <f>James!C41</f>
        <v>0.5</v>
      </c>
      <c r="Z41" s="17">
        <f>Lachy!C41</f>
        <v>0.3</v>
      </c>
      <c r="AA41" s="17">
        <f>Gael!C41</f>
        <v>0.7</v>
      </c>
      <c r="AB41" s="17">
        <f>Bruce!C41</f>
        <v>0.4</v>
      </c>
    </row>
    <row r="42">
      <c r="A42" s="10">
        <v>41.0</v>
      </c>
      <c r="B42" s="16" t="s">
        <v>70</v>
      </c>
      <c r="C42" s="10" t="s">
        <v>14</v>
      </c>
      <c r="D42" s="10" t="s">
        <v>67</v>
      </c>
      <c r="E42" s="10">
        <v>1.0</v>
      </c>
      <c r="F42" s="13">
        <f t="shared" ref="F42:P42" si="42">IF($E42=1,(LOG(R42,2)+1),IF($E42=0,(LOG(1-R42,2)+1),""))</f>
        <v>-0.3219280949</v>
      </c>
      <c r="G42" s="13">
        <f t="shared" si="42"/>
        <v>0.3785116233</v>
      </c>
      <c r="H42" s="13">
        <f t="shared" si="42"/>
        <v>0.6780719051</v>
      </c>
      <c r="I42" s="13">
        <f t="shared" si="42"/>
        <v>-2.321928095</v>
      </c>
      <c r="J42" s="13">
        <f t="shared" si="42"/>
        <v>0.0285691522</v>
      </c>
      <c r="K42" s="13">
        <f t="shared" si="42"/>
        <v>-0.3219280949</v>
      </c>
      <c r="L42" s="13">
        <f t="shared" si="42"/>
        <v>0</v>
      </c>
      <c r="M42" s="13">
        <f t="shared" si="42"/>
        <v>0.2630344058</v>
      </c>
      <c r="N42" s="13">
        <f t="shared" si="42"/>
        <v>0.2630344058</v>
      </c>
      <c r="O42" s="13">
        <f t="shared" si="42"/>
        <v>0.4854268272</v>
      </c>
      <c r="P42" s="13">
        <f t="shared" si="42"/>
        <v>0.2630344058</v>
      </c>
      <c r="Q42" s="14">
        <f t="shared" si="3"/>
        <v>-0.6061015594</v>
      </c>
      <c r="R42" s="17">
        <f>Andrew!C42</f>
        <v>0.4</v>
      </c>
      <c r="S42" s="17">
        <f>Eileen!C42</f>
        <v>0.65</v>
      </c>
      <c r="T42" s="17">
        <f>Iain!C42</f>
        <v>0.8</v>
      </c>
      <c r="U42" s="17">
        <f>Kate!C42</f>
        <v>0.1</v>
      </c>
      <c r="V42" s="17">
        <f>Rohan!C42</f>
        <v>0.51</v>
      </c>
      <c r="W42" s="17">
        <f>Pete!C42</f>
        <v>0.4</v>
      </c>
      <c r="X42" s="17">
        <f>Jac!C42</f>
        <v>0.5</v>
      </c>
      <c r="Y42" s="17">
        <f>James!C42</f>
        <v>0.6</v>
      </c>
      <c r="Z42" s="17">
        <f>Lachy!C42</f>
        <v>0.6</v>
      </c>
      <c r="AA42" s="17">
        <f>Gael!C42</f>
        <v>0.7</v>
      </c>
      <c r="AB42" s="17">
        <f>Bruce!C42</f>
        <v>0.6</v>
      </c>
    </row>
    <row r="43">
      <c r="A43" s="10">
        <v>42.0</v>
      </c>
      <c r="B43" s="16" t="s">
        <v>71</v>
      </c>
      <c r="C43" s="10" t="s">
        <v>11</v>
      </c>
      <c r="D43" s="10" t="s">
        <v>67</v>
      </c>
      <c r="E43" s="10">
        <v>1.0</v>
      </c>
      <c r="F43" s="13">
        <f t="shared" ref="F43:P43" si="43">IF($E43=1,(LOG(R43,2)+1),IF($E43=0,(LOG(1-R43,2)+1),""))</f>
        <v>-0.1520030934</v>
      </c>
      <c r="G43" s="13">
        <f t="shared" si="43"/>
        <v>0.2630344058</v>
      </c>
      <c r="H43" s="13">
        <f t="shared" si="43"/>
        <v>-0.3219280949</v>
      </c>
      <c r="I43" s="13">
        <f t="shared" si="43"/>
        <v>0</v>
      </c>
      <c r="J43" s="13">
        <f t="shared" si="43"/>
        <v>-1.321928095</v>
      </c>
      <c r="K43" s="13">
        <f t="shared" si="43"/>
        <v>-0.7369655942</v>
      </c>
      <c r="L43" s="13">
        <f t="shared" si="43"/>
        <v>0.2630344058</v>
      </c>
      <c r="M43" s="13">
        <f t="shared" si="43"/>
        <v>-0.7369655942</v>
      </c>
      <c r="N43" s="13">
        <f t="shared" si="43"/>
        <v>0.4854268272</v>
      </c>
      <c r="O43" s="13">
        <f t="shared" si="43"/>
        <v>-0.3219280949</v>
      </c>
      <c r="P43" s="13">
        <f t="shared" si="43"/>
        <v>-0.3219280949</v>
      </c>
      <c r="Q43" s="14">
        <f t="shared" si="3"/>
        <v>-2.902151022</v>
      </c>
      <c r="R43" s="17">
        <f>Andrew!C43</f>
        <v>0.45</v>
      </c>
      <c r="S43" s="17">
        <f>Eileen!C43</f>
        <v>0.6</v>
      </c>
      <c r="T43" s="17">
        <f>Iain!C43</f>
        <v>0.4</v>
      </c>
      <c r="U43" s="20">
        <f>Kate!C43</f>
        <v>0.5</v>
      </c>
      <c r="V43" s="17">
        <f>Rohan!C43</f>
        <v>0.2</v>
      </c>
      <c r="W43" s="17">
        <f>Pete!C43</f>
        <v>0.3</v>
      </c>
      <c r="X43" s="17">
        <f>Jac!C43</f>
        <v>0.6</v>
      </c>
      <c r="Y43" s="17">
        <f>James!C43</f>
        <v>0.3</v>
      </c>
      <c r="Z43" s="17">
        <f>Lachy!C43</f>
        <v>0.7</v>
      </c>
      <c r="AA43" s="17">
        <f>Gael!C43</f>
        <v>0.4</v>
      </c>
      <c r="AB43" s="17">
        <f>Bruce!C43</f>
        <v>0.4</v>
      </c>
    </row>
    <row r="44">
      <c r="A44" s="10">
        <v>43.0</v>
      </c>
      <c r="B44" s="16" t="s">
        <v>72</v>
      </c>
      <c r="C44" s="10" t="s">
        <v>17</v>
      </c>
      <c r="D44" s="10" t="s">
        <v>73</v>
      </c>
      <c r="E44" s="10">
        <v>0.0</v>
      </c>
      <c r="F44" s="13">
        <f t="shared" ref="F44:P44" si="44">IF($E44=1,(LOG(R44,2)+1),IF($E44=0,(LOG(1-R44,2)+1),""))</f>
        <v>0.4854268272</v>
      </c>
      <c r="G44" s="13">
        <f t="shared" si="44"/>
        <v>0.4854268272</v>
      </c>
      <c r="H44" s="13">
        <f t="shared" si="44"/>
        <v>0.4854268272</v>
      </c>
      <c r="I44" s="13">
        <f t="shared" si="44"/>
        <v>0.6780719051</v>
      </c>
      <c r="J44" s="13">
        <f t="shared" si="44"/>
        <v>0.6229303509</v>
      </c>
      <c r="K44" s="13">
        <f t="shared" si="44"/>
        <v>0.4854268272</v>
      </c>
      <c r="L44" s="13">
        <f t="shared" si="44"/>
        <v>0.9259994186</v>
      </c>
      <c r="M44" s="13">
        <f t="shared" si="44"/>
        <v>0.9259994186</v>
      </c>
      <c r="N44" s="13">
        <f t="shared" si="44"/>
        <v>0.4854268272</v>
      </c>
      <c r="O44" s="13">
        <f t="shared" si="44"/>
        <v>-0.3219280949</v>
      </c>
      <c r="P44" s="13">
        <f t="shared" si="44"/>
        <v>0.9855004303</v>
      </c>
      <c r="Q44" s="14">
        <f t="shared" si="3"/>
        <v>6.243707564</v>
      </c>
      <c r="R44" s="17">
        <f>Andrew!C44</f>
        <v>0.3</v>
      </c>
      <c r="S44" s="17">
        <f>Eileen!C44</f>
        <v>0.3</v>
      </c>
      <c r="T44" s="17">
        <f>Iain!C44</f>
        <v>0.3</v>
      </c>
      <c r="U44" s="17">
        <f>Kate!C44</f>
        <v>0.2</v>
      </c>
      <c r="V44" s="17">
        <f>Rohan!C44</f>
        <v>0.23</v>
      </c>
      <c r="W44" s="17">
        <f>Pete!C44</f>
        <v>0.3</v>
      </c>
      <c r="X44" s="17">
        <f>Jac!C44</f>
        <v>0.05</v>
      </c>
      <c r="Y44" s="17">
        <f>James!C44</f>
        <v>0.05</v>
      </c>
      <c r="Z44" s="17">
        <f>Lachy!C44</f>
        <v>0.3</v>
      </c>
      <c r="AA44" s="17">
        <f>Gael!C44</f>
        <v>0.6</v>
      </c>
      <c r="AB44" s="17">
        <f>Bruce!C44</f>
        <v>0.01</v>
      </c>
    </row>
    <row r="45">
      <c r="A45" s="10">
        <v>44.0</v>
      </c>
      <c r="B45" s="16" t="s">
        <v>74</v>
      </c>
      <c r="C45" s="10" t="s">
        <v>17</v>
      </c>
      <c r="D45" s="10" t="s">
        <v>73</v>
      </c>
      <c r="E45" s="10">
        <v>0.0</v>
      </c>
      <c r="F45" s="13">
        <f t="shared" ref="F45:P45" si="45">IF($E45=1,(LOG(R45,2)+1),IF($E45=0,(LOG(1-R45,2)+1),""))</f>
        <v>-0.1520030934</v>
      </c>
      <c r="G45" s="13">
        <f t="shared" si="45"/>
        <v>0</v>
      </c>
      <c r="H45" s="13">
        <f t="shared" si="45"/>
        <v>0.4854268272</v>
      </c>
      <c r="I45" s="13">
        <f t="shared" si="45"/>
        <v>0.4854268272</v>
      </c>
      <c r="J45" s="13">
        <f t="shared" si="45"/>
        <v>0.1375035237</v>
      </c>
      <c r="K45" s="13">
        <f t="shared" si="45"/>
        <v>0.2630344058</v>
      </c>
      <c r="L45" s="13">
        <f t="shared" si="45"/>
        <v>0.4854268272</v>
      </c>
      <c r="M45" s="13">
        <f t="shared" si="45"/>
        <v>0.8479969066</v>
      </c>
      <c r="N45" s="13">
        <f t="shared" si="45"/>
        <v>0</v>
      </c>
      <c r="O45" s="13">
        <f t="shared" si="45"/>
        <v>0.2630344058</v>
      </c>
      <c r="P45" s="13">
        <f t="shared" si="45"/>
        <v>0.6780719051</v>
      </c>
      <c r="Q45" s="14">
        <f t="shared" si="3"/>
        <v>3.493918535</v>
      </c>
      <c r="R45" s="17">
        <f>Andrew!C45</f>
        <v>0.55</v>
      </c>
      <c r="S45" s="17">
        <f>Eileen!C45</f>
        <v>0.5</v>
      </c>
      <c r="T45" s="17">
        <f>Iain!C45</f>
        <v>0.3</v>
      </c>
      <c r="U45" s="17">
        <f>Kate!C45</f>
        <v>0.3</v>
      </c>
      <c r="V45" s="17">
        <f>Rohan!C45</f>
        <v>0.45</v>
      </c>
      <c r="W45" s="17">
        <f>Pete!C45</f>
        <v>0.4</v>
      </c>
      <c r="X45" s="17">
        <f>Jac!C45</f>
        <v>0.3</v>
      </c>
      <c r="Y45" s="17">
        <f>James!C45</f>
        <v>0.1</v>
      </c>
      <c r="Z45" s="17">
        <f>Lachy!C45</f>
        <v>0.5</v>
      </c>
      <c r="AA45" s="17">
        <f>Gael!C45</f>
        <v>0.4</v>
      </c>
      <c r="AB45" s="17">
        <f>Bruce!C45</f>
        <v>0.2</v>
      </c>
    </row>
    <row r="46">
      <c r="A46" s="10">
        <v>45.0</v>
      </c>
      <c r="B46" s="16" t="s">
        <v>75</v>
      </c>
      <c r="C46" s="10" t="s">
        <v>16</v>
      </c>
      <c r="D46" s="10" t="s">
        <v>73</v>
      </c>
      <c r="E46" s="10">
        <v>1.0</v>
      </c>
      <c r="F46" s="13">
        <f t="shared" ref="F46:P46" si="46">IF($E46=1,(LOG(R46,2)+1),IF($E46=0,(LOG(1-R46,2)+1),""))</f>
        <v>-2.321928095</v>
      </c>
      <c r="G46" s="13">
        <f t="shared" si="46"/>
        <v>-1.321928095</v>
      </c>
      <c r="H46" s="13">
        <f t="shared" si="46"/>
        <v>-1.321928095</v>
      </c>
      <c r="I46" s="13">
        <f t="shared" si="46"/>
        <v>0</v>
      </c>
      <c r="J46" s="13">
        <f t="shared" si="46"/>
        <v>0.1375035237</v>
      </c>
      <c r="K46" s="13">
        <f t="shared" si="46"/>
        <v>0.2630344058</v>
      </c>
      <c r="L46" s="13">
        <f t="shared" si="46"/>
        <v>0</v>
      </c>
      <c r="M46" s="13">
        <f t="shared" si="46"/>
        <v>0</v>
      </c>
      <c r="N46" s="13">
        <f t="shared" si="46"/>
        <v>-0.3219280949</v>
      </c>
      <c r="O46" s="13">
        <f t="shared" si="46"/>
        <v>0.4854268272</v>
      </c>
      <c r="P46" s="13">
        <f t="shared" si="46"/>
        <v>0</v>
      </c>
      <c r="Q46" s="14">
        <f t="shared" si="3"/>
        <v>-4.401747623</v>
      </c>
      <c r="R46" s="17">
        <f>Andrew!C46</f>
        <v>0.1</v>
      </c>
      <c r="S46" s="17">
        <f>Eileen!C46</f>
        <v>0.2</v>
      </c>
      <c r="T46" s="17">
        <f>Iain!C46</f>
        <v>0.2</v>
      </c>
      <c r="U46" s="17">
        <f>Kate!C46</f>
        <v>0.5</v>
      </c>
      <c r="V46" s="17">
        <f>Rohan!C46</f>
        <v>0.55</v>
      </c>
      <c r="W46" s="17">
        <f>Pete!C46</f>
        <v>0.6</v>
      </c>
      <c r="X46" s="17">
        <f>Jac!C46</f>
        <v>0.5</v>
      </c>
      <c r="Y46" s="17">
        <f>James!C46</f>
        <v>0.5</v>
      </c>
      <c r="Z46" s="17">
        <f>Lachy!C46</f>
        <v>0.4</v>
      </c>
      <c r="AA46" s="17">
        <f>Gael!C46</f>
        <v>0.7</v>
      </c>
      <c r="AB46" s="17">
        <f>Bruce!C46</f>
        <v>0.5</v>
      </c>
    </row>
    <row r="47">
      <c r="A47" s="10">
        <v>46.0</v>
      </c>
      <c r="B47" s="16" t="s">
        <v>76</v>
      </c>
      <c r="C47" s="10" t="s">
        <v>16</v>
      </c>
      <c r="D47" s="10" t="s">
        <v>73</v>
      </c>
      <c r="E47" s="10">
        <v>1.0</v>
      </c>
      <c r="F47" s="13">
        <f t="shared" ref="F47:P47" si="47">IF($E47=1,(LOG(R47,2)+1),IF($E47=0,(LOG(1-R47,2)+1),""))</f>
        <v>-2.321928095</v>
      </c>
      <c r="G47" s="13">
        <f t="shared" si="47"/>
        <v>-2.321928095</v>
      </c>
      <c r="H47" s="13">
        <f t="shared" si="47"/>
        <v>-0.7369655942</v>
      </c>
      <c r="I47" s="13">
        <f t="shared" si="47"/>
        <v>0.4854268272</v>
      </c>
      <c r="J47" s="13">
        <f t="shared" si="47"/>
        <v>-2.321928095</v>
      </c>
      <c r="K47" s="13">
        <f t="shared" si="47"/>
        <v>-0.3219280949</v>
      </c>
      <c r="L47" s="13">
        <f t="shared" si="47"/>
        <v>0.1375035237</v>
      </c>
      <c r="M47" s="13">
        <f t="shared" si="47"/>
        <v>0.2630344058</v>
      </c>
      <c r="N47" s="13">
        <f t="shared" si="47"/>
        <v>-1.321928095</v>
      </c>
      <c r="O47" s="13">
        <f t="shared" si="47"/>
        <v>0.2630344058</v>
      </c>
      <c r="P47" s="13">
        <f t="shared" si="47"/>
        <v>-2.321928095</v>
      </c>
      <c r="Q47" s="14">
        <f t="shared" si="3"/>
        <v>-10.519535</v>
      </c>
      <c r="R47" s="17">
        <f>Andrew!C47</f>
        <v>0.1</v>
      </c>
      <c r="S47" s="17">
        <f>Eileen!C47</f>
        <v>0.1</v>
      </c>
      <c r="T47" s="17">
        <f>Iain!C47</f>
        <v>0.3</v>
      </c>
      <c r="U47" s="17">
        <f>Kate!C47</f>
        <v>0.7</v>
      </c>
      <c r="V47" s="17">
        <f>Rohan!C47</f>
        <v>0.1</v>
      </c>
      <c r="W47" s="17">
        <f>Pete!C47</f>
        <v>0.4</v>
      </c>
      <c r="X47" s="17">
        <f>Jac!C47</f>
        <v>0.55</v>
      </c>
      <c r="Y47" s="17">
        <f>James!C47</f>
        <v>0.6</v>
      </c>
      <c r="Z47" s="17">
        <f>Lachy!C47</f>
        <v>0.2</v>
      </c>
      <c r="AA47" s="17">
        <f>Gael!C47</f>
        <v>0.6</v>
      </c>
      <c r="AB47" s="17">
        <f>Bruce!C47</f>
        <v>0.1</v>
      </c>
    </row>
    <row r="48">
      <c r="A48" s="10">
        <v>47.0</v>
      </c>
      <c r="B48" s="16" t="s">
        <v>77</v>
      </c>
      <c r="C48" s="10" t="s">
        <v>9</v>
      </c>
      <c r="D48" s="10" t="s">
        <v>73</v>
      </c>
      <c r="E48" s="10">
        <v>0.0</v>
      </c>
      <c r="F48" s="13">
        <f t="shared" ref="F48:P48" si="48">IF($E48=1,(LOG(R48,2)+1),IF($E48=0,(LOG(1-R48,2)+1),""))</f>
        <v>0.8479969066</v>
      </c>
      <c r="G48" s="13">
        <f t="shared" si="48"/>
        <v>0.8479969066</v>
      </c>
      <c r="H48" s="13">
        <f t="shared" si="48"/>
        <v>-0.7369655942</v>
      </c>
      <c r="I48" s="13">
        <f t="shared" si="48"/>
        <v>0.8479969066</v>
      </c>
      <c r="J48" s="13">
        <f t="shared" si="48"/>
        <v>0.05658352837</v>
      </c>
      <c r="K48" s="13">
        <f t="shared" si="48"/>
        <v>0.4854268272</v>
      </c>
      <c r="L48" s="13">
        <f t="shared" si="48"/>
        <v>0.1375035237</v>
      </c>
      <c r="M48" s="13">
        <f t="shared" si="48"/>
        <v>0.9708536543</v>
      </c>
      <c r="N48" s="13">
        <f t="shared" si="48"/>
        <v>0.4854268272</v>
      </c>
      <c r="O48" s="13">
        <f t="shared" si="48"/>
        <v>0.2630344058</v>
      </c>
      <c r="P48" s="13">
        <f t="shared" si="48"/>
        <v>0.9855004303</v>
      </c>
      <c r="Q48" s="14">
        <f t="shared" si="3"/>
        <v>5.191354322</v>
      </c>
      <c r="R48" s="17">
        <f>Andrew!C48</f>
        <v>0.1</v>
      </c>
      <c r="S48" s="17">
        <f>Eileen!C48</f>
        <v>0.1</v>
      </c>
      <c r="T48" s="17">
        <f>Iain!C48</f>
        <v>0.7</v>
      </c>
      <c r="U48" s="17">
        <f>Kate!C48</f>
        <v>0.1</v>
      </c>
      <c r="V48" s="17">
        <f>Rohan!C48</f>
        <v>0.48</v>
      </c>
      <c r="W48" s="17">
        <f>Pete!C48</f>
        <v>0.3</v>
      </c>
      <c r="X48" s="17">
        <f>Jac!C48</f>
        <v>0.45</v>
      </c>
      <c r="Y48" s="17">
        <f>James!C48</f>
        <v>0.02</v>
      </c>
      <c r="Z48" s="17">
        <f>Lachy!C48</f>
        <v>0.3</v>
      </c>
      <c r="AA48" s="17">
        <f>Gael!C48</f>
        <v>0.4</v>
      </c>
      <c r="AB48" s="17">
        <f>Bruce!C48</f>
        <v>0.01</v>
      </c>
    </row>
    <row r="49">
      <c r="A49" s="10">
        <v>48.0</v>
      </c>
      <c r="B49" s="16" t="s">
        <v>78</v>
      </c>
      <c r="C49" s="10" t="s">
        <v>10</v>
      </c>
      <c r="D49" s="10" t="s">
        <v>73</v>
      </c>
      <c r="E49" s="10">
        <v>0.0</v>
      </c>
      <c r="F49" s="13">
        <f t="shared" ref="F49:P49" si="49">IF($E49=1,(LOG(R49,2)+1),IF($E49=0,(LOG(1-R49,2)+1),""))</f>
        <v>0.2630344058</v>
      </c>
      <c r="G49" s="13">
        <f t="shared" si="49"/>
        <v>-0.7369655942</v>
      </c>
      <c r="H49" s="13">
        <f t="shared" si="49"/>
        <v>0</v>
      </c>
      <c r="I49" s="13">
        <f t="shared" si="49"/>
        <v>0.2630344058</v>
      </c>
      <c r="J49" s="13">
        <f t="shared" si="49"/>
        <v>-0.02914634566</v>
      </c>
      <c r="K49" s="13">
        <f t="shared" si="49"/>
        <v>0.2630344058</v>
      </c>
      <c r="L49" s="13">
        <f t="shared" si="49"/>
        <v>0</v>
      </c>
      <c r="M49" s="13">
        <f t="shared" si="49"/>
        <v>0.2630344058</v>
      </c>
      <c r="N49" s="13">
        <f t="shared" si="49"/>
        <v>-0.3219280949</v>
      </c>
      <c r="O49" s="13">
        <f t="shared" si="49"/>
        <v>-0.7369655942</v>
      </c>
      <c r="P49" s="13">
        <f t="shared" si="49"/>
        <v>0.2630344058</v>
      </c>
      <c r="Q49" s="14">
        <f t="shared" si="3"/>
        <v>-0.5098335997</v>
      </c>
      <c r="R49" s="17">
        <f>Andrew!C49</f>
        <v>0.4</v>
      </c>
      <c r="S49" s="17">
        <f>Eileen!C49</f>
        <v>0.7</v>
      </c>
      <c r="T49" s="17">
        <f>Iain!C49</f>
        <v>0.5</v>
      </c>
      <c r="U49" s="17">
        <f>Kate!C49</f>
        <v>0.4</v>
      </c>
      <c r="V49" s="17">
        <f>Rohan!C49</f>
        <v>0.51</v>
      </c>
      <c r="W49" s="17">
        <f>Pete!C49</f>
        <v>0.4</v>
      </c>
      <c r="X49" s="17">
        <f>Jac!C49</f>
        <v>0.5</v>
      </c>
      <c r="Y49" s="17">
        <f>James!C49</f>
        <v>0.4</v>
      </c>
      <c r="Z49" s="17">
        <f>Lachy!C49</f>
        <v>0.6</v>
      </c>
      <c r="AA49" s="17">
        <f>Gael!C49</f>
        <v>0.7</v>
      </c>
      <c r="AB49" s="17">
        <f>Bruce!C49</f>
        <v>0.4</v>
      </c>
    </row>
    <row r="50">
      <c r="A50" s="10">
        <v>49.0</v>
      </c>
      <c r="B50" s="16" t="s">
        <v>79</v>
      </c>
      <c r="C50" s="10" t="s">
        <v>10</v>
      </c>
      <c r="D50" s="10" t="s">
        <v>73</v>
      </c>
      <c r="E50" s="10">
        <v>0.0</v>
      </c>
      <c r="F50" s="13">
        <f t="shared" ref="F50:P50" si="50">IF($E50=1,(LOG(R50,2)+1),IF($E50=0,(LOG(1-R50,2)+1),""))</f>
        <v>0.2630344058</v>
      </c>
      <c r="G50" s="13">
        <f t="shared" si="50"/>
        <v>0.1375035237</v>
      </c>
      <c r="H50" s="13">
        <f t="shared" si="50"/>
        <v>0</v>
      </c>
      <c r="I50" s="13">
        <f t="shared" si="50"/>
        <v>-0.3219280949</v>
      </c>
      <c r="J50" s="13">
        <f t="shared" si="50"/>
        <v>0.5849625007</v>
      </c>
      <c r="K50" s="13">
        <f t="shared" si="50"/>
        <v>-0.3219280949</v>
      </c>
      <c r="L50" s="13">
        <f t="shared" si="50"/>
        <v>0</v>
      </c>
      <c r="M50" s="13">
        <f t="shared" si="50"/>
        <v>-0.7369655942</v>
      </c>
      <c r="N50" s="13">
        <f t="shared" si="50"/>
        <v>-0.7369655942</v>
      </c>
      <c r="O50" s="13">
        <f t="shared" si="50"/>
        <v>-1.321928095</v>
      </c>
      <c r="P50" s="13">
        <f t="shared" si="50"/>
        <v>-1.321928095</v>
      </c>
      <c r="Q50" s="14">
        <f t="shared" si="3"/>
        <v>-3.776143138</v>
      </c>
      <c r="R50" s="17">
        <f>Andrew!C50</f>
        <v>0.4</v>
      </c>
      <c r="S50" s="17">
        <f>Eileen!C50</f>
        <v>0.45</v>
      </c>
      <c r="T50" s="17">
        <f>Iain!C50</f>
        <v>0.5</v>
      </c>
      <c r="U50" s="17">
        <f>Kate!C50</f>
        <v>0.6</v>
      </c>
      <c r="V50" s="17">
        <f>Rohan!C50</f>
        <v>0.25</v>
      </c>
      <c r="W50" s="17">
        <f>Pete!C50</f>
        <v>0.6</v>
      </c>
      <c r="X50" s="17">
        <f>Jac!C50</f>
        <v>0.5</v>
      </c>
      <c r="Y50" s="17">
        <f>James!C50</f>
        <v>0.7</v>
      </c>
      <c r="Z50" s="17">
        <f>Lachy!C50</f>
        <v>0.7</v>
      </c>
      <c r="AA50" s="17">
        <f>Gael!C50</f>
        <v>0.8</v>
      </c>
      <c r="AB50" s="17">
        <f>Bruce!C50</f>
        <v>0.8</v>
      </c>
    </row>
    <row r="51">
      <c r="A51" s="10">
        <v>50.0</v>
      </c>
      <c r="B51" s="16" t="s">
        <v>80</v>
      </c>
      <c r="C51" s="10" t="s">
        <v>12</v>
      </c>
      <c r="D51" s="10" t="s">
        <v>73</v>
      </c>
      <c r="E51" s="10">
        <v>0.0</v>
      </c>
      <c r="F51" s="13">
        <f t="shared" ref="F51:P51" si="51">IF($E51=1,(LOG(R51,2)+1),IF($E51=0,(LOG(1-R51,2)+1),""))</f>
        <v>-0.7369655942</v>
      </c>
      <c r="G51" s="13">
        <f t="shared" si="51"/>
        <v>0</v>
      </c>
      <c r="H51" s="13">
        <f t="shared" si="51"/>
        <v>0.2630344058</v>
      </c>
      <c r="I51" s="13">
        <f t="shared" si="51"/>
        <v>-0.3219280949</v>
      </c>
      <c r="J51" s="13">
        <f t="shared" si="51"/>
        <v>0.0285691522</v>
      </c>
      <c r="K51" s="13">
        <f t="shared" si="51"/>
        <v>-0.7369655942</v>
      </c>
      <c r="L51" s="13">
        <f t="shared" si="51"/>
        <v>0</v>
      </c>
      <c r="M51" s="13">
        <f t="shared" si="51"/>
        <v>0.4854268272</v>
      </c>
      <c r="N51" s="13">
        <f t="shared" si="51"/>
        <v>-0.3219280949</v>
      </c>
      <c r="O51" s="13">
        <f t="shared" si="51"/>
        <v>0.2630344058</v>
      </c>
      <c r="P51" s="13">
        <f t="shared" si="51"/>
        <v>0.5849625007</v>
      </c>
      <c r="Q51" s="14">
        <f t="shared" si="3"/>
        <v>-0.4927600864</v>
      </c>
      <c r="R51" s="17">
        <f>Andrew!C51</f>
        <v>0.7</v>
      </c>
      <c r="S51" s="17">
        <f>Eileen!C51</f>
        <v>0.5</v>
      </c>
      <c r="T51" s="17">
        <f>Iain!C51</f>
        <v>0.4</v>
      </c>
      <c r="U51" s="17">
        <f>Kate!C51</f>
        <v>0.6</v>
      </c>
      <c r="V51" s="17">
        <f>Rohan!C51</f>
        <v>0.49</v>
      </c>
      <c r="W51" s="17">
        <f>Pete!C51</f>
        <v>0.7</v>
      </c>
      <c r="X51" s="17">
        <f>Jac!C51</f>
        <v>0.5</v>
      </c>
      <c r="Y51" s="17">
        <f>James!C51</f>
        <v>0.3</v>
      </c>
      <c r="Z51" s="17">
        <f>Lachy!C51</f>
        <v>0.6</v>
      </c>
      <c r="AA51" s="17">
        <f>Gael!C51</f>
        <v>0.4</v>
      </c>
      <c r="AB51" s="17">
        <f>Bruce!C51</f>
        <v>0.25</v>
      </c>
    </row>
    <row r="52">
      <c r="A52" s="10">
        <v>51.0</v>
      </c>
      <c r="B52" s="16" t="s">
        <v>81</v>
      </c>
      <c r="C52" s="10" t="s">
        <v>12</v>
      </c>
      <c r="D52" s="10" t="s">
        <v>73</v>
      </c>
      <c r="E52" s="10">
        <v>1.0</v>
      </c>
      <c r="F52" s="13">
        <f t="shared" ref="F52:P52" si="52">IF($E52=1,(LOG(R52,2)+1),IF($E52=0,(LOG(1-R52,2)+1),""))</f>
        <v>0</v>
      </c>
      <c r="G52" s="13">
        <f t="shared" si="52"/>
        <v>0</v>
      </c>
      <c r="H52" s="13">
        <f t="shared" si="52"/>
        <v>0.2630344058</v>
      </c>
      <c r="I52" s="13">
        <f t="shared" si="52"/>
        <v>0</v>
      </c>
      <c r="J52" s="13">
        <f t="shared" si="52"/>
        <v>-0.3219280949</v>
      </c>
      <c r="K52" s="13">
        <f t="shared" si="52"/>
        <v>-0.3219280949</v>
      </c>
      <c r="L52" s="13">
        <f t="shared" si="52"/>
        <v>0.1375035237</v>
      </c>
      <c r="M52" s="13">
        <f t="shared" si="52"/>
        <v>0.5849625007</v>
      </c>
      <c r="N52" s="13">
        <f t="shared" si="52"/>
        <v>0</v>
      </c>
      <c r="O52" s="13">
        <f t="shared" si="52"/>
        <v>0.2630344058</v>
      </c>
      <c r="P52" s="13">
        <f t="shared" si="52"/>
        <v>0.4854268272</v>
      </c>
      <c r="Q52" s="14">
        <f t="shared" si="3"/>
        <v>1.090105474</v>
      </c>
      <c r="R52" s="17">
        <f>Andrew!C52</f>
        <v>0.5</v>
      </c>
      <c r="S52" s="17">
        <f>Eileen!C52</f>
        <v>0.5</v>
      </c>
      <c r="T52" s="17">
        <f>Iain!C52</f>
        <v>0.6</v>
      </c>
      <c r="U52" s="17">
        <f>Kate!C52</f>
        <v>0.5</v>
      </c>
      <c r="V52" s="17">
        <f>Rohan!C52</f>
        <v>0.4</v>
      </c>
      <c r="W52" s="17">
        <f>Pete!C52</f>
        <v>0.4</v>
      </c>
      <c r="X52" s="17">
        <f>Jac!C52</f>
        <v>0.55</v>
      </c>
      <c r="Y52" s="17">
        <f>James!C52</f>
        <v>0.75</v>
      </c>
      <c r="Z52" s="17">
        <f>Lachy!C52</f>
        <v>0.5</v>
      </c>
      <c r="AA52" s="17">
        <f>Gael!C52</f>
        <v>0.6</v>
      </c>
      <c r="AB52" s="17">
        <f>Bruce!C52</f>
        <v>0.7</v>
      </c>
    </row>
    <row r="53">
      <c r="A53" s="10">
        <v>52.0</v>
      </c>
      <c r="B53" s="16" t="s">
        <v>82</v>
      </c>
      <c r="C53" s="10" t="s">
        <v>12</v>
      </c>
      <c r="D53" s="10" t="s">
        <v>73</v>
      </c>
      <c r="E53" s="10">
        <v>1.0</v>
      </c>
      <c r="F53" s="13">
        <f t="shared" ref="F53:P53" si="53">IF($E53=1,(LOG(R53,2)+1),IF($E53=0,(LOG(1-R53,2)+1),""))</f>
        <v>0.6780719051</v>
      </c>
      <c r="G53" s="13">
        <f t="shared" si="53"/>
        <v>0.3785116233</v>
      </c>
      <c r="H53" s="13">
        <f t="shared" si="53"/>
        <v>-0.7369655942</v>
      </c>
      <c r="I53" s="13">
        <f t="shared" si="53"/>
        <v>0.4854268272</v>
      </c>
      <c r="J53" s="13">
        <f t="shared" si="53"/>
        <v>0.2630344058</v>
      </c>
      <c r="K53" s="13">
        <f t="shared" si="53"/>
        <v>0.4854268272</v>
      </c>
      <c r="L53" s="13">
        <f t="shared" si="53"/>
        <v>0.9259994186</v>
      </c>
      <c r="M53" s="13">
        <f t="shared" si="53"/>
        <v>0.9259994186</v>
      </c>
      <c r="N53" s="13">
        <f t="shared" si="53"/>
        <v>0.4854268272</v>
      </c>
      <c r="O53" s="13">
        <f t="shared" si="53"/>
        <v>0.6780719051</v>
      </c>
      <c r="P53" s="13">
        <f t="shared" si="53"/>
        <v>0.9855004303</v>
      </c>
      <c r="Q53" s="14">
        <f t="shared" si="3"/>
        <v>5.554503994</v>
      </c>
      <c r="R53" s="17">
        <f>Andrew!C53</f>
        <v>0.8</v>
      </c>
      <c r="S53" s="17">
        <f>Eileen!C53</f>
        <v>0.65</v>
      </c>
      <c r="T53" s="17">
        <f>Iain!C53</f>
        <v>0.3</v>
      </c>
      <c r="U53" s="17">
        <f>Kate!C53</f>
        <v>0.7</v>
      </c>
      <c r="V53" s="17">
        <f>Rohan!C53</f>
        <v>0.6</v>
      </c>
      <c r="W53" s="17">
        <f>Pete!C53</f>
        <v>0.7</v>
      </c>
      <c r="X53" s="17">
        <f>Jac!C53</f>
        <v>0.95</v>
      </c>
      <c r="Y53" s="17">
        <f>James!C53</f>
        <v>0.95</v>
      </c>
      <c r="Z53" s="17">
        <f>Lachy!C53</f>
        <v>0.7</v>
      </c>
      <c r="AA53" s="17">
        <f>Gael!C53</f>
        <v>0.8</v>
      </c>
      <c r="AB53" s="17">
        <f>Bruce!C53</f>
        <v>0.99</v>
      </c>
    </row>
    <row r="54">
      <c r="A54" s="10">
        <v>53.0</v>
      </c>
      <c r="B54" s="16" t="s">
        <v>83</v>
      </c>
      <c r="C54" s="10" t="s">
        <v>11</v>
      </c>
      <c r="D54" s="10" t="s">
        <v>73</v>
      </c>
      <c r="E54" s="10">
        <v>1.0</v>
      </c>
      <c r="F54" s="13">
        <f t="shared" ref="F54:P54" si="54">IF($E54=1,(LOG(R54,2)+1),IF($E54=0,(LOG(1-R54,2)+1),""))</f>
        <v>0</v>
      </c>
      <c r="G54" s="13">
        <f t="shared" si="54"/>
        <v>0</v>
      </c>
      <c r="H54" s="13">
        <f t="shared" si="54"/>
        <v>0</v>
      </c>
      <c r="I54" s="13">
        <f t="shared" si="54"/>
        <v>-0.3219280949</v>
      </c>
      <c r="J54" s="13">
        <f t="shared" si="54"/>
        <v>-0.5145731728</v>
      </c>
      <c r="K54" s="13">
        <f t="shared" si="54"/>
        <v>-0.3219280949</v>
      </c>
      <c r="L54" s="13">
        <f t="shared" si="54"/>
        <v>0.2630344058</v>
      </c>
      <c r="M54" s="13">
        <f t="shared" si="54"/>
        <v>-1.321928095</v>
      </c>
      <c r="N54" s="13">
        <f t="shared" si="54"/>
        <v>0.2630344058</v>
      </c>
      <c r="O54" s="13">
        <f t="shared" si="54"/>
        <v>0.2630344058</v>
      </c>
      <c r="P54" s="13">
        <f t="shared" si="54"/>
        <v>-2.321928095</v>
      </c>
      <c r="Q54" s="14">
        <f t="shared" si="3"/>
        <v>-4.013182335</v>
      </c>
      <c r="R54" s="17">
        <f>Andrew!C54</f>
        <v>0.5</v>
      </c>
      <c r="S54" s="17">
        <f>Eileen!C54</f>
        <v>0.5</v>
      </c>
      <c r="T54" s="17">
        <f>Iain!C54</f>
        <v>0.5</v>
      </c>
      <c r="U54" s="17">
        <f>Kate!C54</f>
        <v>0.4</v>
      </c>
      <c r="V54" s="17">
        <f>Rohan!C54</f>
        <v>0.35</v>
      </c>
      <c r="W54" s="17">
        <f>Pete!C54</f>
        <v>0.4</v>
      </c>
      <c r="X54" s="17">
        <f>Jac!C54</f>
        <v>0.6</v>
      </c>
      <c r="Y54" s="17">
        <f>James!C54</f>
        <v>0.2</v>
      </c>
      <c r="Z54" s="17">
        <f>Lachy!C54</f>
        <v>0.6</v>
      </c>
      <c r="AA54" s="17">
        <f>Gael!C54</f>
        <v>0.6</v>
      </c>
      <c r="AB54" s="17">
        <f>Bruce!C54</f>
        <v>0.1</v>
      </c>
    </row>
    <row r="55">
      <c r="A55" s="10">
        <v>54.0</v>
      </c>
      <c r="B55" s="16" t="s">
        <v>84</v>
      </c>
      <c r="C55" s="10" t="s">
        <v>7</v>
      </c>
      <c r="D55" s="10" t="s">
        <v>85</v>
      </c>
      <c r="E55" s="10">
        <v>1.0</v>
      </c>
      <c r="F55" s="13">
        <f t="shared" ref="F55:P55" si="55">IF($E55=1,(LOG(R55,2)+1),IF($E55=0,(LOG(1-R55,2)+1),""))</f>
        <v>0.1375035237</v>
      </c>
      <c r="G55" s="13">
        <f t="shared" si="55"/>
        <v>-2.321928095</v>
      </c>
      <c r="H55" s="13">
        <f t="shared" si="55"/>
        <v>-0.7369655942</v>
      </c>
      <c r="I55" s="13">
        <f t="shared" si="55"/>
        <v>-1.321928095</v>
      </c>
      <c r="J55" s="13">
        <f t="shared" si="55"/>
        <v>-0.1520030934</v>
      </c>
      <c r="K55" s="13">
        <f t="shared" si="55"/>
        <v>-0.3219280949</v>
      </c>
      <c r="L55" s="13">
        <f t="shared" si="55"/>
        <v>-0.3219280949</v>
      </c>
      <c r="M55" s="13">
        <f t="shared" si="55"/>
        <v>0.2630344058</v>
      </c>
      <c r="N55" s="13">
        <f t="shared" si="55"/>
        <v>-2.321928095</v>
      </c>
      <c r="O55" s="13">
        <f t="shared" si="55"/>
        <v>0.2630344058</v>
      </c>
      <c r="P55" s="13">
        <f t="shared" si="55"/>
        <v>0.2630344058</v>
      </c>
      <c r="Q55" s="14">
        <f t="shared" si="3"/>
        <v>-6.572002421</v>
      </c>
      <c r="R55" s="17">
        <f>Andrew!C55</f>
        <v>0.55</v>
      </c>
      <c r="S55" s="17">
        <f>Eileen!C55</f>
        <v>0.1</v>
      </c>
      <c r="T55" s="17">
        <f>Iain!C55</f>
        <v>0.3</v>
      </c>
      <c r="U55" s="17">
        <f>Kate!C55</f>
        <v>0.2</v>
      </c>
      <c r="V55" s="17">
        <f>Rohan!C55</f>
        <v>0.45</v>
      </c>
      <c r="W55" s="17">
        <f>Pete!C55</f>
        <v>0.4</v>
      </c>
      <c r="X55" s="17">
        <f>Jac!C55</f>
        <v>0.4</v>
      </c>
      <c r="Y55" s="17">
        <f>James!C55</f>
        <v>0.6</v>
      </c>
      <c r="Z55" s="17">
        <f>Lachy!C55</f>
        <v>0.1</v>
      </c>
      <c r="AA55" s="17">
        <f>Gael!C55</f>
        <v>0.6</v>
      </c>
      <c r="AB55" s="17">
        <f>Bruce!C55</f>
        <v>0.6</v>
      </c>
    </row>
    <row r="56">
      <c r="A56" s="10">
        <v>55.0</v>
      </c>
      <c r="B56" s="16" t="s">
        <v>86</v>
      </c>
      <c r="C56" s="10" t="s">
        <v>14</v>
      </c>
      <c r="D56" s="10" t="s">
        <v>85</v>
      </c>
      <c r="E56" s="10">
        <v>0.0</v>
      </c>
      <c r="F56" s="13">
        <f t="shared" ref="F56:P56" si="56">IF($E56=1,(LOG(R56,2)+1),IF($E56=0,(LOG(1-R56,2)+1),""))</f>
        <v>-0.3219280949</v>
      </c>
      <c r="G56" s="13">
        <f t="shared" si="56"/>
        <v>-1.321928095</v>
      </c>
      <c r="H56" s="13">
        <f t="shared" si="56"/>
        <v>0.2630344058</v>
      </c>
      <c r="I56" s="13">
        <f t="shared" si="56"/>
        <v>-1.321928095</v>
      </c>
      <c r="J56" s="13">
        <f t="shared" si="56"/>
        <v>0.6780719051</v>
      </c>
      <c r="K56" s="13">
        <f t="shared" si="56"/>
        <v>0.2630344058</v>
      </c>
      <c r="L56" s="13">
        <f t="shared" si="56"/>
        <v>-0.3219280949</v>
      </c>
      <c r="M56" s="13">
        <f t="shared" si="56"/>
        <v>-0.5145731728</v>
      </c>
      <c r="N56" s="13">
        <f t="shared" si="56"/>
        <v>0.8479969066</v>
      </c>
      <c r="O56" s="13">
        <f t="shared" si="56"/>
        <v>-0.3219280949</v>
      </c>
      <c r="P56" s="13">
        <f t="shared" si="56"/>
        <v>-0.3219280949</v>
      </c>
      <c r="Q56" s="14">
        <f t="shared" si="3"/>
        <v>-2.394004119</v>
      </c>
      <c r="R56" s="17">
        <f>Andrew!C56</f>
        <v>0.6</v>
      </c>
      <c r="S56" s="17">
        <f>Eileen!C56</f>
        <v>0.8</v>
      </c>
      <c r="T56" s="17">
        <f>Iain!C56</f>
        <v>0.4</v>
      </c>
      <c r="U56" s="17">
        <f>Kate!C56</f>
        <v>0.8</v>
      </c>
      <c r="V56" s="17">
        <f>Rohan!C56</f>
        <v>0.2</v>
      </c>
      <c r="W56" s="17">
        <f>Pete!C56</f>
        <v>0.4</v>
      </c>
      <c r="X56" s="17">
        <f>Jac!C56</f>
        <v>0.6</v>
      </c>
      <c r="Y56" s="17">
        <f>James!C56</f>
        <v>0.65</v>
      </c>
      <c r="Z56" s="17">
        <f>Lachy!C56</f>
        <v>0.1</v>
      </c>
      <c r="AA56" s="17">
        <f>Gael!C56</f>
        <v>0.6</v>
      </c>
      <c r="AB56" s="17">
        <f>Bruce!C56</f>
        <v>0.6</v>
      </c>
    </row>
    <row r="57">
      <c r="A57" s="10">
        <v>56.0</v>
      </c>
      <c r="B57" s="16" t="s">
        <v>87</v>
      </c>
      <c r="C57" s="10" t="s">
        <v>14</v>
      </c>
      <c r="D57" s="10" t="s">
        <v>85</v>
      </c>
      <c r="E57" s="10">
        <v>0.0</v>
      </c>
      <c r="F57" s="13">
        <f t="shared" ref="F57:P57" si="57">IF($E57=1,(LOG(R57,2)+1),IF($E57=0,(LOG(1-R57,2)+1),""))</f>
        <v>-0.5145731728</v>
      </c>
      <c r="G57" s="13">
        <f t="shared" si="57"/>
        <v>-0.3219280949</v>
      </c>
      <c r="H57" s="13">
        <f t="shared" si="57"/>
        <v>0.4854268272</v>
      </c>
      <c r="I57" s="13">
        <f t="shared" si="57"/>
        <v>-0.7369655942</v>
      </c>
      <c r="J57" s="13">
        <f t="shared" si="57"/>
        <v>0.2630344058</v>
      </c>
      <c r="K57" s="13">
        <f t="shared" si="57"/>
        <v>-0.3219280949</v>
      </c>
      <c r="L57" s="13">
        <f t="shared" si="57"/>
        <v>0</v>
      </c>
      <c r="M57" s="13">
        <f t="shared" si="57"/>
        <v>0</v>
      </c>
      <c r="N57" s="13">
        <f t="shared" si="57"/>
        <v>0.4854268272</v>
      </c>
      <c r="O57" s="13">
        <f t="shared" si="57"/>
        <v>0</v>
      </c>
      <c r="P57" s="13">
        <f t="shared" si="57"/>
        <v>0</v>
      </c>
      <c r="Q57" s="14">
        <f t="shared" si="3"/>
        <v>-0.6615068966</v>
      </c>
      <c r="R57" s="17">
        <f>Andrew!C57</f>
        <v>0.65</v>
      </c>
      <c r="S57" s="17">
        <f>Eileen!C57</f>
        <v>0.6</v>
      </c>
      <c r="T57" s="17">
        <f>Iain!C57</f>
        <v>0.3</v>
      </c>
      <c r="U57" s="17">
        <f>Kate!C57</f>
        <v>0.7</v>
      </c>
      <c r="V57" s="17">
        <f>Rohan!C57</f>
        <v>0.4</v>
      </c>
      <c r="W57" s="17">
        <f>Pete!C57</f>
        <v>0.6</v>
      </c>
      <c r="X57" s="17">
        <f>Jac!C57</f>
        <v>0.5</v>
      </c>
      <c r="Y57" s="17">
        <f>James!C57</f>
        <v>0.5</v>
      </c>
      <c r="Z57" s="17">
        <f>Lachy!C57</f>
        <v>0.3</v>
      </c>
      <c r="AA57" s="17">
        <f>Gael!C57</f>
        <v>0.5</v>
      </c>
      <c r="AB57" s="17">
        <f>Bruce!C57</f>
        <v>0.5</v>
      </c>
    </row>
    <row r="58">
      <c r="A58" s="10">
        <v>57.0</v>
      </c>
      <c r="B58" s="16" t="s">
        <v>88</v>
      </c>
      <c r="C58" s="10" t="s">
        <v>15</v>
      </c>
      <c r="D58" s="10" t="s">
        <v>85</v>
      </c>
      <c r="E58" s="10">
        <v>0.0</v>
      </c>
      <c r="F58" s="13">
        <f t="shared" ref="F58:P58" si="58">IF($E58=1,(LOG(R58,2)+1),IF($E58=0,(LOG(1-R58,2)+1),""))</f>
        <v>0.2630344058</v>
      </c>
      <c r="G58" s="13">
        <f t="shared" si="58"/>
        <v>0.6780719051</v>
      </c>
      <c r="H58" s="13">
        <f t="shared" si="58"/>
        <v>0.6780719051</v>
      </c>
      <c r="I58" s="13">
        <f t="shared" si="58"/>
        <v>0.6780719051</v>
      </c>
      <c r="J58" s="13">
        <f t="shared" si="58"/>
        <v>0.6780719051</v>
      </c>
      <c r="K58" s="13">
        <f t="shared" si="58"/>
        <v>0.2630344058</v>
      </c>
      <c r="L58" s="13">
        <f t="shared" si="58"/>
        <v>0.4854268272</v>
      </c>
      <c r="M58" s="13">
        <f t="shared" si="58"/>
        <v>0.8479969066</v>
      </c>
      <c r="N58" s="13">
        <f t="shared" si="58"/>
        <v>0.6780719051</v>
      </c>
      <c r="O58" s="13">
        <f t="shared" si="58"/>
        <v>-0.3219280949</v>
      </c>
      <c r="P58" s="13">
        <f t="shared" si="58"/>
        <v>0.9259994186</v>
      </c>
      <c r="Q58" s="14">
        <f t="shared" si="3"/>
        <v>5.853923395</v>
      </c>
      <c r="R58" s="17">
        <f>Andrew!C58</f>
        <v>0.4</v>
      </c>
      <c r="S58" s="17">
        <f>Eileen!C58</f>
        <v>0.2</v>
      </c>
      <c r="T58" s="17">
        <f>Iain!C58</f>
        <v>0.2</v>
      </c>
      <c r="U58" s="17">
        <f>Kate!C58</f>
        <v>0.2</v>
      </c>
      <c r="V58" s="17">
        <f>Rohan!C58</f>
        <v>0.2</v>
      </c>
      <c r="W58" s="17">
        <f>Pete!C58</f>
        <v>0.4</v>
      </c>
      <c r="X58" s="17">
        <f>Jac!C58</f>
        <v>0.3</v>
      </c>
      <c r="Y58" s="17">
        <f>James!C58</f>
        <v>0.1</v>
      </c>
      <c r="Z58" s="17">
        <f>Lachy!C58</f>
        <v>0.2</v>
      </c>
      <c r="AA58" s="17">
        <f>Gael!C58</f>
        <v>0.6</v>
      </c>
      <c r="AB58" s="17">
        <f>Bruce!C58</f>
        <v>0.05</v>
      </c>
    </row>
    <row r="59">
      <c r="A59" s="10">
        <v>58.0</v>
      </c>
      <c r="B59" s="16" t="s">
        <v>89</v>
      </c>
      <c r="C59" s="10" t="s">
        <v>15</v>
      </c>
      <c r="D59" s="10" t="s">
        <v>85</v>
      </c>
      <c r="E59" s="10">
        <v>0.0</v>
      </c>
      <c r="F59" s="13">
        <f t="shared" ref="F59:P59" si="59">IF($E59=1,(LOG(R59,2)+1),IF($E59=0,(LOG(1-R59,2)+1),""))</f>
        <v>0</v>
      </c>
      <c r="G59" s="13">
        <f t="shared" si="59"/>
        <v>0</v>
      </c>
      <c r="H59" s="13">
        <f t="shared" si="59"/>
        <v>0.4854268272</v>
      </c>
      <c r="I59" s="13">
        <f t="shared" si="59"/>
        <v>0.6780719051</v>
      </c>
      <c r="J59" s="13">
        <f t="shared" si="59"/>
        <v>0.4854268272</v>
      </c>
      <c r="K59" s="13">
        <f t="shared" si="59"/>
        <v>0.2630344058</v>
      </c>
      <c r="L59" s="13">
        <f t="shared" si="59"/>
        <v>0</v>
      </c>
      <c r="M59" s="13">
        <f t="shared" si="59"/>
        <v>0.4854268272</v>
      </c>
      <c r="N59" s="13">
        <f t="shared" si="59"/>
        <v>0.4854268272</v>
      </c>
      <c r="O59" s="13">
        <f t="shared" si="59"/>
        <v>0</v>
      </c>
      <c r="P59" s="13">
        <f t="shared" si="59"/>
        <v>0.4854268272</v>
      </c>
      <c r="Q59" s="14">
        <f t="shared" si="3"/>
        <v>3.368240447</v>
      </c>
      <c r="R59" s="17">
        <f>Andrew!C59</f>
        <v>0.5</v>
      </c>
      <c r="S59" s="17">
        <f>Eileen!C59</f>
        <v>0.5</v>
      </c>
      <c r="T59" s="17">
        <f>Iain!C59</f>
        <v>0.3</v>
      </c>
      <c r="U59" s="17">
        <f>Kate!C59</f>
        <v>0.2</v>
      </c>
      <c r="V59" s="17">
        <f>Rohan!C59</f>
        <v>0.3</v>
      </c>
      <c r="W59" s="17">
        <f>Pete!C59</f>
        <v>0.4</v>
      </c>
      <c r="X59" s="17">
        <f>Jac!C59</f>
        <v>0.5</v>
      </c>
      <c r="Y59" s="17">
        <f>James!C59</f>
        <v>0.3</v>
      </c>
      <c r="Z59" s="17">
        <f>Lachy!C59</f>
        <v>0.3</v>
      </c>
      <c r="AA59" s="17">
        <f>Gael!C59</f>
        <v>0.5</v>
      </c>
      <c r="AB59" s="17">
        <f>Bruce!C59</f>
        <v>0.3</v>
      </c>
    </row>
    <row r="60">
      <c r="A60" s="10">
        <v>59.0</v>
      </c>
      <c r="B60" s="16" t="s">
        <v>90</v>
      </c>
      <c r="C60" s="10" t="s">
        <v>15</v>
      </c>
      <c r="D60" s="10" t="s">
        <v>85</v>
      </c>
      <c r="E60" s="10">
        <v>0.0</v>
      </c>
      <c r="F60" s="13">
        <f t="shared" ref="F60:P60" si="60">IF($E60=1,(LOG(R60,2)+1),IF($E60=0,(LOG(1-R60,2)+1),""))</f>
        <v>0.6780719051</v>
      </c>
      <c r="G60" s="13">
        <f t="shared" si="60"/>
        <v>-0.7369655942</v>
      </c>
      <c r="H60" s="13">
        <f t="shared" si="60"/>
        <v>0.6780719051</v>
      </c>
      <c r="I60" s="13">
        <f t="shared" si="60"/>
        <v>0.2630344058</v>
      </c>
      <c r="J60" s="13">
        <f t="shared" si="60"/>
        <v>-1.556393349</v>
      </c>
      <c r="K60" s="13">
        <f t="shared" si="60"/>
        <v>-0.3219280949</v>
      </c>
      <c r="L60" s="13">
        <f t="shared" si="60"/>
        <v>-1.321928095</v>
      </c>
      <c r="M60" s="13">
        <f t="shared" si="60"/>
        <v>-2.321928095</v>
      </c>
      <c r="N60" s="13">
        <f t="shared" si="60"/>
        <v>-2.321928095</v>
      </c>
      <c r="O60" s="13">
        <f t="shared" si="60"/>
        <v>-0.3219280949</v>
      </c>
      <c r="P60" s="13">
        <f t="shared" si="60"/>
        <v>-5.64385619</v>
      </c>
      <c r="Q60" s="14">
        <f t="shared" si="3"/>
        <v>-12.92767739</v>
      </c>
      <c r="R60" s="17">
        <f>Andrew!C60</f>
        <v>0.2</v>
      </c>
      <c r="S60" s="17">
        <f>Eileen!C60</f>
        <v>0.7</v>
      </c>
      <c r="T60" s="17">
        <f>Iain!C60</f>
        <v>0.2</v>
      </c>
      <c r="U60" s="17">
        <f>Kate!C60</f>
        <v>0.4</v>
      </c>
      <c r="V60" s="17">
        <f>Rohan!C60</f>
        <v>0.83</v>
      </c>
      <c r="W60" s="17">
        <f>Pete!C60</f>
        <v>0.6</v>
      </c>
      <c r="X60" s="17">
        <f>Jac!C60</f>
        <v>0.8</v>
      </c>
      <c r="Y60" s="17">
        <f>James!C60</f>
        <v>0.9</v>
      </c>
      <c r="Z60" s="17">
        <f>Lachy!C60</f>
        <v>0.9</v>
      </c>
      <c r="AA60" s="17">
        <f>Gael!C60</f>
        <v>0.6</v>
      </c>
      <c r="AB60" s="17">
        <f>Bruce!C60</f>
        <v>0.99</v>
      </c>
    </row>
    <row r="61">
      <c r="A61" s="10">
        <v>60.0</v>
      </c>
      <c r="B61" s="11" t="s">
        <v>91</v>
      </c>
      <c r="C61" s="10" t="s">
        <v>14</v>
      </c>
      <c r="D61" s="10" t="s">
        <v>63</v>
      </c>
      <c r="E61" s="10" t="s">
        <v>22</v>
      </c>
      <c r="F61" s="13" t="str">
        <f t="shared" ref="F61:P61" si="61">IF($E61=1,(LOG(R61,2)+1),IF($E61=0,(LOG(1-R61,2)+1),""))</f>
        <v/>
      </c>
      <c r="G61" s="13" t="str">
        <f t="shared" si="61"/>
        <v/>
      </c>
      <c r="H61" s="13" t="str">
        <f t="shared" si="61"/>
        <v/>
      </c>
      <c r="I61" s="13" t="str">
        <f t="shared" si="61"/>
        <v/>
      </c>
      <c r="J61" s="13" t="str">
        <f t="shared" si="61"/>
        <v/>
      </c>
      <c r="K61" s="13" t="str">
        <f t="shared" si="61"/>
        <v/>
      </c>
      <c r="L61" s="13" t="str">
        <f t="shared" si="61"/>
        <v/>
      </c>
      <c r="M61" s="13" t="str">
        <f t="shared" si="61"/>
        <v/>
      </c>
      <c r="N61" s="13" t="str">
        <f t="shared" si="61"/>
        <v/>
      </c>
      <c r="O61" s="13" t="str">
        <f t="shared" si="61"/>
        <v/>
      </c>
      <c r="P61" s="13" t="str">
        <f t="shared" si="61"/>
        <v/>
      </c>
      <c r="Q61" s="14">
        <f t="shared" si="3"/>
        <v>0</v>
      </c>
      <c r="R61" s="21">
        <v>0.5</v>
      </c>
      <c r="S61" s="21">
        <v>0.5</v>
      </c>
      <c r="T61" s="21">
        <v>0.5</v>
      </c>
      <c r="U61" s="17">
        <f>Kate!C61</f>
        <v>0.2</v>
      </c>
      <c r="V61" s="17">
        <f>Rohan!C61</f>
        <v>0.4</v>
      </c>
      <c r="W61" s="21">
        <v>0.5</v>
      </c>
      <c r="X61" s="17">
        <f>Jac!C61</f>
        <v>0.45</v>
      </c>
      <c r="Y61" s="17">
        <f>James!C61</f>
        <v>0.8</v>
      </c>
      <c r="Z61" s="17">
        <f>Lachy!C61</f>
        <v>0.7</v>
      </c>
      <c r="AA61" s="17">
        <f>Gael!C61</f>
        <v>0.65</v>
      </c>
      <c r="AB61" s="17">
        <f>Bruce!C61</f>
        <v>0.01</v>
      </c>
    </row>
    <row r="62">
      <c r="B62" s="22"/>
    </row>
    <row r="63">
      <c r="B63" s="22"/>
      <c r="E63" s="23" t="s">
        <v>92</v>
      </c>
      <c r="F63" s="24">
        <f t="shared" ref="F63:P63" si="62">IF(SUM(F2:F62)&gt;=0,SUM(F2:F62),"")</f>
        <v>5.51670328</v>
      </c>
      <c r="G63" s="24" t="str">
        <f t="shared" si="62"/>
        <v/>
      </c>
      <c r="H63" s="24" t="str">
        <f t="shared" si="62"/>
        <v/>
      </c>
      <c r="I63" s="24">
        <f t="shared" si="62"/>
        <v>0.5212062488</v>
      </c>
      <c r="J63" s="24">
        <f t="shared" si="62"/>
        <v>3.0154337</v>
      </c>
      <c r="K63" s="24">
        <f t="shared" si="62"/>
        <v>2.957021008</v>
      </c>
      <c r="L63" s="24">
        <f t="shared" si="62"/>
        <v>11.17546122</v>
      </c>
      <c r="M63" s="24">
        <f t="shared" si="62"/>
        <v>4.133166194</v>
      </c>
      <c r="N63" s="24" t="str">
        <f t="shared" si="62"/>
        <v/>
      </c>
      <c r="O63" s="24" t="str">
        <f t="shared" si="62"/>
        <v/>
      </c>
      <c r="P63" s="24">
        <f t="shared" si="62"/>
        <v>0.1923367811</v>
      </c>
    </row>
    <row r="64">
      <c r="B64" s="22"/>
      <c r="E64" s="25"/>
      <c r="F64" s="7" t="str">
        <f t="shared" ref="F64:P64" si="63">IF(SUM(F2:F62)&lt;0,SUM(F2:F62),"")</f>
        <v/>
      </c>
      <c r="G64" s="26">
        <f t="shared" si="63"/>
        <v>-4.356378506</v>
      </c>
      <c r="H64" s="27">
        <f t="shared" si="63"/>
        <v>-1.72579047</v>
      </c>
      <c r="I64" s="28" t="str">
        <f t="shared" si="63"/>
        <v/>
      </c>
      <c r="J64" s="7" t="str">
        <f t="shared" si="63"/>
        <v/>
      </c>
      <c r="K64" s="28" t="str">
        <f t="shared" si="63"/>
        <v/>
      </c>
      <c r="L64" s="7" t="str">
        <f t="shared" si="63"/>
        <v/>
      </c>
      <c r="M64" s="28" t="str">
        <f t="shared" si="63"/>
        <v/>
      </c>
      <c r="N64" s="27">
        <f t="shared" si="63"/>
        <v>-1.790362225</v>
      </c>
      <c r="O64" s="26">
        <f t="shared" si="63"/>
        <v>-0.8202567742</v>
      </c>
      <c r="P64" s="7" t="str">
        <f t="shared" si="63"/>
        <v/>
      </c>
    </row>
    <row r="65">
      <c r="B65" s="22"/>
    </row>
    <row r="66">
      <c r="B66" s="22"/>
      <c r="E66" s="29" t="s">
        <v>93</v>
      </c>
      <c r="F66" s="30">
        <f t="shared" ref="F66:P66" si="64">MAX(F2:F62)</f>
        <v>0.8479969066</v>
      </c>
      <c r="G66" s="30">
        <f t="shared" si="64"/>
        <v>0.9855004303</v>
      </c>
      <c r="H66" s="30">
        <f t="shared" si="64"/>
        <v>0.8479969066</v>
      </c>
      <c r="I66" s="30">
        <f t="shared" si="64"/>
        <v>0.9259994186</v>
      </c>
      <c r="J66" s="30">
        <f t="shared" si="64"/>
        <v>0.9855004303</v>
      </c>
      <c r="K66" s="30">
        <f t="shared" si="64"/>
        <v>0.4854268272</v>
      </c>
      <c r="L66" s="30">
        <f t="shared" si="64"/>
        <v>0.9259994186</v>
      </c>
      <c r="M66" s="30">
        <f t="shared" si="64"/>
        <v>0.9855004303</v>
      </c>
      <c r="N66" s="30">
        <f t="shared" si="64"/>
        <v>0.9855004303</v>
      </c>
      <c r="O66" s="30">
        <f t="shared" si="64"/>
        <v>0.8479969066</v>
      </c>
      <c r="P66" s="30">
        <f t="shared" si="64"/>
        <v>0.9855004303</v>
      </c>
    </row>
    <row r="67">
      <c r="B67" s="22"/>
      <c r="E67" s="29" t="s">
        <v>94</v>
      </c>
      <c r="F67" s="30">
        <f t="shared" ref="F67:P67" si="65">MIN(F2:F62)</f>
        <v>-2.321928095</v>
      </c>
      <c r="G67" s="30">
        <f t="shared" si="65"/>
        <v>-2.321928095</v>
      </c>
      <c r="H67" s="30">
        <f t="shared" si="65"/>
        <v>-1.321928095</v>
      </c>
      <c r="I67" s="30">
        <f t="shared" si="65"/>
        <v>-2.321928095</v>
      </c>
      <c r="J67" s="30">
        <f t="shared" si="65"/>
        <v>-2.321928095</v>
      </c>
      <c r="K67" s="30">
        <f t="shared" si="65"/>
        <v>-0.7369655942</v>
      </c>
      <c r="L67" s="30">
        <f t="shared" si="65"/>
        <v>-1.321928095</v>
      </c>
      <c r="M67" s="30">
        <f t="shared" si="65"/>
        <v>-3.321928095</v>
      </c>
      <c r="N67" s="30">
        <f t="shared" si="65"/>
        <v>-2.321928095</v>
      </c>
      <c r="O67" s="30">
        <f t="shared" si="65"/>
        <v>-1.321928095</v>
      </c>
      <c r="P67" s="30">
        <f t="shared" si="65"/>
        <v>-5.64385619</v>
      </c>
    </row>
    <row r="68">
      <c r="B68" s="22"/>
      <c r="E68" s="29" t="s">
        <v>95</v>
      </c>
      <c r="F68" s="30">
        <f>IFERROR(__xludf.DUMMYFUNCTION("AVERAGE(FILTER(F2:F62, F2:F62 &gt; 0))"),0.4714341962079)</f>
        <v>0.4714341962</v>
      </c>
      <c r="G68" s="30">
        <f>IFERROR(__xludf.DUMMYFUNCTION("AVERAGE(FILTER(G2:G62, G2:G62 &gt; 0))"),0.48393908796021057)</f>
        <v>0.483939088</v>
      </c>
      <c r="H68" s="30">
        <f>IFERROR(__xludf.DUMMYFUNCTION("AVERAGE(FILTER(H2:H62, H2:H62 &gt; 0))"),0.5078317939440012)</f>
        <v>0.5078317939</v>
      </c>
      <c r="I68" s="30">
        <f>IFERROR(__xludf.DUMMYFUNCTION("AVERAGE(FILTER(I2:I62, I2:I62 &gt; 0))"),0.5906229326673832)</f>
        <v>0.5906229327</v>
      </c>
      <c r="J68" s="30">
        <f>IFERROR(__xludf.DUMMYFUNCTION("AVERAGE(FILTER(J2:J62, J2:J62 &gt; 0))"),0.4291233484856047)</f>
        <v>0.4291233485</v>
      </c>
      <c r="K68" s="30">
        <f>IFERROR(__xludf.DUMMYFUNCTION("AVERAGE(FILTER(K2:K62, K2:K62 &gt; 0))"),0.31863251116790586)</f>
        <v>0.3186325112</v>
      </c>
      <c r="L68" s="30">
        <f>IFERROR(__xludf.DUMMYFUNCTION("AVERAGE(FILTER(L2:L62, L2:L62 &gt; 0))"),0.4496503496489216)</f>
        <v>0.4496503496</v>
      </c>
      <c r="M68" s="30">
        <f>IFERROR(__xludf.DUMMYFUNCTION("AVERAGE(FILTER(M2:M62, M2:M62 &gt; 0))"),0.6122024321360294)</f>
        <v>0.6122024321</v>
      </c>
      <c r="N68" s="30">
        <f>IFERROR(__xludf.DUMMYFUNCTION("AVERAGE(FILTER(N2:N62, N2:N62 &gt; 0))"),0.59001379878475)</f>
        <v>0.5900137988</v>
      </c>
      <c r="O68" s="30">
        <f>IFERROR(__xludf.DUMMYFUNCTION("AVERAGE(FILTER(O2:O62, O2:O62 &gt; 0))"),0.41576267845017306)</f>
        <v>0.4157626785</v>
      </c>
      <c r="P68" s="30">
        <f>IFERROR(__xludf.DUMMYFUNCTION("AVERAGE(FILTER(P2:P62, P2:P62 &gt; 0))"),0.6028591902204153)</f>
        <v>0.6028591902</v>
      </c>
    </row>
    <row r="69">
      <c r="B69" s="22"/>
      <c r="E69" s="29" t="s">
        <v>96</v>
      </c>
      <c r="F69" s="31">
        <f>IFERROR(__xludf.DUMMYFUNCTION("AVERAGE(FILTER(F2:F62, F2:F62 &lt; 0))"),-0.6101940881592866)</f>
        <v>-0.6101940882</v>
      </c>
      <c r="G69" s="31">
        <f>IFERROR(__xludf.DUMMYFUNCTION("AVERAGE(FILTER(G2:G62, G2:G62 &lt; 0))"),-0.8660450371098891)</f>
        <v>-0.8660450371</v>
      </c>
      <c r="H69" s="31">
        <f>IFERROR(__xludf.DUMMYFUNCTION("AVERAGE(FILTER(H2:H62, H2:H62 &lt; 0))"),-0.8858378167089419)</f>
        <v>-0.8858378167</v>
      </c>
      <c r="I69" s="31">
        <f>IFERROR(__xludf.DUMMYFUNCTION("AVERAGE(FILTER(I2:I62, I2:I62 &lt; 0))"),-0.8740451999227865)</f>
        <v>-0.8740451999</v>
      </c>
      <c r="J69" s="31">
        <f>IFERROR(__xludf.DUMMYFUNCTION("AVERAGE(FILTER(J2:J62, J2:J62 &lt; 0))"),-0.6668824165271937)</f>
        <v>-0.6668824165</v>
      </c>
      <c r="K69" s="31">
        <f>IFERROR(__xludf.DUMMYFUNCTION("AVERAGE(FILTER(K2:K62, K2:K62 &lt; 0))"),-0.42568746970707305)</f>
        <v>-0.4256874697</v>
      </c>
      <c r="L69" s="31">
        <f>IFERROR(__xludf.DUMMYFUNCTION("AVERAGE(FILTER(L2:L62, L2:L62 &lt; 0))"),-0.45623010196044583)</f>
        <v>-0.456230102</v>
      </c>
      <c r="M69" s="31">
        <f>IFERROR(__xludf.DUMMYFUNCTION("AVERAGE(FILTER(M2:M62, M2:M62 &lt; 0))"),-1.112114433224547)</f>
        <v>-1.112114433</v>
      </c>
      <c r="N69" s="31">
        <f>IFERROR(__xludf.DUMMYFUNCTION("AVERAGE(FILTER(N2:N62, N2:N62 &lt; 0))"),-0.9562280946126359)</f>
        <v>-0.9562280946</v>
      </c>
      <c r="O69" s="31">
        <f>IFERROR(__xludf.DUMMYFUNCTION("AVERAGE(FILTER(O2:O62, O2:O62 &lt; 0))"),-0.5192338237835951)</f>
        <v>-0.5192338238</v>
      </c>
      <c r="P69" s="31">
        <f>IFERROR(__xludf.DUMMYFUNCTION("AVERAGE(FILTER(P2:P62, P2:P62 &lt; 0))"),-1.993502568975159)</f>
        <v>-1.993502569</v>
      </c>
    </row>
    <row r="70">
      <c r="B70" s="22"/>
      <c r="E70" s="29"/>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sheetData>
  <printOptions gridLines="1" horizontalCentered="1"/>
  <pageMargins bottom="0.75" footer="0.0" header="0.0" left="0.7" right="0.7" top="0.75"/>
  <pageSetup fitToWidth="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0" t="s">
        <v>97</v>
      </c>
      <c r="C1" s="10" t="s">
        <v>98</v>
      </c>
      <c r="D1" s="10" t="s">
        <v>99</v>
      </c>
    </row>
    <row r="2">
      <c r="A2" s="10" t="s">
        <v>21</v>
      </c>
      <c r="B2" s="10" t="s">
        <v>100</v>
      </c>
      <c r="C2" s="10" t="s">
        <v>101</v>
      </c>
      <c r="D2" s="32">
        <f>sumif(Statements!$D$2:$D$61,A2,Statements!$Q$2:$Q$61)</f>
        <v>-5.954005358</v>
      </c>
      <c r="E2" s="33">
        <f>countif(Statements!$D$2:$D$61,A2)</f>
        <v>10</v>
      </c>
      <c r="F2" s="32">
        <f t="shared" ref="F2:F12" si="1">D2/E2</f>
        <v>-0.5954005358</v>
      </c>
    </row>
    <row r="3">
      <c r="A3" s="10" t="s">
        <v>33</v>
      </c>
      <c r="B3" s="10" t="s">
        <v>102</v>
      </c>
      <c r="C3" s="10" t="s">
        <v>10</v>
      </c>
      <c r="D3" s="32">
        <f>sumif(Statements!$D$2:$D$61,A3,Statements!$Q$2:$Q$61)</f>
        <v>3.131348456</v>
      </c>
      <c r="E3" s="33">
        <f>countif(Statements!$D$2:$D$61,A3)</f>
        <v>2</v>
      </c>
      <c r="F3" s="32">
        <f t="shared" si="1"/>
        <v>1.565674228</v>
      </c>
    </row>
    <row r="4">
      <c r="A4" s="34" t="s">
        <v>36</v>
      </c>
      <c r="B4" s="10" t="s">
        <v>15</v>
      </c>
      <c r="C4" s="10" t="s">
        <v>14</v>
      </c>
      <c r="D4" s="32">
        <f>sumif(Statements!$D$2:$D$61,A4,Statements!$Q$2:$Q$61)</f>
        <v>2.835415569</v>
      </c>
      <c r="E4" s="33">
        <f>countif(Statements!$D$2:$D$61,A4)</f>
        <v>1</v>
      </c>
      <c r="F4" s="35">
        <f t="shared" si="1"/>
        <v>2.835415569</v>
      </c>
    </row>
    <row r="5">
      <c r="A5" s="34" t="s">
        <v>38</v>
      </c>
      <c r="B5" s="10" t="s">
        <v>13</v>
      </c>
      <c r="C5" s="10" t="s">
        <v>103</v>
      </c>
      <c r="D5" s="32">
        <f>sumif(Statements!$D$2:$D$61,A5,Statements!$Q$2:$Q$61)</f>
        <v>2.962111194</v>
      </c>
      <c r="E5" s="33">
        <f>countif(Statements!$D$2:$D$61,A5)</f>
        <v>5</v>
      </c>
      <c r="F5" s="32">
        <f t="shared" si="1"/>
        <v>0.5924222389</v>
      </c>
    </row>
    <row r="6">
      <c r="A6" s="34" t="s">
        <v>44</v>
      </c>
      <c r="B6" s="10" t="s">
        <v>15</v>
      </c>
      <c r="C6" s="10" t="s">
        <v>104</v>
      </c>
      <c r="D6" s="32">
        <f>sumif(Statements!$D$2:$D$61,A6,Statements!$Q$2:$Q$61)</f>
        <v>-7.568832967</v>
      </c>
      <c r="E6" s="33">
        <f>countif(Statements!$D$2:$D$61,A6)</f>
        <v>3</v>
      </c>
      <c r="F6" s="35">
        <f t="shared" si="1"/>
        <v>-2.522944322</v>
      </c>
    </row>
    <row r="7">
      <c r="A7" s="34" t="s">
        <v>48</v>
      </c>
      <c r="B7" s="10" t="s">
        <v>105</v>
      </c>
      <c r="C7" s="10" t="s">
        <v>106</v>
      </c>
      <c r="D7" s="32">
        <f>sumif(Statements!$D$2:$D$61,A7,Statements!$Q$2:$Q$61)</f>
        <v>17.66035577</v>
      </c>
      <c r="E7" s="33">
        <f>countif(Statements!$D$2:$D$61,A7)</f>
        <v>12</v>
      </c>
      <c r="F7" s="32">
        <f t="shared" si="1"/>
        <v>1.471696314</v>
      </c>
    </row>
    <row r="8">
      <c r="A8" s="34" t="s">
        <v>61</v>
      </c>
      <c r="B8" s="10" t="s">
        <v>107</v>
      </c>
      <c r="C8" s="10" t="s">
        <v>16</v>
      </c>
      <c r="D8" s="32">
        <f>sumif(Statements!$D$2:$D$61,A8,Statements!$Q$2:$Q$61)</f>
        <v>3.560555728</v>
      </c>
      <c r="E8" s="33">
        <f>countif(Statements!$D$2:$D$61,A8)</f>
        <v>1</v>
      </c>
      <c r="F8" s="35">
        <f t="shared" si="1"/>
        <v>3.560555728</v>
      </c>
    </row>
    <row r="9">
      <c r="A9" s="34" t="s">
        <v>63</v>
      </c>
      <c r="B9" s="10" t="s">
        <v>108</v>
      </c>
      <c r="C9" s="10" t="s">
        <v>8</v>
      </c>
      <c r="D9" s="32">
        <f>sumif(Statements!$D$2:$D$61,A9,Statements!$Q$2:$Q$61)</f>
        <v>14.52584164</v>
      </c>
      <c r="E9" s="33">
        <f>countif(Statements!$D$2:$D$61,A9)</f>
        <v>4</v>
      </c>
      <c r="F9" s="35">
        <f t="shared" si="1"/>
        <v>3.63146041</v>
      </c>
    </row>
    <row r="10">
      <c r="A10" s="34" t="s">
        <v>67</v>
      </c>
      <c r="B10" s="10" t="s">
        <v>109</v>
      </c>
      <c r="C10" s="10" t="s">
        <v>10</v>
      </c>
      <c r="D10" s="32">
        <f>sumif(Statements!$D$2:$D$61,A10,Statements!$Q$2:$Q$61)</f>
        <v>3.138389296</v>
      </c>
      <c r="E10" s="33">
        <f>countif(Statements!$D$2:$D$61,A10)</f>
        <v>5</v>
      </c>
      <c r="F10" s="32">
        <f t="shared" si="1"/>
        <v>0.6276778592</v>
      </c>
    </row>
    <row r="11">
      <c r="A11" s="34" t="s">
        <v>73</v>
      </c>
      <c r="B11" s="10" t="s">
        <v>110</v>
      </c>
      <c r="C11" s="10" t="s">
        <v>100</v>
      </c>
      <c r="D11" s="32">
        <f>sumif(Statements!$D$2:$D$61,A11,Statements!$Q$2:$Q$61)</f>
        <v>-2.139611893</v>
      </c>
      <c r="E11" s="33">
        <f>countif(Statements!$D$2:$D$61,A11)</f>
        <v>11</v>
      </c>
      <c r="F11" s="32">
        <f t="shared" si="1"/>
        <v>-0.1945101721</v>
      </c>
    </row>
    <row r="12">
      <c r="A12" s="34" t="s">
        <v>85</v>
      </c>
      <c r="B12" s="10" t="s">
        <v>111</v>
      </c>
      <c r="C12" s="10" t="s">
        <v>112</v>
      </c>
      <c r="D12" s="32">
        <f>sumif(Statements!$D$2:$D$61,A12,Statements!$Q$2:$Q$61)</f>
        <v>-13.33302699</v>
      </c>
      <c r="E12" s="33">
        <f>countif(Statements!$D$2:$D$61,A12)</f>
        <v>6</v>
      </c>
      <c r="F12" s="35">
        <f t="shared" si="1"/>
        <v>-2.222171164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0.8</v>
      </c>
      <c r="D2" s="40" t="str">
        <f>vlookup($A2,Statements!$A$2:$P$61,6,TRUE)</f>
        <v/>
      </c>
      <c r="E2" s="10" t="str">
        <f>vlookup($A2,Statements!$A$2:$P$61,4,TRUE)</f>
        <v>Entertainment</v>
      </c>
    </row>
    <row r="3">
      <c r="A3" s="34">
        <f>Statements!A3</f>
        <v>2</v>
      </c>
      <c r="B3" s="41" t="str">
        <f>Statements!B3</f>
        <v>NewJeans surpass 13M subscribers on instagram (currently 11.3M)</v>
      </c>
      <c r="C3" s="42">
        <v>0.9</v>
      </c>
      <c r="D3" s="43">
        <f>vlookup($A3,Statements!$A$2:$P$61,6,TRUE)</f>
        <v>0.8479969066</v>
      </c>
      <c r="E3" s="10" t="str">
        <f>vlookup($A3,Statements!$A$2:$P$61,4,TRUE)</f>
        <v>Entertainment</v>
      </c>
    </row>
    <row r="4">
      <c r="A4" s="34">
        <f>Statements!A4</f>
        <v>3</v>
      </c>
      <c r="B4" s="22" t="str">
        <f>Statements!B4</f>
        <v>Timothee and Kylie break up</v>
      </c>
      <c r="C4" s="39">
        <v>0.65</v>
      </c>
      <c r="D4" s="40">
        <f>vlookup($A4,Statements!$A$2:$P$61,6,TRUE)</f>
        <v>-0.5145731728</v>
      </c>
      <c r="E4" s="10" t="str">
        <f>vlookup($A4,Statements!$A$2:$P$61,4,TRUE)</f>
        <v>Entertainment</v>
      </c>
    </row>
    <row r="5">
      <c r="A5" s="34">
        <f>Statements!A5</f>
        <v>4</v>
      </c>
      <c r="B5" s="22" t="str">
        <f>Statements!B5</f>
        <v>A guest on Hot Ones will not complete the full set of hot sauces/wings</v>
      </c>
      <c r="C5" s="39">
        <v>0.2</v>
      </c>
      <c r="D5" s="40">
        <f>vlookup($A5,Statements!$A$2:$P$61,6,TRUE)</f>
        <v>0.6780719051</v>
      </c>
      <c r="E5" s="10" t="str">
        <f>vlookup($A5,Statements!$A$2:$P$61,4,TRUE)</f>
        <v>Entertainment</v>
      </c>
    </row>
    <row r="6">
      <c r="A6" s="34">
        <f>Statements!A6</f>
        <v>5</v>
      </c>
      <c r="B6" s="22" t="str">
        <f>Statements!B6</f>
        <v>An alone participant in a 2024 season (Australia/Denmark/UK) will fall ill from eating poisonous fruit they misidentify</v>
      </c>
      <c r="C6" s="39">
        <v>0.75</v>
      </c>
      <c r="D6" s="40">
        <f>vlookup($A6,Statements!$A$2:$P$61,6,TRUE)</f>
        <v>0.5849625007</v>
      </c>
      <c r="E6" s="10" t="str">
        <f>vlookup($A6,Statements!$A$2:$P$61,4,TRUE)</f>
        <v>Entertainment</v>
      </c>
    </row>
    <row r="7">
      <c r="A7" s="34">
        <f>Statements!A7</f>
        <v>6</v>
      </c>
      <c r="B7" s="22" t="str">
        <f>Statements!B7</f>
        <v>An Australian or New Zealand restaurant will feature on the 2024 "World's 50 Best Restaurants" list</v>
      </c>
      <c r="C7" s="39">
        <v>0.3</v>
      </c>
      <c r="D7" s="40">
        <f>vlookup($A7,Statements!$A$2:$P$61,6,TRUE)</f>
        <v>0.4854268272</v>
      </c>
      <c r="E7" s="10" t="str">
        <f>vlookup($A7,Statements!$A$2:$P$61,4,TRUE)</f>
        <v>Entertainment</v>
      </c>
    </row>
    <row r="8">
      <c r="A8" s="34">
        <f>Statements!A8</f>
        <v>7</v>
      </c>
      <c r="B8" s="22" t="str">
        <f>Statements!B8</f>
        <v>Dex (Kim Jin Young) will feature as a guest or star in a food-based show available on Netflix AU/NZ</v>
      </c>
      <c r="C8" s="39">
        <v>0.35</v>
      </c>
      <c r="D8" s="40">
        <f>vlookup($A8,Statements!$A$2:$P$61,6,TRUE)</f>
        <v>0.3785116233</v>
      </c>
      <c r="E8" s="10" t="str">
        <f>vlookup($A8,Statements!$A$2:$P$61,4,TRUE)</f>
        <v>Entertainment</v>
      </c>
    </row>
    <row r="9">
      <c r="A9" s="34">
        <f>Statements!A9</f>
        <v>8</v>
      </c>
      <c r="B9" s="22" t="str">
        <f>Statements!B9</f>
        <v>Taylor will break up with Travis</v>
      </c>
      <c r="C9" s="39">
        <v>0.55</v>
      </c>
      <c r="D9" s="40">
        <f>vlookup($A9,Statements!$A$2:$P$61,6,TRUE)</f>
        <v>-0.1520030934</v>
      </c>
      <c r="E9" s="10" t="str">
        <f>vlookup($A9,Statements!$A$2:$P$61,4,TRUE)</f>
        <v>Entertainment</v>
      </c>
    </row>
    <row r="10">
      <c r="A10" s="34">
        <f>Statements!A10</f>
        <v>9</v>
      </c>
      <c r="B10" s="22" t="str">
        <f>Statements!B10</f>
        <v>Taylor will release the re-record of her debut album in 2024.</v>
      </c>
      <c r="C10" s="39">
        <v>0.4</v>
      </c>
      <c r="D10" s="40">
        <f>vlookup($A10,Statements!$A$2:$P$61,6,TRUE)</f>
        <v>0.2630344058</v>
      </c>
      <c r="E10" s="10" t="str">
        <f>vlookup($A10,Statements!$A$2:$P$61,4,TRUE)</f>
        <v>Entertainment</v>
      </c>
    </row>
    <row r="11">
      <c r="A11" s="34">
        <f>Statements!A11</f>
        <v>10</v>
      </c>
      <c r="B11" s="22" t="str">
        <f>Statements!B11</f>
        <v>Barbie will win best picture at the academy awards.</v>
      </c>
      <c r="C11" s="39">
        <v>0.3</v>
      </c>
      <c r="D11" s="40" t="str">
        <f>vlookup($A11,Statements!$A$2:$P$61,6,TRUE)</f>
        <v/>
      </c>
      <c r="E11" s="10" t="str">
        <f>vlookup($A11,Statements!$A$2:$P$61,4,TRUE)</f>
        <v>Entertainment</v>
      </c>
    </row>
    <row r="12">
      <c r="A12" s="34">
        <f>Statements!A12</f>
        <v>11</v>
      </c>
      <c r="B12" s="22" t="str">
        <f>Statements!B12</f>
        <v>Kate will win at least two prizes for her Phillip and Bennelong book.</v>
      </c>
      <c r="C12" s="39">
        <v>0.75</v>
      </c>
      <c r="D12" s="40">
        <f>vlookup($A12,Statements!$A$2:$P$61,6,TRUE)</f>
        <v>0.5849625007</v>
      </c>
      <c r="E12" s="10" t="str">
        <f>vlookup($A12,Statements!$A$2:$P$61,4,TRUE)</f>
        <v>Family</v>
      </c>
    </row>
    <row r="13">
      <c r="A13" s="34">
        <f>Statements!A13</f>
        <v>12</v>
      </c>
      <c r="B13" s="22" t="str">
        <f>Statements!B13</f>
        <v>Baby Starmeadow will be under 50cm long at birth (Oz average is 50.8cm).</v>
      </c>
      <c r="C13" s="44" t="s">
        <v>115</v>
      </c>
      <c r="D13" s="40" t="str">
        <f>vlookup($A13,Statements!$A$2:$P$61,6,TRUE)</f>
        <v/>
      </c>
      <c r="E13" s="10" t="str">
        <f>vlookup($A13,Statements!$A$2:$P$61,4,TRUE)</f>
        <v>Family</v>
      </c>
    </row>
    <row r="14">
      <c r="A14" s="34">
        <f>Statements!A14</f>
        <v>13</v>
      </c>
      <c r="B14" s="22" t="str">
        <f>Statements!B14</f>
        <v>The Reserve Bank will announce at least three interest rate reductions in 2024</v>
      </c>
      <c r="C14" s="39">
        <v>0.3</v>
      </c>
      <c r="D14" s="40">
        <f>vlookup($A14,Statements!$A$2:$P$61,6,TRUE)</f>
        <v>0.4854268272</v>
      </c>
      <c r="E14" s="10" t="str">
        <f>vlookup($A14,Statements!$A$2:$P$61,4,TRUE)</f>
        <v>Finance</v>
      </c>
    </row>
    <row r="15">
      <c r="A15" s="34">
        <f>Statements!A15</f>
        <v>14</v>
      </c>
      <c r="B15" s="22" t="str">
        <f>Statements!B15</f>
        <v>Bruce Lehrmann will be awarded damages</v>
      </c>
      <c r="C15" s="39">
        <v>0.2</v>
      </c>
      <c r="D15" s="40">
        <f>vlookup($A15,Statements!$A$2:$P$61,6,TRUE)</f>
        <v>0.6780719051</v>
      </c>
      <c r="E15" s="10" t="str">
        <f>vlookup($A15,Statements!$A$2:$P$61,4,TRUE)</f>
        <v>Law</v>
      </c>
    </row>
    <row r="16">
      <c r="A16" s="34">
        <f>Statements!A16</f>
        <v>15</v>
      </c>
      <c r="B16" s="22" t="str">
        <f>Statements!B16</f>
        <v>Chinese courts will refuse Evergrande liquidators’ requests to seize the developer’s assets in mainland China</v>
      </c>
      <c r="C16" s="39">
        <v>0.3</v>
      </c>
      <c r="D16" s="40">
        <f>vlookup($A16,Statements!$A$2:$P$61,6,TRUE)</f>
        <v>0.4854268272</v>
      </c>
      <c r="E16" s="10" t="str">
        <f>vlookup($A16,Statements!$A$2:$P$61,4,TRUE)</f>
        <v>Law</v>
      </c>
    </row>
    <row r="17">
      <c r="A17" s="34">
        <f>Statements!A17</f>
        <v>16</v>
      </c>
      <c r="B17" s="22" t="str">
        <f>Statements!B17</f>
        <v>David McBride will be sentenced to a lifetime jail sentence</v>
      </c>
      <c r="C17" s="39">
        <v>0.4</v>
      </c>
      <c r="D17" s="40">
        <f>vlookup($A17,Statements!$A$2:$P$61,6,TRUE)</f>
        <v>0.2630344058</v>
      </c>
      <c r="E17" s="10" t="str">
        <f>vlookup($A17,Statements!$A$2:$P$61,4,TRUE)</f>
        <v>Law</v>
      </c>
    </row>
    <row r="18">
      <c r="A18" s="34">
        <f>Statements!A18</f>
        <v>17</v>
      </c>
      <c r="B18" s="22" t="str">
        <f>Statements!B18</f>
        <v>The federal court will find that Bruce Lehrmann was not defamed</v>
      </c>
      <c r="C18" s="39">
        <v>0.65</v>
      </c>
      <c r="D18" s="40">
        <f>vlookup($A18,Statements!$A$2:$P$61,6,TRUE)</f>
        <v>0.3785116233</v>
      </c>
      <c r="E18" s="10" t="str">
        <f>vlookup($A18,Statements!$A$2:$P$61,4,TRUE)</f>
        <v>Law</v>
      </c>
    </row>
    <row r="19">
      <c r="A19" s="34">
        <f>Statements!A19</f>
        <v>18</v>
      </c>
      <c r="B19" s="22" t="str">
        <f>Statements!B19</f>
        <v>OpenAI successfully defends the New York Times' claim on the basis of fair use</v>
      </c>
      <c r="C19" s="39">
        <v>0.55</v>
      </c>
      <c r="D19" s="40">
        <f>vlookup($A19,Statements!$A$2:$P$61,6,TRUE)</f>
        <v>-0.1520030934</v>
      </c>
      <c r="E19" s="10" t="str">
        <f>vlookup($A19,Statements!$A$2:$P$61,4,TRUE)</f>
        <v>Law</v>
      </c>
    </row>
    <row r="20">
      <c r="A20" s="34">
        <f>Statements!A20</f>
        <v>19</v>
      </c>
      <c r="B20" s="22" t="str">
        <f>Statements!B20</f>
        <v>2024 will be the hottest European summer on record.</v>
      </c>
      <c r="C20" s="39">
        <v>0.6</v>
      </c>
      <c r="D20" s="40">
        <f>vlookup($A20,Statements!$A$2:$P$61,6,TRUE)</f>
        <v>0.2630344058</v>
      </c>
      <c r="E20" s="10" t="str">
        <f>vlookup($A20,Statements!$A$2:$P$61,4,TRUE)</f>
        <v>Nature</v>
      </c>
    </row>
    <row r="21">
      <c r="A21" s="34">
        <f>Statements!A21</f>
        <v>20</v>
      </c>
      <c r="B21" s="22" t="str">
        <f>Statements!B21</f>
        <v>The  NOAA will announce an alert level 5 bleaching event on the Great Barrier Reef</v>
      </c>
      <c r="C21" s="39">
        <v>0.65</v>
      </c>
      <c r="D21" s="40">
        <f>vlookup($A21,Statements!$A$2:$P$61,6,TRUE)</f>
        <v>-0.5145731728</v>
      </c>
      <c r="E21" s="10" t="str">
        <f>vlookup($A21,Statements!$A$2:$P$61,4,TRUE)</f>
        <v>Nature</v>
      </c>
    </row>
    <row r="22">
      <c r="A22" s="34">
        <f>Statements!A22</f>
        <v>21</v>
      </c>
      <c r="B22" s="22" t="str">
        <f>Statements!B22</f>
        <v>At least three cyclones will drench North Queensland before the end of the year.</v>
      </c>
      <c r="C22" s="39">
        <v>0.35</v>
      </c>
      <c r="D22" s="40">
        <f>vlookup($A22,Statements!$A$2:$P$61,6,TRUE)</f>
        <v>0.3785116233</v>
      </c>
      <c r="E22" s="10" t="str">
        <f>vlookup($A22,Statements!$A$2:$P$61,4,TRUE)</f>
        <v>Nature</v>
      </c>
    </row>
    <row r="23">
      <c r="A23" s="34">
        <f>Statements!A23</f>
        <v>22</v>
      </c>
      <c r="B23" s="45" t="str">
        <f>Statements!B23</f>
        <v>A head of state or relevant minister from an island nation will declare their geographic country no longer inhabitable in the long term, due to climate-related issues. This will include a commitment to relevant action of some kind</v>
      </c>
      <c r="C23" s="46">
        <v>0.1</v>
      </c>
      <c r="D23" s="47">
        <f>vlookup($A23,Statements!$A$2:$P$61,6,TRUE)</f>
        <v>0.8479969066</v>
      </c>
      <c r="E23" s="10" t="str">
        <f>vlookup($A23,Statements!$A$2:$P$61,4,TRUE)</f>
        <v>Politics</v>
      </c>
    </row>
    <row r="24">
      <c r="A24" s="34">
        <f>Statements!A24</f>
        <v>23</v>
      </c>
      <c r="B24" s="22" t="str">
        <f>Statements!B24</f>
        <v>Trump will promise to enact an order or legislation with the express intention of negatively impacting Taylor Swift</v>
      </c>
      <c r="C24" s="39">
        <v>0.55</v>
      </c>
      <c r="D24" s="40">
        <f>vlookup($A24,Statements!$A$2:$P$61,6,TRUE)</f>
        <v>-0.1520030934</v>
      </c>
      <c r="E24" s="10" t="str">
        <f>vlookup($A24,Statements!$A$2:$P$61,4,TRUE)</f>
        <v>Politics</v>
      </c>
    </row>
    <row r="25">
      <c r="A25" s="34">
        <f>Statements!A25</f>
        <v>24</v>
      </c>
      <c r="B25" s="22" t="str">
        <f>Statements!B25</f>
        <v>Netanyahu will lose the prime ministership of Israel during 2024</v>
      </c>
      <c r="C25" s="39">
        <v>0.3</v>
      </c>
      <c r="D25" s="40">
        <f>vlookup($A25,Statements!$A$2:$P$61,6,TRUE)</f>
        <v>0.4854268272</v>
      </c>
      <c r="E25" s="10" t="str">
        <f>vlookup($A25,Statements!$A$2:$P$61,4,TRUE)</f>
        <v>Politics</v>
      </c>
    </row>
    <row r="26">
      <c r="A26" s="34">
        <f>Statements!A26</f>
        <v>25</v>
      </c>
      <c r="B26" s="22" t="str">
        <f>Statements!B26</f>
        <v>There will be an Australian Federal election in 2024</v>
      </c>
      <c r="C26" s="39">
        <v>0.7</v>
      </c>
      <c r="D26" s="40">
        <f>vlookup($A26,Statements!$A$2:$P$61,6,TRUE)</f>
        <v>-0.7369655942</v>
      </c>
      <c r="E26" s="10" t="str">
        <f>vlookup($A26,Statements!$A$2:$P$61,4,TRUE)</f>
        <v>Politics</v>
      </c>
    </row>
    <row r="27">
      <c r="A27" s="34">
        <f>Statements!A27</f>
        <v>26</v>
      </c>
      <c r="B27" s="22" t="str">
        <f>Statements!B27</f>
        <v>Donald Trump will get less of the Popular vote than the Democratic candidate.</v>
      </c>
      <c r="C27" s="39">
        <v>0.65</v>
      </c>
      <c r="D27" s="40">
        <f>vlookup($A27,Statements!$A$2:$P$61,6,TRUE)</f>
        <v>-0.5145731728</v>
      </c>
      <c r="E27" s="10" t="str">
        <f>vlookup($A27,Statements!$A$2:$P$61,4,TRUE)</f>
        <v>Politics</v>
      </c>
    </row>
    <row r="28">
      <c r="A28" s="34">
        <f>Statements!A28</f>
        <v>27</v>
      </c>
      <c r="B28" s="22" t="str">
        <f>Statements!B28</f>
        <v>An Australian Aboriginal organisation will sign at least one state-based treaty this year.</v>
      </c>
      <c r="C28" s="39">
        <v>0.55</v>
      </c>
      <c r="D28" s="40">
        <f>vlookup($A28,Statements!$A$2:$P$61,6,TRUE)</f>
        <v>-0.1520030934</v>
      </c>
      <c r="E28" s="10" t="str">
        <f>vlookup($A28,Statements!$A$2:$P$61,4,TRUE)</f>
        <v>Politics</v>
      </c>
    </row>
    <row r="29">
      <c r="A29" s="34">
        <f>Statements!A29</f>
        <v>28</v>
      </c>
      <c r="B29" s="22" t="str">
        <f>Statements!B29</f>
        <v>Donald Trump will not go to prison this year.</v>
      </c>
      <c r="C29" s="39">
        <v>0.8</v>
      </c>
      <c r="D29" s="40">
        <f>vlookup($A29,Statements!$A$2:$P$61,6,TRUE)</f>
        <v>0.6780719051</v>
      </c>
      <c r="E29" s="10" t="str">
        <f>vlookup($A29,Statements!$A$2:$P$61,4,TRUE)</f>
        <v>Politics</v>
      </c>
    </row>
    <row r="30">
      <c r="A30" s="34">
        <f>Statements!A30</f>
        <v>29</v>
      </c>
      <c r="B30" s="22" t="str">
        <f>Statements!B30</f>
        <v>Modi will be re-elected in the upcoming Indian election</v>
      </c>
      <c r="C30" s="39">
        <v>0.6</v>
      </c>
      <c r="D30" s="40">
        <f>vlookup($A30,Statements!$A$2:$P$61,6,TRUE)</f>
        <v>0.2630344058</v>
      </c>
      <c r="E30" s="10" t="str">
        <f>vlookup($A30,Statements!$A$2:$P$61,4,TRUE)</f>
        <v>Politics</v>
      </c>
    </row>
    <row r="31">
      <c r="A31" s="34">
        <f>Statements!A31</f>
        <v>30</v>
      </c>
      <c r="B31" s="22" t="str">
        <f>Statements!B31</f>
        <v>Josh Frydenberg returns to politics, specifically, announces he will contest Kooyong</v>
      </c>
      <c r="C31" s="39">
        <v>0.4</v>
      </c>
      <c r="D31" s="40">
        <f>vlookup($A31,Statements!$A$2:$P$61,6,TRUE)</f>
        <v>0.2630344058</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0.7</v>
      </c>
      <c r="D32" s="40">
        <f>vlookup($A32,Statements!$A$2:$P$61,6,TRUE)</f>
        <v>-0.7369655942</v>
      </c>
      <c r="E32" s="10" t="str">
        <f>vlookup($A32,Statements!$A$2:$P$61,4,TRUE)</f>
        <v>Politics</v>
      </c>
    </row>
    <row r="33">
      <c r="A33" s="34">
        <f>Statements!A33</f>
        <v>32</v>
      </c>
      <c r="B33" s="22" t="str">
        <f>Statements!B33</f>
        <v>Taylor swift will be credited/mentioned in U.S legislation created this year.</v>
      </c>
      <c r="C33" s="39">
        <v>0.3</v>
      </c>
      <c r="D33" s="40">
        <f>vlookup($A33,Statements!$A$2:$P$61,6,TRUE)</f>
        <v>0.4854268272</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0.8</v>
      </c>
      <c r="D34" s="40">
        <f>vlookup($A34,Statements!$A$2:$P$61,6,TRUE)</f>
        <v>0.6780719051</v>
      </c>
      <c r="E34" s="10" t="str">
        <f>vlookup($A34,Statements!$A$2:$P$61,4,TRUE)</f>
        <v>Politics</v>
      </c>
    </row>
    <row r="35">
      <c r="A35" s="34">
        <f>Statements!A35</f>
        <v>34</v>
      </c>
      <c r="B35" s="22" t="str">
        <f>Statements!B35</f>
        <v>Pope Francis will retire.</v>
      </c>
      <c r="C35" s="39">
        <v>0.3</v>
      </c>
      <c r="D35" s="40">
        <f>vlookup($A35,Statements!$A$2:$P$61,6,TRUE)</f>
        <v>0.4854268272</v>
      </c>
      <c r="E35" s="10" t="str">
        <f>vlookup($A35,Statements!$A$2:$P$61,4,TRUE)</f>
        <v>Religion</v>
      </c>
    </row>
    <row r="36">
      <c r="A36" s="34">
        <f>Statements!A36</f>
        <v>35</v>
      </c>
      <c r="B36" s="22" t="str">
        <f>Statements!B36</f>
        <v>King Charles will announce his abdication of the throne</v>
      </c>
      <c r="C36" s="39">
        <v>0.2</v>
      </c>
      <c r="D36" s="40">
        <f>vlookup($A36,Statements!$A$2:$P$61,6,TRUE)</f>
        <v>0.6780719051</v>
      </c>
      <c r="E36" s="10" t="str">
        <f>vlookup($A36,Statements!$A$2:$P$61,4,TRUE)</f>
        <v>Royals</v>
      </c>
    </row>
    <row r="37">
      <c r="A37" s="34">
        <f>Statements!A37</f>
        <v>36</v>
      </c>
      <c r="B37" s="22" t="str">
        <f>Statements!B37</f>
        <v>Prince Andrew remains resident of the Royal Lodge until 15 Dec 2024</v>
      </c>
      <c r="C37" s="39">
        <v>0.65</v>
      </c>
      <c r="D37" s="40">
        <f>vlookup($A37,Statements!$A$2:$P$61,6,TRUE)</f>
        <v>0.3785116233</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0.45</v>
      </c>
      <c r="D38" s="40">
        <f>vlookup($A38,Statements!$A$2:$P$61,6,TRUE)</f>
        <v>0.1375035237</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0.3</v>
      </c>
      <c r="D39" s="40">
        <f>vlookup($A39,Statements!$A$2:$P$61,6,TRUE)</f>
        <v>0.4854268272</v>
      </c>
      <c r="E39" s="10" t="str">
        <f>vlookup($A39,Statements!$A$2:$P$61,4,TRUE)</f>
        <v>Society</v>
      </c>
    </row>
    <row r="40">
      <c r="A40" s="34">
        <f>Statements!A40</f>
        <v>39</v>
      </c>
      <c r="B40" s="22" t="str">
        <f>Statements!B40</f>
        <v>Canberra restaurants will have more than 30 hats by the end of 2024 as per the Australian Good Food Guide</v>
      </c>
      <c r="C40" s="39">
        <v>0.65</v>
      </c>
      <c r="D40" s="40">
        <f>vlookup($A40,Statements!$A$2:$P$61,6,TRUE)</f>
        <v>-0.5145731728</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0.4</v>
      </c>
      <c r="D41" s="40">
        <f>vlookup($A41,Statements!$A$2:$P$61,6,TRUE)</f>
        <v>0.2630344058</v>
      </c>
      <c r="E41" s="10" t="str">
        <f>vlookup($A41,Statements!$A$2:$P$61,4,TRUE)</f>
        <v>Society</v>
      </c>
    </row>
    <row r="42">
      <c r="A42" s="34">
        <f>Statements!A42</f>
        <v>41</v>
      </c>
      <c r="B42" s="22" t="str">
        <f>Statements!B42</f>
        <v>Elon Musk confirmed to have another child on the way</v>
      </c>
      <c r="C42" s="39">
        <v>0.4</v>
      </c>
      <c r="D42" s="40">
        <f>vlookup($A42,Statements!$A$2:$P$61,6,TRUE)</f>
        <v>-0.3219280949</v>
      </c>
      <c r="E42" s="10" t="str">
        <f>vlookup($A42,Statements!$A$2:$P$61,4,TRUE)</f>
        <v>Society</v>
      </c>
    </row>
    <row r="43">
      <c r="A43" s="34">
        <f>Statements!A43</f>
        <v>42</v>
      </c>
      <c r="B43" s="22" t="str">
        <f>Statements!B43</f>
        <v>A notional 0 will be given to a student in any of Rohans classes for being caught using ai in an assignment.</v>
      </c>
      <c r="C43" s="39">
        <v>0.45</v>
      </c>
      <c r="D43" s="40">
        <f>vlookup($A43,Statements!$A$2:$P$61,6,TRUE)</f>
        <v>-0.1520030934</v>
      </c>
      <c r="E43" s="10" t="str">
        <f>vlookup($A43,Statements!$A$2:$P$61,4,TRUE)</f>
        <v>Society</v>
      </c>
    </row>
    <row r="44">
      <c r="A44" s="34">
        <f>Statements!A44</f>
        <v>43</v>
      </c>
      <c r="B44" s="22" t="str">
        <f>Statements!B44</f>
        <v>Rafael Nadal will win the French tennis open in 2024</v>
      </c>
      <c r="C44" s="39">
        <v>0.3</v>
      </c>
      <c r="D44" s="40">
        <f>vlookup($A44,Statements!$A$2:$P$61,6,TRUE)</f>
        <v>0.4854268272</v>
      </c>
      <c r="E44" s="10" t="str">
        <f>vlookup($A44,Statements!$A$2:$P$61,4,TRUE)</f>
        <v>Sport</v>
      </c>
    </row>
    <row r="45">
      <c r="A45" s="34">
        <f>Statements!A45</f>
        <v>44</v>
      </c>
      <c r="B45" s="22" t="str">
        <f>Statements!B45</f>
        <v>The AFL premiership will be won by a team whose name starts with a letter from the second half of the alphabet</v>
      </c>
      <c r="C45" s="39">
        <v>0.55</v>
      </c>
      <c r="D45" s="40">
        <f>vlookup($A45,Statements!$A$2:$P$61,6,TRUE)</f>
        <v>-0.1520030934</v>
      </c>
      <c r="E45" s="10" t="str">
        <f>vlookup($A45,Statements!$A$2:$P$61,4,TRUE)</f>
        <v>Sport</v>
      </c>
    </row>
    <row r="46">
      <c r="A46" s="34">
        <f>Statements!A46</f>
        <v>45</v>
      </c>
      <c r="B46" s="48" t="str">
        <f>Statements!B46</f>
        <v>Australia will win more medals at the Paris Olympics than the last Olympics.</v>
      </c>
      <c r="C46" s="49">
        <v>0.1</v>
      </c>
      <c r="D46" s="50">
        <f>vlookup($A46,Statements!$A$2:$P$61,6,TRUE)</f>
        <v>-2.321928095</v>
      </c>
      <c r="E46" s="10" t="str">
        <f>vlookup($A46,Statements!$A$2:$P$61,4,TRUE)</f>
        <v>Sport</v>
      </c>
    </row>
    <row r="47">
      <c r="A47" s="34">
        <f>Statements!A47</f>
        <v>46</v>
      </c>
      <c r="B47" s="48" t="str">
        <f>Statements!B47</f>
        <v>Brisbane will win the AFL Grand Final.</v>
      </c>
      <c r="C47" s="49">
        <v>0.1</v>
      </c>
      <c r="D47" s="50">
        <f>vlookup($A47,Statements!$A$2:$P$61,6,TRUE)</f>
        <v>-2.321928095</v>
      </c>
      <c r="E47" s="10" t="str">
        <f>vlookup($A47,Statements!$A$2:$P$61,4,TRUE)</f>
        <v>Sport</v>
      </c>
    </row>
    <row r="48">
      <c r="A48" s="34">
        <f>Statements!A48</f>
        <v>47</v>
      </c>
      <c r="B48" s="45" t="str">
        <f>Statements!B48</f>
        <v>Collingwood will win the Grand Final</v>
      </c>
      <c r="C48" s="46">
        <v>0.1</v>
      </c>
      <c r="D48" s="47">
        <f>vlookup($A48,Statements!$A$2:$P$61,6,TRUE)</f>
        <v>0.8479969066</v>
      </c>
      <c r="E48" s="10" t="str">
        <f>vlookup($A48,Statements!$A$2:$P$61,4,TRUE)</f>
        <v>Sport</v>
      </c>
    </row>
    <row r="49">
      <c r="A49" s="34">
        <f>Statements!A49</f>
        <v>48</v>
      </c>
      <c r="B49" s="22" t="str">
        <f>Statements!B49</f>
        <v>Australia will win at least 9 gold in swimming at the Paris Olympics (they won 9 at Tokyo2020)</v>
      </c>
      <c r="C49" s="39">
        <v>0.4</v>
      </c>
      <c r="D49" s="40">
        <f>vlookup($A49,Statements!$A$2:$P$61,6,TRUE)</f>
        <v>0.2630344058</v>
      </c>
      <c r="E49" s="10" t="str">
        <f>vlookup($A49,Statements!$A$2:$P$61,4,TRUE)</f>
        <v>Sport</v>
      </c>
    </row>
    <row r="50">
      <c r="A50" s="34">
        <f>Statements!A50</f>
        <v>49</v>
      </c>
      <c r="B50" s="22" t="str">
        <f>Statements!B50</f>
        <v>China will win the most gold medals of any nation at the Paris Olympics</v>
      </c>
      <c r="C50" s="39">
        <v>0.4</v>
      </c>
      <c r="D50" s="40">
        <f>vlookup($A50,Statements!$A$2:$P$61,6,TRUE)</f>
        <v>0.2630344058</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0.7</v>
      </c>
      <c r="D51" s="40">
        <f>vlookup($A51,Statements!$A$2:$P$61,6,TRUE)</f>
        <v>-0.7369655942</v>
      </c>
      <c r="E51" s="10" t="str">
        <f>vlookup($A51,Statements!$A$2:$P$61,4,TRUE)</f>
        <v>Sport</v>
      </c>
    </row>
    <row r="52">
      <c r="A52" s="34">
        <f>Statements!A52</f>
        <v>51</v>
      </c>
      <c r="B52" s="22" t="str">
        <f>Statements!B52</f>
        <v>Central Coast Mariners will win the A league premiership this year.</v>
      </c>
      <c r="C52" s="39">
        <v>0.5</v>
      </c>
      <c r="D52" s="40">
        <f>vlookup($A52,Statements!$A$2:$P$61,6,TRUE)</f>
        <v>0</v>
      </c>
      <c r="E52" s="10" t="str">
        <f>vlookup($A52,Statements!$A$2:$P$61,4,TRUE)</f>
        <v>Sport</v>
      </c>
    </row>
    <row r="53">
      <c r="A53" s="34">
        <f>Statements!A53</f>
        <v>52</v>
      </c>
      <c r="B53" s="22" t="str">
        <f>Statements!B53</f>
        <v>The Tour de France will not be won by a French national in 2024.</v>
      </c>
      <c r="C53" s="39">
        <v>0.8</v>
      </c>
      <c r="D53" s="40">
        <f>vlookup($A53,Statements!$A$2:$P$61,6,TRUE)</f>
        <v>0.6780719051</v>
      </c>
      <c r="E53" s="10" t="str">
        <f>vlookup($A53,Statements!$A$2:$P$61,4,TRUE)</f>
        <v>Sport</v>
      </c>
    </row>
    <row r="54">
      <c r="A54" s="34">
        <f>Statements!A54</f>
        <v>53</v>
      </c>
      <c r="B54" s="22" t="str">
        <f>Statements!B54</f>
        <v>Sergio Perez’s average qualifying position will be below p6.</v>
      </c>
      <c r="C54" s="39">
        <v>0.5</v>
      </c>
      <c r="D54" s="40">
        <f>vlookup($A54,Statements!$A$2:$P$61,6,TRUE)</f>
        <v>0</v>
      </c>
      <c r="E54" s="10" t="str">
        <f>vlookup($A54,Statements!$A$2:$P$61,4,TRUE)</f>
        <v>Sport</v>
      </c>
    </row>
    <row r="55">
      <c r="A55" s="34">
        <f>Statements!A55</f>
        <v>54</v>
      </c>
      <c r="B55" s="22" t="str">
        <f>Statements!B55</f>
        <v>A service will exist to generate full episodes of bespoke TV (or films) based on prompts about the plot and casting</v>
      </c>
      <c r="C55" s="39">
        <v>0.55</v>
      </c>
      <c r="D55" s="40">
        <f>vlookup($A55,Statements!$A$2:$P$61,6,TRUE)</f>
        <v>0.1375035237</v>
      </c>
      <c r="E55" s="10" t="str">
        <f>vlookup($A55,Statements!$A$2:$P$61,4,TRUE)</f>
        <v>Technology</v>
      </c>
    </row>
    <row r="56">
      <c r="A56" s="34">
        <f>Statements!A56</f>
        <v>55</v>
      </c>
      <c r="B56" s="22" t="str">
        <f>Statements!B56</f>
        <v>Materially adverse complications arise to human subjects that have Neuralink installed</v>
      </c>
      <c r="C56" s="39">
        <v>0.6</v>
      </c>
      <c r="D56" s="40">
        <f>vlookup($A56,Statements!$A$2:$P$61,6,TRUE)</f>
        <v>-0.3219280949</v>
      </c>
      <c r="E56" s="10" t="str">
        <f>vlookup($A56,Statements!$A$2:$P$61,4,TRUE)</f>
        <v>Technology</v>
      </c>
    </row>
    <row r="57">
      <c r="A57" s="34">
        <f>Statements!A57</f>
        <v>56</v>
      </c>
      <c r="B57" s="22" t="str">
        <f>Statements!B57</f>
        <v>Some UAPs confirmed to be military aircraft by government officials or an official government statement</v>
      </c>
      <c r="C57" s="39">
        <v>0.65</v>
      </c>
      <c r="D57" s="40">
        <f>vlookup($A57,Statements!$A$2:$P$61,6,TRUE)</f>
        <v>-0.5145731728</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0.4</v>
      </c>
      <c r="D58" s="40">
        <f>vlookup($A58,Statements!$A$2:$P$61,6,TRUE)</f>
        <v>0.2630344058</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0.5</v>
      </c>
      <c r="D59" s="40">
        <f>vlookup($A59,Statements!$A$2:$P$61,6,TRUE)</f>
        <v>0</v>
      </c>
      <c r="E59" s="10" t="str">
        <f>vlookup($A59,Statements!$A$2:$P$61,4,TRUE)</f>
        <v>Technology</v>
      </c>
    </row>
    <row r="60">
      <c r="A60" s="34">
        <f>Statements!A60</f>
        <v>59</v>
      </c>
      <c r="B60" s="22" t="str">
        <f>Statements!B60</f>
        <v>SpaceX's Starship vehicle will complete at least 1 full orbit of the Earth</v>
      </c>
      <c r="C60" s="39">
        <v>0.2</v>
      </c>
      <c r="D60" s="40">
        <f>vlookup($A60,Statements!$A$2:$P$61,6,TRUE)</f>
        <v>0.6780719051</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51">
        <v>0.5</v>
      </c>
      <c r="D61" s="40" t="str">
        <f>vlookup($A61,Statements!$A$2:$P$61,6,TRUE)</f>
        <v/>
      </c>
      <c r="E61" s="10" t="str">
        <f>vlookup($A61,Statements!$A$2:$P$61,4,TRUE)</f>
        <v>Royals</v>
      </c>
    </row>
    <row r="62">
      <c r="A62" s="34" t="str">
        <f>Statements!A62</f>
        <v/>
      </c>
      <c r="B62" s="22" t="str">
        <f>Statements!B62</f>
        <v/>
      </c>
    </row>
    <row r="63">
      <c r="A63" s="34" t="str">
        <f>Statements!A63</f>
        <v/>
      </c>
      <c r="B63" s="22"/>
      <c r="C63" s="10" t="s">
        <v>116</v>
      </c>
      <c r="D63" s="52">
        <f>MAX($D$2:$D$61)</f>
        <v>0.8479969066</v>
      </c>
    </row>
    <row r="64">
      <c r="A64" s="34" t="str">
        <f>Statements!A64</f>
        <v/>
      </c>
      <c r="B64" s="22" t="str">
        <f>Statements!B64</f>
        <v/>
      </c>
      <c r="C64" s="10" t="s">
        <v>117</v>
      </c>
      <c r="D64" s="52">
        <f>MIN($D$2:$D$61)</f>
        <v>-2.321928095</v>
      </c>
      <c r="E64" s="53" t="s">
        <v>118</v>
      </c>
      <c r="F64" s="53" t="s">
        <v>119</v>
      </c>
    </row>
    <row r="65">
      <c r="A65" s="34" t="str">
        <f>Statements!A65</f>
        <v/>
      </c>
      <c r="B65" s="22" t="str">
        <f>Statements!B65</f>
        <v/>
      </c>
      <c r="C65" s="54" t="s">
        <v>21</v>
      </c>
      <c r="D65" s="55">
        <f t="shared" ref="D65:D75" si="1">sumif($E$2:$E$61,$C65,$D$2:$D$61)</f>
        <v>2.571427902</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0.5849625007</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0.4854268272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1.653041668</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0.1269728563</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1.408552635</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0.4854268272</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1.194087052</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-0.2400431282</v>
      </c>
      <c r="E73" s="32">
        <f>min(Andrew!D73,Bruce!D73,Eileen!D73,Gael!D73,Iain!D73,Jac!D73,James!D73,Kate!D73,Lachy!D73,Pete!D73,Rohan!D73)</f>
        <v>-0.7958592832</v>
      </c>
      <c r="F73" s="32">
        <f>max(Andrew!D73,Bruce!D73,Eileen!D73,Gael!D73,Iain!D73,Jac!D73,James!D73,Kate!D73,Lachy!D73,Pete!D73,Rohan!D73)</f>
        <v>1.519642543</v>
      </c>
    </row>
    <row r="74">
      <c r="B74" s="22"/>
      <c r="C74" s="57" t="s">
        <v>73</v>
      </c>
      <c r="D74" s="58">
        <f t="shared" si="1"/>
        <v>-2.995260427</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0.242108567</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conditionalFormatting sqref="D61">
    <cfRule type="cellIs" dxfId="0" priority="1" operator="greaterThanOrEqual">
      <formula>D63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0.6</v>
      </c>
      <c r="D2" s="40" t="str">
        <f>vlookup($A2,Statements!$A$2:$P$61,16,TRUE)</f>
        <v/>
      </c>
      <c r="E2" s="10" t="str">
        <f>vlookup($A2,Statements!$A$2:$P$61,4,TRUE)</f>
        <v>Entertainment</v>
      </c>
    </row>
    <row r="3">
      <c r="A3" s="34">
        <f>Statements!A3</f>
        <v>2</v>
      </c>
      <c r="B3" s="45" t="str">
        <f>Statements!B3</f>
        <v>NewJeans surpass 13M subscribers on instagram (currently 11.3M)</v>
      </c>
      <c r="C3" s="46">
        <v>0.99</v>
      </c>
      <c r="D3" s="47">
        <f>vlookup($A3,Statements!$A$2:$P$61,16,TRUE)</f>
        <v>0.9855004303</v>
      </c>
      <c r="E3" s="10" t="str">
        <f>vlookup($A3,Statements!$A$2:$P$61,4,TRUE)</f>
        <v>Entertainment</v>
      </c>
    </row>
    <row r="4">
      <c r="A4" s="34">
        <f>Statements!A4</f>
        <v>3</v>
      </c>
      <c r="B4" s="22" t="str">
        <f>Statements!B4</f>
        <v>Timothee and Kylie break up</v>
      </c>
      <c r="C4" s="39">
        <v>0.5</v>
      </c>
      <c r="D4" s="40">
        <f>vlookup($A4,Statements!$A$2:$P$61,16,TRUE)</f>
        <v>0</v>
      </c>
      <c r="E4" s="10" t="str">
        <f>vlookup($A4,Statements!$A$2:$P$61,4,TRUE)</f>
        <v>Entertainment</v>
      </c>
    </row>
    <row r="5">
      <c r="A5" s="34">
        <f>Statements!A5</f>
        <v>4</v>
      </c>
      <c r="B5" s="22" t="str">
        <f>Statements!B5</f>
        <v>A guest on Hot Ones will not complete the full set of hot sauces/wings</v>
      </c>
      <c r="C5" s="39">
        <v>0.4</v>
      </c>
      <c r="D5" s="40">
        <f>vlookup($A5,Statements!$A$2:$P$61,16,TRUE)</f>
        <v>0.2630344058</v>
      </c>
      <c r="E5" s="10" t="str">
        <f>vlookup($A5,Statements!$A$2:$P$61,4,TRUE)</f>
        <v>Entertainment</v>
      </c>
    </row>
    <row r="6">
      <c r="A6" s="34">
        <f>Statements!A6</f>
        <v>5</v>
      </c>
      <c r="B6" s="22" t="str">
        <f>Statements!B6</f>
        <v>An alone participant in a 2024 season (Australia/Denmark/UK) will fall ill from eating poisonous fruit they misidentify</v>
      </c>
      <c r="C6" s="39">
        <v>0.3</v>
      </c>
      <c r="D6" s="40">
        <f>vlookup($A6,Statements!$A$2:$P$61,16,TRUE)</f>
        <v>-0.7369655942</v>
      </c>
      <c r="E6" s="10" t="str">
        <f>vlookup($A6,Statements!$A$2:$P$61,4,TRUE)</f>
        <v>Entertainment</v>
      </c>
    </row>
    <row r="7">
      <c r="A7" s="34">
        <f>Statements!A7</f>
        <v>6</v>
      </c>
      <c r="B7" s="22" t="str">
        <f>Statements!B7</f>
        <v>An Australian or New Zealand restaurant will feature on the 2024 "World's 50 Best Restaurants" list</v>
      </c>
      <c r="C7" s="39">
        <v>0.4</v>
      </c>
      <c r="D7" s="40">
        <f>vlookup($A7,Statements!$A$2:$P$61,16,TRUE)</f>
        <v>0.2630344058</v>
      </c>
      <c r="E7" s="10" t="str">
        <f>vlookup($A7,Statements!$A$2:$P$61,4,TRUE)</f>
        <v>Entertainment</v>
      </c>
    </row>
    <row r="8">
      <c r="A8" s="34">
        <f>Statements!A8</f>
        <v>7</v>
      </c>
      <c r="B8" s="22" t="str">
        <f>Statements!B8</f>
        <v>Dex (Kim Jin Young) will feature as a guest or star in a food-based show available on Netflix AU/NZ</v>
      </c>
      <c r="C8" s="39">
        <v>0.4</v>
      </c>
      <c r="D8" s="40">
        <f>vlookup($A8,Statements!$A$2:$P$61,16,TRUE)</f>
        <v>0.2630344058</v>
      </c>
      <c r="E8" s="10" t="str">
        <f>vlookup($A8,Statements!$A$2:$P$61,4,TRUE)</f>
        <v>Entertainment</v>
      </c>
    </row>
    <row r="9">
      <c r="A9" s="10">
        <v>8.0</v>
      </c>
      <c r="B9" s="22" t="str">
        <f>Statements!B9</f>
        <v>Taylor will break up with Travis</v>
      </c>
      <c r="C9" s="39">
        <v>0.4</v>
      </c>
      <c r="D9" s="40">
        <f>vlookup($A9,Statements!$A$2:$P$61,16,TRUE)</f>
        <v>0.2630344058</v>
      </c>
      <c r="E9" s="10" t="str">
        <f>vlookup($A9,Statements!$A$2:$P$61,4,TRUE)</f>
        <v>Entertainment</v>
      </c>
    </row>
    <row r="10">
      <c r="A10" s="10">
        <v>9.0</v>
      </c>
      <c r="B10" s="22" t="str">
        <f>Statements!B10</f>
        <v>Taylor will release the re-record of her debut album in 2024.</v>
      </c>
      <c r="C10" s="39">
        <v>0.35</v>
      </c>
      <c r="D10" s="40">
        <f>vlookup($A10,Statements!$A$2:$P$61,16,TRUE)</f>
        <v>0.3785116233</v>
      </c>
      <c r="E10" s="10" t="str">
        <f>vlookup($A10,Statements!$A$2:$P$61,4,TRUE)</f>
        <v>Entertainment</v>
      </c>
    </row>
    <row r="11">
      <c r="A11" s="10">
        <v>10.0</v>
      </c>
      <c r="B11" s="22" t="str">
        <f>Statements!B11</f>
        <v>Barbie will win best picture at the academy awards.</v>
      </c>
      <c r="C11" s="39">
        <v>0.05</v>
      </c>
      <c r="D11" s="40" t="str">
        <f>vlookup($A11,Statements!$A$2:$P$61,16,TRUE)</f>
        <v/>
      </c>
      <c r="E11" s="10" t="str">
        <f>vlookup($A11,Statements!$A$2:$P$61,4,TRUE)</f>
        <v>Entertainment</v>
      </c>
    </row>
    <row r="12">
      <c r="A12" s="10">
        <v>11.0</v>
      </c>
      <c r="B12" s="22" t="str">
        <f>Statements!B12</f>
        <v>Kate will win at least two prizes for her Phillip and Bennelong book.</v>
      </c>
      <c r="C12" s="39">
        <v>0.6</v>
      </c>
      <c r="D12" s="40">
        <f>vlookup($A12,Statements!$A$2:$P$61,16,TRUE)</f>
        <v>0.2630344058</v>
      </c>
      <c r="E12" s="10" t="str">
        <f>vlookup($A12,Statements!$A$2:$P$61,4,TRUE)</f>
        <v>Family</v>
      </c>
    </row>
    <row r="13">
      <c r="A13" s="34">
        <f>Statements!A13</f>
        <v>12</v>
      </c>
      <c r="B13" s="22" t="str">
        <f>Statements!B13</f>
        <v>Baby Starmeadow will be under 50cm long at birth (Oz average is 50.8cm).</v>
      </c>
      <c r="C13" s="39">
        <v>0.8</v>
      </c>
      <c r="D13" s="40" t="str">
        <f>vlookup($A13,Statements!$A$2:$P$61,16,TRUE)</f>
        <v/>
      </c>
      <c r="E13" s="10" t="str">
        <f>vlookup($A13,Statements!$A$2:$P$61,4,TRUE)</f>
        <v>Family</v>
      </c>
    </row>
    <row r="14">
      <c r="A14" s="34">
        <f>Statements!A14</f>
        <v>13</v>
      </c>
      <c r="B14" s="22" t="str">
        <f>Statements!B14</f>
        <v>The Reserve Bank will announce at least three interest rate reductions in 2024</v>
      </c>
      <c r="C14" s="39">
        <v>0.3</v>
      </c>
      <c r="D14" s="40">
        <f>vlookup($A14,Statements!$A$2:$P$61,16,TRUE)</f>
        <v>0.4854268272</v>
      </c>
      <c r="E14" s="10" t="str">
        <f>vlookup($A14,Statements!$A$2:$P$61,4,TRUE)</f>
        <v>Finance</v>
      </c>
    </row>
    <row r="15">
      <c r="A15" s="34">
        <f>Statements!A15</f>
        <v>14</v>
      </c>
      <c r="B15" s="22" t="str">
        <f>Statements!B15</f>
        <v>Bruce Lehrmann will be awarded damages</v>
      </c>
      <c r="C15" s="39">
        <v>0.1</v>
      </c>
      <c r="D15" s="40">
        <f>vlookup($A15,Statements!$A$2:$P$61,16,TRUE)</f>
        <v>0.8479969066</v>
      </c>
      <c r="E15" s="10" t="str">
        <f>vlookup($A15,Statements!$A$2:$P$61,4,TRUE)</f>
        <v>Law</v>
      </c>
    </row>
    <row r="16">
      <c r="A16" s="34">
        <f>Statements!A16</f>
        <v>15</v>
      </c>
      <c r="B16" s="22" t="str">
        <f>Statements!B16</f>
        <v>Chinese courts will refuse Evergrande liquidators’ requests to seize the developer’s assets in mainland China</v>
      </c>
      <c r="C16" s="39">
        <v>0.8</v>
      </c>
      <c r="D16" s="40">
        <f>vlookup($A16,Statements!$A$2:$P$61,16,TRUE)</f>
        <v>-1.321928095</v>
      </c>
      <c r="E16" s="10" t="str">
        <f>vlookup($A16,Statements!$A$2:$P$61,4,TRUE)</f>
        <v>Law</v>
      </c>
    </row>
    <row r="17">
      <c r="A17" s="34">
        <f>Statements!A17</f>
        <v>16</v>
      </c>
      <c r="B17" s="22" t="str">
        <f>Statements!B17</f>
        <v>David McBride will be sentenced to a lifetime jail sentence</v>
      </c>
      <c r="C17" s="39">
        <v>0.1</v>
      </c>
      <c r="D17" s="40">
        <f>vlookup($A17,Statements!$A$2:$P$61,16,TRUE)</f>
        <v>0.8479969066</v>
      </c>
      <c r="E17" s="10" t="str">
        <f>vlookup($A17,Statements!$A$2:$P$61,4,TRUE)</f>
        <v>Law</v>
      </c>
    </row>
    <row r="18">
      <c r="A18" s="34">
        <f>Statements!A18</f>
        <v>17</v>
      </c>
      <c r="B18" s="22" t="str">
        <f>Statements!B18</f>
        <v>The federal court will find that Bruce Lehrmann was not defamed</v>
      </c>
      <c r="C18" s="39">
        <v>0.8</v>
      </c>
      <c r="D18" s="40">
        <f>vlookup($A18,Statements!$A$2:$P$61,16,TRUE)</f>
        <v>0.6780719051</v>
      </c>
      <c r="E18" s="10" t="str">
        <f>vlookup($A18,Statements!$A$2:$P$61,4,TRUE)</f>
        <v>Law</v>
      </c>
    </row>
    <row r="19">
      <c r="A19" s="34">
        <f>Statements!A19</f>
        <v>18</v>
      </c>
      <c r="B19" s="22" t="str">
        <f>Statements!B19</f>
        <v>OpenAI successfully defends the New York Times' claim on the basis of fair use</v>
      </c>
      <c r="C19" s="39">
        <v>0.6</v>
      </c>
      <c r="D19" s="40">
        <f>vlookup($A19,Statements!$A$2:$P$61,16,TRUE)</f>
        <v>-0.3219280949</v>
      </c>
      <c r="E19" s="10" t="str">
        <f>vlookup($A19,Statements!$A$2:$P$61,4,TRUE)</f>
        <v>Law</v>
      </c>
    </row>
    <row r="20">
      <c r="A20" s="34">
        <f>Statements!A20</f>
        <v>19</v>
      </c>
      <c r="B20" s="59" t="s">
        <v>120</v>
      </c>
      <c r="C20" s="49">
        <v>0.01</v>
      </c>
      <c r="D20" s="50">
        <f>vlookup($A20,Statements!$A$2:$P$61,16,TRUE)</f>
        <v>-5.64385619</v>
      </c>
      <c r="E20" s="10" t="str">
        <f>vlookup($A20,Statements!$A$2:$P$61,4,TRUE)</f>
        <v>Nature</v>
      </c>
    </row>
    <row r="21">
      <c r="A21" s="34">
        <f>Statements!A21</f>
        <v>20</v>
      </c>
      <c r="B21" s="16" t="s">
        <v>121</v>
      </c>
      <c r="C21" s="39">
        <v>0.4</v>
      </c>
      <c r="D21" s="40">
        <f>vlookup($A21,Statements!$A$2:$P$61,16,TRUE)</f>
        <v>0.2630344058</v>
      </c>
      <c r="E21" s="10" t="str">
        <f>vlookup($A21,Statements!$A$2:$P$61,4,TRUE)</f>
        <v>Nature</v>
      </c>
    </row>
    <row r="22">
      <c r="A22" s="34">
        <f>Statements!A22</f>
        <v>21</v>
      </c>
      <c r="B22" s="22" t="str">
        <f>Statements!B22</f>
        <v>At least three cyclones will drench North Queensland before the end of the year.</v>
      </c>
      <c r="C22" s="39">
        <v>0.3</v>
      </c>
      <c r="D22" s="40">
        <f>vlookup($A22,Statements!$A$2:$P$61,16,TRUE)</f>
        <v>0.4854268272</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0.4</v>
      </c>
      <c r="D23" s="40">
        <f>vlookup($A23,Statements!$A$2:$P$61,16,TRUE)</f>
        <v>0.2630344058</v>
      </c>
      <c r="E23" s="10" t="str">
        <f>vlookup($A23,Statements!$A$2:$P$61,4,TRUE)</f>
        <v>Politics</v>
      </c>
    </row>
    <row r="24">
      <c r="A24" s="34">
        <f>Statements!A24</f>
        <v>23</v>
      </c>
      <c r="B24" s="45" t="str">
        <f>Statements!B24</f>
        <v>Trump will promise to enact an order or legislation with the express intention of negatively impacting Taylor Swift</v>
      </c>
      <c r="C24" s="46">
        <v>0.05</v>
      </c>
      <c r="D24" s="47">
        <f>vlookup($A24,Statements!$A$2:$P$61,16,TRUE)</f>
        <v>0.9259994186</v>
      </c>
      <c r="E24" s="10" t="str">
        <f>vlookup($A24,Statements!$A$2:$P$61,4,TRUE)</f>
        <v>Politics</v>
      </c>
    </row>
    <row r="25">
      <c r="A25" s="34">
        <f>Statements!A25</f>
        <v>24</v>
      </c>
      <c r="B25" s="22" t="str">
        <f>Statements!B25</f>
        <v>Netanyahu will lose the prime ministership of Israel during 2024</v>
      </c>
      <c r="C25" s="39">
        <v>0.3</v>
      </c>
      <c r="D25" s="40">
        <f>vlookup($A25,Statements!$A$2:$P$61,16,TRUE)</f>
        <v>0.4854268272</v>
      </c>
      <c r="E25" s="10" t="str">
        <f>vlookup($A25,Statements!$A$2:$P$61,4,TRUE)</f>
        <v>Politics</v>
      </c>
    </row>
    <row r="26">
      <c r="A26" s="34">
        <f>Statements!A26</f>
        <v>25</v>
      </c>
      <c r="B26" s="45" t="str">
        <f>Statements!B26</f>
        <v>There will be an Australian Federal election in 2024</v>
      </c>
      <c r="C26" s="46">
        <v>0.01</v>
      </c>
      <c r="D26" s="47">
        <f>vlookup($A26,Statements!$A$2:$P$61,16,TRUE)</f>
        <v>0.9855004303</v>
      </c>
      <c r="E26" s="10" t="str">
        <f>vlookup($A26,Statements!$A$2:$P$61,4,TRUE)</f>
        <v>Politics</v>
      </c>
    </row>
    <row r="27">
      <c r="A27" s="34">
        <f>Statements!A27</f>
        <v>26</v>
      </c>
      <c r="B27" s="22" t="str">
        <f>Statements!B27</f>
        <v>Donald Trump will get less of the Popular vote than the Democratic candidate.</v>
      </c>
      <c r="C27" s="39">
        <v>0.95</v>
      </c>
      <c r="D27" s="40">
        <f>vlookup($A27,Statements!$A$2:$P$61,16,TRUE)</f>
        <v>-3.321928095</v>
      </c>
      <c r="E27" s="10" t="str">
        <f>vlookup($A27,Statements!$A$2:$P$61,4,TRUE)</f>
        <v>Politics</v>
      </c>
    </row>
    <row r="28">
      <c r="A28" s="34">
        <f>Statements!A28</f>
        <v>27</v>
      </c>
      <c r="B28" s="45" t="str">
        <f>Statements!B28</f>
        <v>An Australian Aboriginal organisation will sign at least one state-based treaty this year.</v>
      </c>
      <c r="C28" s="46">
        <v>0.01</v>
      </c>
      <c r="D28" s="47">
        <f>vlookup($A28,Statements!$A$2:$P$61,16,TRUE)</f>
        <v>0.9855004303</v>
      </c>
      <c r="E28" s="10" t="str">
        <f>vlookup($A28,Statements!$A$2:$P$61,4,TRUE)</f>
        <v>Politics</v>
      </c>
    </row>
    <row r="29">
      <c r="A29" s="34">
        <f>Statements!A29</f>
        <v>28</v>
      </c>
      <c r="B29" s="60" t="s">
        <v>122</v>
      </c>
      <c r="C29" s="46">
        <v>0.95</v>
      </c>
      <c r="D29" s="47">
        <f>vlookup($A29,Statements!$A$2:$P$61,16,TRUE)</f>
        <v>0.9259994186</v>
      </c>
      <c r="E29" s="10" t="str">
        <f>vlookup($A29,Statements!$A$2:$P$61,4,TRUE)</f>
        <v>Politics</v>
      </c>
    </row>
    <row r="30">
      <c r="A30" s="34">
        <f>Statements!A30</f>
        <v>29</v>
      </c>
      <c r="B30" s="60" t="s">
        <v>55</v>
      </c>
      <c r="C30" s="46">
        <v>0.99</v>
      </c>
      <c r="D30" s="47">
        <f>vlookup($A30,Statements!$A$2:$P$61,16,TRUE)</f>
        <v>0.9855004303</v>
      </c>
      <c r="E30" s="10" t="str">
        <f>vlookup($A30,Statements!$A$2:$P$61,4,TRUE)</f>
        <v>Politics</v>
      </c>
    </row>
    <row r="31">
      <c r="A31" s="34">
        <f>Statements!A31</f>
        <v>30</v>
      </c>
      <c r="B31" s="60" t="s">
        <v>56</v>
      </c>
      <c r="C31" s="46">
        <v>0.01</v>
      </c>
      <c r="D31" s="47">
        <f>vlookup($A31,Statements!$A$2:$P$61,16,TRUE)</f>
        <v>0.9855004303</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0.3</v>
      </c>
      <c r="D32" s="40">
        <f>vlookup($A32,Statements!$A$2:$P$61,16,TRUE)</f>
        <v>0.4854268272</v>
      </c>
      <c r="E32" s="10" t="str">
        <f>vlookup($A32,Statements!$A$2:$P$61,4,TRUE)</f>
        <v>Politics</v>
      </c>
    </row>
    <row r="33">
      <c r="A33" s="34">
        <f>Statements!A33</f>
        <v>32</v>
      </c>
      <c r="B33" s="22" t="str">
        <f>Statements!B33</f>
        <v>Taylor swift will be credited/mentioned in U.S legislation created this year.</v>
      </c>
      <c r="C33" s="39">
        <v>0.3</v>
      </c>
      <c r="D33" s="40">
        <f>vlookup($A33,Statements!$A$2:$P$61,16,TRUE)</f>
        <v>0.4854268272</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0.7</v>
      </c>
      <c r="D34" s="40">
        <f>vlookup($A34,Statements!$A$2:$P$61,16,TRUE)</f>
        <v>0.4854268272</v>
      </c>
      <c r="E34" s="10" t="str">
        <f>vlookup($A34,Statements!$A$2:$P$61,4,TRUE)</f>
        <v>Politics</v>
      </c>
    </row>
    <row r="35">
      <c r="A35" s="34">
        <f>Statements!A35</f>
        <v>34</v>
      </c>
      <c r="B35" s="22" t="str">
        <f>Statements!B35</f>
        <v>Pope Francis will retire.</v>
      </c>
      <c r="C35" s="39">
        <v>0.6</v>
      </c>
      <c r="D35" s="40">
        <f>vlookup($A35,Statements!$A$2:$P$61,16,TRUE)</f>
        <v>-0.3219280949</v>
      </c>
      <c r="E35" s="10" t="str">
        <f>vlookup($A35,Statements!$A$2:$P$61,4,TRUE)</f>
        <v>Religion</v>
      </c>
    </row>
    <row r="36">
      <c r="A36" s="34">
        <f>Statements!A36</f>
        <v>35</v>
      </c>
      <c r="B36" s="45" t="str">
        <f>Statements!B36</f>
        <v>King Charles will announce his abdication of the throne</v>
      </c>
      <c r="C36" s="46">
        <v>0.01</v>
      </c>
      <c r="D36" s="47">
        <f>vlookup($A36,Statements!$A$2:$P$61,16,TRUE)</f>
        <v>0.9855004303</v>
      </c>
      <c r="E36" s="10" t="str">
        <f>vlookup($A36,Statements!$A$2:$P$61,4,TRUE)</f>
        <v>Royals</v>
      </c>
    </row>
    <row r="37">
      <c r="A37" s="34">
        <f>Statements!A37</f>
        <v>36</v>
      </c>
      <c r="B37" s="22" t="str">
        <f>Statements!B37</f>
        <v>Prince Andrew remains resident of the Royal Lodge until 15 Dec 2024</v>
      </c>
      <c r="C37" s="39">
        <v>0.6</v>
      </c>
      <c r="D37" s="40">
        <f>vlookup($A37,Statements!$A$2:$P$61,16,TRUE)</f>
        <v>0.2630344058</v>
      </c>
      <c r="E37" s="10" t="str">
        <f>vlookup($A37,Statements!$A$2:$P$61,4,TRUE)</f>
        <v>Royals</v>
      </c>
    </row>
    <row r="38">
      <c r="A38" s="34">
        <f>Statements!A38</f>
        <v>37</v>
      </c>
      <c r="B38" s="45"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46">
        <v>0.05</v>
      </c>
      <c r="D38" s="47">
        <f>vlookup($A38,Statements!$A$2:$P$61,16,TRUE)</f>
        <v>0.9259994186</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0.3</v>
      </c>
      <c r="D39" s="40">
        <f>vlookup($A39,Statements!$A$2:$P$61,16,TRUE)</f>
        <v>0.4854268272</v>
      </c>
      <c r="E39" s="10" t="str">
        <f>vlookup($A39,Statements!$A$2:$P$61,4,TRUE)</f>
        <v>Society</v>
      </c>
    </row>
    <row r="40">
      <c r="A40" s="34">
        <f>Statements!A40</f>
        <v>39</v>
      </c>
      <c r="B40" s="22" t="str">
        <f>Statements!B40</f>
        <v>Canberra restaurants will have more than 30 hats by the end of 2024 as per the Australian Good Food Guide</v>
      </c>
      <c r="C40" s="39">
        <v>0.5</v>
      </c>
      <c r="D40" s="40">
        <f>vlookup($A40,Statements!$A$2:$P$61,16,TRUE)</f>
        <v>0</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0.4</v>
      </c>
      <c r="D41" s="40">
        <f>vlookup($A41,Statements!$A$2:$P$61,16,TRUE)</f>
        <v>0.2630344058</v>
      </c>
      <c r="E41" s="10" t="str">
        <f>vlookup($A41,Statements!$A$2:$P$61,4,TRUE)</f>
        <v>Society</v>
      </c>
    </row>
    <row r="42">
      <c r="A42" s="34">
        <f>Statements!A42</f>
        <v>41</v>
      </c>
      <c r="B42" s="22" t="str">
        <f>Statements!B42</f>
        <v>Elon Musk confirmed to have another child on the way</v>
      </c>
      <c r="C42" s="39">
        <v>0.6</v>
      </c>
      <c r="D42" s="40">
        <f>vlookup($A42,Statements!$A$2:$P$61,16,TRUE)</f>
        <v>0.2630344058</v>
      </c>
      <c r="E42" s="10" t="str">
        <f>vlookup($A42,Statements!$A$2:$P$61,4,TRUE)</f>
        <v>Society</v>
      </c>
    </row>
    <row r="43">
      <c r="A43" s="34">
        <f>Statements!A43</f>
        <v>42</v>
      </c>
      <c r="B43" s="22" t="str">
        <f>Statements!B43</f>
        <v>A notional 0 will be given to a student in any of Rohans classes for being caught using ai in an assignment.</v>
      </c>
      <c r="C43" s="39">
        <v>0.4</v>
      </c>
      <c r="D43" s="40">
        <f>vlookup($A43,Statements!$A$2:$P$61,16,TRUE)</f>
        <v>-0.3219280949</v>
      </c>
      <c r="E43" s="10" t="str">
        <f>vlookup($A43,Statements!$A$2:$P$61,4,TRUE)</f>
        <v>Society</v>
      </c>
    </row>
    <row r="44">
      <c r="A44" s="34">
        <f>Statements!A44</f>
        <v>43</v>
      </c>
      <c r="B44" s="45" t="str">
        <f>Statements!B44</f>
        <v>Rafael Nadal will win the French tennis open in 2024</v>
      </c>
      <c r="C44" s="46">
        <v>0.01</v>
      </c>
      <c r="D44" s="47">
        <f>vlookup($A44,Statements!$A$2:$P$61,16,TRUE)</f>
        <v>0.9855004303</v>
      </c>
      <c r="E44" s="10" t="str">
        <f>vlookup($A44,Statements!$A$2:$P$61,4,TRUE)</f>
        <v>Sport</v>
      </c>
    </row>
    <row r="45">
      <c r="A45" s="34">
        <f>Statements!A45</f>
        <v>44</v>
      </c>
      <c r="B45" s="22" t="str">
        <f>Statements!B45</f>
        <v>The AFL premiership will be won by a team whose name starts with a letter from the second half of the alphabet</v>
      </c>
      <c r="C45" s="39">
        <v>0.2</v>
      </c>
      <c r="D45" s="40">
        <f>vlookup($A45,Statements!$A$2:$P$61,16,TRUE)</f>
        <v>0.6780719051</v>
      </c>
      <c r="E45" s="10" t="str">
        <f>vlookup($A45,Statements!$A$2:$P$61,4,TRUE)</f>
        <v>Sport</v>
      </c>
    </row>
    <row r="46">
      <c r="A46" s="34">
        <f>Statements!A46</f>
        <v>45</v>
      </c>
      <c r="B46" s="22" t="str">
        <f>Statements!B46</f>
        <v>Australia will win more medals at the Paris Olympics than the last Olympics.</v>
      </c>
      <c r="C46" s="39">
        <v>0.5</v>
      </c>
      <c r="D46" s="40">
        <f>vlookup($A46,Statements!$A$2:$P$61,16,TRUE)</f>
        <v>0</v>
      </c>
      <c r="E46" s="10" t="str">
        <f>vlookup($A46,Statements!$A$2:$P$61,4,TRUE)</f>
        <v>Sport</v>
      </c>
    </row>
    <row r="47">
      <c r="A47" s="34">
        <f>Statements!A47</f>
        <v>46</v>
      </c>
      <c r="B47" s="22" t="str">
        <f>Statements!B47</f>
        <v>Brisbane will win the AFL Grand Final.</v>
      </c>
      <c r="C47" s="39">
        <v>0.1</v>
      </c>
      <c r="D47" s="40">
        <f>vlookup($A47,Statements!$A$2:$P$61,16,TRUE)</f>
        <v>-2.321928095</v>
      </c>
      <c r="E47" s="10" t="str">
        <f>vlookup($A47,Statements!$A$2:$P$61,4,TRUE)</f>
        <v>Sport</v>
      </c>
    </row>
    <row r="48">
      <c r="A48" s="34">
        <f>Statements!A48</f>
        <v>47</v>
      </c>
      <c r="B48" s="45" t="str">
        <f>Statements!B48</f>
        <v>Collingwood will win the Grand Final</v>
      </c>
      <c r="C48" s="46">
        <v>0.01</v>
      </c>
      <c r="D48" s="47">
        <f>vlookup($A48,Statements!$A$2:$P$61,16,TRUE)</f>
        <v>0.9855004303</v>
      </c>
      <c r="E48" s="10" t="str">
        <f>vlookup($A48,Statements!$A$2:$P$61,4,TRUE)</f>
        <v>Sport</v>
      </c>
    </row>
    <row r="49">
      <c r="A49" s="34">
        <f>Statements!A49</f>
        <v>48</v>
      </c>
      <c r="B49" s="22" t="str">
        <f>Statements!B49</f>
        <v>Australia will win at least 9 gold in swimming at the Paris Olympics (they won 9 at Tokyo2020)</v>
      </c>
      <c r="C49" s="39">
        <v>0.4</v>
      </c>
      <c r="D49" s="40">
        <f>vlookup($A49,Statements!$A$2:$P$61,16,TRUE)</f>
        <v>0.2630344058</v>
      </c>
      <c r="E49" s="10" t="str">
        <f>vlookup($A49,Statements!$A$2:$P$61,4,TRUE)</f>
        <v>Sport</v>
      </c>
    </row>
    <row r="50">
      <c r="A50" s="34">
        <f>Statements!A50</f>
        <v>49</v>
      </c>
      <c r="B50" s="22" t="str">
        <f>Statements!B50</f>
        <v>China will win the most gold medals of any nation at the Paris Olympics</v>
      </c>
      <c r="C50" s="39">
        <v>0.8</v>
      </c>
      <c r="D50" s="40">
        <f>vlookup($A50,Statements!$A$2:$P$61,16,TRUE)</f>
        <v>-1.321928095</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0.25</v>
      </c>
      <c r="D51" s="40">
        <f>vlookup($A51,Statements!$A$2:$P$61,16,TRUE)</f>
        <v>0.5849625007</v>
      </c>
      <c r="E51" s="10" t="str">
        <f>vlookup($A51,Statements!$A$2:$P$61,4,TRUE)</f>
        <v>Sport</v>
      </c>
    </row>
    <row r="52">
      <c r="A52" s="34">
        <f>Statements!A52</f>
        <v>51</v>
      </c>
      <c r="B52" s="22" t="str">
        <f>Statements!B52</f>
        <v>Central Coast Mariners will win the A league premiership this year.</v>
      </c>
      <c r="C52" s="39">
        <v>0.7</v>
      </c>
      <c r="D52" s="40">
        <f>vlookup($A52,Statements!$A$2:$P$61,16,TRUE)</f>
        <v>0.4854268272</v>
      </c>
      <c r="E52" s="10" t="str">
        <f>vlookup($A52,Statements!$A$2:$P$61,4,TRUE)</f>
        <v>Sport</v>
      </c>
    </row>
    <row r="53">
      <c r="A53" s="34">
        <f>Statements!A53</f>
        <v>52</v>
      </c>
      <c r="B53" s="45" t="str">
        <f>Statements!B53</f>
        <v>The Tour de France will not be won by a French national in 2024.</v>
      </c>
      <c r="C53" s="46">
        <v>0.99</v>
      </c>
      <c r="D53" s="47">
        <f>vlookup($A53,Statements!$A$2:$P$61,16,TRUE)</f>
        <v>0.9855004303</v>
      </c>
      <c r="E53" s="10" t="str">
        <f>vlookup($A53,Statements!$A$2:$P$61,4,TRUE)</f>
        <v>Sport</v>
      </c>
    </row>
    <row r="54">
      <c r="A54" s="34">
        <f>Statements!A54</f>
        <v>53</v>
      </c>
      <c r="B54" s="22" t="str">
        <f>Statements!B54</f>
        <v>Sergio Perez’s average qualifying position will be below p6.</v>
      </c>
      <c r="C54" s="39">
        <v>0.1</v>
      </c>
      <c r="D54" s="40">
        <f>vlookup($A54,Statements!$A$2:$P$61,16,TRUE)</f>
        <v>-2.321928095</v>
      </c>
      <c r="E54" s="10" t="str">
        <f>vlookup($A54,Statements!$A$2:$P$61,4,TRUE)</f>
        <v>Sport</v>
      </c>
    </row>
    <row r="55">
      <c r="A55" s="34">
        <f>Statements!A55</f>
        <v>54</v>
      </c>
      <c r="B55" s="22" t="str">
        <f>Statements!B55</f>
        <v>A service will exist to generate full episodes of bespoke TV (or films) based on prompts about the plot and casting</v>
      </c>
      <c r="C55" s="39">
        <v>0.6</v>
      </c>
      <c r="D55" s="40">
        <f>vlookup($A55,Statements!$A$2:$P$61,16,TRUE)</f>
        <v>0.2630344058</v>
      </c>
      <c r="E55" s="10" t="str">
        <f>vlookup($A55,Statements!$A$2:$P$61,4,TRUE)</f>
        <v>Technology</v>
      </c>
    </row>
    <row r="56">
      <c r="A56" s="34">
        <f>Statements!A56</f>
        <v>55</v>
      </c>
      <c r="B56" s="22" t="str">
        <f>Statements!B56</f>
        <v>Materially adverse complications arise to human subjects that have Neuralink installed</v>
      </c>
      <c r="C56" s="39">
        <v>0.6</v>
      </c>
      <c r="D56" s="40">
        <f>vlookup($A56,Statements!$A$2:$P$61,16,TRUE)</f>
        <v>-0.3219280949</v>
      </c>
      <c r="E56" s="10" t="str">
        <f>vlookup($A56,Statements!$A$2:$P$61,4,TRUE)</f>
        <v>Technology</v>
      </c>
    </row>
    <row r="57">
      <c r="A57" s="34">
        <f>Statements!A57</f>
        <v>56</v>
      </c>
      <c r="B57" s="22" t="str">
        <f>Statements!B57</f>
        <v>Some UAPs confirmed to be military aircraft by government officials or an official government statement</v>
      </c>
      <c r="C57" s="39">
        <v>0.5</v>
      </c>
      <c r="D57" s="40">
        <f>vlookup($A57,Statements!$A$2:$P$61,16,TRUE)</f>
        <v>0</v>
      </c>
      <c r="E57" s="10" t="str">
        <f>vlookup($A57,Statements!$A$2:$P$61,4,TRUE)</f>
        <v>Technology</v>
      </c>
    </row>
    <row r="58">
      <c r="A58" s="34">
        <f>Statements!A58</f>
        <v>57</v>
      </c>
      <c r="B58" s="45"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46">
        <v>0.05</v>
      </c>
      <c r="D58" s="47">
        <f>vlookup($A58,Statements!$A$2:$P$61,16,TRUE)</f>
        <v>0.9259994186</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0.3</v>
      </c>
      <c r="D59" s="40">
        <f>vlookup($A59,Statements!$A$2:$P$61,16,TRUE)</f>
        <v>0.4854268272</v>
      </c>
      <c r="E59" s="10" t="str">
        <f>vlookup($A59,Statements!$A$2:$P$61,4,TRUE)</f>
        <v>Technology</v>
      </c>
    </row>
    <row r="60">
      <c r="A60" s="34">
        <f>Statements!A60</f>
        <v>59</v>
      </c>
      <c r="B60" s="59" t="s">
        <v>90</v>
      </c>
      <c r="C60" s="49">
        <v>0.99</v>
      </c>
      <c r="D60" s="50">
        <f>vlookup($A60,Statements!$A$2:$P$61,16,TRUE)</f>
        <v>-5.64385619</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0.01</v>
      </c>
      <c r="D61" s="40" t="str">
        <f>vlookup($A61,Statements!$A$2:$P$61,16,TRUE)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0.9855004303</v>
      </c>
    </row>
    <row r="64">
      <c r="A64" s="34" t="str">
        <f>Statements!A64</f>
        <v/>
      </c>
      <c r="B64" s="22" t="str">
        <f>Statements!B64</f>
        <v/>
      </c>
      <c r="C64" s="10" t="s">
        <v>117</v>
      </c>
      <c r="D64" s="52">
        <f>MIN($D$2:$D$61)</f>
        <v>-5.64385619</v>
      </c>
      <c r="E64" s="53" t="s">
        <v>118</v>
      </c>
      <c r="F64" s="53" t="s">
        <v>119</v>
      </c>
    </row>
    <row r="65">
      <c r="A65" s="34" t="str">
        <f>Statements!A65</f>
        <v/>
      </c>
      <c r="B65" s="22" t="str">
        <f>Statements!B65</f>
        <v/>
      </c>
      <c r="C65" s="56" t="s">
        <v>21</v>
      </c>
      <c r="D65" s="32">
        <f t="shared" ref="D65:D75" si="1">sumif($E$2:$E$61,$C65,$D$2:$D$61)</f>
        <v>1.679184083</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0.2630344058</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0.4854268272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0.7302095284</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7" t="s">
        <v>44</v>
      </c>
      <c r="D69" s="58">
        <f t="shared" si="1"/>
        <v>-4.895394957</v>
      </c>
      <c r="E69" s="32">
        <f>min(Andrew!D69,Bruce!D69,Eileen!D69,Gael!D69,Iain!D69,Jac!D69,James!D69,Kate!D69,Lachy!D69,Pete!D69,Rohan!D69)</f>
        <v>-4.895394957</v>
      </c>
      <c r="F69" s="32">
        <f>max(Andrew!D69,Bruce!D69,Eileen!D69,Gael!D69,Iain!D69,Jac!D69,James!D69,Kate!D69,Lachy!D69,Pete!D69,Rohan!D69)</f>
        <v>2.011495639</v>
      </c>
    </row>
    <row r="70">
      <c r="B70" s="22"/>
      <c r="C70" s="54" t="s">
        <v>48</v>
      </c>
      <c r="D70" s="55">
        <f t="shared" si="1"/>
        <v>4.676814178</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-0.3219280949</v>
      </c>
      <c r="E71" s="32">
        <f>min(Andrew!D71,Bruce!D71,Eileen!D71,Gael!D71,Iain!D71,Jac!D71,James!D71,Kate!D71,Lachy!D71,Pete!D71,Rohan!D71)</f>
        <v>-0.7369655942</v>
      </c>
      <c r="F71" s="32">
        <f>max(Andrew!D71,Bruce!D71,Eileen!D71,Gael!D71,Iain!D71,Jac!D71,James!D71,Kate!D71,Lachy!D71,Pete!D71,Rohan!D71)</f>
        <v>0.8479969066</v>
      </c>
    </row>
    <row r="72">
      <c r="B72" s="22"/>
      <c r="C72" s="54" t="s">
        <v>63</v>
      </c>
      <c r="D72" s="55">
        <f t="shared" si="1"/>
        <v>2.174534255</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0.689567544</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-0.9977873549</v>
      </c>
      <c r="E74" s="32">
        <f>min(Andrew!D74,Bruce!D74,Eileen!D74,Gael!D74,Iain!D74,Jac!D74,James!D74,Kate!D74,Lachy!D74,Pete!D74,Rohan!D74)</f>
        <v>-2.995260427</v>
      </c>
      <c r="F74" s="32">
        <f>max(Andrew!D74,Bruce!D74,Eileen!D74,Gael!D74,Iain!D74,Jac!D74,James!D74,Kate!D74,Lachy!D74,Pete!D74,Rohan!D74)</f>
        <v>3.208413849</v>
      </c>
    </row>
    <row r="75">
      <c r="B75" s="22"/>
      <c r="C75" s="57" t="s">
        <v>85</v>
      </c>
      <c r="D75" s="58">
        <f t="shared" si="1"/>
        <v>-4.291323633</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0.85</v>
      </c>
      <c r="D2" s="40" t="str">
        <f>vlookup($A2,Statements!$A$2:$P$61,7,TRUE)</f>
        <v/>
      </c>
      <c r="E2" s="10" t="str">
        <f>vlookup($A2,Statements!$A$2:$P$61,4,TRUE)</f>
        <v>Entertainment</v>
      </c>
    </row>
    <row r="3">
      <c r="A3" s="34">
        <f>Statements!A3</f>
        <v>2</v>
      </c>
      <c r="B3" s="22" t="str">
        <f>Statements!B3</f>
        <v>NewJeans surpass 13M subscribers on instagram (currently 11.3M)</v>
      </c>
      <c r="C3" s="39">
        <v>0.9</v>
      </c>
      <c r="D3" s="40">
        <f>vlookup($A3,Statements!$A$2:$P$61,7,TRUE)</f>
        <v>0.8479969066</v>
      </c>
      <c r="E3" s="10" t="str">
        <f>vlookup($A3,Statements!$A$2:$P$61,4,TRUE)</f>
        <v>Entertainment</v>
      </c>
    </row>
    <row r="4">
      <c r="A4" s="34">
        <f>Statements!A4</f>
        <v>3</v>
      </c>
      <c r="B4" s="22" t="str">
        <f>Statements!B4</f>
        <v>Timothee and Kylie break up</v>
      </c>
      <c r="C4" s="39">
        <v>0.7</v>
      </c>
      <c r="D4" s="40">
        <f>vlookup($A4,Statements!$A$2:$P$61,7,TRUE)</f>
        <v>-0.7369655942</v>
      </c>
      <c r="E4" s="10" t="str">
        <f>vlookup($A4,Statements!$A$2:$P$61,4,TRUE)</f>
        <v>Entertainment</v>
      </c>
    </row>
    <row r="5">
      <c r="A5" s="34">
        <f>Statements!A5</f>
        <v>4</v>
      </c>
      <c r="B5" s="22" t="str">
        <f>Statements!B5</f>
        <v>A guest on Hot Ones will not complete the full set of hot sauces/wings</v>
      </c>
      <c r="C5" s="39">
        <v>0.1</v>
      </c>
      <c r="D5" s="40">
        <f>vlookup($A5,Statements!$A$2:$P$61,7,TRUE)</f>
        <v>0.8479969066</v>
      </c>
      <c r="E5" s="10" t="str">
        <f>vlookup($A5,Statements!$A$2:$P$61,4,TRUE)</f>
        <v>Entertainment</v>
      </c>
    </row>
    <row r="6">
      <c r="A6" s="34">
        <f>Statements!A6</f>
        <v>5</v>
      </c>
      <c r="B6" s="22" t="str">
        <f>Statements!B6</f>
        <v>An alone participant in a 2024 season (Australia/Denmark/UK) will fall ill from eating poisonous fruit they misidentify</v>
      </c>
      <c r="C6" s="39">
        <v>0.7</v>
      </c>
      <c r="D6" s="40">
        <f>vlookup($A6,Statements!$A$2:$P$61,7,TRUE)</f>
        <v>0.4854268272</v>
      </c>
      <c r="E6" s="10" t="str">
        <f>vlookup($A6,Statements!$A$2:$P$61,4,TRUE)</f>
        <v>Entertainment</v>
      </c>
    </row>
    <row r="7">
      <c r="A7" s="34">
        <f>Statements!A7</f>
        <v>6</v>
      </c>
      <c r="B7" s="22" t="str">
        <f>Statements!B7</f>
        <v>An Australian or New Zealand restaurant will feature on the 2024 "World's 50 Best Restaurants" list</v>
      </c>
      <c r="C7" s="39">
        <v>0.2</v>
      </c>
      <c r="D7" s="40">
        <f>vlookup($A7,Statements!$A$2:$P$61,7,TRUE)</f>
        <v>0.6780719051</v>
      </c>
      <c r="E7" s="10" t="str">
        <f>vlookup($A7,Statements!$A$2:$P$61,4,TRUE)</f>
        <v>Entertainment</v>
      </c>
    </row>
    <row r="8">
      <c r="A8" s="34">
        <f>Statements!A8</f>
        <v>7</v>
      </c>
      <c r="B8" s="22" t="str">
        <f>Statements!B8</f>
        <v>Dex (Kim Jin Young) will feature as a guest or star in a food-based show available on Netflix AU/NZ</v>
      </c>
      <c r="C8" s="39">
        <v>0.3</v>
      </c>
      <c r="D8" s="40">
        <f>vlookup($A8,Statements!$A$2:$P$61,7,TRUE)</f>
        <v>0.4854268272</v>
      </c>
      <c r="E8" s="10" t="str">
        <f>vlookup($A8,Statements!$A$2:$P$61,4,TRUE)</f>
        <v>Entertainment</v>
      </c>
    </row>
    <row r="9">
      <c r="A9" s="34">
        <f>Statements!A9</f>
        <v>8</v>
      </c>
      <c r="B9" s="22" t="str">
        <f>Statements!B9</f>
        <v>Taylor will break up with Travis</v>
      </c>
      <c r="C9" s="39">
        <v>0.45</v>
      </c>
      <c r="D9" s="40">
        <f>vlookup($A9,Statements!$A$2:$P$61,7,TRUE)</f>
        <v>0.1375035237</v>
      </c>
      <c r="E9" s="10" t="str">
        <f>vlookup($A9,Statements!$A$2:$P$61,4,TRUE)</f>
        <v>Entertainment</v>
      </c>
    </row>
    <row r="10">
      <c r="A10" s="34">
        <f>Statements!A10</f>
        <v>9</v>
      </c>
      <c r="B10" s="22" t="str">
        <f>Statements!B10</f>
        <v>Taylor will release the re-record of her debut album in 2024.</v>
      </c>
      <c r="C10" s="39">
        <v>0.6</v>
      </c>
      <c r="D10" s="40">
        <f>vlookup($A10,Statements!$A$2:$P$61,7,TRUE)</f>
        <v>-0.3219280949</v>
      </c>
      <c r="E10" s="10" t="str">
        <f>vlookup($A10,Statements!$A$2:$P$61,4,TRUE)</f>
        <v>Entertainment</v>
      </c>
    </row>
    <row r="11">
      <c r="A11" s="34">
        <f>Statements!A11</f>
        <v>10</v>
      </c>
      <c r="B11" s="22" t="str">
        <f>Statements!B11</f>
        <v>Barbie will win best picture at the academy awards.</v>
      </c>
      <c r="C11" s="39" t="s">
        <v>115</v>
      </c>
      <c r="D11" s="40" t="str">
        <f>vlookup($A11,Statements!$A$2:$P$61,7,TRUE)</f>
        <v/>
      </c>
      <c r="E11" s="10" t="str">
        <f>vlookup($A11,Statements!$A$2:$P$61,4,TRUE)</f>
        <v>Entertainment</v>
      </c>
    </row>
    <row r="12">
      <c r="A12" s="34">
        <f>Statements!A12</f>
        <v>11</v>
      </c>
      <c r="B12" s="22" t="str">
        <f>Statements!B12</f>
        <v>Kate will win at least two prizes for her Phillip and Bennelong book.</v>
      </c>
      <c r="C12" s="39">
        <v>0.75</v>
      </c>
      <c r="D12" s="40">
        <f>vlookup($A12,Statements!$A$2:$P$61,7,TRUE)</f>
        <v>0.5849625007</v>
      </c>
      <c r="E12" s="10" t="str">
        <f>vlookup($A12,Statements!$A$2:$P$61,4,TRUE)</f>
        <v>Family</v>
      </c>
    </row>
    <row r="13">
      <c r="A13" s="34">
        <f>Statements!A13</f>
        <v>12</v>
      </c>
      <c r="B13" s="22" t="str">
        <f>Statements!B13</f>
        <v>Baby Starmeadow will be under 50cm long at birth (Oz average is 50.8cm).</v>
      </c>
      <c r="C13" s="39" t="s">
        <v>115</v>
      </c>
      <c r="D13" s="40" t="str">
        <f>vlookup($A13,Statements!$A$2:$P$61,7,TRUE)</f>
        <v/>
      </c>
      <c r="E13" s="10" t="str">
        <f>vlookup($A13,Statements!$A$2:$P$61,4,TRUE)</f>
        <v>Family</v>
      </c>
    </row>
    <row r="14">
      <c r="A14" s="34">
        <f>Statements!A14</f>
        <v>13</v>
      </c>
      <c r="B14" s="22" t="str">
        <f>Statements!B14</f>
        <v>The Reserve Bank will announce at least three interest rate reductions in 2024</v>
      </c>
      <c r="C14" s="39">
        <v>0.4</v>
      </c>
      <c r="D14" s="40">
        <f>vlookup($A14,Statements!$A$2:$P$61,7,TRUE)</f>
        <v>0.2630344058</v>
      </c>
      <c r="E14" s="10" t="str">
        <f>vlookup($A14,Statements!$A$2:$P$61,4,TRUE)</f>
        <v>Finance</v>
      </c>
    </row>
    <row r="15">
      <c r="A15" s="34">
        <f>Statements!A15</f>
        <v>14</v>
      </c>
      <c r="B15" s="22" t="str">
        <f>Statements!B15</f>
        <v>Bruce Lehrmann will be awarded damages</v>
      </c>
      <c r="C15" s="39">
        <v>0.3</v>
      </c>
      <c r="D15" s="40">
        <f>vlookup($A15,Statements!$A$2:$P$61,7,TRUE)</f>
        <v>0.4854268272</v>
      </c>
      <c r="E15" s="10" t="str">
        <f>vlookup($A15,Statements!$A$2:$P$61,4,TRUE)</f>
        <v>Law</v>
      </c>
    </row>
    <row r="16">
      <c r="A16" s="34">
        <f>Statements!A16</f>
        <v>15</v>
      </c>
      <c r="B16" s="22" t="str">
        <f>Statements!B16</f>
        <v>Chinese courts will refuse Evergrande liquidators’ requests to seize the developer’s assets in mainland China</v>
      </c>
      <c r="C16" s="39">
        <v>0.5</v>
      </c>
      <c r="D16" s="40">
        <f>vlookup($A16,Statements!$A$2:$P$61,7,TRUE)</f>
        <v>0</v>
      </c>
      <c r="E16" s="10" t="str">
        <f>vlookup($A16,Statements!$A$2:$P$61,4,TRUE)</f>
        <v>Law</v>
      </c>
    </row>
    <row r="17">
      <c r="A17" s="34">
        <f>Statements!A17</f>
        <v>16</v>
      </c>
      <c r="B17" s="22" t="str">
        <f>Statements!B17</f>
        <v>David McBride will be sentenced to a lifetime jail sentence</v>
      </c>
      <c r="C17" s="39">
        <v>0.7</v>
      </c>
      <c r="D17" s="40">
        <f>vlookup($A17,Statements!$A$2:$P$61,7,TRUE)</f>
        <v>-0.7369655942</v>
      </c>
      <c r="E17" s="10" t="str">
        <f>vlookup($A17,Statements!$A$2:$P$61,4,TRUE)</f>
        <v>Law</v>
      </c>
    </row>
    <row r="18">
      <c r="A18" s="34">
        <f>Statements!A18</f>
        <v>17</v>
      </c>
      <c r="B18" s="22" t="str">
        <f>Statements!B18</f>
        <v>The federal court will find that Bruce Lehrmann was not defamed</v>
      </c>
      <c r="C18" s="39">
        <v>0.7</v>
      </c>
      <c r="D18" s="40">
        <f>vlookup($A18,Statements!$A$2:$P$61,7,TRUE)</f>
        <v>0.4854268272</v>
      </c>
      <c r="E18" s="10" t="str">
        <f>vlookup($A18,Statements!$A$2:$P$61,4,TRUE)</f>
        <v>Law</v>
      </c>
    </row>
    <row r="19">
      <c r="A19" s="34">
        <f>Statements!A19</f>
        <v>18</v>
      </c>
      <c r="B19" s="22" t="str">
        <f>Statements!B19</f>
        <v>OpenAI successfully defends the New York Times' claim on the basis of fair use</v>
      </c>
      <c r="C19" s="39">
        <v>0.5</v>
      </c>
      <c r="D19" s="40">
        <f>vlookup($A19,Statements!$A$2:$P$61,7,TRUE)</f>
        <v>0</v>
      </c>
      <c r="E19" s="10" t="str">
        <f>vlookup($A19,Statements!$A$2:$P$61,4,TRUE)</f>
        <v>Law</v>
      </c>
    </row>
    <row r="20">
      <c r="A20" s="34">
        <f>Statements!A20</f>
        <v>19</v>
      </c>
      <c r="B20" s="22" t="str">
        <f>Statements!B20</f>
        <v>2024 will be the hottest European summer on record.</v>
      </c>
      <c r="C20" s="39">
        <v>0.8</v>
      </c>
      <c r="D20" s="40">
        <f>vlookup($A20,Statements!$A$2:$P$61,7,TRUE)</f>
        <v>0.6780719051</v>
      </c>
      <c r="E20" s="10" t="str">
        <f>vlookup($A20,Statements!$A$2:$P$61,4,TRUE)</f>
        <v>Nature</v>
      </c>
    </row>
    <row r="21">
      <c r="A21" s="34">
        <f>Statements!A21</f>
        <v>20</v>
      </c>
      <c r="B21" s="22" t="str">
        <f>Statements!B21</f>
        <v>The  NOAA will announce an alert level 5 bleaching event on the Great Barrier Reef</v>
      </c>
      <c r="C21" s="39">
        <v>0.6</v>
      </c>
      <c r="D21" s="40">
        <f>vlookup($A21,Statements!$A$2:$P$61,7,TRUE)</f>
        <v>-0.3219280949</v>
      </c>
      <c r="E21" s="10" t="str">
        <f>vlookup($A21,Statements!$A$2:$P$61,4,TRUE)</f>
        <v>Nature</v>
      </c>
    </row>
    <row r="22">
      <c r="A22" s="34">
        <f>Statements!A22</f>
        <v>21</v>
      </c>
      <c r="B22" s="22" t="str">
        <f>Statements!B22</f>
        <v>At least three cyclones will drench North Queensland before the end of the year.</v>
      </c>
      <c r="C22" s="39">
        <v>0.6</v>
      </c>
      <c r="D22" s="40">
        <f>vlookup($A22,Statements!$A$2:$P$61,7,TRUE)</f>
        <v>-0.3219280949</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0.2</v>
      </c>
      <c r="D23" s="40">
        <f>vlookup($A23,Statements!$A$2:$P$61,7,TRUE)</f>
        <v>0.6780719051</v>
      </c>
      <c r="E23" s="10" t="str">
        <f>vlookup($A23,Statements!$A$2:$P$61,4,TRUE)</f>
        <v>Politics</v>
      </c>
    </row>
    <row r="24">
      <c r="A24" s="34">
        <f>Statements!A24</f>
        <v>23</v>
      </c>
      <c r="B24" s="22" t="str">
        <f>Statements!B24</f>
        <v>Trump will promise to enact an order or legislation with the express intention of negatively impacting Taylor Swift</v>
      </c>
      <c r="C24" s="39">
        <v>0.6</v>
      </c>
      <c r="D24" s="40">
        <f>vlookup($A24,Statements!$A$2:$P$61,7,TRUE)</f>
        <v>-0.3219280949</v>
      </c>
      <c r="E24" s="10" t="str">
        <f>vlookup($A24,Statements!$A$2:$P$61,4,TRUE)</f>
        <v>Politics</v>
      </c>
    </row>
    <row r="25">
      <c r="A25" s="34">
        <f>Statements!A25</f>
        <v>24</v>
      </c>
      <c r="B25" s="22" t="str">
        <f>Statements!B25</f>
        <v>Netanyahu will lose the prime ministership of Israel during 2024</v>
      </c>
      <c r="C25" s="39">
        <v>0.5</v>
      </c>
      <c r="D25" s="40">
        <f>vlookup($A25,Statements!$A$2:$P$61,7,TRUE)</f>
        <v>0</v>
      </c>
      <c r="E25" s="10" t="str">
        <f>vlookup($A25,Statements!$A$2:$P$61,4,TRUE)</f>
        <v>Politics</v>
      </c>
    </row>
    <row r="26">
      <c r="A26" s="34">
        <f>Statements!A26</f>
        <v>25</v>
      </c>
      <c r="B26" s="22" t="str">
        <f>Statements!B26</f>
        <v>There will be an Australian Federal election in 2024</v>
      </c>
      <c r="C26" s="39">
        <v>0.8</v>
      </c>
      <c r="D26" s="40">
        <f>vlookup($A26,Statements!$A$2:$P$61,7,TRUE)</f>
        <v>-1.321928095</v>
      </c>
      <c r="E26" s="10" t="str">
        <f>vlookup($A26,Statements!$A$2:$P$61,4,TRUE)</f>
        <v>Politics</v>
      </c>
    </row>
    <row r="27">
      <c r="A27" s="34">
        <f>Statements!A27</f>
        <v>26</v>
      </c>
      <c r="B27" s="22" t="str">
        <f>Statements!B27</f>
        <v>Donald Trump will get less of the Popular vote than the Democratic candidate.</v>
      </c>
      <c r="C27" s="39">
        <v>0.75</v>
      </c>
      <c r="D27" s="40">
        <f>vlookup($A27,Statements!$A$2:$P$61,7,TRUE)</f>
        <v>-1</v>
      </c>
      <c r="E27" s="10" t="str">
        <f>vlookup($A27,Statements!$A$2:$P$61,4,TRUE)</f>
        <v>Politics</v>
      </c>
    </row>
    <row r="28">
      <c r="A28" s="34">
        <f>Statements!A28</f>
        <v>27</v>
      </c>
      <c r="B28" s="22" t="str">
        <f>Statements!B28</f>
        <v>An Australian Aboriginal organisation will sign at least one state-based treaty this year.</v>
      </c>
      <c r="C28" s="39">
        <v>0.5</v>
      </c>
      <c r="D28" s="40">
        <f>vlookup($A28,Statements!$A$2:$P$61,7,TRUE)</f>
        <v>0</v>
      </c>
      <c r="E28" s="10" t="str">
        <f>vlookup($A28,Statements!$A$2:$P$61,4,TRUE)</f>
        <v>Politics</v>
      </c>
    </row>
    <row r="29">
      <c r="A29" s="34">
        <f>Statements!A29</f>
        <v>28</v>
      </c>
      <c r="B29" s="22" t="str">
        <f>Statements!B29</f>
        <v>Donald Trump will not go to prison this year.</v>
      </c>
      <c r="C29" s="39">
        <v>0.4</v>
      </c>
      <c r="D29" s="40">
        <f>vlookup($A29,Statements!$A$2:$P$61,7,TRUE)</f>
        <v>-0.3219280949</v>
      </c>
      <c r="E29" s="10" t="str">
        <f>vlookup($A29,Statements!$A$2:$P$61,4,TRUE)</f>
        <v>Politics</v>
      </c>
    </row>
    <row r="30">
      <c r="A30" s="34">
        <f>Statements!A30</f>
        <v>29</v>
      </c>
      <c r="B30" s="22" t="str">
        <f>Statements!B30</f>
        <v>Modi will be re-elected in the upcoming Indian election</v>
      </c>
      <c r="C30" s="39">
        <v>0.5</v>
      </c>
      <c r="D30" s="40">
        <f>vlookup($A30,Statements!$A$2:$P$61,7,TRUE)</f>
        <v>0</v>
      </c>
      <c r="E30" s="10" t="str">
        <f>vlookup($A30,Statements!$A$2:$P$61,4,TRUE)</f>
        <v>Politics</v>
      </c>
    </row>
    <row r="31">
      <c r="A31" s="34">
        <f>Statements!A31</f>
        <v>30</v>
      </c>
      <c r="B31" s="22" t="str">
        <f>Statements!B31</f>
        <v>Josh Frydenberg returns to politics, specifically, announces he will contest Kooyong</v>
      </c>
      <c r="C31" s="39">
        <v>0.5</v>
      </c>
      <c r="D31" s="40">
        <f>vlookup($A31,Statements!$A$2:$P$61,7,TRUE)</f>
        <v>0</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0.45</v>
      </c>
      <c r="D32" s="40">
        <f>vlookup($A32,Statements!$A$2:$P$61,7,TRUE)</f>
        <v>0.1375035237</v>
      </c>
      <c r="E32" s="10" t="str">
        <f>vlookup($A32,Statements!$A$2:$P$61,4,TRUE)</f>
        <v>Politics</v>
      </c>
    </row>
    <row r="33">
      <c r="A33" s="34">
        <f>Statements!A33</f>
        <v>32</v>
      </c>
      <c r="B33" s="22" t="str">
        <f>Statements!B33</f>
        <v>Taylor swift will be credited/mentioned in U.S legislation created this year.</v>
      </c>
      <c r="C33" s="39">
        <v>0.6</v>
      </c>
      <c r="D33" s="40">
        <f>vlookup($A33,Statements!$A$2:$P$61,7,TRUE)</f>
        <v>-0.3219280949</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0.6</v>
      </c>
      <c r="D34" s="40">
        <f>vlookup($A34,Statements!$A$2:$P$61,7,TRUE)</f>
        <v>0.2630344058</v>
      </c>
      <c r="E34" s="10" t="str">
        <f>vlookup($A34,Statements!$A$2:$P$61,4,TRUE)</f>
        <v>Politics</v>
      </c>
    </row>
    <row r="35">
      <c r="A35" s="34">
        <f>Statements!A35</f>
        <v>34</v>
      </c>
      <c r="B35" s="22" t="str">
        <f>Statements!B35</f>
        <v>Pope Francis will retire.</v>
      </c>
      <c r="C35" s="39">
        <v>0.3</v>
      </c>
      <c r="D35" s="40">
        <f>vlookup($A35,Statements!$A$2:$P$61,7,TRUE)</f>
        <v>0.4854268272</v>
      </c>
      <c r="E35" s="10" t="str">
        <f>vlookup($A35,Statements!$A$2:$P$61,4,TRUE)</f>
        <v>Religion</v>
      </c>
    </row>
    <row r="36">
      <c r="A36" s="34">
        <f>Statements!A36</f>
        <v>35</v>
      </c>
      <c r="B36" s="22" t="str">
        <f>Statements!B36</f>
        <v>King Charles will announce his abdication of the throne</v>
      </c>
      <c r="C36" s="39">
        <v>0.4</v>
      </c>
      <c r="D36" s="40">
        <f>vlookup($A36,Statements!$A$2:$P$61,7,TRUE)</f>
        <v>0.2630344058</v>
      </c>
      <c r="E36" s="10" t="str">
        <f>vlookup($A36,Statements!$A$2:$P$61,4,TRUE)</f>
        <v>Royals</v>
      </c>
    </row>
    <row r="37">
      <c r="A37" s="34">
        <f>Statements!A37</f>
        <v>36</v>
      </c>
      <c r="B37" s="22" t="str">
        <f>Statements!B37</f>
        <v>Prince Andrew remains resident of the Royal Lodge until 15 Dec 2024</v>
      </c>
      <c r="C37" s="39">
        <v>0.2</v>
      </c>
      <c r="D37" s="40">
        <f>vlookup($A37,Statements!$A$2:$P$61,7,TRUE)</f>
        <v>-1.321928095</v>
      </c>
      <c r="E37" s="10" t="str">
        <f>vlookup($A37,Statements!$A$2:$P$61,4,TRUE)</f>
        <v>Royals</v>
      </c>
    </row>
    <row r="38">
      <c r="A38" s="34">
        <f>Statements!A38</f>
        <v>37</v>
      </c>
      <c r="B38" s="45"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46">
        <v>0.01</v>
      </c>
      <c r="D38" s="47">
        <f>vlookup($A38,Statements!$A$2:$P$61,7,TRUE)</f>
        <v>0.9855004303</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0.45</v>
      </c>
      <c r="D39" s="40">
        <f>vlookup($A39,Statements!$A$2:$P$61,7,TRUE)</f>
        <v>0.1375035237</v>
      </c>
      <c r="E39" s="10" t="str">
        <f>vlookup($A39,Statements!$A$2:$P$61,4,TRUE)</f>
        <v>Society</v>
      </c>
    </row>
    <row r="40">
      <c r="A40" s="34">
        <f>Statements!A40</f>
        <v>39</v>
      </c>
      <c r="B40" s="22" t="str">
        <f>Statements!B40</f>
        <v>Canberra restaurants will have more than 30 hats by the end of 2024 as per the Australian Good Food Guide</v>
      </c>
      <c r="C40" s="39">
        <v>0.6</v>
      </c>
      <c r="D40" s="40">
        <f>vlookup($A40,Statements!$A$2:$P$61,7,TRUE)</f>
        <v>-0.3219280949</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0.5</v>
      </c>
      <c r="D41" s="40">
        <f>vlookup($A41,Statements!$A$2:$P$61,7,TRUE)</f>
        <v>0</v>
      </c>
      <c r="E41" s="10" t="str">
        <f>vlookup($A41,Statements!$A$2:$P$61,4,TRUE)</f>
        <v>Society</v>
      </c>
    </row>
    <row r="42">
      <c r="A42" s="34">
        <f>Statements!A42</f>
        <v>41</v>
      </c>
      <c r="B42" s="22" t="str">
        <f>Statements!B42</f>
        <v>Elon Musk confirmed to have another child on the way</v>
      </c>
      <c r="C42" s="39">
        <v>0.65</v>
      </c>
      <c r="D42" s="40">
        <f>vlookup($A42,Statements!$A$2:$P$61,7,TRUE)</f>
        <v>0.3785116233</v>
      </c>
      <c r="E42" s="10" t="str">
        <f>vlookup($A42,Statements!$A$2:$P$61,4,TRUE)</f>
        <v>Society</v>
      </c>
    </row>
    <row r="43">
      <c r="A43" s="34">
        <f>Statements!A43</f>
        <v>42</v>
      </c>
      <c r="B43" s="22" t="str">
        <f>Statements!B43</f>
        <v>A notional 0 will be given to a student in any of Rohans classes for being caught using ai in an assignment.</v>
      </c>
      <c r="C43" s="39">
        <v>0.6</v>
      </c>
      <c r="D43" s="40">
        <f>vlookup($A43,Statements!$A$2:$P$61,7,TRUE)</f>
        <v>0.2630344058</v>
      </c>
      <c r="E43" s="10" t="str">
        <f>vlookup($A43,Statements!$A$2:$P$61,4,TRUE)</f>
        <v>Society</v>
      </c>
    </row>
    <row r="44">
      <c r="A44" s="34">
        <f>Statements!A44</f>
        <v>43</v>
      </c>
      <c r="B44" s="22" t="str">
        <f>Statements!B44</f>
        <v>Rafael Nadal will win the French tennis open in 2024</v>
      </c>
      <c r="C44" s="39">
        <v>0.3</v>
      </c>
      <c r="D44" s="40">
        <f>vlookup($A44,Statements!$A$2:$P$61,7,TRUE)</f>
        <v>0.4854268272</v>
      </c>
      <c r="E44" s="10" t="str">
        <f>vlookup($A44,Statements!$A$2:$P$61,4,TRUE)</f>
        <v>Sport</v>
      </c>
    </row>
    <row r="45">
      <c r="A45" s="34">
        <f>Statements!A45</f>
        <v>44</v>
      </c>
      <c r="B45" s="22" t="str">
        <f>Statements!B45</f>
        <v>The AFL premiership will be won by a team whose name starts with a letter from the second half of the alphabet</v>
      </c>
      <c r="C45" s="39">
        <v>0.5</v>
      </c>
      <c r="D45" s="40">
        <f>vlookup($A45,Statements!$A$2:$P$61,7,TRUE)</f>
        <v>0</v>
      </c>
      <c r="E45" s="10" t="str">
        <f>vlookup($A45,Statements!$A$2:$P$61,4,TRUE)</f>
        <v>Sport</v>
      </c>
    </row>
    <row r="46">
      <c r="A46" s="34">
        <f>Statements!A46</f>
        <v>45</v>
      </c>
      <c r="B46" s="22" t="str">
        <f>Statements!B46</f>
        <v>Australia will win more medals at the Paris Olympics than the last Olympics.</v>
      </c>
      <c r="C46" s="39">
        <v>0.2</v>
      </c>
      <c r="D46" s="40">
        <f>vlookup($A46,Statements!$A$2:$P$61,7,TRUE)</f>
        <v>-1.321928095</v>
      </c>
      <c r="E46" s="10" t="str">
        <f>vlookup($A46,Statements!$A$2:$P$61,4,TRUE)</f>
        <v>Sport</v>
      </c>
    </row>
    <row r="47">
      <c r="A47" s="34">
        <f>Statements!A47</f>
        <v>46</v>
      </c>
      <c r="B47" s="48" t="str">
        <f>Statements!B47</f>
        <v>Brisbane will win the AFL Grand Final.</v>
      </c>
      <c r="C47" s="49">
        <v>0.1</v>
      </c>
      <c r="D47" s="50">
        <f>vlookup($A47,Statements!$A$2:$P$61,7,TRUE)</f>
        <v>-2.321928095</v>
      </c>
      <c r="E47" s="10" t="str">
        <f>vlookup($A47,Statements!$A$2:$P$61,4,TRUE)</f>
        <v>Sport</v>
      </c>
    </row>
    <row r="48">
      <c r="A48" s="34">
        <f>Statements!A48</f>
        <v>47</v>
      </c>
      <c r="B48" s="22" t="str">
        <f>Statements!B48</f>
        <v>Collingwood will win the Grand Final</v>
      </c>
      <c r="C48" s="39">
        <v>0.1</v>
      </c>
      <c r="D48" s="40">
        <f>vlookup($A48,Statements!$A$2:$P$61,7,TRUE)</f>
        <v>0.8479969066</v>
      </c>
      <c r="E48" s="10" t="str">
        <f>vlookup($A48,Statements!$A$2:$P$61,4,TRUE)</f>
        <v>Sport</v>
      </c>
    </row>
    <row r="49">
      <c r="A49" s="34">
        <f>Statements!A49</f>
        <v>48</v>
      </c>
      <c r="B49" s="22" t="str">
        <f>Statements!B49</f>
        <v>Australia will win at least 9 gold in swimming at the Paris Olympics (they won 9 at Tokyo2020)</v>
      </c>
      <c r="C49" s="39">
        <v>0.7</v>
      </c>
      <c r="D49" s="40">
        <f>vlookup($A49,Statements!$A$2:$P$61,7,TRUE)</f>
        <v>-0.7369655942</v>
      </c>
      <c r="E49" s="10" t="str">
        <f>vlookup($A49,Statements!$A$2:$P$61,4,TRUE)</f>
        <v>Sport</v>
      </c>
    </row>
    <row r="50">
      <c r="A50" s="34">
        <f>Statements!A50</f>
        <v>49</v>
      </c>
      <c r="B50" s="22" t="str">
        <f>Statements!B50</f>
        <v>China will win the most gold medals of any nation at the Paris Olympics</v>
      </c>
      <c r="C50" s="39">
        <v>0.45</v>
      </c>
      <c r="D50" s="40">
        <f>vlookup($A50,Statements!$A$2:$P$61,7,TRUE)</f>
        <v>0.1375035237</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0.5</v>
      </c>
      <c r="D51" s="40">
        <f>vlookup($A51,Statements!$A$2:$P$61,7,TRUE)</f>
        <v>0</v>
      </c>
      <c r="E51" s="10" t="str">
        <f>vlookup($A51,Statements!$A$2:$P$61,4,TRUE)</f>
        <v>Sport</v>
      </c>
    </row>
    <row r="52">
      <c r="A52" s="34">
        <f>Statements!A52</f>
        <v>51</v>
      </c>
      <c r="B52" s="22" t="str">
        <f>Statements!B52</f>
        <v>Central Coast Mariners will win the A league premiership this year.</v>
      </c>
      <c r="C52" s="39">
        <v>0.5</v>
      </c>
      <c r="D52" s="40">
        <f>vlookup($A52,Statements!$A$2:$P$61,7,TRUE)</f>
        <v>0</v>
      </c>
      <c r="E52" s="10" t="str">
        <f>vlookup($A52,Statements!$A$2:$P$61,4,TRUE)</f>
        <v>Sport</v>
      </c>
    </row>
    <row r="53">
      <c r="A53" s="34">
        <f>Statements!A53</f>
        <v>52</v>
      </c>
      <c r="B53" s="22" t="str">
        <f>Statements!B53</f>
        <v>The Tour de France will not be won by a French national in 2024.</v>
      </c>
      <c r="C53" s="39">
        <v>0.65</v>
      </c>
      <c r="D53" s="40">
        <f>vlookup($A53,Statements!$A$2:$P$61,7,TRUE)</f>
        <v>0.3785116233</v>
      </c>
      <c r="E53" s="10" t="str">
        <f>vlookup($A53,Statements!$A$2:$P$61,4,TRUE)</f>
        <v>Sport</v>
      </c>
    </row>
    <row r="54">
      <c r="A54" s="34">
        <f>Statements!A54</f>
        <v>53</v>
      </c>
      <c r="B54" s="22" t="str">
        <f>Statements!B54</f>
        <v>Sergio Perez’s average qualifying position will be below p6.</v>
      </c>
      <c r="C54" s="39">
        <v>0.5</v>
      </c>
      <c r="D54" s="40">
        <f>vlookup($A54,Statements!$A$2:$P$61,7,TRUE)</f>
        <v>0</v>
      </c>
      <c r="E54" s="10" t="str">
        <f>vlookup($A54,Statements!$A$2:$P$61,4,TRUE)</f>
        <v>Sport</v>
      </c>
    </row>
    <row r="55">
      <c r="A55" s="34">
        <f>Statements!A55</f>
        <v>54</v>
      </c>
      <c r="B55" s="48" t="str">
        <f>Statements!B55</f>
        <v>A service will exist to generate full episodes of bespoke TV (or films) based on prompts about the plot and casting</v>
      </c>
      <c r="C55" s="49">
        <v>0.1</v>
      </c>
      <c r="D55" s="50">
        <f>vlookup($A55,Statements!$A$2:$P$61,7,TRUE)</f>
        <v>-2.321928095</v>
      </c>
      <c r="E55" s="10" t="str">
        <f>vlookup($A55,Statements!$A$2:$P$61,4,TRUE)</f>
        <v>Technology</v>
      </c>
    </row>
    <row r="56">
      <c r="A56" s="34">
        <f>Statements!A56</f>
        <v>55</v>
      </c>
      <c r="B56" s="22" t="str">
        <f>Statements!B56</f>
        <v>Materially adverse complications arise to human subjects that have Neuralink installed</v>
      </c>
      <c r="C56" s="39">
        <v>0.8</v>
      </c>
      <c r="D56" s="40">
        <f>vlookup($A56,Statements!$A$2:$P$61,7,TRUE)</f>
        <v>-1.321928095</v>
      </c>
      <c r="E56" s="10" t="str">
        <f>vlookup($A56,Statements!$A$2:$P$61,4,TRUE)</f>
        <v>Technology</v>
      </c>
    </row>
    <row r="57">
      <c r="A57" s="34">
        <f>Statements!A57</f>
        <v>56</v>
      </c>
      <c r="B57" s="22" t="str">
        <f>Statements!B57</f>
        <v>Some UAPs confirmed to be military aircraft by government officials or an official government statement</v>
      </c>
      <c r="C57" s="39">
        <v>0.6</v>
      </c>
      <c r="D57" s="40">
        <f>vlookup($A57,Statements!$A$2:$P$61,7,TRUE)</f>
        <v>-0.3219280949</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0.2</v>
      </c>
      <c r="D58" s="40">
        <f>vlookup($A58,Statements!$A$2:$P$61,7,TRUE)</f>
        <v>0.6780719051</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0.5</v>
      </c>
      <c r="D59" s="40">
        <f>vlookup($A59,Statements!$A$2:$P$61,7,TRUE)</f>
        <v>0</v>
      </c>
      <c r="E59" s="10" t="str">
        <f>vlookup($A59,Statements!$A$2:$P$61,4,TRUE)</f>
        <v>Technology</v>
      </c>
    </row>
    <row r="60">
      <c r="A60" s="34">
        <f>Statements!A60</f>
        <v>59</v>
      </c>
      <c r="B60" s="22" t="str">
        <f>Statements!B60</f>
        <v>SpaceX's Starship vehicle will complete at least 1 full orbit of the Earth</v>
      </c>
      <c r="C60" s="39">
        <v>0.7</v>
      </c>
      <c r="D60" s="40">
        <f>vlookup($A60,Statements!$A$2:$P$61,7,TRUE)</f>
        <v>-0.7369655942</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0.5</v>
      </c>
      <c r="D61" s="40" t="str">
        <f>vlookup($A61,Statements!$A$2:$P$61,7,TRUE)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0.9855004303</v>
      </c>
    </row>
    <row r="64">
      <c r="A64" s="34" t="str">
        <f>Statements!A64</f>
        <v/>
      </c>
      <c r="B64" s="22" t="str">
        <f>Statements!B64</f>
        <v/>
      </c>
      <c r="C64" s="10" t="s">
        <v>117</v>
      </c>
      <c r="D64" s="52">
        <f>MIN($D$2:$D$61)</f>
        <v>-2.321928095</v>
      </c>
      <c r="E64" s="53" t="s">
        <v>118</v>
      </c>
      <c r="F64" s="53" t="s">
        <v>119</v>
      </c>
    </row>
    <row r="65">
      <c r="A65" s="34" t="str">
        <f>Statements!A65</f>
        <v/>
      </c>
      <c r="B65" s="22" t="str">
        <f>Statements!B65</f>
        <v/>
      </c>
      <c r="C65" s="54" t="s">
        <v>21</v>
      </c>
      <c r="D65" s="55">
        <f t="shared" ref="D65:D75" si="1">sumif($E$2:$E$61,$C65,$D$2:$D$61)</f>
        <v>2.423529207</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0.5849625007</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0.2630344058</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0.2338880602</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0.03421571534</v>
      </c>
      <c r="E69" s="32">
        <f>min(Andrew!D69,Bruce!D69,Eileen!D69,Gael!D69,Iain!D69,Jac!D69,James!D69,Kate!D69,Lachy!D69,Pete!D69,Rohan!D69)</f>
        <v>-4.895394957</v>
      </c>
      <c r="F69" s="32">
        <f>max(Andrew!D69,Bruce!D69,Eileen!D69,Gael!D69,Iain!D69,Jac!D69,James!D69,Kate!D69,Lachy!D69,Pete!D69,Rohan!D69)</f>
        <v>2.011495639</v>
      </c>
    </row>
    <row r="70">
      <c r="B70" s="22"/>
      <c r="C70" s="57" t="s">
        <v>48</v>
      </c>
      <c r="D70" s="58">
        <f t="shared" si="1"/>
        <v>-2.209102545</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0.4854268272</v>
      </c>
      <c r="E71" s="32">
        <f>min(Andrew!D71,Bruce!D71,Eileen!D71,Gael!D71,Iain!D71,Jac!D71,James!D71,Kate!D71,Lachy!D71,Pete!D71,Rohan!D71)</f>
        <v>-0.7369655942</v>
      </c>
      <c r="F71" s="32">
        <f>max(Andrew!D71,Bruce!D71,Eileen!D71,Gael!D71,Iain!D71,Jac!D71,James!D71,Kate!D71,Lachy!D71,Pete!D71,Rohan!D71)</f>
        <v>0.8479969066</v>
      </c>
    </row>
    <row r="72">
      <c r="B72" s="22"/>
      <c r="C72" s="57" t="s">
        <v>63</v>
      </c>
      <c r="D72" s="58">
        <f t="shared" si="1"/>
        <v>-0.07339325875</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0.457121458</v>
      </c>
      <c r="E73" s="32">
        <f>min(Andrew!D73,Bruce!D73,Eileen!D73,Gael!D73,Iain!D73,Jac!D73,James!D73,Kate!D73,Lachy!D73,Pete!D73,Rohan!D73)</f>
        <v>-0.7958592832</v>
      </c>
      <c r="F73" s="32">
        <f>max(Andrew!D73,Bruce!D73,Eileen!D73,Gael!D73,Iain!D73,Jac!D73,James!D73,Kate!D73,Lachy!D73,Pete!D73,Rohan!D73)</f>
        <v>1.519642543</v>
      </c>
    </row>
    <row r="74">
      <c r="B74" s="22"/>
      <c r="C74" s="57" t="s">
        <v>73</v>
      </c>
      <c r="D74" s="58">
        <f t="shared" si="1"/>
        <v>-2.531382903</v>
      </c>
      <c r="E74" s="32">
        <f>min(Andrew!D74,Bruce!D74,Eileen!D74,Gael!D74,Iain!D74,Jac!D74,James!D74,Kate!D74,Lachy!D74,Pete!D74,Rohan!D74)</f>
        <v>-2.995260427</v>
      </c>
      <c r="F74" s="32">
        <f>max(Andrew!D74,Bruce!D74,Eileen!D74,Gael!D74,Iain!D74,Jac!D74,James!D74,Kate!D74,Lachy!D74,Pete!D74,Rohan!D74)</f>
        <v>3.208413849</v>
      </c>
    </row>
    <row r="75">
      <c r="B75" s="22"/>
      <c r="C75" s="57" t="s">
        <v>85</v>
      </c>
      <c r="D75" s="58">
        <f t="shared" si="1"/>
        <v>-4.024677974</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0.6</v>
      </c>
      <c r="D2" s="40" t="str">
        <f>vlookup($A2,Statements!$A$2:$P$61,15,TRUE)</f>
        <v/>
      </c>
      <c r="E2" s="10" t="str">
        <f>VLOOKUP(A2, Statements!$A$2:$P$61, 4, FALSE)</f>
        <v>Entertainment</v>
      </c>
    </row>
    <row r="3">
      <c r="A3" s="34">
        <f>Statements!A3</f>
        <v>2</v>
      </c>
      <c r="B3" s="22" t="str">
        <f>Statements!B3</f>
        <v>NewJeans surpass 13M subscribers on instagram (currently 11.3M)</v>
      </c>
      <c r="C3" s="39">
        <v>0.5</v>
      </c>
      <c r="D3" s="40">
        <f>vlookup($A3,Statements!$A$2:$P$61,15,TRUE)</f>
        <v>0</v>
      </c>
      <c r="E3" s="10" t="str">
        <f>VLOOKUP(A3, Statements!$A$2:$P$61, 4, FALSE)</f>
        <v>Entertainment</v>
      </c>
    </row>
    <row r="4">
      <c r="A4" s="34">
        <f>Statements!A4</f>
        <v>3</v>
      </c>
      <c r="B4" s="22" t="str">
        <f>Statements!B4</f>
        <v>Timothee and Kylie break up</v>
      </c>
      <c r="C4" s="39">
        <v>0.6</v>
      </c>
      <c r="D4" s="40">
        <f>vlookup($A4,Statements!$A$2:$P$61,15,TRUE)</f>
        <v>-0.3219280949</v>
      </c>
      <c r="E4" s="10" t="str">
        <f>VLOOKUP(A4, Statements!$A$2:$P$61, 4, FALSE)</f>
        <v>Entertainment</v>
      </c>
    </row>
    <row r="5">
      <c r="A5" s="34">
        <f>Statements!A5</f>
        <v>4</v>
      </c>
      <c r="B5" s="22" t="str">
        <f>Statements!B5</f>
        <v>A guest on Hot Ones will not complete the full set of hot sauces/wings</v>
      </c>
      <c r="C5" s="39">
        <v>0.4</v>
      </c>
      <c r="D5" s="40">
        <f>vlookup($A5,Statements!$A$2:$P$61,15,TRUE)</f>
        <v>0.2630344058</v>
      </c>
      <c r="E5" s="10" t="str">
        <f>VLOOKUP(A5, Statements!$A$2:$P$61, 4, FALSE)</f>
        <v>Entertainment</v>
      </c>
    </row>
    <row r="6">
      <c r="A6" s="34">
        <f>Statements!A6</f>
        <v>5</v>
      </c>
      <c r="B6" s="22" t="str">
        <f>Statements!B6</f>
        <v>An alone participant in a 2024 season (Australia/Denmark/UK) will fall ill from eating poisonous fruit they misidentify</v>
      </c>
      <c r="C6" s="39">
        <v>0.4</v>
      </c>
      <c r="D6" s="40">
        <f>vlookup($A6,Statements!$A$2:$P$61,15,TRUE)</f>
        <v>-0.3219280949</v>
      </c>
      <c r="E6" s="10" t="str">
        <f>VLOOKUP(A6, Statements!$A$2:$P$61, 4, FALSE)</f>
        <v>Entertainment</v>
      </c>
    </row>
    <row r="7">
      <c r="A7" s="34">
        <f>Statements!A7</f>
        <v>6</v>
      </c>
      <c r="B7" s="22" t="str">
        <f>Statements!B7</f>
        <v>An Australian or New Zealand restaurant will feature on the 2024 "World's 50 Best Restaurants" list</v>
      </c>
      <c r="C7" s="39">
        <v>0.4</v>
      </c>
      <c r="D7" s="40">
        <f>vlookup($A7,Statements!$A$2:$P$61,15,TRUE)</f>
        <v>0.2630344058</v>
      </c>
      <c r="E7" s="10" t="str">
        <f>VLOOKUP(A7, Statements!$A$2:$P$61, 4, FALSE)</f>
        <v>Entertainment</v>
      </c>
    </row>
    <row r="8">
      <c r="A8" s="34">
        <f>Statements!A8</f>
        <v>7</v>
      </c>
      <c r="B8" s="22" t="str">
        <f>Statements!B8</f>
        <v>Dex (Kim Jin Young) will feature as a guest or star in a food-based show available on Netflix AU/NZ</v>
      </c>
      <c r="C8" s="39">
        <v>0.6</v>
      </c>
      <c r="D8" s="40">
        <f>vlookup($A8,Statements!$A$2:$P$61,15,TRUE)</f>
        <v>-0.3219280949</v>
      </c>
      <c r="E8" s="10" t="str">
        <f>VLOOKUP(A8, Statements!$A$2:$P$61, 4, FALSE)</f>
        <v>Entertainment</v>
      </c>
    </row>
    <row r="9">
      <c r="A9" s="34">
        <f>Statements!A9</f>
        <v>8</v>
      </c>
      <c r="B9" s="22" t="str">
        <f>Statements!B9</f>
        <v>Taylor will break up with Travis</v>
      </c>
      <c r="C9" s="39">
        <v>0.4</v>
      </c>
      <c r="D9" s="40">
        <f>vlookup($A9,Statements!$A$2:$P$61,15,TRUE)</f>
        <v>0.2630344058</v>
      </c>
      <c r="E9" s="10" t="str">
        <f>VLOOKUP(A9, Statements!$A$2:$P$61, 4, FALSE)</f>
        <v>Entertainment</v>
      </c>
    </row>
    <row r="10">
      <c r="A10" s="34">
        <f>Statements!A10</f>
        <v>9</v>
      </c>
      <c r="B10" s="22" t="str">
        <f>Statements!B10</f>
        <v>Taylor will release the re-record of her debut album in 2024.</v>
      </c>
      <c r="C10" s="39">
        <v>0.7</v>
      </c>
      <c r="D10" s="40">
        <f>vlookup($A10,Statements!$A$2:$P$61,15,TRUE)</f>
        <v>-0.7369655942</v>
      </c>
      <c r="E10" s="10" t="str">
        <f>VLOOKUP(A10, Statements!$A$2:$P$61, 4, FALSE)</f>
        <v>Entertainment</v>
      </c>
    </row>
    <row r="11">
      <c r="A11" s="34">
        <f>Statements!A11</f>
        <v>10</v>
      </c>
      <c r="B11" s="22" t="str">
        <f>Statements!B11</f>
        <v>Barbie will win best picture at the academy awards.</v>
      </c>
      <c r="C11" s="39">
        <v>0.2</v>
      </c>
      <c r="D11" s="40" t="str">
        <f>vlookup($A11,Statements!$A$2:$P$61,15,TRUE)</f>
        <v/>
      </c>
      <c r="E11" s="10" t="str">
        <f>VLOOKUP(A11, Statements!$A$2:$P$61, 4, FALSE)</f>
        <v>Entertainment</v>
      </c>
    </row>
    <row r="12">
      <c r="A12" s="34">
        <f>Statements!A12</f>
        <v>11</v>
      </c>
      <c r="B12" s="22" t="str">
        <f>Statements!B12</f>
        <v>Kate will win at least two prizes for her Phillip and Bennelong book.</v>
      </c>
      <c r="C12" s="39">
        <v>0.7</v>
      </c>
      <c r="D12" s="40">
        <f>vlookup($A12,Statements!$A$2:$P$61,15,TRUE)</f>
        <v>0.4854268272</v>
      </c>
      <c r="E12" s="10" t="str">
        <f>VLOOKUP(A12, Statements!$A$2:$P$61, 4, FALSE)</f>
        <v>Family</v>
      </c>
    </row>
    <row r="13">
      <c r="A13" s="34">
        <f>Statements!A13</f>
        <v>12</v>
      </c>
      <c r="B13" s="22" t="str">
        <f>Statements!B13</f>
        <v>Baby Starmeadow will be under 50cm long at birth (Oz average is 50.8cm).</v>
      </c>
      <c r="C13" s="39">
        <v>0.7</v>
      </c>
      <c r="D13" s="40" t="str">
        <f>vlookup($A13,Statements!$A$2:$P$61,15,TRUE)</f>
        <v/>
      </c>
      <c r="E13" s="10" t="str">
        <f>VLOOKUP(A13, Statements!$A$2:$P$61, 4, FALSE)</f>
        <v>Family</v>
      </c>
    </row>
    <row r="14">
      <c r="A14" s="34">
        <f>Statements!A14</f>
        <v>13</v>
      </c>
      <c r="B14" s="22" t="str">
        <f>Statements!B14</f>
        <v>The Reserve Bank will announce at least three interest rate reductions in 2024</v>
      </c>
      <c r="C14" s="39">
        <v>0.6</v>
      </c>
      <c r="D14" s="40">
        <f>vlookup($A14,Statements!$A$2:$P$61,15,TRUE)</f>
        <v>-0.3219280949</v>
      </c>
      <c r="E14" s="10" t="str">
        <f>VLOOKUP(A14, Statements!$A$2:$P$61, 4, FALSE)</f>
        <v>Finance</v>
      </c>
    </row>
    <row r="15">
      <c r="A15" s="34">
        <f>Statements!A15</f>
        <v>14</v>
      </c>
      <c r="B15" s="22" t="str">
        <f>Statements!B15</f>
        <v>Bruce Lehrmann will be awarded damages</v>
      </c>
      <c r="C15" s="39">
        <v>0.4</v>
      </c>
      <c r="D15" s="40">
        <f>vlookup($A15,Statements!$A$2:$P$61,15,TRUE)</f>
        <v>0.2630344058</v>
      </c>
      <c r="E15" s="10" t="str">
        <f>VLOOKUP(A15, Statements!$A$2:$P$61, 4, FALSE)</f>
        <v>Law</v>
      </c>
    </row>
    <row r="16">
      <c r="A16" s="34">
        <f>Statements!A16</f>
        <v>15</v>
      </c>
      <c r="B16" s="22" t="str">
        <f>Statements!B16</f>
        <v>Chinese courts will refuse Evergrande liquidators’ requests to seize the developer’s assets in mainland China</v>
      </c>
      <c r="C16" s="39">
        <v>0.7</v>
      </c>
      <c r="D16" s="40">
        <f>vlookup($A16,Statements!$A$2:$P$61,15,TRUE)</f>
        <v>-0.7369655942</v>
      </c>
      <c r="E16" s="10" t="str">
        <f>VLOOKUP(A16, Statements!$A$2:$P$61, 4, FALSE)</f>
        <v>Law</v>
      </c>
    </row>
    <row r="17">
      <c r="A17" s="34">
        <f>Statements!A17</f>
        <v>16</v>
      </c>
      <c r="B17" s="22" t="str">
        <f>Statements!B17</f>
        <v>David McBride will be sentenced to a lifetime jail sentence</v>
      </c>
      <c r="C17" s="39">
        <v>0.7</v>
      </c>
      <c r="D17" s="40">
        <f>vlookup($A17,Statements!$A$2:$P$61,15,TRUE)</f>
        <v>-0.7369655942</v>
      </c>
      <c r="E17" s="10" t="str">
        <f>VLOOKUP(A17, Statements!$A$2:$P$61, 4, FALSE)</f>
        <v>Law</v>
      </c>
    </row>
    <row r="18">
      <c r="A18" s="34">
        <f>Statements!A18</f>
        <v>17</v>
      </c>
      <c r="B18" s="22" t="str">
        <f>Statements!B18</f>
        <v>The federal court will find that Bruce Lehrmann was not defamed</v>
      </c>
      <c r="C18" s="39">
        <v>0.7</v>
      </c>
      <c r="D18" s="40">
        <f>vlookup($A18,Statements!$A$2:$P$61,15,TRUE)</f>
        <v>0.4854268272</v>
      </c>
      <c r="E18" s="10" t="str">
        <f>VLOOKUP(A18, Statements!$A$2:$P$61, 4, FALSE)</f>
        <v>Law</v>
      </c>
    </row>
    <row r="19">
      <c r="A19" s="34">
        <f>Statements!A19</f>
        <v>18</v>
      </c>
      <c r="B19" s="22" t="str">
        <f>Statements!B19</f>
        <v>OpenAI successfully defends the New York Times' claim on the basis of fair use</v>
      </c>
      <c r="C19" s="39">
        <v>0.5</v>
      </c>
      <c r="D19" s="40">
        <f>vlookup($A19,Statements!$A$2:$P$61,15,TRUE)</f>
        <v>0</v>
      </c>
      <c r="E19" s="10" t="str">
        <f>VLOOKUP(A19, Statements!$A$2:$P$61, 4, FALSE)</f>
        <v>Law</v>
      </c>
    </row>
    <row r="20">
      <c r="A20" s="34">
        <f>Statements!A20</f>
        <v>19</v>
      </c>
      <c r="B20" s="22" t="str">
        <f>Statements!B20</f>
        <v>2024 will be the hottest European summer on record.</v>
      </c>
      <c r="C20" s="39">
        <v>0.8</v>
      </c>
      <c r="D20" s="40">
        <f>vlookup($A20,Statements!$A$2:$P$61,15,TRUE)</f>
        <v>0.6780719051</v>
      </c>
      <c r="E20" s="10" t="str">
        <f>VLOOKUP(A20, Statements!$A$2:$P$61, 4, FALSE)</f>
        <v>Nature</v>
      </c>
    </row>
    <row r="21">
      <c r="A21" s="34">
        <f>Statements!A21</f>
        <v>20</v>
      </c>
      <c r="B21" s="22" t="str">
        <f>Statements!B21</f>
        <v>The  NOAA will announce an alert level 5 bleaching event on the Great Barrier Reef</v>
      </c>
      <c r="C21" s="39">
        <v>0.7</v>
      </c>
      <c r="D21" s="40">
        <f>vlookup($A21,Statements!$A$2:$P$61,15,TRUE)</f>
        <v>-0.7369655942</v>
      </c>
      <c r="E21" s="10" t="str">
        <f>VLOOKUP(A21, Statements!$A$2:$P$61, 4, FALSE)</f>
        <v>Nature</v>
      </c>
    </row>
    <row r="22">
      <c r="A22" s="34">
        <f>Statements!A22</f>
        <v>21</v>
      </c>
      <c r="B22" s="22" t="str">
        <f>Statements!B22</f>
        <v>At least three cyclones will drench North Queensland before the end of the year.</v>
      </c>
      <c r="C22" s="39">
        <v>0.6</v>
      </c>
      <c r="D22" s="40">
        <f>vlookup($A22,Statements!$A$2:$P$61,15,TRUE)</f>
        <v>-0.3219280949</v>
      </c>
      <c r="E22" s="10" t="str">
        <f>VLOOKUP(A22, Statements!$A$2:$P$61, 4, FALSE)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0.6</v>
      </c>
      <c r="D23" s="40">
        <f>vlookup($A23,Statements!$A$2:$P$61,15,TRUE)</f>
        <v>-0.3219280949</v>
      </c>
      <c r="E23" s="10" t="str">
        <f>VLOOKUP(A23, Statements!$A$2:$P$61, 4, FALSE)</f>
        <v>Politics</v>
      </c>
    </row>
    <row r="24">
      <c r="A24" s="34">
        <f>Statements!A24</f>
        <v>23</v>
      </c>
      <c r="B24" s="22" t="str">
        <f>Statements!B24</f>
        <v>Trump will promise to enact an order or legislation with the express intention of negatively impacting Taylor Swift</v>
      </c>
      <c r="C24" s="39">
        <v>0.3</v>
      </c>
      <c r="D24" s="40">
        <f>vlookup($A24,Statements!$A$2:$P$61,15,TRUE)</f>
        <v>0.4854268272</v>
      </c>
      <c r="E24" s="10" t="str">
        <f>VLOOKUP(A24, Statements!$A$2:$P$61, 4, FALSE)</f>
        <v>Politics</v>
      </c>
    </row>
    <row r="25">
      <c r="A25" s="34">
        <f>Statements!A25</f>
        <v>24</v>
      </c>
      <c r="B25" s="22" t="str">
        <f>Statements!B25</f>
        <v>Netanyahu will lose the prime ministership of Israel during 2024</v>
      </c>
      <c r="C25" s="39">
        <v>0.6</v>
      </c>
      <c r="D25" s="40">
        <f>vlookup($A25,Statements!$A$2:$P$61,15,TRUE)</f>
        <v>-0.3219280949</v>
      </c>
      <c r="E25" s="10" t="str">
        <f>VLOOKUP(A25, Statements!$A$2:$P$61, 4, FALSE)</f>
        <v>Politics</v>
      </c>
    </row>
    <row r="26">
      <c r="A26" s="34">
        <f>Statements!A26</f>
        <v>25</v>
      </c>
      <c r="B26" s="22" t="str">
        <f>Statements!B26</f>
        <v>There will be an Australian Federal election in 2024</v>
      </c>
      <c r="C26" s="39">
        <v>0.3</v>
      </c>
      <c r="D26" s="40">
        <f>vlookup($A26,Statements!$A$2:$P$61,15,TRUE)</f>
        <v>0.4854268272</v>
      </c>
      <c r="E26" s="10" t="str">
        <f>VLOOKUP(A26, Statements!$A$2:$P$61, 4, FALSE)</f>
        <v>Politics</v>
      </c>
    </row>
    <row r="27">
      <c r="A27" s="34">
        <f>Statements!A27</f>
        <v>26</v>
      </c>
      <c r="B27" s="22" t="str">
        <f>Statements!B27</f>
        <v>Donald Trump will get less of the Popular vote than the Democratic candidate.</v>
      </c>
      <c r="C27" s="39">
        <v>0.7</v>
      </c>
      <c r="D27" s="40">
        <f>vlookup($A27,Statements!$A$2:$P$61,15,TRUE)</f>
        <v>-0.7369655942</v>
      </c>
      <c r="E27" s="10" t="str">
        <f>VLOOKUP(A27, Statements!$A$2:$P$61, 4, FALSE)</f>
        <v>Politics</v>
      </c>
    </row>
    <row r="28">
      <c r="A28" s="34">
        <f>Statements!A28</f>
        <v>27</v>
      </c>
      <c r="B28" s="22" t="str">
        <f>Statements!B28</f>
        <v>An Australian Aboriginal organisation will sign at least one state-based treaty this year.</v>
      </c>
      <c r="C28" s="39">
        <v>0.6</v>
      </c>
      <c r="D28" s="40">
        <f>vlookup($A28,Statements!$A$2:$P$61,15,TRUE)</f>
        <v>-0.3219280949</v>
      </c>
      <c r="E28" s="10" t="str">
        <f>VLOOKUP(A28, Statements!$A$2:$P$61, 4, FALSE)</f>
        <v>Politics</v>
      </c>
    </row>
    <row r="29">
      <c r="A29" s="34">
        <f>Statements!A29</f>
        <v>28</v>
      </c>
      <c r="B29" s="45" t="str">
        <f>Statements!B29</f>
        <v>Donald Trump will not go to prison this year.</v>
      </c>
      <c r="C29" s="46">
        <v>0.9</v>
      </c>
      <c r="D29" s="47">
        <f>vlookup($A29,Statements!$A$2:$P$61,15,TRUE)</f>
        <v>0.8479969066</v>
      </c>
      <c r="E29" s="10" t="str">
        <f>VLOOKUP(A29, Statements!$A$2:$P$61, 4, FALSE)</f>
        <v>Politics</v>
      </c>
    </row>
    <row r="30">
      <c r="A30" s="34">
        <f>Statements!A30</f>
        <v>29</v>
      </c>
      <c r="B30" s="22" t="str">
        <f>Statements!B30</f>
        <v>Modi will be re-elected in the upcoming Indian election</v>
      </c>
      <c r="C30" s="39">
        <v>0.8</v>
      </c>
      <c r="D30" s="40">
        <f>vlookup($A30,Statements!$A$2:$P$61,15,TRUE)</f>
        <v>0.6780719051</v>
      </c>
      <c r="E30" s="10" t="str">
        <f>VLOOKUP(A30, Statements!$A$2:$P$61, 4, FALSE)</f>
        <v>Politics</v>
      </c>
    </row>
    <row r="31">
      <c r="A31" s="34">
        <f>Statements!A31</f>
        <v>30</v>
      </c>
      <c r="B31" s="22" t="str">
        <f>Statements!B31</f>
        <v>Josh Frydenberg returns to politics, specifically, announces he will contest Kooyong</v>
      </c>
      <c r="C31" s="39">
        <v>0.3</v>
      </c>
      <c r="D31" s="40">
        <f>vlookup($A31,Statements!$A$2:$P$61,15,TRUE)</f>
        <v>0.4854268272</v>
      </c>
      <c r="E31" s="10" t="str">
        <f>VLOOKUP(A31, Statements!$A$2:$P$61, 4, FALSE)</f>
        <v>Politics</v>
      </c>
    </row>
    <row r="32">
      <c r="A32" s="34">
        <f>Statements!A32</f>
        <v>31</v>
      </c>
      <c r="B32" s="22" t="str">
        <f>Statements!B32</f>
        <v>The 2024 US Presidential election result will instigate widespread (multiple cities) violent (with injuries or deaths) unrest</v>
      </c>
      <c r="C32" s="39">
        <v>0.7</v>
      </c>
      <c r="D32" s="40">
        <f>vlookup($A32,Statements!$A$2:$P$61,15,TRUE)</f>
        <v>-0.7369655942</v>
      </c>
      <c r="E32" s="10" t="str">
        <f>VLOOKUP(A32, Statements!$A$2:$P$61, 4, FALSE)</f>
        <v>Politics</v>
      </c>
    </row>
    <row r="33">
      <c r="A33" s="34">
        <f>Statements!A33</f>
        <v>32</v>
      </c>
      <c r="B33" s="22" t="str">
        <f>Statements!B33</f>
        <v>Taylor swift will be credited/mentioned in U.S legislation created this year.</v>
      </c>
      <c r="C33" s="39">
        <v>0.3</v>
      </c>
      <c r="D33" s="40">
        <f>vlookup($A33,Statements!$A$2:$P$61,15,TRUE)</f>
        <v>0.4854268272</v>
      </c>
      <c r="E33" s="10" t="str">
        <f>VLOOKUP(A33, Statements!$A$2:$P$61, 4, FALSE)</f>
        <v>Politics</v>
      </c>
    </row>
    <row r="34">
      <c r="A34" s="34">
        <f>Statements!A34</f>
        <v>33</v>
      </c>
      <c r="B34" s="22" t="str">
        <f>Statements!B34</f>
        <v>The guardian Australia will publish more articles covering the UK election than the Russian and Ukrainian elections combined.</v>
      </c>
      <c r="C34" s="39">
        <v>0.6</v>
      </c>
      <c r="D34" s="40">
        <f>vlookup($A34,Statements!$A$2:$P$61,15,TRUE)</f>
        <v>0.2630344058</v>
      </c>
      <c r="E34" s="10" t="str">
        <f>VLOOKUP(A34, Statements!$A$2:$P$61, 4, FALSE)</f>
        <v>Politics</v>
      </c>
    </row>
    <row r="35">
      <c r="A35" s="34">
        <f>Statements!A35</f>
        <v>34</v>
      </c>
      <c r="B35" s="22" t="str">
        <f>Statements!B35</f>
        <v>Pope Francis will retire.</v>
      </c>
      <c r="C35" s="39">
        <v>0.7</v>
      </c>
      <c r="D35" s="40">
        <f>vlookup($A35,Statements!$A$2:$P$61,15,TRUE)</f>
        <v>-0.7369655942</v>
      </c>
      <c r="E35" s="10" t="str">
        <f>VLOOKUP(A35, Statements!$A$2:$P$61, 4, FALSE)</f>
        <v>Religion</v>
      </c>
    </row>
    <row r="36">
      <c r="A36" s="34">
        <f>Statements!A36</f>
        <v>35</v>
      </c>
      <c r="B36" s="22" t="str">
        <f>Statements!B36</f>
        <v>King Charles will announce his abdication of the throne</v>
      </c>
      <c r="C36" s="39">
        <v>0.3</v>
      </c>
      <c r="D36" s="40">
        <f>vlookup($A36,Statements!$A$2:$P$61,15,TRUE)</f>
        <v>0.4854268272</v>
      </c>
      <c r="E36" s="10" t="str">
        <f>VLOOKUP(A36, Statements!$A$2:$P$61, 4, FALSE)</f>
        <v>Royals</v>
      </c>
    </row>
    <row r="37">
      <c r="A37" s="34">
        <f>Statements!A37</f>
        <v>36</v>
      </c>
      <c r="B37" s="22" t="str">
        <f>Statements!B37</f>
        <v>Prince Andrew remains resident of the Royal Lodge until 15 Dec 2024</v>
      </c>
      <c r="C37" s="39">
        <v>0.7</v>
      </c>
      <c r="D37" s="40">
        <f>vlookup($A37,Statements!$A$2:$P$61,15,TRUE)</f>
        <v>0.4854268272</v>
      </c>
      <c r="E37" s="10" t="str">
        <f>VLOOKUP(A37, Statements!$A$2:$P$61, 4, FALSE)</f>
        <v>Royals</v>
      </c>
    </row>
    <row r="38">
      <c r="A38" s="10">
        <v>37.0</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0.3</v>
      </c>
      <c r="D38" s="40">
        <f>vlookup($A38,Statements!$A$2:$P$61,15,TRUE)</f>
        <v>0.4854268272</v>
      </c>
      <c r="E38" s="10" t="str">
        <f>VLOOKUP(A38, Statements!$A$2:$P$61, 4, FALSE)</f>
        <v>Royals</v>
      </c>
    </row>
    <row r="39">
      <c r="A39" s="34">
        <f>Statements!A39</f>
        <v>38</v>
      </c>
      <c r="B39" s="22" t="str">
        <f>Statements!B39</f>
        <v>A direct flight between Canberra and Queenstown will commence and run at regular intervals (at least fortnightly, completing at least 3 cycles of its schedule)</v>
      </c>
      <c r="C39" s="39">
        <v>0.6</v>
      </c>
      <c r="D39" s="40">
        <f>vlookup($A39,Statements!$A$2:$P$61,15,TRUE)</f>
        <v>-0.3219280949</v>
      </c>
      <c r="E39" s="10" t="str">
        <f>VLOOKUP(A39, Statements!$A$2:$P$61, 4, FALSE)</f>
        <v>Society</v>
      </c>
    </row>
    <row r="40">
      <c r="A40" s="34">
        <f>Statements!A40</f>
        <v>39</v>
      </c>
      <c r="B40" s="22" t="str">
        <f>Statements!B40</f>
        <v>Canberra restaurants will have more than 30 hats by the end of 2024 as per the Australian Good Food Guide</v>
      </c>
      <c r="C40" s="39">
        <v>0.4</v>
      </c>
      <c r="D40" s="40">
        <f>vlookup($A40,Statements!$A$2:$P$61,15,TRUE)</f>
        <v>0.2630344058</v>
      </c>
      <c r="E40" s="10" t="str">
        <f>VLOOKUP(A40, Statements!$A$2:$P$61, 4, FALSE)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0.7</v>
      </c>
      <c r="D41" s="40">
        <f>vlookup($A41,Statements!$A$2:$P$61,15,TRUE)</f>
        <v>-0.7369655942</v>
      </c>
      <c r="E41" s="10" t="str">
        <f>VLOOKUP(A41, Statements!$A$2:$P$61, 4, FALSE)</f>
        <v>Society</v>
      </c>
    </row>
    <row r="42">
      <c r="A42" s="34">
        <f>Statements!A42</f>
        <v>41</v>
      </c>
      <c r="B42" s="22" t="str">
        <f>Statements!B42</f>
        <v>Elon Musk confirmed to have another child on the way</v>
      </c>
      <c r="C42" s="39">
        <v>0.7</v>
      </c>
      <c r="D42" s="40">
        <f>vlookup($A42,Statements!$A$2:$P$61,15,TRUE)</f>
        <v>0.4854268272</v>
      </c>
      <c r="E42" s="10" t="str">
        <f>VLOOKUP(A42, Statements!$A$2:$P$61, 4, FALSE)</f>
        <v>Society</v>
      </c>
    </row>
    <row r="43">
      <c r="A43" s="34">
        <f>Statements!A43</f>
        <v>42</v>
      </c>
      <c r="B43" s="22" t="str">
        <f>Statements!B43</f>
        <v>A notional 0 will be given to a student in any of Rohans classes for being caught using ai in an assignment.</v>
      </c>
      <c r="C43" s="39">
        <v>0.4</v>
      </c>
      <c r="D43" s="40">
        <f>vlookup($A43,Statements!$A$2:$P$61,15,TRUE)</f>
        <v>-0.3219280949</v>
      </c>
      <c r="E43" s="10" t="str">
        <f>VLOOKUP(A43, Statements!$A$2:$P$61, 4, FALSE)</f>
        <v>Society</v>
      </c>
    </row>
    <row r="44">
      <c r="A44" s="34">
        <f>Statements!A44</f>
        <v>43</v>
      </c>
      <c r="B44" s="22" t="str">
        <f>Statements!B44</f>
        <v>Rafael Nadal will win the French tennis open in 2024</v>
      </c>
      <c r="C44" s="39">
        <v>0.6</v>
      </c>
      <c r="D44" s="40">
        <f>vlookup($A44,Statements!$A$2:$P$61,15,TRUE)</f>
        <v>-0.3219280949</v>
      </c>
      <c r="E44" s="10" t="str">
        <f>VLOOKUP(A44, Statements!$A$2:$P$61, 4, FALSE)</f>
        <v>Sport</v>
      </c>
    </row>
    <row r="45">
      <c r="A45" s="34">
        <f>Statements!A45</f>
        <v>44</v>
      </c>
      <c r="B45" s="22" t="str">
        <f>Statements!B45</f>
        <v>The AFL premiership will be won by a team whose name starts with a letter from the second half of the alphabet</v>
      </c>
      <c r="C45" s="39">
        <v>0.4</v>
      </c>
      <c r="D45" s="40">
        <f>vlookup($A45,Statements!$A$2:$P$61,15,TRUE)</f>
        <v>0.2630344058</v>
      </c>
      <c r="E45" s="10" t="str">
        <f>VLOOKUP(A45, Statements!$A$2:$P$61, 4, FALSE)</f>
        <v>Sport</v>
      </c>
    </row>
    <row r="46">
      <c r="A46" s="34">
        <f>Statements!A46</f>
        <v>45</v>
      </c>
      <c r="B46" s="22" t="str">
        <f>Statements!B46</f>
        <v>Australia will win more medals at the Paris Olympics than the last Olympics.</v>
      </c>
      <c r="C46" s="39">
        <v>0.7</v>
      </c>
      <c r="D46" s="40">
        <f>vlookup($A46,Statements!$A$2:$P$61,15,TRUE)</f>
        <v>0.4854268272</v>
      </c>
      <c r="E46" s="10" t="str">
        <f>VLOOKUP(A46, Statements!$A$2:$P$61, 4, FALSE)</f>
        <v>Sport</v>
      </c>
    </row>
    <row r="47">
      <c r="A47" s="34">
        <f>Statements!A47</f>
        <v>46</v>
      </c>
      <c r="B47" s="22" t="str">
        <f>Statements!B47</f>
        <v>Brisbane will win the AFL Grand Final.</v>
      </c>
      <c r="C47" s="39">
        <v>0.6</v>
      </c>
      <c r="D47" s="40">
        <f>vlookup($A47,Statements!$A$2:$P$61,15,TRUE)</f>
        <v>0.2630344058</v>
      </c>
      <c r="E47" s="10" t="str">
        <f>VLOOKUP(A47, Statements!$A$2:$P$61, 4, FALSE)</f>
        <v>Sport</v>
      </c>
    </row>
    <row r="48">
      <c r="A48" s="34">
        <f>Statements!A48</f>
        <v>47</v>
      </c>
      <c r="B48" s="22" t="str">
        <f>Statements!B48</f>
        <v>Collingwood will win the Grand Final</v>
      </c>
      <c r="C48" s="39">
        <v>0.4</v>
      </c>
      <c r="D48" s="40">
        <f>vlookup($A48,Statements!$A$2:$P$61,15,TRUE)</f>
        <v>0.2630344058</v>
      </c>
      <c r="E48" s="10" t="str">
        <f>VLOOKUP(A48, Statements!$A$2:$P$61, 4, FALSE)</f>
        <v>Sport</v>
      </c>
    </row>
    <row r="49">
      <c r="A49" s="34">
        <f>Statements!A49</f>
        <v>48</v>
      </c>
      <c r="B49" s="22" t="str">
        <f>Statements!B49</f>
        <v>Australia will win at least 9 gold in swimming at the Paris Olympics (they won 9 at Tokyo2020)</v>
      </c>
      <c r="C49" s="39">
        <v>0.7</v>
      </c>
      <c r="D49" s="40">
        <f>vlookup($A49,Statements!$A$2:$P$61,15,TRUE)</f>
        <v>-0.7369655942</v>
      </c>
      <c r="E49" s="10" t="str">
        <f>VLOOKUP(A49, Statements!$A$2:$P$61, 4, FALSE)</f>
        <v>Sport</v>
      </c>
    </row>
    <row r="50">
      <c r="A50" s="34">
        <f>Statements!A50</f>
        <v>49</v>
      </c>
      <c r="B50" s="48" t="str">
        <f>Statements!B50</f>
        <v>China will win the most gold medals of any nation at the Paris Olympics</v>
      </c>
      <c r="C50" s="49">
        <v>0.8</v>
      </c>
      <c r="D50" s="50">
        <f>vlookup($A50,Statements!$A$2:$P$61,15,TRUE)</f>
        <v>-1.321928095</v>
      </c>
      <c r="E50" s="10" t="str">
        <f>VLOOKUP(A50, Statements!$A$2:$P$61, 4, FALSE)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0.4</v>
      </c>
      <c r="D51" s="40">
        <f>vlookup($A51,Statements!$A$2:$P$61,15,TRUE)</f>
        <v>0.2630344058</v>
      </c>
      <c r="E51" s="10" t="str">
        <f>VLOOKUP(A51, Statements!$A$2:$P$61, 4, FALSE)</f>
        <v>Sport</v>
      </c>
    </row>
    <row r="52">
      <c r="A52" s="34">
        <f>Statements!A52</f>
        <v>51</v>
      </c>
      <c r="B52" s="22" t="str">
        <f>Statements!B52</f>
        <v>Central Coast Mariners will win the A league premiership this year.</v>
      </c>
      <c r="C52" s="39">
        <v>0.6</v>
      </c>
      <c r="D52" s="40">
        <f>vlookup($A52,Statements!$A$2:$P$61,15,TRUE)</f>
        <v>0.2630344058</v>
      </c>
      <c r="E52" s="10" t="str">
        <f>VLOOKUP(A52, Statements!$A$2:$P$61, 4, FALSE)</f>
        <v>Sport</v>
      </c>
    </row>
    <row r="53">
      <c r="A53" s="34">
        <f>Statements!A53</f>
        <v>52</v>
      </c>
      <c r="B53" s="22" t="str">
        <f>Statements!B53</f>
        <v>The Tour de France will not be won by a French national in 2024.</v>
      </c>
      <c r="C53" s="39">
        <v>0.8</v>
      </c>
      <c r="D53" s="40">
        <f>vlookup($A53,Statements!$A$2:$P$61,15,TRUE)</f>
        <v>0.6780719051</v>
      </c>
      <c r="E53" s="10" t="str">
        <f>VLOOKUP(A53, Statements!$A$2:$P$61, 4, FALSE)</f>
        <v>Sport</v>
      </c>
    </row>
    <row r="54">
      <c r="A54" s="34">
        <f>Statements!A54</f>
        <v>53</v>
      </c>
      <c r="B54" s="22" t="str">
        <f>Statements!B54</f>
        <v>Sergio Perez’s average qualifying position will be below p6.</v>
      </c>
      <c r="C54" s="39">
        <v>0.6</v>
      </c>
      <c r="D54" s="40">
        <f>vlookup($A54,Statements!$A$2:$P$61,15,TRUE)</f>
        <v>0.2630344058</v>
      </c>
      <c r="E54" s="10" t="str">
        <f>VLOOKUP(A54, Statements!$A$2:$P$61, 4, FALSE)</f>
        <v>Sport</v>
      </c>
    </row>
    <row r="55">
      <c r="A55" s="34">
        <f>Statements!A55</f>
        <v>54</v>
      </c>
      <c r="B55" s="22" t="str">
        <f>Statements!B55</f>
        <v>A service will exist to generate full episodes of bespoke TV (or films) based on prompts about the plot and casting</v>
      </c>
      <c r="C55" s="39">
        <v>0.6</v>
      </c>
      <c r="D55" s="40">
        <f>vlookup($A55,Statements!$A$2:$P$61,15,TRUE)</f>
        <v>0.2630344058</v>
      </c>
      <c r="E55" s="10" t="str">
        <f>VLOOKUP(A55, Statements!$A$2:$P$61, 4, FALSE)</f>
        <v>Technology</v>
      </c>
    </row>
    <row r="56">
      <c r="A56" s="34">
        <f>Statements!A56</f>
        <v>55</v>
      </c>
      <c r="B56" s="22" t="str">
        <f>Statements!B56</f>
        <v>Materially adverse complications arise to human subjects that have Neuralink installed</v>
      </c>
      <c r="C56" s="39">
        <v>0.6</v>
      </c>
      <c r="D56" s="40">
        <f>vlookup($A56,Statements!$A$2:$P$61,15,TRUE)</f>
        <v>-0.3219280949</v>
      </c>
      <c r="E56" s="10" t="str">
        <f>VLOOKUP(A56, Statements!$A$2:$P$61, 4, FALSE)</f>
        <v>Technology</v>
      </c>
    </row>
    <row r="57">
      <c r="A57" s="34">
        <f>Statements!A57</f>
        <v>56</v>
      </c>
      <c r="B57" s="22" t="str">
        <f>Statements!B57</f>
        <v>Some UAPs confirmed to be military aircraft by government officials or an official government statement</v>
      </c>
      <c r="C57" s="39">
        <v>0.5</v>
      </c>
      <c r="D57" s="40">
        <f>vlookup($A57,Statements!$A$2:$P$61,15,TRUE)</f>
        <v>0</v>
      </c>
      <c r="E57" s="10" t="str">
        <f>VLOOKUP(A57, Statements!$A$2:$P$61, 4, FALSE)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0.6</v>
      </c>
      <c r="D58" s="40">
        <f>vlookup($A58,Statements!$A$2:$P$61,15,TRUE)</f>
        <v>-0.3219280949</v>
      </c>
      <c r="E58" s="10" t="str">
        <f>VLOOKUP(A58, Statements!$A$2:$P$61, 4, FALSE)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0.5</v>
      </c>
      <c r="D59" s="40">
        <f>vlookup($A59,Statements!$A$2:$P$61,15,TRUE)</f>
        <v>0</v>
      </c>
      <c r="E59" s="10" t="str">
        <f>VLOOKUP(A59, Statements!$A$2:$P$61, 4, FALSE)</f>
        <v>Technology</v>
      </c>
    </row>
    <row r="60">
      <c r="A60" s="34">
        <f>Statements!A60</f>
        <v>59</v>
      </c>
      <c r="B60" s="22" t="str">
        <f>Statements!B60</f>
        <v>SpaceX's Starship vehicle will complete at least 1 full orbit of the Earth</v>
      </c>
      <c r="C60" s="39">
        <v>0.6</v>
      </c>
      <c r="D60" s="40">
        <f>vlookup($A60,Statements!$A$2:$P$61,15,TRUE)</f>
        <v>-0.3219280949</v>
      </c>
      <c r="E60" s="10" t="str">
        <f>VLOOKUP(A60, Statements!$A$2:$P$61, 4, FALSE)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0.65</v>
      </c>
      <c r="D61" s="40" t="str">
        <f>vlookup($A61,Statements!$A$2:$P$61,15,TRUE)</f>
        <v/>
      </c>
      <c r="E61" s="10" t="str">
        <f>VLOOKUP(A61, Statements!$A$2:$P$61, 4, FALSE)</f>
        <v>Royals</v>
      </c>
    </row>
    <row r="62">
      <c r="A62" s="34" t="str">
        <f>Statements!A62</f>
        <v/>
      </c>
      <c r="B62" s="22" t="str">
        <f>Statements!B62</f>
        <v/>
      </c>
    </row>
    <row r="63">
      <c r="A63" s="34" t="str">
        <f>Statements!A63</f>
        <v/>
      </c>
      <c r="B63" s="22" t="str">
        <f>Statements!B63</f>
        <v/>
      </c>
      <c r="C63" s="10" t="s">
        <v>116</v>
      </c>
      <c r="D63" s="52">
        <f>MAX($D$2:$D$61)</f>
        <v>0.8479969066</v>
      </c>
    </row>
    <row r="64">
      <c r="A64" s="34" t="str">
        <f>Statements!A64</f>
        <v/>
      </c>
      <c r="B64" s="22" t="str">
        <f>Statements!B64</f>
        <v/>
      </c>
      <c r="C64" s="10" t="s">
        <v>117</v>
      </c>
      <c r="D64" s="52">
        <f>MIN($D$2:$D$61)</f>
        <v>-1.321928095</v>
      </c>
      <c r="E64" s="53" t="s">
        <v>118</v>
      </c>
      <c r="F64" s="53" t="s">
        <v>119</v>
      </c>
    </row>
    <row r="65">
      <c r="A65" s="34" t="str">
        <f>Statements!A65</f>
        <v/>
      </c>
      <c r="B65" s="22" t="str">
        <f>Statements!B65</f>
        <v/>
      </c>
      <c r="C65" s="56" t="s">
        <v>21</v>
      </c>
      <c r="D65" s="32">
        <f t="shared" ref="D65:D75" si="1">sumif($E$2:$E$61,$C65,$D$2:$D$61)</f>
        <v>-0.9136466613</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0.4854268272</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-0.3219280949</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-0.7254699553</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-0.3808217839</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1.291095053</v>
      </c>
      <c r="E70" s="32">
        <f>min(Andrew!D70,Bruce!D70,Eileen!D70,Gael!D70,Iain!D70,Jac!D70,James!D70,Kate!D70,Lachy!D70,Pete!D70,Rohan!D70)</f>
        <v>-2.209102545</v>
      </c>
      <c r="F70" s="32">
        <f>max(Andrew!D70,Bruce!D70,Eileen!D70,Gael!D70,Iain!D70,Jac!D70,James!D70,Kate!D70,Lachy!D70,Pete!D70,Rohan!D70)</f>
        <v>4.920241353</v>
      </c>
    </row>
    <row r="71">
      <c r="B71" s="22"/>
      <c r="C71" s="57" t="s">
        <v>61</v>
      </c>
      <c r="D71" s="58">
        <f t="shared" si="1"/>
        <v>-0.7369655942</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1.456280482</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-0.6323605509</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0.3608833833</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-0.7027498788</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0.6</v>
      </c>
      <c r="D2" s="40" t="str">
        <f>vlookup($A2,Statements!$A$2:$P$61,8,TRUE)</f>
        <v/>
      </c>
      <c r="E2" s="10" t="str">
        <f>vlookup($A2,Statements!$A$2:$P$61,4,TRUE)</f>
        <v>Entertainment</v>
      </c>
    </row>
    <row r="3">
      <c r="A3" s="34">
        <f>Statements!A3</f>
        <v>2</v>
      </c>
      <c r="B3" s="22" t="str">
        <f>Statements!B3</f>
        <v>NewJeans surpass 13M subscribers on instagram (currently 11.3M)</v>
      </c>
      <c r="C3" s="39">
        <v>0.2</v>
      </c>
      <c r="D3" s="40">
        <f>vlookup($A3,Statements!$A$2:$P$61,8,TRUE)</f>
        <v>-1.321928095</v>
      </c>
      <c r="E3" s="10" t="str">
        <f>vlookup($A3,Statements!$A$2:$P$61,4,TRUE)</f>
        <v>Entertainment</v>
      </c>
    </row>
    <row r="4">
      <c r="A4" s="34">
        <f>Statements!A4</f>
        <v>3</v>
      </c>
      <c r="B4" s="22" t="str">
        <f>Statements!B4</f>
        <v>Timothee and Kylie break up</v>
      </c>
      <c r="C4" s="39">
        <v>0.8</v>
      </c>
      <c r="D4" s="40">
        <f>vlookup($A4,Statements!$A$2:$P$61,8,TRUE)</f>
        <v>-1.321928095</v>
      </c>
      <c r="E4" s="10" t="str">
        <f>vlookup($A4,Statements!$A$2:$P$61,4,TRUE)</f>
        <v>Entertainment</v>
      </c>
    </row>
    <row r="5">
      <c r="A5" s="34">
        <f>Statements!A5</f>
        <v>4</v>
      </c>
      <c r="B5" s="45" t="str">
        <f>Statements!B5</f>
        <v>A guest on Hot Ones will not complete the full set of hot sauces/wings</v>
      </c>
      <c r="C5" s="46">
        <v>0.1</v>
      </c>
      <c r="D5" s="47">
        <f>vlookup($A5,Statements!$A$2:$P$61,8,TRUE)</f>
        <v>0.8479969066</v>
      </c>
      <c r="E5" s="10" t="str">
        <f>vlookup($A5,Statements!$A$2:$P$61,4,TRUE)</f>
        <v>Entertainment</v>
      </c>
    </row>
    <row r="6">
      <c r="A6" s="34">
        <f>Statements!A6</f>
        <v>5</v>
      </c>
      <c r="B6" s="22" t="str">
        <f>Statements!B6</f>
        <v>An alone participant in a 2024 season (Australia/Denmark/UK) will fall ill from eating poisonous fruit they misidentify</v>
      </c>
      <c r="C6" s="39">
        <v>0.3</v>
      </c>
      <c r="D6" s="40">
        <f>vlookup($A6,Statements!$A$2:$P$61,8,TRUE)</f>
        <v>-0.7369655942</v>
      </c>
      <c r="E6" s="10" t="str">
        <f>vlookup($A6,Statements!$A$2:$P$61,4,TRUE)</f>
        <v>Entertainment</v>
      </c>
    </row>
    <row r="7">
      <c r="A7" s="34">
        <f>Statements!A7</f>
        <v>6</v>
      </c>
      <c r="B7" s="22" t="str">
        <f>Statements!B7</f>
        <v>An Australian or New Zealand restaurant will feature on the 2024 "World's 50 Best Restaurants" list</v>
      </c>
      <c r="C7" s="39">
        <v>0.7</v>
      </c>
      <c r="D7" s="40">
        <f>vlookup($A7,Statements!$A$2:$P$61,8,TRUE)</f>
        <v>-0.7369655942</v>
      </c>
      <c r="E7" s="10" t="str">
        <f>vlookup($A7,Statements!$A$2:$P$61,4,TRUE)</f>
        <v>Entertainment</v>
      </c>
    </row>
    <row r="8">
      <c r="A8" s="34">
        <f>Statements!A8</f>
        <v>7</v>
      </c>
      <c r="B8" s="22" t="str">
        <f>Statements!B8</f>
        <v>Dex (Kim Jin Young) will feature as a guest or star in a food-based show available on Netflix AU/NZ</v>
      </c>
      <c r="C8" s="39">
        <v>0.5</v>
      </c>
      <c r="D8" s="40">
        <f>vlookup($A8,Statements!$A$2:$P$61,8,TRUE)</f>
        <v>0</v>
      </c>
      <c r="E8" s="10" t="str">
        <f>vlookup($A8,Statements!$A$2:$P$61,4,TRUE)</f>
        <v>Entertainment</v>
      </c>
    </row>
    <row r="9">
      <c r="A9" s="34">
        <f>Statements!A9</f>
        <v>8</v>
      </c>
      <c r="B9" s="22" t="str">
        <f>Statements!B9</f>
        <v>Taylor will break up with Travis</v>
      </c>
      <c r="C9" s="39">
        <v>0.2</v>
      </c>
      <c r="D9" s="40">
        <f>vlookup($A9,Statements!$A$2:$P$61,8,TRUE)</f>
        <v>0.6780719051</v>
      </c>
      <c r="E9" s="10" t="str">
        <f>vlookup($A9,Statements!$A$2:$P$61,4,TRUE)</f>
        <v>Entertainment</v>
      </c>
    </row>
    <row r="10">
      <c r="A10" s="34">
        <f>Statements!A10</f>
        <v>9</v>
      </c>
      <c r="B10" s="22" t="str">
        <f>Statements!B10</f>
        <v>Taylor will release the re-record of her debut album in 2024.</v>
      </c>
      <c r="C10" s="39">
        <v>0.7</v>
      </c>
      <c r="D10" s="40">
        <f>vlookup($A10,Statements!$A$2:$P$61,8,TRUE)</f>
        <v>-0.7369655942</v>
      </c>
      <c r="E10" s="10" t="str">
        <f>vlookup($A10,Statements!$A$2:$P$61,4,TRUE)</f>
        <v>Entertainment</v>
      </c>
    </row>
    <row r="11">
      <c r="A11" s="34">
        <f>Statements!A11</f>
        <v>10</v>
      </c>
      <c r="B11" s="22" t="str">
        <f>Statements!B11</f>
        <v>Barbie will win best picture at the academy awards.</v>
      </c>
      <c r="C11" s="39">
        <v>0.1</v>
      </c>
      <c r="D11" s="40" t="str">
        <f>vlookup($A11,Statements!$A$2:$P$61,8,TRUE)</f>
        <v/>
      </c>
      <c r="E11" s="10" t="str">
        <f>vlookup($A11,Statements!$A$2:$P$61,4,TRUE)</f>
        <v>Entertainment</v>
      </c>
    </row>
    <row r="12">
      <c r="A12" s="34">
        <f>Statements!A12</f>
        <v>11</v>
      </c>
      <c r="B12" s="22" t="str">
        <f>Statements!B12</f>
        <v>Kate will win at least two prizes for her Phillip and Bennelong book.</v>
      </c>
      <c r="C12" s="39">
        <v>0.8</v>
      </c>
      <c r="D12" s="40">
        <f>vlookup($A12,Statements!$A$2:$P$61,8,TRUE)</f>
        <v>0.6780719051</v>
      </c>
      <c r="E12" s="10" t="str">
        <f>vlookup($A12,Statements!$A$2:$P$61,4,TRUE)</f>
        <v>Family</v>
      </c>
    </row>
    <row r="13">
      <c r="A13" s="34">
        <f>Statements!A13</f>
        <v>12</v>
      </c>
      <c r="B13" s="22" t="str">
        <f>Statements!B13</f>
        <v>Baby Starmeadow will be under 50cm long at birth (Oz average is 50.8cm).</v>
      </c>
      <c r="C13" s="39">
        <v>0.4</v>
      </c>
      <c r="D13" s="40" t="str">
        <f>vlookup($A13,Statements!$A$2:$P$61,8,TRUE)</f>
        <v/>
      </c>
      <c r="E13" s="10" t="str">
        <f>vlookup($A13,Statements!$A$2:$P$61,4,TRUE)</f>
        <v>Family</v>
      </c>
    </row>
    <row r="14">
      <c r="A14" s="34">
        <f>Statements!A14</f>
        <v>13</v>
      </c>
      <c r="B14" s="22" t="str">
        <f>Statements!B14</f>
        <v>The Reserve Bank will announce at least three interest rate reductions in 2024</v>
      </c>
      <c r="C14" s="39">
        <v>0.4</v>
      </c>
      <c r="D14" s="40">
        <f>vlookup($A14,Statements!$A$2:$P$61,8,TRUE)</f>
        <v>0.2630344058</v>
      </c>
      <c r="E14" s="10" t="str">
        <f>vlookup($A14,Statements!$A$2:$P$61,4,TRUE)</f>
        <v>Finance</v>
      </c>
    </row>
    <row r="15">
      <c r="A15" s="34">
        <f>Statements!A15</f>
        <v>14</v>
      </c>
      <c r="B15" s="45" t="str">
        <f>Statements!B15</f>
        <v>Bruce Lehrmann will be awarded damages</v>
      </c>
      <c r="C15" s="46">
        <v>0.1</v>
      </c>
      <c r="D15" s="47">
        <f>vlookup($A15,Statements!$A$2:$P$61,8,TRUE)</f>
        <v>0.8479969066</v>
      </c>
      <c r="E15" s="10" t="str">
        <f>vlookup($A15,Statements!$A$2:$P$61,4,TRUE)</f>
        <v>Law</v>
      </c>
    </row>
    <row r="16">
      <c r="A16" s="34">
        <f>Statements!A16</f>
        <v>15</v>
      </c>
      <c r="B16" s="22" t="str">
        <f>Statements!B16</f>
        <v>Chinese courts will refuse Evergrande liquidators’ requests to seize the developer’s assets in mainland China</v>
      </c>
      <c r="C16" s="39">
        <v>0.5</v>
      </c>
      <c r="D16" s="40">
        <f>vlookup($A16,Statements!$A$2:$P$61,8,TRUE)</f>
        <v>0</v>
      </c>
      <c r="E16" s="10" t="str">
        <f>vlookup($A16,Statements!$A$2:$P$61,4,TRUE)</f>
        <v>Law</v>
      </c>
    </row>
    <row r="17">
      <c r="A17" s="34">
        <f>Statements!A17</f>
        <v>16</v>
      </c>
      <c r="B17" s="22" t="str">
        <f>Statements!B17</f>
        <v>David McBride will be sentenced to a lifetime jail sentence</v>
      </c>
      <c r="C17" s="39">
        <v>0.3</v>
      </c>
      <c r="D17" s="40">
        <f>vlookup($A17,Statements!$A$2:$P$61,8,TRUE)</f>
        <v>0.4854268272</v>
      </c>
      <c r="E17" s="10" t="str">
        <f>vlookup($A17,Statements!$A$2:$P$61,4,TRUE)</f>
        <v>Law</v>
      </c>
    </row>
    <row r="18">
      <c r="A18" s="34">
        <f>Statements!A18</f>
        <v>17</v>
      </c>
      <c r="B18" s="22" t="str">
        <f>Statements!B18</f>
        <v>The federal court will find that Bruce Lehrmann was not defamed</v>
      </c>
      <c r="C18" s="39">
        <v>0.6</v>
      </c>
      <c r="D18" s="40">
        <f>vlookup($A18,Statements!$A$2:$P$61,8,TRUE)</f>
        <v>0.2630344058</v>
      </c>
      <c r="E18" s="10" t="str">
        <f>vlookup($A18,Statements!$A$2:$P$61,4,TRUE)</f>
        <v>Law</v>
      </c>
    </row>
    <row r="19">
      <c r="A19" s="34">
        <f>Statements!A19</f>
        <v>18</v>
      </c>
      <c r="B19" s="22" t="str">
        <f>Statements!B19</f>
        <v>OpenAI successfully defends the New York Times' claim on the basis of fair use</v>
      </c>
      <c r="C19" s="39">
        <v>0.4</v>
      </c>
      <c r="D19" s="40">
        <f>vlookup($A19,Statements!$A$2:$P$61,8,TRUE)</f>
        <v>0.2630344058</v>
      </c>
      <c r="E19" s="10" t="str">
        <f>vlookup($A19,Statements!$A$2:$P$61,4,TRUE)</f>
        <v>Law</v>
      </c>
    </row>
    <row r="20">
      <c r="A20" s="34">
        <f>Statements!A20</f>
        <v>19</v>
      </c>
      <c r="B20" s="22" t="str">
        <f>Statements!B20</f>
        <v>2024 will be the hottest European summer on record.</v>
      </c>
      <c r="C20" s="39">
        <v>0.6</v>
      </c>
      <c r="D20" s="40">
        <f>vlookup($A20,Statements!$A$2:$P$61,8,TRUE)</f>
        <v>0.2630344058</v>
      </c>
      <c r="E20" s="10" t="str">
        <f>vlookup($A20,Statements!$A$2:$P$61,4,TRUE)</f>
        <v>Nature</v>
      </c>
    </row>
    <row r="21">
      <c r="A21" s="34">
        <f>Statements!A21</f>
        <v>20</v>
      </c>
      <c r="B21" s="22" t="str">
        <f>Statements!B21</f>
        <v>The  NOAA will announce an alert level 5 bleaching event on the Great Barrier Reef</v>
      </c>
      <c r="C21" s="39">
        <v>0.7</v>
      </c>
      <c r="D21" s="40">
        <f>vlookup($A21,Statements!$A$2:$P$61,8,TRUE)</f>
        <v>-0.7369655942</v>
      </c>
      <c r="E21" s="10" t="str">
        <f>vlookup($A21,Statements!$A$2:$P$61,4,TRUE)</f>
        <v>Nature</v>
      </c>
    </row>
    <row r="22">
      <c r="A22" s="34">
        <f>Statements!A22</f>
        <v>21</v>
      </c>
      <c r="B22" s="48" t="str">
        <f>Statements!B22</f>
        <v>At least three cyclones will drench North Queensland before the end of the year.</v>
      </c>
      <c r="C22" s="49">
        <v>0.8</v>
      </c>
      <c r="D22" s="50">
        <f>vlookup($A22,Statements!$A$2:$P$61,8,TRUE)</f>
        <v>-1.321928095</v>
      </c>
      <c r="E22" s="10" t="str">
        <f>vlookup($A22,Statements!$A$2:$P$61,4,TRUE)</f>
        <v>Nature</v>
      </c>
    </row>
    <row r="23">
      <c r="A23" s="34">
        <f>Statements!A23</f>
        <v>22</v>
      </c>
      <c r="B23" s="48" t="str">
        <f>Statements!B23</f>
        <v>A head of state or relevant minister from an island nation will declare their geographic country no longer inhabitable in the long term, due to climate-related issues. This will include a commitment to relevant action of some kind</v>
      </c>
      <c r="C23" s="49">
        <v>0.8</v>
      </c>
      <c r="D23" s="50">
        <f>vlookup($A23,Statements!$A$2:$P$61,8,TRUE)</f>
        <v>-1.321928095</v>
      </c>
      <c r="E23" s="10" t="str">
        <f>vlookup($A23,Statements!$A$2:$P$61,4,TRUE)</f>
        <v>Politics</v>
      </c>
    </row>
    <row r="24">
      <c r="A24" s="34">
        <f>Statements!A24</f>
        <v>23</v>
      </c>
      <c r="B24" s="22" t="str">
        <f>Statements!B24</f>
        <v>Trump will promise to enact an order or legislation with the express intention of negatively impacting Taylor Swift</v>
      </c>
      <c r="C24" s="39">
        <v>0.7</v>
      </c>
      <c r="D24" s="40">
        <f>vlookup($A24,Statements!$A$2:$P$61,8,TRUE)</f>
        <v>-0.7369655942</v>
      </c>
      <c r="E24" s="10" t="str">
        <f>vlookup($A24,Statements!$A$2:$P$61,4,TRUE)</f>
        <v>Politics</v>
      </c>
    </row>
    <row r="25">
      <c r="A25" s="34">
        <f>Statements!A25</f>
        <v>24</v>
      </c>
      <c r="B25" s="22" t="str">
        <f>Statements!B25</f>
        <v>Netanyahu will lose the prime ministership of Israel during 2024</v>
      </c>
      <c r="C25" s="39">
        <v>0.7</v>
      </c>
      <c r="D25" s="40">
        <f>vlookup($A25,Statements!$A$2:$P$61,8,TRUE)</f>
        <v>-0.7369655942</v>
      </c>
      <c r="E25" s="10" t="str">
        <f>vlookup($A25,Statements!$A$2:$P$61,4,TRUE)</f>
        <v>Politics</v>
      </c>
    </row>
    <row r="26">
      <c r="A26" s="34">
        <f>Statements!A26</f>
        <v>25</v>
      </c>
      <c r="B26" s="22" t="str">
        <f>Statements!B26</f>
        <v>There will be an Australian Federal election in 2024</v>
      </c>
      <c r="C26" s="39">
        <v>0.3</v>
      </c>
      <c r="D26" s="40">
        <f>vlookup($A26,Statements!$A$2:$P$61,8,TRUE)</f>
        <v>0.4854268272</v>
      </c>
      <c r="E26" s="10" t="str">
        <f>vlookup($A26,Statements!$A$2:$P$61,4,TRUE)</f>
        <v>Politics</v>
      </c>
    </row>
    <row r="27">
      <c r="A27" s="34">
        <f>Statements!A27</f>
        <v>26</v>
      </c>
      <c r="B27" s="48" t="str">
        <f>Statements!B27</f>
        <v>Donald Trump will get less of the Popular vote than the Democratic candidate.</v>
      </c>
      <c r="C27" s="49">
        <v>0.8</v>
      </c>
      <c r="D27" s="50">
        <f>vlookup($A27,Statements!$A$2:$P$61,8,TRUE)</f>
        <v>-1.321928095</v>
      </c>
      <c r="E27" s="10" t="str">
        <f>vlookup($A27,Statements!$A$2:$P$61,4,TRUE)</f>
        <v>Politics</v>
      </c>
    </row>
    <row r="28">
      <c r="A28" s="34">
        <f>Statements!A28</f>
        <v>27</v>
      </c>
      <c r="B28" s="22" t="str">
        <f>Statements!B28</f>
        <v>An Australian Aboriginal organisation will sign at least one state-based treaty this year.</v>
      </c>
      <c r="C28" s="39">
        <v>0.5</v>
      </c>
      <c r="D28" s="40">
        <f>vlookup($A28,Statements!$A$2:$P$61,8,TRUE)</f>
        <v>0</v>
      </c>
      <c r="E28" s="10" t="str">
        <f>vlookup($A28,Statements!$A$2:$P$61,4,TRUE)</f>
        <v>Politics</v>
      </c>
    </row>
    <row r="29">
      <c r="A29" s="34">
        <f>Statements!A29</f>
        <v>28</v>
      </c>
      <c r="B29" s="22" t="str">
        <f>Statements!B29</f>
        <v>Donald Trump will not go to prison this year.</v>
      </c>
      <c r="C29" s="39">
        <v>0.8</v>
      </c>
      <c r="D29" s="40">
        <f>vlookup($A29,Statements!$A$2:$P$61,8,TRUE)</f>
        <v>0.6780719051</v>
      </c>
      <c r="E29" s="10" t="str">
        <f>vlookup($A29,Statements!$A$2:$P$61,4,TRUE)</f>
        <v>Politics</v>
      </c>
    </row>
    <row r="30">
      <c r="A30" s="34">
        <f>Statements!A30</f>
        <v>29</v>
      </c>
      <c r="B30" s="45" t="str">
        <f>Statements!B30</f>
        <v>Modi will be re-elected in the upcoming Indian election</v>
      </c>
      <c r="C30" s="46">
        <v>0.9</v>
      </c>
      <c r="D30" s="47">
        <f>vlookup($A30,Statements!$A$2:$P$61,8,TRUE)</f>
        <v>0.8479969066</v>
      </c>
      <c r="E30" s="10" t="str">
        <f>vlookup($A30,Statements!$A$2:$P$61,4,TRUE)</f>
        <v>Politics</v>
      </c>
    </row>
    <row r="31">
      <c r="A31" s="34">
        <f>Statements!A31</f>
        <v>30</v>
      </c>
      <c r="B31" s="22" t="str">
        <f>Statements!B31</f>
        <v>Josh Frydenberg returns to politics, specifically, announces he will contest Kooyong</v>
      </c>
      <c r="C31" s="39">
        <v>0.5</v>
      </c>
      <c r="D31" s="40">
        <f>vlookup($A31,Statements!$A$2:$P$61,8,TRUE)</f>
        <v>0</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0.4</v>
      </c>
      <c r="D32" s="40">
        <f>vlookup($A32,Statements!$A$2:$P$61,8,TRUE)</f>
        <v>0.2630344058</v>
      </c>
      <c r="E32" s="10" t="str">
        <f>vlookup($A32,Statements!$A$2:$P$61,4,TRUE)</f>
        <v>Politics</v>
      </c>
    </row>
    <row r="33">
      <c r="A33" s="34">
        <f>Statements!A33</f>
        <v>32</v>
      </c>
      <c r="B33" s="22" t="str">
        <f>Statements!B33</f>
        <v>Taylor swift will be credited/mentioned in U.S legislation created this year.</v>
      </c>
      <c r="C33" s="39">
        <v>0.6</v>
      </c>
      <c r="D33" s="40">
        <f>vlookup($A33,Statements!$A$2:$P$61,8,TRUE)</f>
        <v>-0.3219280949</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0.5</v>
      </c>
      <c r="D34" s="40">
        <f>vlookup($A34,Statements!$A$2:$P$61,8,TRUE)</f>
        <v>0</v>
      </c>
      <c r="E34" s="10" t="str">
        <f>vlookup($A34,Statements!$A$2:$P$61,4,TRUE)</f>
        <v>Politics</v>
      </c>
    </row>
    <row r="35">
      <c r="A35" s="34">
        <f>Statements!A35</f>
        <v>34</v>
      </c>
      <c r="B35" s="22" t="str">
        <f>Statements!B35</f>
        <v>Pope Francis will retire.</v>
      </c>
      <c r="C35" s="39">
        <v>0.3</v>
      </c>
      <c r="D35" s="40">
        <f>vlookup($A35,Statements!$A$2:$P$61,8,TRUE)</f>
        <v>0.4854268272</v>
      </c>
      <c r="E35" s="10" t="str">
        <f>vlookup($A35,Statements!$A$2:$P$61,4,TRUE)</f>
        <v>Religion</v>
      </c>
    </row>
    <row r="36">
      <c r="A36" s="34">
        <f>Statements!A36</f>
        <v>35</v>
      </c>
      <c r="B36" s="22" t="str">
        <f>Statements!B36</f>
        <v>King Charles will announce his abdication of the throne</v>
      </c>
      <c r="C36" s="39">
        <v>0.4</v>
      </c>
      <c r="D36" s="40">
        <f>vlookup($A36,Statements!$A$2:$P$61,8,TRUE)</f>
        <v>0.2630344058</v>
      </c>
      <c r="E36" s="10" t="str">
        <f>vlookup($A36,Statements!$A$2:$P$61,4,TRUE)</f>
        <v>Royals</v>
      </c>
    </row>
    <row r="37">
      <c r="A37" s="34">
        <f>Statements!A37</f>
        <v>36</v>
      </c>
      <c r="B37" s="22" t="str">
        <f>Statements!B37</f>
        <v>Prince Andrew remains resident of the Royal Lodge until 15 Dec 2024</v>
      </c>
      <c r="C37" s="39">
        <v>0.5</v>
      </c>
      <c r="D37" s="40">
        <f>vlookup($A37,Statements!$A$2:$P$61,8,TRUE)</f>
        <v>0</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0.2</v>
      </c>
      <c r="D38" s="40">
        <f>vlookup($A38,Statements!$A$2:$P$61,8,TRUE)</f>
        <v>0.6780719051</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0.3</v>
      </c>
      <c r="D39" s="40">
        <f>vlookup($A39,Statements!$A$2:$P$61,8,TRUE)</f>
        <v>0.4854268272</v>
      </c>
      <c r="E39" s="10" t="str">
        <f>vlookup($A39,Statements!$A$2:$P$61,4,TRUE)</f>
        <v>Society</v>
      </c>
    </row>
    <row r="40">
      <c r="A40" s="34">
        <f>Statements!A40</f>
        <v>39</v>
      </c>
      <c r="B40" s="22" t="str">
        <f>Statements!B40</f>
        <v>Canberra restaurants will have more than 30 hats by the end of 2024 as per the Australian Good Food Guide</v>
      </c>
      <c r="C40" s="39">
        <v>0.2</v>
      </c>
      <c r="D40" s="40">
        <f>vlookup($A40,Statements!$A$2:$P$61,8,TRUE)</f>
        <v>0.6780719051</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0.5</v>
      </c>
      <c r="D41" s="40">
        <f>vlookup($A41,Statements!$A$2:$P$61,8,TRUE)</f>
        <v>0</v>
      </c>
      <c r="E41" s="10" t="str">
        <f>vlookup($A41,Statements!$A$2:$P$61,4,TRUE)</f>
        <v>Society</v>
      </c>
    </row>
    <row r="42">
      <c r="A42" s="34">
        <f>Statements!A42</f>
        <v>41</v>
      </c>
      <c r="B42" s="22" t="str">
        <f>Statements!B42</f>
        <v>Elon Musk confirmed to have another child on the way</v>
      </c>
      <c r="C42" s="39">
        <v>0.8</v>
      </c>
      <c r="D42" s="40">
        <f>vlookup($A42,Statements!$A$2:$P$61,8,TRUE)</f>
        <v>0.6780719051</v>
      </c>
      <c r="E42" s="10" t="str">
        <f>vlookup($A42,Statements!$A$2:$P$61,4,TRUE)</f>
        <v>Society</v>
      </c>
    </row>
    <row r="43">
      <c r="A43" s="34">
        <f>Statements!A43</f>
        <v>42</v>
      </c>
      <c r="B43" s="22" t="str">
        <f>Statements!B43</f>
        <v>A notional 0 will be given to a student in any of Rohans classes for being caught using ai in an assignment.</v>
      </c>
      <c r="C43" s="39">
        <v>0.4</v>
      </c>
      <c r="D43" s="40">
        <f>vlookup($A43,Statements!$A$2:$P$61,8,TRUE)</f>
        <v>-0.3219280949</v>
      </c>
      <c r="E43" s="10" t="str">
        <f>vlookup($A43,Statements!$A$2:$P$61,4,TRUE)</f>
        <v>Society</v>
      </c>
    </row>
    <row r="44">
      <c r="A44" s="34">
        <f>Statements!A44</f>
        <v>43</v>
      </c>
      <c r="B44" s="22" t="str">
        <f>Statements!B44</f>
        <v>Rafael Nadal will win the French tennis open in 2024</v>
      </c>
      <c r="C44" s="39">
        <v>0.3</v>
      </c>
      <c r="D44" s="40">
        <f>vlookup($A44,Statements!$A$2:$P$61,8,TRUE)</f>
        <v>0.4854268272</v>
      </c>
      <c r="E44" s="10" t="str">
        <f>vlookup($A44,Statements!$A$2:$P$61,4,TRUE)</f>
        <v>Sport</v>
      </c>
    </row>
    <row r="45">
      <c r="A45" s="34">
        <f>Statements!A45</f>
        <v>44</v>
      </c>
      <c r="B45" s="22" t="str">
        <f>Statements!B45</f>
        <v>The AFL premiership will be won by a team whose name starts with a letter from the second half of the alphabet</v>
      </c>
      <c r="C45" s="39">
        <v>0.3</v>
      </c>
      <c r="D45" s="40">
        <f>vlookup($A45,Statements!$A$2:$P$61,8,TRUE)</f>
        <v>0.4854268272</v>
      </c>
      <c r="E45" s="10" t="str">
        <f>vlookup($A45,Statements!$A$2:$P$61,4,TRUE)</f>
        <v>Sport</v>
      </c>
    </row>
    <row r="46">
      <c r="A46" s="34">
        <f>Statements!A46</f>
        <v>45</v>
      </c>
      <c r="B46" s="22" t="str">
        <f>Statements!B46</f>
        <v>Australia will win more medals at the Paris Olympics than the last Olympics.</v>
      </c>
      <c r="C46" s="39">
        <v>0.2</v>
      </c>
      <c r="D46" s="40">
        <f>vlookup($A46,Statements!$A$2:$P$61,8,TRUE)</f>
        <v>-1.321928095</v>
      </c>
      <c r="E46" s="10" t="str">
        <f>vlookup($A46,Statements!$A$2:$P$61,4,TRUE)</f>
        <v>Sport</v>
      </c>
    </row>
    <row r="47">
      <c r="A47" s="34">
        <f>Statements!A47</f>
        <v>46</v>
      </c>
      <c r="B47" s="22" t="str">
        <f>Statements!B47</f>
        <v>Brisbane will win the AFL Grand Final.</v>
      </c>
      <c r="C47" s="39">
        <v>0.3</v>
      </c>
      <c r="D47" s="40">
        <f>vlookup($A47,Statements!$A$2:$P$61,8,TRUE)</f>
        <v>-0.7369655942</v>
      </c>
      <c r="E47" s="10" t="str">
        <f>vlookup($A47,Statements!$A$2:$P$61,4,TRUE)</f>
        <v>Sport</v>
      </c>
    </row>
    <row r="48">
      <c r="A48" s="34">
        <f>Statements!A48</f>
        <v>47</v>
      </c>
      <c r="B48" s="22" t="str">
        <f>Statements!B48</f>
        <v>Collingwood will win the Grand Final</v>
      </c>
      <c r="C48" s="39">
        <v>0.7</v>
      </c>
      <c r="D48" s="40">
        <f>vlookup($A48,Statements!$A$2:$P$61,8,TRUE)</f>
        <v>-0.7369655942</v>
      </c>
      <c r="E48" s="10" t="str">
        <f>vlookup($A48,Statements!$A$2:$P$61,4,TRUE)</f>
        <v>Sport</v>
      </c>
    </row>
    <row r="49">
      <c r="A49" s="34">
        <f>Statements!A49</f>
        <v>48</v>
      </c>
      <c r="B49" s="22" t="str">
        <f>Statements!B49</f>
        <v>Australia will win at least 9 gold in swimming at the Paris Olympics (they won 9 at Tokyo2020)</v>
      </c>
      <c r="C49" s="39">
        <v>0.5</v>
      </c>
      <c r="D49" s="40">
        <f>vlookup($A49,Statements!$A$2:$P$61,8,TRUE)</f>
        <v>0</v>
      </c>
      <c r="E49" s="10" t="str">
        <f>vlookup($A49,Statements!$A$2:$P$61,4,TRUE)</f>
        <v>Sport</v>
      </c>
    </row>
    <row r="50">
      <c r="A50" s="34">
        <f>Statements!A50</f>
        <v>49</v>
      </c>
      <c r="B50" s="22" t="str">
        <f>Statements!B50</f>
        <v>China will win the most gold medals of any nation at the Paris Olympics</v>
      </c>
      <c r="C50" s="39">
        <v>0.5</v>
      </c>
      <c r="D50" s="40">
        <f>vlookup($A50,Statements!$A$2:$P$61,8,TRUE)</f>
        <v>0</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0.4</v>
      </c>
      <c r="D51" s="40">
        <f>vlookup($A51,Statements!$A$2:$P$61,8,TRUE)</f>
        <v>0.2630344058</v>
      </c>
      <c r="E51" s="10" t="str">
        <f>vlookup($A51,Statements!$A$2:$P$61,4,TRUE)</f>
        <v>Sport</v>
      </c>
    </row>
    <row r="52">
      <c r="A52" s="34">
        <f>Statements!A52</f>
        <v>51</v>
      </c>
      <c r="B52" s="22" t="str">
        <f>Statements!B52</f>
        <v>Central Coast Mariners will win the A league premiership this year.</v>
      </c>
      <c r="C52" s="39">
        <v>0.6</v>
      </c>
      <c r="D52" s="40">
        <f>vlookup($A52,Statements!$A$2:$P$61,8,TRUE)</f>
        <v>0.2630344058</v>
      </c>
      <c r="E52" s="10" t="str">
        <f>vlookup($A52,Statements!$A$2:$P$61,4,TRUE)</f>
        <v>Sport</v>
      </c>
    </row>
    <row r="53">
      <c r="A53" s="34">
        <f>Statements!A53</f>
        <v>52</v>
      </c>
      <c r="B53" s="22" t="str">
        <f>Statements!B53</f>
        <v>The Tour de France will not be won by a French national in 2024.</v>
      </c>
      <c r="C53" s="39">
        <v>0.3</v>
      </c>
      <c r="D53" s="40">
        <f>vlookup($A53,Statements!$A$2:$P$61,8,TRUE)</f>
        <v>-0.7369655942</v>
      </c>
      <c r="E53" s="10" t="str">
        <f>vlookup($A53,Statements!$A$2:$P$61,4,TRUE)</f>
        <v>Sport</v>
      </c>
    </row>
    <row r="54">
      <c r="A54" s="34">
        <f>Statements!A54</f>
        <v>53</v>
      </c>
      <c r="B54" s="22" t="str">
        <f>Statements!B54</f>
        <v>Sergio Perez’s average qualifying position will be below p6.</v>
      </c>
      <c r="C54" s="39">
        <v>0.5</v>
      </c>
      <c r="D54" s="40">
        <f>vlookup($A54,Statements!$A$2:$P$61,8,TRUE)</f>
        <v>0</v>
      </c>
      <c r="E54" s="10" t="str">
        <f>vlookup($A54,Statements!$A$2:$P$61,4,TRUE)</f>
        <v>Sport</v>
      </c>
    </row>
    <row r="55">
      <c r="A55" s="34">
        <f>Statements!A55</f>
        <v>54</v>
      </c>
      <c r="B55" s="22" t="str">
        <f>Statements!B55</f>
        <v>A service will exist to generate full episodes of bespoke TV (or films) based on prompts about the plot and casting</v>
      </c>
      <c r="C55" s="39">
        <v>0.3</v>
      </c>
      <c r="D55" s="40">
        <f>vlookup($A55,Statements!$A$2:$P$61,8,TRUE)</f>
        <v>-0.7369655942</v>
      </c>
      <c r="E55" s="10" t="str">
        <f>vlookup($A55,Statements!$A$2:$P$61,4,TRUE)</f>
        <v>Technology</v>
      </c>
    </row>
    <row r="56">
      <c r="A56" s="34">
        <f>Statements!A56</f>
        <v>55</v>
      </c>
      <c r="B56" s="22" t="str">
        <f>Statements!B56</f>
        <v>Materially adverse complications arise to human subjects that have Neuralink installed</v>
      </c>
      <c r="C56" s="39">
        <v>0.4</v>
      </c>
      <c r="D56" s="40">
        <f>vlookup($A56,Statements!$A$2:$P$61,8,TRUE)</f>
        <v>0.2630344058</v>
      </c>
      <c r="E56" s="10" t="str">
        <f>vlookup($A56,Statements!$A$2:$P$61,4,TRUE)</f>
        <v>Technology</v>
      </c>
    </row>
    <row r="57">
      <c r="A57" s="34">
        <f>Statements!A57</f>
        <v>56</v>
      </c>
      <c r="B57" s="22" t="str">
        <f>Statements!B57</f>
        <v>Some UAPs confirmed to be military aircraft by government officials or an official government statement</v>
      </c>
      <c r="C57" s="39">
        <v>0.3</v>
      </c>
      <c r="D57" s="40">
        <f>vlookup($A57,Statements!$A$2:$P$61,8,TRUE)</f>
        <v>0.4854268272</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0.2</v>
      </c>
      <c r="D58" s="40">
        <f>vlookup($A58,Statements!$A$2:$P$61,8,TRUE)</f>
        <v>0.6780719051</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0.3</v>
      </c>
      <c r="D59" s="40">
        <f>vlookup($A59,Statements!$A$2:$P$61,8,TRUE)</f>
        <v>0.4854268272</v>
      </c>
      <c r="E59" s="10" t="str">
        <f>vlookup($A59,Statements!$A$2:$P$61,4,TRUE)</f>
        <v>Technology</v>
      </c>
    </row>
    <row r="60">
      <c r="A60" s="34">
        <f>Statements!A60</f>
        <v>59</v>
      </c>
      <c r="B60" s="22" t="str">
        <f>Statements!B60</f>
        <v>SpaceX's Starship vehicle will complete at least 1 full orbit of the Earth</v>
      </c>
      <c r="C60" s="39">
        <v>0.2</v>
      </c>
      <c r="D60" s="40">
        <f>vlookup($A60,Statements!$A$2:$P$61,8,TRUE)</f>
        <v>0.6780719051</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0.5</v>
      </c>
      <c r="D61" s="40" t="str">
        <f>vlookup($A61,Statements!$A$2:$P$61,8,TRUE)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0.8479969066</v>
      </c>
    </row>
    <row r="64">
      <c r="A64" s="34" t="str">
        <f>Statements!A64</f>
        <v/>
      </c>
      <c r="B64" s="22" t="str">
        <f>Statements!B64</f>
        <v/>
      </c>
      <c r="C64" s="10" t="s">
        <v>117</v>
      </c>
      <c r="D64" s="52">
        <f>MIN($D$2:$D$61)</f>
        <v>-1.321928095</v>
      </c>
      <c r="E64" s="53" t="s">
        <v>118</v>
      </c>
      <c r="F64" s="53" t="s">
        <v>119</v>
      </c>
    </row>
    <row r="65">
      <c r="A65" s="34" t="str">
        <f>Statements!A65</f>
        <v/>
      </c>
      <c r="B65" s="22" t="str">
        <f>Statements!B65</f>
        <v/>
      </c>
      <c r="C65" s="56" t="s">
        <v>21</v>
      </c>
      <c r="D65" s="32">
        <f t="shared" ref="D65:D75" si="1">sumif($E$2:$E$61,$C65,$D$2:$D$61)</f>
        <v>-3.328684161</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4" t="s">
        <v>33</v>
      </c>
      <c r="D66" s="55">
        <f t="shared" si="1"/>
        <v>0.6780719051</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0.2630344058</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4" t="s">
        <v>38</v>
      </c>
      <c r="D68" s="55">
        <f t="shared" si="1"/>
        <v>1.859492545</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-1.795859283</v>
      </c>
      <c r="E69" s="32">
        <f>min(Andrew!D69,Bruce!D69,Eileen!D69,Gael!D69,Iain!D69,Jac!D69,James!D69,Kate!D69,Lachy!D69,Pete!D69,Rohan!D69)</f>
        <v>-4.895394957</v>
      </c>
      <c r="F69" s="32">
        <f>max(Andrew!D69,Bruce!D69,Eileen!D69,Gael!D69,Iain!D69,Jac!D69,James!D69,Kate!D69,Lachy!D69,Pete!D69,Rohan!D69)</f>
        <v>2.011495639</v>
      </c>
    </row>
    <row r="70">
      <c r="B70" s="22"/>
      <c r="C70" s="57" t="s">
        <v>48</v>
      </c>
      <c r="D70" s="58">
        <f t="shared" si="1"/>
        <v>-2.165185428</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0.4854268272</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0.9411063109</v>
      </c>
      <c r="E72" s="32">
        <f>min(Andrew!D72,Bruce!D72,Eileen!D72,Gael!D72,Iain!D72,Jac!D72,James!D72,Kate!D72,Lachy!D72,Pete!D72,Rohan!D72)</f>
        <v>-0.07339325875</v>
      </c>
      <c r="F72" s="32">
        <f>max(Andrew!D72,Bruce!D72,Eileen!D72,Gael!D72,Iain!D72,Jac!D72,James!D72,Kate!D72,Lachy!D72,Pete!D72,Rohan!D72)</f>
        <v>2.45206823</v>
      </c>
    </row>
    <row r="73">
      <c r="B73" s="22"/>
      <c r="C73" s="54" t="s">
        <v>67</v>
      </c>
      <c r="D73" s="55">
        <f t="shared" si="1"/>
        <v>1.519642543</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-2.035902411</v>
      </c>
      <c r="E74" s="32">
        <f>min(Andrew!D74,Bruce!D74,Eileen!D74,Gael!D74,Iain!D74,Jac!D74,James!D74,Kate!D74,Lachy!D74,Pete!D74,Rohan!D74)</f>
        <v>-2.995260427</v>
      </c>
      <c r="F74" s="32">
        <f>max(Andrew!D74,Bruce!D74,Eileen!D74,Gael!D74,Iain!D74,Jac!D74,James!D74,Kate!D74,Lachy!D74,Pete!D74,Rohan!D74)</f>
        <v>3.208413849</v>
      </c>
    </row>
    <row r="75">
      <c r="B75" s="22"/>
      <c r="C75" s="54" t="s">
        <v>85</v>
      </c>
      <c r="D75" s="55">
        <f t="shared" si="1"/>
        <v>1.853066276</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61">
        <v>0.6</v>
      </c>
      <c r="D2" s="40" t="str">
        <f>vlookup($A2,Statements!$A$2:$P$61,12,TRUE)</f>
        <v/>
      </c>
      <c r="E2" s="10" t="str">
        <f>vlookup($A2,Statements!$A$2:$P$61,4,TRUE)</f>
        <v>Entertainment</v>
      </c>
    </row>
    <row r="3">
      <c r="A3" s="34">
        <f>Statements!A3</f>
        <v>2</v>
      </c>
      <c r="B3" s="22" t="str">
        <f>Statements!B3</f>
        <v>NewJeans surpass 13M subscribers on instagram (currently 11.3M)</v>
      </c>
      <c r="C3" s="62">
        <v>0.45</v>
      </c>
      <c r="D3" s="40">
        <f>vlookup($A3,Statements!$A$2:$P$61,12,TRUE)</f>
        <v>-0.1520030934</v>
      </c>
      <c r="E3" s="10" t="str">
        <f>vlookup($A3,Statements!$A$2:$P$61,4,TRUE)</f>
        <v>Entertainment</v>
      </c>
    </row>
    <row r="4">
      <c r="A4" s="34">
        <f>Statements!A4</f>
        <v>3</v>
      </c>
      <c r="B4" s="22" t="str">
        <f>Statements!B4</f>
        <v>Timothee and Kylie break up</v>
      </c>
      <c r="C4" s="62">
        <v>0.5</v>
      </c>
      <c r="D4" s="40">
        <f>vlookup($A4,Statements!$A$2:$P$61,12,TRUE)</f>
        <v>0</v>
      </c>
      <c r="E4" s="10" t="str">
        <f>vlookup($A4,Statements!$A$2:$P$61,4,TRUE)</f>
        <v>Entertainment</v>
      </c>
    </row>
    <row r="5">
      <c r="A5" s="34">
        <f>Statements!A5</f>
        <v>4</v>
      </c>
      <c r="B5" s="22" t="str">
        <f>Statements!B5</f>
        <v>A guest on Hot Ones will not complete the full set of hot sauces/wings</v>
      </c>
      <c r="C5" s="62">
        <v>0.65</v>
      </c>
      <c r="D5" s="40">
        <f>vlookup($A5,Statements!$A$2:$P$61,12,TRUE)</f>
        <v>-0.5145731728</v>
      </c>
      <c r="E5" s="10" t="str">
        <f>vlookup($A5,Statements!$A$2:$P$61,4,TRUE)</f>
        <v>Entertainment</v>
      </c>
    </row>
    <row r="6">
      <c r="A6" s="34">
        <f>Statements!A6</f>
        <v>5</v>
      </c>
      <c r="B6" s="22" t="str">
        <f>Statements!B6</f>
        <v>An alone participant in a 2024 season (Australia/Denmark/UK) will fall ill from eating poisonous fruit they misidentify</v>
      </c>
      <c r="C6" s="62">
        <v>0.3</v>
      </c>
      <c r="D6" s="40">
        <f>vlookup($A6,Statements!$A$2:$P$61,12,TRUE)</f>
        <v>-0.7369655942</v>
      </c>
      <c r="E6" s="10" t="str">
        <f>vlookup($A6,Statements!$A$2:$P$61,4,TRUE)</f>
        <v>Entertainment</v>
      </c>
    </row>
    <row r="7">
      <c r="A7" s="34">
        <f>Statements!A7</f>
        <v>6</v>
      </c>
      <c r="B7" s="22" t="str">
        <f>Statements!B7</f>
        <v>An Australian or New Zealand restaurant will feature on the 2024 "World's 50 Best Restaurants" list</v>
      </c>
      <c r="C7" s="62">
        <v>0.4</v>
      </c>
      <c r="D7" s="40">
        <f>vlookup($A7,Statements!$A$2:$P$61,12,TRUE)</f>
        <v>0.2630344058</v>
      </c>
      <c r="E7" s="10" t="str">
        <f>vlookup($A7,Statements!$A$2:$P$61,4,TRUE)</f>
        <v>Entertainment</v>
      </c>
    </row>
    <row r="8">
      <c r="A8" s="34">
        <f>Statements!A8</f>
        <v>7</v>
      </c>
      <c r="B8" s="22" t="str">
        <f>Statements!B8</f>
        <v>Dex (Kim Jin Young) will feature as a guest or star in a food-based show available on Netflix AU/NZ</v>
      </c>
      <c r="C8" s="62">
        <v>0.35</v>
      </c>
      <c r="D8" s="40">
        <f>vlookup($A8,Statements!$A$2:$P$61,12,TRUE)</f>
        <v>0.3785116233</v>
      </c>
      <c r="E8" s="10" t="str">
        <f>vlookup($A8,Statements!$A$2:$P$61,4,TRUE)</f>
        <v>Entertainment</v>
      </c>
    </row>
    <row r="9">
      <c r="A9" s="34">
        <f>Statements!A9</f>
        <v>8</v>
      </c>
      <c r="B9" s="22" t="str">
        <f>Statements!B9</f>
        <v>Taylor will break up with Travis</v>
      </c>
      <c r="C9" s="62">
        <v>0.55</v>
      </c>
      <c r="D9" s="40">
        <f>vlookup($A9,Statements!$A$2:$P$61,12,TRUE)</f>
        <v>-0.1520030934</v>
      </c>
      <c r="E9" s="10" t="str">
        <f>vlookup($A9,Statements!$A$2:$P$61,4,TRUE)</f>
        <v>Entertainment</v>
      </c>
    </row>
    <row r="10">
      <c r="A10" s="34">
        <f>Statements!A10</f>
        <v>9</v>
      </c>
      <c r="B10" s="22" t="str">
        <f>Statements!B10</f>
        <v>Taylor will release the re-record of her debut album in 2024.</v>
      </c>
      <c r="C10" s="62">
        <v>0.3</v>
      </c>
      <c r="D10" s="40">
        <f>vlookup($A10,Statements!$A$2:$P$61,12,TRUE)</f>
        <v>0.4854268272</v>
      </c>
      <c r="E10" s="10" t="str">
        <f>vlookup($A10,Statements!$A$2:$P$61,4,TRUE)</f>
        <v>Entertainment</v>
      </c>
    </row>
    <row r="11">
      <c r="A11" s="34">
        <f>Statements!A11</f>
        <v>10</v>
      </c>
      <c r="B11" s="22" t="str">
        <f>Statements!B11</f>
        <v>Barbie will win best picture at the academy awards.</v>
      </c>
      <c r="C11" s="63">
        <v>0.1</v>
      </c>
      <c r="D11" s="40" t="str">
        <f>vlookup($A11,Statements!$A$2:$P$61,12,TRUE)</f>
        <v/>
      </c>
      <c r="E11" s="10" t="str">
        <f>vlookup($A11,Statements!$A$2:$P$61,4,TRUE)</f>
        <v>Entertainment</v>
      </c>
    </row>
    <row r="12">
      <c r="A12" s="34">
        <f>Statements!A12</f>
        <v>11</v>
      </c>
      <c r="B12" s="22" t="str">
        <f>Statements!B12</f>
        <v>Kate will win at least two prizes for her Phillip and Bennelong book.</v>
      </c>
      <c r="C12" s="62">
        <v>0.5</v>
      </c>
      <c r="D12" s="40">
        <f>vlookup($A12,Statements!$A$2:$P$61,12,TRUE)</f>
        <v>0</v>
      </c>
      <c r="E12" s="10" t="str">
        <f>vlookup($A12,Statements!$A$2:$P$61,4,TRUE)</f>
        <v>Family</v>
      </c>
    </row>
    <row r="13">
      <c r="A13" s="34">
        <f>Statements!A13</f>
        <v>12</v>
      </c>
      <c r="B13" s="22" t="str">
        <f>Statements!B13</f>
        <v>Baby Starmeadow will be under 50cm long at birth (Oz average is 50.8cm).</v>
      </c>
      <c r="C13" s="62">
        <v>0.8</v>
      </c>
      <c r="D13" s="40" t="str">
        <f>vlookup($A13,Statements!$A$2:$P$61,12,TRUE)</f>
        <v/>
      </c>
      <c r="E13" s="10" t="str">
        <f>vlookup($A13,Statements!$A$2:$P$61,4,TRUE)</f>
        <v>Family</v>
      </c>
    </row>
    <row r="14">
      <c r="A14" s="34">
        <f>Statements!A14</f>
        <v>13</v>
      </c>
      <c r="B14" s="22" t="str">
        <f>Statements!B14</f>
        <v>The Reserve Bank will announce at least three interest rate reductions in 2024</v>
      </c>
      <c r="C14" s="62">
        <v>0.3</v>
      </c>
      <c r="D14" s="40">
        <f>vlookup($A14,Statements!$A$2:$P$61,12,TRUE)</f>
        <v>0.4854268272</v>
      </c>
      <c r="E14" s="10" t="str">
        <f>vlookup($A14,Statements!$A$2:$P$61,4,TRUE)</f>
        <v>Finance</v>
      </c>
    </row>
    <row r="15">
      <c r="A15" s="34">
        <f>Statements!A15</f>
        <v>14</v>
      </c>
      <c r="B15" s="22" t="str">
        <f>Statements!B15</f>
        <v>Bruce Lehrmann will be awarded damages</v>
      </c>
      <c r="C15" s="62">
        <v>0.4</v>
      </c>
      <c r="D15" s="40">
        <f>vlookup($A15,Statements!$A$2:$P$61,12,TRUE)</f>
        <v>0.2630344058</v>
      </c>
      <c r="E15" s="10" t="str">
        <f>vlookup($A15,Statements!$A$2:$P$61,4,TRUE)</f>
        <v>Law</v>
      </c>
    </row>
    <row r="16">
      <c r="A16" s="34">
        <f>Statements!A16</f>
        <v>15</v>
      </c>
      <c r="B16" s="22" t="str">
        <f>Statements!B16</f>
        <v>Chinese courts will refuse Evergrande liquidators’ requests to seize the developer’s assets in mainland China</v>
      </c>
      <c r="C16" s="62">
        <v>0.2</v>
      </c>
      <c r="D16" s="40">
        <f>vlookup($A16,Statements!$A$2:$P$61,12,TRUE)</f>
        <v>0.6780719051</v>
      </c>
      <c r="E16" s="10" t="str">
        <f>vlookup($A16,Statements!$A$2:$P$61,4,TRUE)</f>
        <v>Law</v>
      </c>
    </row>
    <row r="17">
      <c r="A17" s="34">
        <f>Statements!A17</f>
        <v>16</v>
      </c>
      <c r="B17" s="22" t="str">
        <f>Statements!B17</f>
        <v>David McBride will be sentenced to a lifetime jail sentence</v>
      </c>
      <c r="C17" s="62">
        <v>0.45</v>
      </c>
      <c r="D17" s="40">
        <f>vlookup($A17,Statements!$A$2:$P$61,12,TRUE)</f>
        <v>0.1375035237</v>
      </c>
      <c r="E17" s="10" t="str">
        <f>vlookup($A17,Statements!$A$2:$P$61,4,TRUE)</f>
        <v>Law</v>
      </c>
    </row>
    <row r="18">
      <c r="A18" s="34">
        <f>Statements!A18</f>
        <v>17</v>
      </c>
      <c r="B18" s="22" t="str">
        <f>Statements!B18</f>
        <v>The federal court will find that Bruce Lehrmann was not defamed</v>
      </c>
      <c r="C18" s="62">
        <v>0.8</v>
      </c>
      <c r="D18" s="40">
        <f>vlookup($A18,Statements!$A$2:$P$61,12,TRUE)</f>
        <v>0.6780719051</v>
      </c>
      <c r="E18" s="10" t="str">
        <f>vlookup($A18,Statements!$A$2:$P$61,4,TRUE)</f>
        <v>Law</v>
      </c>
    </row>
    <row r="19">
      <c r="A19" s="34">
        <f>Statements!A19</f>
        <v>18</v>
      </c>
      <c r="B19" s="22" t="str">
        <f>Statements!B19</f>
        <v>OpenAI successfully defends the New York Times' claim on the basis of fair use</v>
      </c>
      <c r="C19" s="62">
        <v>0.2</v>
      </c>
      <c r="D19" s="40">
        <f>vlookup($A19,Statements!$A$2:$P$61,12,TRUE)</f>
        <v>0.6780719051</v>
      </c>
      <c r="E19" s="10" t="str">
        <f>vlookup($A19,Statements!$A$2:$P$61,4,TRUE)</f>
        <v>Law</v>
      </c>
    </row>
    <row r="20">
      <c r="A20" s="34">
        <f>Statements!A20</f>
        <v>19</v>
      </c>
      <c r="B20" s="22" t="str">
        <f>Statements!B20</f>
        <v>2024 will be the hottest European summer on record.</v>
      </c>
      <c r="C20" s="62">
        <v>0.45</v>
      </c>
      <c r="D20" s="40">
        <f>vlookup($A20,Statements!$A$2:$P$61,12,TRUE)</f>
        <v>-0.1520030934</v>
      </c>
      <c r="E20" s="10" t="str">
        <f>vlookup($A20,Statements!$A$2:$P$61,4,TRUE)</f>
        <v>Nature</v>
      </c>
    </row>
    <row r="21">
      <c r="A21" s="34">
        <f>Statements!A21</f>
        <v>20</v>
      </c>
      <c r="B21" s="22" t="str">
        <f>Statements!B21</f>
        <v>The  NOAA will announce an alert level 5 bleaching event on the Great Barrier Reef</v>
      </c>
      <c r="C21" s="62">
        <v>0.3</v>
      </c>
      <c r="D21" s="40">
        <f>vlookup($A21,Statements!$A$2:$P$61,12,TRUE)</f>
        <v>0.4854268272</v>
      </c>
      <c r="E21" s="10" t="str">
        <f>vlookup($A21,Statements!$A$2:$P$61,4,TRUE)</f>
        <v>Nature</v>
      </c>
    </row>
    <row r="22">
      <c r="A22" s="34">
        <f>Statements!A22</f>
        <v>21</v>
      </c>
      <c r="B22" s="22" t="str">
        <f>Statements!B22</f>
        <v>At least three cyclones will drench North Queensland before the end of the year.</v>
      </c>
      <c r="C22" s="62">
        <v>0.5</v>
      </c>
      <c r="D22" s="40">
        <f>vlookup($A22,Statements!$A$2:$P$61,12,TRUE)</f>
        <v>0</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62">
        <v>0.45</v>
      </c>
      <c r="D23" s="40">
        <f>vlookup($A23,Statements!$A$2:$P$61,12,TRUE)</f>
        <v>0.1375035237</v>
      </c>
      <c r="E23" s="10" t="str">
        <f>vlookup($A23,Statements!$A$2:$P$61,4,TRUE)</f>
        <v>Politics</v>
      </c>
    </row>
    <row r="24">
      <c r="A24" s="34">
        <f>Statements!A24</f>
        <v>23</v>
      </c>
      <c r="B24" s="22" t="str">
        <f>Statements!B24</f>
        <v>Trump will promise to enact an order or legislation with the express intention of negatively impacting Taylor Swift</v>
      </c>
      <c r="C24" s="62">
        <v>0.4</v>
      </c>
      <c r="D24" s="40">
        <f>vlookup($A24,Statements!$A$2:$P$61,12,TRUE)</f>
        <v>0.2630344058</v>
      </c>
      <c r="E24" s="10" t="str">
        <f>vlookup($A24,Statements!$A$2:$P$61,4,TRUE)</f>
        <v>Politics</v>
      </c>
    </row>
    <row r="25">
      <c r="A25" s="34">
        <f>Statements!A25</f>
        <v>24</v>
      </c>
      <c r="B25" s="22" t="str">
        <f>Statements!B25</f>
        <v>Netanyahu will lose the prime ministership of Israel during 2024</v>
      </c>
      <c r="C25" s="62">
        <v>0.2</v>
      </c>
      <c r="D25" s="40">
        <f>vlookup($A25,Statements!$A$2:$P$61,12,TRUE)</f>
        <v>0.6780719051</v>
      </c>
      <c r="E25" s="10" t="str">
        <f>vlookup($A25,Statements!$A$2:$P$61,4,TRUE)</f>
        <v>Politics</v>
      </c>
    </row>
    <row r="26">
      <c r="A26" s="34">
        <f>Statements!A26</f>
        <v>25</v>
      </c>
      <c r="B26" s="22" t="str">
        <f>Statements!B26</f>
        <v>There will be an Australian Federal election in 2024</v>
      </c>
      <c r="C26" s="62">
        <v>0.1</v>
      </c>
      <c r="D26" s="40">
        <f>vlookup($A26,Statements!$A$2:$P$61,12,TRUE)</f>
        <v>0.8479969066</v>
      </c>
      <c r="E26" s="10" t="str">
        <f>vlookup($A26,Statements!$A$2:$P$61,4,TRUE)</f>
        <v>Politics</v>
      </c>
    </row>
    <row r="27">
      <c r="A27" s="34">
        <f>Statements!A27</f>
        <v>26</v>
      </c>
      <c r="B27" s="22" t="str">
        <f>Statements!B27</f>
        <v>Donald Trump will get less of the Popular vote than the Democratic candidate.</v>
      </c>
      <c r="C27" s="62">
        <v>0.7</v>
      </c>
      <c r="D27" s="40">
        <f>vlookup($A27,Statements!$A$2:$P$61,12,TRUE)</f>
        <v>-0.7369655942</v>
      </c>
      <c r="E27" s="10" t="str">
        <f>vlookup($A27,Statements!$A$2:$P$61,4,TRUE)</f>
        <v>Politics</v>
      </c>
    </row>
    <row r="28">
      <c r="A28" s="34">
        <f>Statements!A28</f>
        <v>27</v>
      </c>
      <c r="B28" s="22" t="str">
        <f>Statements!B28</f>
        <v>An Australian Aboriginal organisation will sign at least one state-based treaty this year.</v>
      </c>
      <c r="C28" s="62">
        <v>0.45</v>
      </c>
      <c r="D28" s="40">
        <f>vlookup($A28,Statements!$A$2:$P$61,12,TRUE)</f>
        <v>0.1375035237</v>
      </c>
      <c r="E28" s="10" t="str">
        <f>vlookup($A28,Statements!$A$2:$P$61,4,TRUE)</f>
        <v>Politics</v>
      </c>
    </row>
    <row r="29">
      <c r="A29" s="34">
        <f>Statements!A29</f>
        <v>28</v>
      </c>
      <c r="B29" s="22" t="str">
        <f>Statements!B29</f>
        <v>Donald Trump will not go to prison this year.</v>
      </c>
      <c r="C29" s="62">
        <v>0.45</v>
      </c>
      <c r="D29" s="40">
        <f>vlookup($A29,Statements!$A$2:$P$61,12,TRUE)</f>
        <v>-0.1520030934</v>
      </c>
      <c r="E29" s="10" t="str">
        <f>vlookup($A29,Statements!$A$2:$P$61,4,TRUE)</f>
        <v>Politics</v>
      </c>
    </row>
    <row r="30">
      <c r="A30" s="34">
        <f>Statements!A30</f>
        <v>29</v>
      </c>
      <c r="B30" s="22" t="str">
        <f>Statements!B30</f>
        <v>Modi will be re-elected in the upcoming Indian election</v>
      </c>
      <c r="C30" s="62">
        <v>0.8</v>
      </c>
      <c r="D30" s="40">
        <f>vlookup($A30,Statements!$A$2:$P$61,12,TRUE)</f>
        <v>0.6780719051</v>
      </c>
      <c r="E30" s="10" t="str">
        <f>vlookup($A30,Statements!$A$2:$P$61,4,TRUE)</f>
        <v>Politics</v>
      </c>
    </row>
    <row r="31">
      <c r="A31" s="34">
        <f>Statements!A31</f>
        <v>30</v>
      </c>
      <c r="B31" s="48" t="str">
        <f>Statements!B31</f>
        <v>Josh Frydenberg returns to politics, specifically, announces he will contest Kooyong</v>
      </c>
      <c r="C31" s="64">
        <v>0.05</v>
      </c>
      <c r="D31" s="50">
        <f>vlookup($A31,Statements!$A$2:$P$61,12,TRUE)</f>
        <v>0.9259994186</v>
      </c>
      <c r="E31" s="10" t="str">
        <f>vlookup($A31,Statements!$A$2:$P$61,4,TRUE)</f>
        <v>Politics</v>
      </c>
    </row>
    <row r="32">
      <c r="A32" s="34">
        <f>Statements!A32</f>
        <v>31</v>
      </c>
      <c r="B32" s="22" t="str">
        <f>Statements!B32</f>
        <v>The 2024 US Presidential election result will instigate widespread (multiple cities) violent (with injuries or deaths) unrest</v>
      </c>
      <c r="C32" s="62">
        <v>0.4</v>
      </c>
      <c r="D32" s="40">
        <f>vlookup($A32,Statements!$A$2:$P$61,12,TRUE)</f>
        <v>0.2630344058</v>
      </c>
      <c r="E32" s="10" t="str">
        <f>vlookup($A32,Statements!$A$2:$P$61,4,TRUE)</f>
        <v>Politics</v>
      </c>
    </row>
    <row r="33">
      <c r="A33" s="34">
        <f>Statements!A33</f>
        <v>32</v>
      </c>
      <c r="B33" s="22" t="str">
        <f>Statements!B33</f>
        <v>Taylor swift will be credited/mentioned in U.S legislation created this year.</v>
      </c>
      <c r="C33" s="62">
        <v>0.5</v>
      </c>
      <c r="D33" s="40">
        <f>vlookup($A33,Statements!$A$2:$P$61,12,TRUE)</f>
        <v>0</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62">
        <v>0.6</v>
      </c>
      <c r="D34" s="40">
        <f>vlookup($A34,Statements!$A$2:$P$61,12,TRUE)</f>
        <v>0.2630344058</v>
      </c>
      <c r="E34" s="10" t="str">
        <f>vlookup($A34,Statements!$A$2:$P$61,4,TRUE)</f>
        <v>Politics</v>
      </c>
    </row>
    <row r="35">
      <c r="A35" s="34">
        <f>Statements!A35</f>
        <v>34</v>
      </c>
      <c r="B35" s="22" t="str">
        <f>Statements!B35</f>
        <v>Pope Francis will retire.</v>
      </c>
      <c r="C35" s="62">
        <v>0.1</v>
      </c>
      <c r="D35" s="40">
        <f>vlookup($A35,Statements!$A$2:$P$61,12,TRUE)</f>
        <v>0.8479969066</v>
      </c>
      <c r="E35" s="10" t="str">
        <f>vlookup($A35,Statements!$A$2:$P$61,4,TRUE)</f>
        <v>Religion</v>
      </c>
    </row>
    <row r="36">
      <c r="A36" s="34">
        <f>Statements!A36</f>
        <v>35</v>
      </c>
      <c r="B36" s="22" t="str">
        <f>Statements!B36</f>
        <v>King Charles will announce his abdication of the throne</v>
      </c>
      <c r="C36" s="62">
        <v>0.1</v>
      </c>
      <c r="D36" s="40">
        <f>vlookup($A36,Statements!$A$2:$P$61,12,TRUE)</f>
        <v>0.8479969066</v>
      </c>
      <c r="E36" s="10" t="str">
        <f>vlookup($A36,Statements!$A$2:$P$61,4,TRUE)</f>
        <v>Royals</v>
      </c>
    </row>
    <row r="37">
      <c r="A37" s="34">
        <f>Statements!A37</f>
        <v>36</v>
      </c>
      <c r="B37" s="22" t="str">
        <f>Statements!B37</f>
        <v>Prince Andrew remains resident of the Royal Lodge until 15 Dec 2024</v>
      </c>
      <c r="C37" s="62">
        <v>0.6</v>
      </c>
      <c r="D37" s="40">
        <f>vlookup($A37,Statements!$A$2:$P$61,12,TRUE)</f>
        <v>0.2630344058</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62">
        <v>0.4</v>
      </c>
      <c r="D38" s="40">
        <f>vlookup($A38,Statements!$A$2:$P$61,12,TRUE)</f>
        <v>0.2630344058</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62">
        <v>0.3</v>
      </c>
      <c r="D39" s="40">
        <f>vlookup($A39,Statements!$A$2:$P$61,12,TRUE)</f>
        <v>0.4854268272</v>
      </c>
      <c r="E39" s="10" t="str">
        <f>vlookup($A39,Statements!$A$2:$P$61,4,TRUE)</f>
        <v>Society</v>
      </c>
    </row>
    <row r="40">
      <c r="A40" s="34">
        <f>Statements!A40</f>
        <v>39</v>
      </c>
      <c r="B40" s="22" t="str">
        <f>Statements!B40</f>
        <v>Canberra restaurants will have more than 30 hats by the end of 2024 as per the Australian Good Food Guide</v>
      </c>
      <c r="C40" s="62">
        <v>0.48</v>
      </c>
      <c r="D40" s="40">
        <f>vlookup($A40,Statements!$A$2:$P$61,12,TRUE)</f>
        <v>0.05658352837</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62">
        <v>0.3</v>
      </c>
      <c r="D41" s="40">
        <f>vlookup($A41,Statements!$A$2:$P$61,12,TRUE)</f>
        <v>0.4854268272</v>
      </c>
      <c r="E41" s="10" t="str">
        <f>vlookup($A41,Statements!$A$2:$P$61,4,TRUE)</f>
        <v>Society</v>
      </c>
    </row>
    <row r="42">
      <c r="A42" s="34">
        <f>Statements!A42</f>
        <v>41</v>
      </c>
      <c r="B42" s="22" t="str">
        <f>Statements!B42</f>
        <v>Elon Musk confirmed to have another child on the way</v>
      </c>
      <c r="C42" s="62">
        <v>0.5</v>
      </c>
      <c r="D42" s="40">
        <f>vlookup($A42,Statements!$A$2:$P$61,12,TRUE)</f>
        <v>0</v>
      </c>
      <c r="E42" s="10" t="str">
        <f>vlookup($A42,Statements!$A$2:$P$61,4,TRUE)</f>
        <v>Society</v>
      </c>
    </row>
    <row r="43">
      <c r="A43" s="34">
        <f>Statements!A43</f>
        <v>42</v>
      </c>
      <c r="B43" s="22" t="str">
        <f>Statements!B43</f>
        <v>A notional 0 will be given to a student in any of Rohans classes for being caught using ai in an assignment.</v>
      </c>
      <c r="C43" s="62">
        <v>0.6</v>
      </c>
      <c r="D43" s="40">
        <f>vlookup($A43,Statements!$A$2:$P$61,12,TRUE)</f>
        <v>0.2630344058</v>
      </c>
      <c r="E43" s="10" t="str">
        <f>vlookup($A43,Statements!$A$2:$P$61,4,TRUE)</f>
        <v>Society</v>
      </c>
    </row>
    <row r="44">
      <c r="A44" s="34">
        <f>Statements!A44</f>
        <v>43</v>
      </c>
      <c r="B44" s="48" t="str">
        <f>Statements!B44</f>
        <v>Rafael Nadal will win the French tennis open in 2024</v>
      </c>
      <c r="C44" s="64">
        <v>0.05</v>
      </c>
      <c r="D44" s="50">
        <f>vlookup($A44,Statements!$A$2:$P$61,12,TRUE)</f>
        <v>0.9259994186</v>
      </c>
      <c r="E44" s="10" t="str">
        <f>vlookup($A44,Statements!$A$2:$P$61,4,TRUE)</f>
        <v>Sport</v>
      </c>
    </row>
    <row r="45">
      <c r="A45" s="34">
        <f>Statements!A45</f>
        <v>44</v>
      </c>
      <c r="B45" s="22" t="str">
        <f>Statements!B45</f>
        <v>The AFL premiership will be won by a team whose name starts with a letter from the second half of the alphabet</v>
      </c>
      <c r="C45" s="62">
        <v>0.3</v>
      </c>
      <c r="D45" s="40">
        <f>vlookup($A45,Statements!$A$2:$P$61,12,TRUE)</f>
        <v>0.4854268272</v>
      </c>
      <c r="E45" s="10" t="str">
        <f>vlookup($A45,Statements!$A$2:$P$61,4,TRUE)</f>
        <v>Sport</v>
      </c>
    </row>
    <row r="46">
      <c r="A46" s="34">
        <f>Statements!A46</f>
        <v>45</v>
      </c>
      <c r="B46" s="22" t="str">
        <f>Statements!B46</f>
        <v>Australia will win more medals at the Paris Olympics than the last Olympics.</v>
      </c>
      <c r="C46" s="62">
        <v>0.5</v>
      </c>
      <c r="D46" s="40">
        <f>vlookup($A46,Statements!$A$2:$P$61,12,TRUE)</f>
        <v>0</v>
      </c>
      <c r="E46" s="10" t="str">
        <f>vlookup($A46,Statements!$A$2:$P$61,4,TRUE)</f>
        <v>Sport</v>
      </c>
    </row>
    <row r="47">
      <c r="A47" s="34">
        <f>Statements!A47</f>
        <v>46</v>
      </c>
      <c r="B47" s="22" t="str">
        <f>Statements!B47</f>
        <v>Brisbane will win the AFL Grand Final.</v>
      </c>
      <c r="C47" s="62">
        <v>0.55</v>
      </c>
      <c r="D47" s="40">
        <f>vlookup($A47,Statements!$A$2:$P$61,12,TRUE)</f>
        <v>0.1375035237</v>
      </c>
      <c r="E47" s="10" t="str">
        <f>vlookup($A47,Statements!$A$2:$P$61,4,TRUE)</f>
        <v>Sport</v>
      </c>
    </row>
    <row r="48">
      <c r="A48" s="34">
        <f>Statements!A48</f>
        <v>47</v>
      </c>
      <c r="B48" s="22" t="str">
        <f>Statements!B48</f>
        <v>Collingwood will win the Grand Final</v>
      </c>
      <c r="C48" s="62">
        <v>0.45</v>
      </c>
      <c r="D48" s="40">
        <f>vlookup($A48,Statements!$A$2:$P$61,12,TRUE)</f>
        <v>0.1375035237</v>
      </c>
      <c r="E48" s="10" t="str">
        <f>vlookup($A48,Statements!$A$2:$P$61,4,TRUE)</f>
        <v>Sport</v>
      </c>
    </row>
    <row r="49">
      <c r="A49" s="34">
        <f>Statements!A49</f>
        <v>48</v>
      </c>
      <c r="B49" s="22" t="str">
        <f>Statements!B49</f>
        <v>Australia will win at least 9 gold in swimming at the Paris Olympics (they won 9 at Tokyo2020)</v>
      </c>
      <c r="C49" s="62">
        <v>0.5</v>
      </c>
      <c r="D49" s="40">
        <f>vlookup($A49,Statements!$A$2:$P$61,12,TRUE)</f>
        <v>0</v>
      </c>
      <c r="E49" s="10" t="str">
        <f>vlookup($A49,Statements!$A$2:$P$61,4,TRUE)</f>
        <v>Sport</v>
      </c>
    </row>
    <row r="50">
      <c r="A50" s="34">
        <f>Statements!A50</f>
        <v>49</v>
      </c>
      <c r="B50" s="22" t="str">
        <f>Statements!B50</f>
        <v>China will win the most gold medals of any nation at the Paris Olympics</v>
      </c>
      <c r="C50" s="62">
        <v>0.5</v>
      </c>
      <c r="D50" s="40">
        <f>vlookup($A50,Statements!$A$2:$P$61,12,TRUE)</f>
        <v>0</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62">
        <v>0.5</v>
      </c>
      <c r="D51" s="40">
        <f>vlookup($A51,Statements!$A$2:$P$61,12,TRUE)</f>
        <v>0</v>
      </c>
      <c r="E51" s="10" t="str">
        <f>vlookup($A51,Statements!$A$2:$P$61,4,TRUE)</f>
        <v>Sport</v>
      </c>
    </row>
    <row r="52">
      <c r="A52" s="34">
        <f>Statements!A52</f>
        <v>51</v>
      </c>
      <c r="B52" s="22" t="str">
        <f>Statements!B52</f>
        <v>Central Coast Mariners will win the A league premiership this year.</v>
      </c>
      <c r="C52" s="62">
        <v>0.55</v>
      </c>
      <c r="D52" s="40">
        <f>vlookup($A52,Statements!$A$2:$P$61,12,TRUE)</f>
        <v>0.1375035237</v>
      </c>
      <c r="E52" s="10" t="str">
        <f>vlookup($A52,Statements!$A$2:$P$61,4,TRUE)</f>
        <v>Sport</v>
      </c>
    </row>
    <row r="53">
      <c r="A53" s="34">
        <f>Statements!A53</f>
        <v>52</v>
      </c>
      <c r="B53" s="48" t="str">
        <f>Statements!B53</f>
        <v>The Tour de France will not be won by a French national in 2024.</v>
      </c>
      <c r="C53" s="64">
        <v>0.95</v>
      </c>
      <c r="D53" s="50">
        <f>vlookup($A53,Statements!$A$2:$P$61,12,TRUE)</f>
        <v>0.9259994186</v>
      </c>
      <c r="E53" s="10" t="str">
        <f>vlookup($A53,Statements!$A$2:$P$61,4,TRUE)</f>
        <v>Sport</v>
      </c>
    </row>
    <row r="54">
      <c r="A54" s="34">
        <f>Statements!A54</f>
        <v>53</v>
      </c>
      <c r="B54" s="22" t="str">
        <f>Statements!B54</f>
        <v>Sergio Perez’s average qualifying position will be below p6.</v>
      </c>
      <c r="C54" s="62">
        <v>0.6</v>
      </c>
      <c r="D54" s="40">
        <f>vlookup($A54,Statements!$A$2:$P$61,12,TRUE)</f>
        <v>0.2630344058</v>
      </c>
      <c r="E54" s="10" t="str">
        <f>vlookup($A54,Statements!$A$2:$P$61,4,TRUE)</f>
        <v>Sport</v>
      </c>
    </row>
    <row r="55">
      <c r="A55" s="34">
        <f>Statements!A55</f>
        <v>54</v>
      </c>
      <c r="B55" s="22" t="str">
        <f>Statements!B55</f>
        <v>A service will exist to generate full episodes of bespoke TV (or films) based on prompts about the plot and casting</v>
      </c>
      <c r="C55" s="62">
        <v>0.4</v>
      </c>
      <c r="D55" s="40">
        <f>vlookup($A55,Statements!$A$2:$P$61,12,TRUE)</f>
        <v>-0.3219280949</v>
      </c>
      <c r="E55" s="10" t="str">
        <f>vlookup($A55,Statements!$A$2:$P$61,4,TRUE)</f>
        <v>Technology</v>
      </c>
    </row>
    <row r="56">
      <c r="A56" s="34">
        <f>Statements!A56</f>
        <v>55</v>
      </c>
      <c r="B56" s="22" t="str">
        <f>Statements!B56</f>
        <v>Materially adverse complications arise to human subjects that have Neuralink installed</v>
      </c>
      <c r="C56" s="62">
        <v>0.6</v>
      </c>
      <c r="D56" s="40">
        <f>vlookup($A56,Statements!$A$2:$P$61,12,TRUE)</f>
        <v>-0.3219280949</v>
      </c>
      <c r="E56" s="10" t="str">
        <f>vlookup($A56,Statements!$A$2:$P$61,4,TRUE)</f>
        <v>Technology</v>
      </c>
    </row>
    <row r="57">
      <c r="A57" s="34">
        <f>Statements!A57</f>
        <v>56</v>
      </c>
      <c r="B57" s="22" t="str">
        <f>Statements!B57</f>
        <v>Some UAPs confirmed to be military aircraft by government officials or an official government statement</v>
      </c>
      <c r="C57" s="62">
        <v>0.5</v>
      </c>
      <c r="D57" s="40">
        <f>vlookup($A57,Statements!$A$2:$P$61,12,TRUE)</f>
        <v>0</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62">
        <v>0.3</v>
      </c>
      <c r="D58" s="40">
        <f>vlookup($A58,Statements!$A$2:$P$61,12,TRUE)</f>
        <v>0.4854268272</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62">
        <v>0.5</v>
      </c>
      <c r="D59" s="40">
        <f>vlookup($A59,Statements!$A$2:$P$61,12,TRUE)</f>
        <v>0</v>
      </c>
      <c r="E59" s="10" t="str">
        <f>vlookup($A59,Statements!$A$2:$P$61,4,TRUE)</f>
        <v>Technology</v>
      </c>
    </row>
    <row r="60">
      <c r="A60" s="34">
        <f>Statements!A60</f>
        <v>59</v>
      </c>
      <c r="B60" s="48" t="str">
        <f>Statements!B60</f>
        <v>SpaceX's Starship vehicle will complete at least 1 full orbit of the Earth</v>
      </c>
      <c r="C60" s="65">
        <v>0.8</v>
      </c>
      <c r="D60" s="50">
        <f>vlookup($A60,Statements!$A$2:$P$61,12,TRUE)</f>
        <v>-1.321928095</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0.45</v>
      </c>
      <c r="D61" s="40" t="str">
        <f>vlookup($A61,Statements!$A$2:$P$61,12,TRUE)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0.9259994186</v>
      </c>
    </row>
    <row r="64">
      <c r="A64" s="34" t="str">
        <f>Statements!A64</f>
        <v/>
      </c>
      <c r="B64" s="22" t="str">
        <f>Statements!B64</f>
        <v/>
      </c>
      <c r="C64" s="10" t="s">
        <v>117</v>
      </c>
      <c r="D64" s="52">
        <f>MIN($D$2:$D$61)</f>
        <v>-1.321928095</v>
      </c>
      <c r="E64" s="53" t="s">
        <v>118</v>
      </c>
      <c r="F64" s="53" t="s">
        <v>119</v>
      </c>
    </row>
    <row r="65">
      <c r="A65" s="34" t="str">
        <f>Statements!A65</f>
        <v/>
      </c>
      <c r="B65" s="22" t="str">
        <f>Statements!B65</f>
        <v/>
      </c>
      <c r="C65" s="56" t="s">
        <v>21</v>
      </c>
      <c r="D65" s="32">
        <f t="shared" ref="D65:D75" si="1">sumif($E$2:$E$61,$C65,$D$2:$D$61)</f>
        <v>-0.4285720976</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0.4854268272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4" t="s">
        <v>38</v>
      </c>
      <c r="D68" s="55">
        <f t="shared" si="1"/>
        <v>2.434753645</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0.3334237337</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3.305281713</v>
      </c>
      <c r="E70" s="32">
        <f>min(Andrew!D70,Bruce!D70,Eileen!D70,Gael!D70,Iain!D70,Jac!D70,James!D70,Kate!D70,Lachy!D70,Pete!D70,Rohan!D70)</f>
        <v>-2.209102545</v>
      </c>
      <c r="F70" s="32">
        <f>max(Andrew!D70,Bruce!D70,Eileen!D70,Gael!D70,Iain!D70,Jac!D70,James!D70,Kate!D70,Lachy!D70,Pete!D70,Rohan!D70)</f>
        <v>4.920241353</v>
      </c>
    </row>
    <row r="71">
      <c r="B71" s="22"/>
      <c r="C71" s="54" t="s">
        <v>61</v>
      </c>
      <c r="D71" s="55">
        <f t="shared" si="1"/>
        <v>0.8479969066</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1.374065718</v>
      </c>
      <c r="E72" s="32">
        <f>min(Andrew!D72,Bruce!D72,Eileen!D72,Gael!D72,Iain!D72,Jac!D72,James!D72,Kate!D72,Lachy!D72,Pete!D72,Rohan!D72)</f>
        <v>-0.07339325875</v>
      </c>
      <c r="F72" s="32">
        <f>max(Andrew!D72,Bruce!D72,Eileen!D72,Gael!D72,Iain!D72,Jac!D72,James!D72,Kate!D72,Lachy!D72,Pete!D72,Rohan!D72)</f>
        <v>2.45206823</v>
      </c>
    </row>
    <row r="73">
      <c r="B73" s="22"/>
      <c r="C73" s="54" t="s">
        <v>67</v>
      </c>
      <c r="D73" s="55">
        <f t="shared" si="1"/>
        <v>1.290471589</v>
      </c>
      <c r="E73" s="32">
        <f>min(Andrew!D73,Bruce!D73,Eileen!D73,Gael!D73,Iain!D73,Jac!D73,James!D73,Kate!D73,Lachy!D73,Pete!D73,Rohan!D73)</f>
        <v>-0.7958592832</v>
      </c>
      <c r="F73" s="32">
        <f>max(Andrew!D73,Bruce!D73,Eileen!D73,Gael!D73,Iain!D73,Jac!D73,James!D73,Kate!D73,Lachy!D73,Pete!D73,Rohan!D73)</f>
        <v>1.519642543</v>
      </c>
    </row>
    <row r="74">
      <c r="B74" s="22"/>
      <c r="C74" s="54" t="s">
        <v>73</v>
      </c>
      <c r="D74" s="55">
        <f t="shared" si="1"/>
        <v>3.012970641</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-1.480357457</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0.6</v>
      </c>
      <c r="D2" s="40" t="str">
        <f>vlookup($A2,Statements!$A$2:$P$61,13,TRUE)</f>
        <v/>
      </c>
      <c r="E2" s="10" t="str">
        <f>vlookup($A2,Statements!$A$2:$P$61,4,TRUE)</f>
        <v>Entertainment</v>
      </c>
    </row>
    <row r="3">
      <c r="A3" s="34">
        <f>Statements!A3</f>
        <v>2</v>
      </c>
      <c r="B3" s="22" t="str">
        <f>Statements!B3</f>
        <v>NewJeans surpass 13M subscribers on instagram (currently 11.3M)</v>
      </c>
      <c r="C3" s="39">
        <v>0.8</v>
      </c>
      <c r="D3" s="40">
        <f>vlookup($A3,Statements!$A$2:$P$61,13,TRUE)</f>
        <v>0.6780719051</v>
      </c>
      <c r="E3" s="10" t="str">
        <f>vlookup($A3,Statements!$A$2:$P$61,4,TRUE)</f>
        <v>Entertainment</v>
      </c>
    </row>
    <row r="4">
      <c r="A4" s="34">
        <f>Statements!A4</f>
        <v>3</v>
      </c>
      <c r="B4" s="22" t="str">
        <f>Statements!B4</f>
        <v>Timothee and Kylie break up</v>
      </c>
      <c r="C4" s="39">
        <v>0.5</v>
      </c>
      <c r="D4" s="40">
        <f>vlookup($A4,Statements!$A$2:$P$61,13,TRUE)</f>
        <v>0</v>
      </c>
      <c r="E4" s="10" t="str">
        <f>vlookup($A4,Statements!$A$2:$P$61,4,TRUE)</f>
        <v>Entertainment</v>
      </c>
    </row>
    <row r="5">
      <c r="A5" s="34">
        <f>Statements!A5</f>
        <v>4</v>
      </c>
      <c r="B5" s="22" t="str">
        <f>Statements!B5</f>
        <v>A guest on Hot Ones will not complete the full set of hot sauces/wings</v>
      </c>
      <c r="C5" s="39">
        <v>0.7</v>
      </c>
      <c r="D5" s="40">
        <f>vlookup($A5,Statements!$A$2:$P$61,13,TRUE)</f>
        <v>-0.7369655942</v>
      </c>
      <c r="E5" s="10" t="str">
        <f>vlookup($A5,Statements!$A$2:$P$61,4,TRUE)</f>
        <v>Entertainment</v>
      </c>
    </row>
    <row r="6">
      <c r="A6" s="34">
        <f>Statements!A6</f>
        <v>5</v>
      </c>
      <c r="B6" s="22" t="str">
        <f>Statements!B6</f>
        <v>An alone participant in a 2024 season (Australia/Denmark/UK) will fall ill from eating poisonous fruit they misidentify</v>
      </c>
      <c r="C6" s="39">
        <v>0.4</v>
      </c>
      <c r="D6" s="40">
        <f>vlookup($A6,Statements!$A$2:$P$61,13,TRUE)</f>
        <v>-0.3219280949</v>
      </c>
      <c r="E6" s="10" t="str">
        <f>vlookup($A6,Statements!$A$2:$P$61,4,TRUE)</f>
        <v>Entertainment</v>
      </c>
    </row>
    <row r="7">
      <c r="A7" s="34">
        <f>Statements!A7</f>
        <v>6</v>
      </c>
      <c r="B7" s="22" t="str">
        <f>Statements!B7</f>
        <v>An Australian or New Zealand restaurant will feature on the 2024 "World's 50 Best Restaurants" list</v>
      </c>
      <c r="C7" s="39">
        <v>0.3</v>
      </c>
      <c r="D7" s="40">
        <f>vlookup($A7,Statements!$A$2:$P$61,13,TRUE)</f>
        <v>0.4854268272</v>
      </c>
      <c r="E7" s="10" t="str">
        <f>vlookup($A7,Statements!$A$2:$P$61,4,TRUE)</f>
        <v>Entertainment</v>
      </c>
    </row>
    <row r="8">
      <c r="A8" s="34">
        <f>Statements!A8</f>
        <v>7</v>
      </c>
      <c r="B8" s="22" t="str">
        <f>Statements!B8</f>
        <v>Dex (Kim Jin Young) will feature as a guest or star in a food-based show available on Netflix AU/NZ</v>
      </c>
      <c r="C8" s="39">
        <v>0.5</v>
      </c>
      <c r="D8" s="40">
        <f>vlookup($A8,Statements!$A$2:$P$61,13,TRUE)</f>
        <v>0</v>
      </c>
      <c r="E8" s="10" t="str">
        <f>vlookup($A8,Statements!$A$2:$P$61,4,TRUE)</f>
        <v>Entertainment</v>
      </c>
    </row>
    <row r="9">
      <c r="A9" s="34">
        <f>Statements!A9</f>
        <v>8</v>
      </c>
      <c r="B9" s="22" t="str">
        <f>Statements!B9</f>
        <v>Taylor will break up with Travis</v>
      </c>
      <c r="C9" s="39">
        <v>0.6</v>
      </c>
      <c r="D9" s="40">
        <f>vlookup($A9,Statements!$A$2:$P$61,13,TRUE)</f>
        <v>-0.3219280949</v>
      </c>
      <c r="E9" s="10" t="str">
        <f>vlookup($A9,Statements!$A$2:$P$61,4,TRUE)</f>
        <v>Entertainment</v>
      </c>
    </row>
    <row r="10">
      <c r="A10" s="34">
        <f>Statements!A10</f>
        <v>9</v>
      </c>
      <c r="B10" s="22" t="str">
        <f>Statements!B10</f>
        <v>Taylor will release the re-record of her debut album in 2024.</v>
      </c>
      <c r="C10" s="39">
        <v>0.3</v>
      </c>
      <c r="D10" s="40">
        <f>vlookup($A10,Statements!$A$2:$P$61,13,TRUE)</f>
        <v>0.4854268272</v>
      </c>
      <c r="E10" s="10" t="str">
        <f>vlookup($A10,Statements!$A$2:$P$61,4,TRUE)</f>
        <v>Entertainment</v>
      </c>
    </row>
    <row r="11">
      <c r="A11" s="34">
        <f>Statements!A11</f>
        <v>10</v>
      </c>
      <c r="B11" s="22" t="str">
        <f>Statements!B11</f>
        <v>Barbie will win best picture at the academy awards.</v>
      </c>
      <c r="C11" s="39">
        <v>0.05</v>
      </c>
      <c r="D11" s="40" t="str">
        <f>vlookup($A11,Statements!$A$2:$P$61,13,TRUE)</f>
        <v/>
      </c>
      <c r="E11" s="10" t="str">
        <f>vlookup($A11,Statements!$A$2:$P$61,4,TRUE)</f>
        <v>Entertainment</v>
      </c>
    </row>
    <row r="12">
      <c r="A12" s="34">
        <f>Statements!A12</f>
        <v>11</v>
      </c>
      <c r="B12" s="22" t="str">
        <f>Statements!B12</f>
        <v>Kate will win at least two prizes for her Phillip and Bennelong book.</v>
      </c>
      <c r="C12" s="39">
        <v>0.7</v>
      </c>
      <c r="D12" s="40">
        <f>vlookup($A12,Statements!$A$2:$P$61,13,TRUE)</f>
        <v>0.4854268272</v>
      </c>
      <c r="E12" s="10" t="str">
        <f>vlookup($A12,Statements!$A$2:$P$61,4,TRUE)</f>
        <v>Family</v>
      </c>
    </row>
    <row r="13">
      <c r="A13" s="34">
        <f>Statements!A13</f>
        <v>12</v>
      </c>
      <c r="B13" s="22" t="str">
        <f>Statements!B13</f>
        <v>Baby Starmeadow will be under 50cm long at birth (Oz average is 50.8cm).</v>
      </c>
      <c r="C13" s="39">
        <v>0.8</v>
      </c>
      <c r="D13" s="40" t="str">
        <f>vlookup($A13,Statements!$A$2:$P$61,13,TRUE)</f>
        <v/>
      </c>
      <c r="E13" s="10" t="str">
        <f>vlookup($A13,Statements!$A$2:$P$61,4,TRUE)</f>
        <v>Family</v>
      </c>
    </row>
    <row r="14">
      <c r="A14" s="34">
        <f>Statements!A14</f>
        <v>13</v>
      </c>
      <c r="B14" s="22" t="str">
        <f>Statements!B14</f>
        <v>The Reserve Bank will announce at least three interest rate reductions in 2024</v>
      </c>
      <c r="C14" s="39">
        <v>0.7</v>
      </c>
      <c r="D14" s="40">
        <f>vlookup($A14,Statements!$A$2:$P$61,13,TRUE)</f>
        <v>-0.7369655942</v>
      </c>
      <c r="E14" s="10" t="str">
        <f>vlookup($A14,Statements!$A$2:$P$61,4,TRUE)</f>
        <v>Finance</v>
      </c>
    </row>
    <row r="15">
      <c r="A15" s="34">
        <f>Statements!A15</f>
        <v>14</v>
      </c>
      <c r="B15" s="22" t="str">
        <f>Statements!B15</f>
        <v>Bruce Lehrmann will be awarded damages</v>
      </c>
      <c r="C15" s="39">
        <v>0.5</v>
      </c>
      <c r="D15" s="40">
        <f>vlookup($A15,Statements!$A$2:$P$61,13,TRUE)</f>
        <v>0</v>
      </c>
      <c r="E15" s="10" t="str">
        <f>vlookup($A15,Statements!$A$2:$P$61,4,TRUE)</f>
        <v>Law</v>
      </c>
    </row>
    <row r="16">
      <c r="A16" s="34">
        <f>Statements!A16</f>
        <v>15</v>
      </c>
      <c r="B16" s="22" t="str">
        <f>Statements!B16</f>
        <v>Chinese courts will refuse Evergrande liquidators’ requests to seize the developer’s assets in mainland China</v>
      </c>
      <c r="C16" s="39">
        <v>0.9</v>
      </c>
      <c r="D16" s="40">
        <f>vlookup($A16,Statements!$A$2:$P$61,13,TRUE)</f>
        <v>-2.321928095</v>
      </c>
      <c r="E16" s="10" t="str">
        <f>vlookup($A16,Statements!$A$2:$P$61,4,TRUE)</f>
        <v>Law</v>
      </c>
    </row>
    <row r="17">
      <c r="A17" s="34">
        <f>Statements!A17</f>
        <v>16</v>
      </c>
      <c r="B17" s="22" t="str">
        <f>Statements!B17</f>
        <v>David McBride will be sentenced to a lifetime jail sentence</v>
      </c>
      <c r="C17" s="39">
        <v>0.2</v>
      </c>
      <c r="D17" s="40">
        <f>vlookup($A17,Statements!$A$2:$P$61,13,TRUE)</f>
        <v>0.6780719051</v>
      </c>
      <c r="E17" s="10" t="str">
        <f>vlookup($A17,Statements!$A$2:$P$61,4,TRUE)</f>
        <v>Law</v>
      </c>
    </row>
    <row r="18">
      <c r="A18" s="34">
        <f>Statements!A18</f>
        <v>17</v>
      </c>
      <c r="B18" s="22" t="str">
        <f>Statements!B18</f>
        <v>The federal court will find that Bruce Lehrmann was not defamed</v>
      </c>
      <c r="C18" s="39">
        <v>0.5</v>
      </c>
      <c r="D18" s="40">
        <f>vlookup($A18,Statements!$A$2:$P$61,13,TRUE)</f>
        <v>0</v>
      </c>
      <c r="E18" s="10" t="str">
        <f>vlookup($A18,Statements!$A$2:$P$61,4,TRUE)</f>
        <v>Law</v>
      </c>
    </row>
    <row r="19">
      <c r="A19" s="34">
        <f>Statements!A19</f>
        <v>18</v>
      </c>
      <c r="B19" s="22" t="str">
        <f>Statements!B19</f>
        <v>OpenAI successfully defends the New York Times' claim on the basis of fair use</v>
      </c>
      <c r="C19" s="39">
        <v>0.4</v>
      </c>
      <c r="D19" s="40">
        <f>vlookup($A19,Statements!$A$2:$P$61,13,TRUE)</f>
        <v>0.2630344058</v>
      </c>
      <c r="E19" s="10" t="str">
        <f>vlookup($A19,Statements!$A$2:$P$61,4,TRUE)</f>
        <v>Law</v>
      </c>
    </row>
    <row r="20">
      <c r="A20" s="34">
        <f>Statements!A20</f>
        <v>19</v>
      </c>
      <c r="B20" s="48" t="str">
        <f>Statements!B20</f>
        <v>2024 will be the hottest European summer on record.</v>
      </c>
      <c r="C20" s="49">
        <v>0.05</v>
      </c>
      <c r="D20" s="50">
        <f>vlookup($A20,Statements!$A$2:$P$61,13,TRUE)</f>
        <v>-3.321928095</v>
      </c>
      <c r="E20" s="10" t="str">
        <f>vlookup($A20,Statements!$A$2:$P$61,4,TRUE)</f>
        <v>Nature</v>
      </c>
    </row>
    <row r="21">
      <c r="A21" s="34">
        <f>Statements!A21</f>
        <v>20</v>
      </c>
      <c r="B21" s="22" t="str">
        <f>Statements!B21</f>
        <v>The  NOAA will announce an alert level 5 bleaching event on the Great Barrier Reef</v>
      </c>
      <c r="C21" s="39">
        <v>0.4</v>
      </c>
      <c r="D21" s="40">
        <f>vlookup($A21,Statements!$A$2:$P$61,13,TRUE)</f>
        <v>0.2630344058</v>
      </c>
      <c r="E21" s="10" t="str">
        <f>vlookup($A21,Statements!$A$2:$P$61,4,TRUE)</f>
        <v>Nature</v>
      </c>
    </row>
    <row r="22">
      <c r="A22" s="34">
        <f>Statements!A22</f>
        <v>21</v>
      </c>
      <c r="B22" s="22" t="str">
        <f>Statements!B22</f>
        <v>At least three cyclones will drench North Queensland before the end of the year.</v>
      </c>
      <c r="C22" s="39">
        <v>0.6</v>
      </c>
      <c r="D22" s="40">
        <f>vlookup($A22,Statements!$A$2:$P$61,13,TRUE)</f>
        <v>-0.3219280949</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0.6</v>
      </c>
      <c r="D23" s="40">
        <f>vlookup($A23,Statements!$A$2:$P$61,13,TRUE)</f>
        <v>-0.3219280949</v>
      </c>
      <c r="E23" s="10" t="str">
        <f>vlookup($A23,Statements!$A$2:$P$61,4,TRUE)</f>
        <v>Politics</v>
      </c>
    </row>
    <row r="24">
      <c r="A24" s="34">
        <f>Statements!A24</f>
        <v>23</v>
      </c>
      <c r="B24" s="22" t="str">
        <f>Statements!B24</f>
        <v>Trump will promise to enact an order or legislation with the express intention of negatively impacting Taylor Swift</v>
      </c>
      <c r="C24" s="39">
        <v>0.1</v>
      </c>
      <c r="D24" s="40">
        <f>vlookup($A24,Statements!$A$2:$P$61,13,TRUE)</f>
        <v>0.8479969066</v>
      </c>
      <c r="E24" s="10" t="str">
        <f>vlookup($A24,Statements!$A$2:$P$61,4,TRUE)</f>
        <v>Politics</v>
      </c>
    </row>
    <row r="25">
      <c r="A25" s="34">
        <f>Statements!A25</f>
        <v>24</v>
      </c>
      <c r="B25" s="22" t="str">
        <f>Statements!B25</f>
        <v>Netanyahu will lose the prime ministership of Israel during 2024</v>
      </c>
      <c r="C25" s="39">
        <v>0.2</v>
      </c>
      <c r="D25" s="40">
        <f>vlookup($A25,Statements!$A$2:$P$61,13,TRUE)</f>
        <v>0.6780719051</v>
      </c>
      <c r="E25" s="10" t="str">
        <f>vlookup($A25,Statements!$A$2:$P$61,4,TRUE)</f>
        <v>Politics</v>
      </c>
    </row>
    <row r="26">
      <c r="A26" s="34">
        <f>Statements!A26</f>
        <v>25</v>
      </c>
      <c r="B26" s="45" t="str">
        <f>Statements!B26</f>
        <v>There will be an Australian Federal election in 2024</v>
      </c>
      <c r="C26" s="46">
        <v>0.05</v>
      </c>
      <c r="D26" s="47">
        <f>vlookup($A26,Statements!$A$2:$P$61,13,TRUE)</f>
        <v>0.9259994186</v>
      </c>
      <c r="E26" s="10" t="str">
        <f>vlookup($A26,Statements!$A$2:$P$61,4,TRUE)</f>
        <v>Politics</v>
      </c>
    </row>
    <row r="27">
      <c r="A27" s="34">
        <f>Statements!A27</f>
        <v>26</v>
      </c>
      <c r="B27" s="22" t="str">
        <f>Statements!B27</f>
        <v>Donald Trump will get less of the Popular vote than the Democratic candidate.</v>
      </c>
      <c r="C27" s="39">
        <v>0.9</v>
      </c>
      <c r="D27" s="40">
        <f>vlookup($A27,Statements!$A$2:$P$61,13,TRUE)</f>
        <v>-2.321928095</v>
      </c>
      <c r="E27" s="10" t="str">
        <f>vlookup($A27,Statements!$A$2:$P$61,4,TRUE)</f>
        <v>Politics</v>
      </c>
    </row>
    <row r="28">
      <c r="A28" s="34">
        <f>Statements!A28</f>
        <v>27</v>
      </c>
      <c r="B28" s="45" t="str">
        <f>Statements!B28</f>
        <v>An Australian Aboriginal organisation will sign at least one state-based treaty this year.</v>
      </c>
      <c r="C28" s="46">
        <v>0.05</v>
      </c>
      <c r="D28" s="47">
        <f>vlookup($A28,Statements!$A$2:$P$61,13,TRUE)</f>
        <v>0.9259994186</v>
      </c>
      <c r="E28" s="10" t="str">
        <f>vlookup($A28,Statements!$A$2:$P$61,4,TRUE)</f>
        <v>Politics</v>
      </c>
    </row>
    <row r="29">
      <c r="A29" s="34">
        <f>Statements!A29</f>
        <v>28</v>
      </c>
      <c r="B29" s="22" t="str">
        <f>Statements!B29</f>
        <v>Donald Trump will not go to prison this year.</v>
      </c>
      <c r="C29" s="39">
        <v>0.9</v>
      </c>
      <c r="D29" s="40">
        <f>vlookup($A29,Statements!$A$2:$P$61,13,TRUE)</f>
        <v>0.8479969066</v>
      </c>
      <c r="E29" s="10" t="str">
        <f>vlookup($A29,Statements!$A$2:$P$61,4,TRUE)</f>
        <v>Politics</v>
      </c>
    </row>
    <row r="30">
      <c r="A30" s="34">
        <f>Statements!A30</f>
        <v>29</v>
      </c>
      <c r="B30" s="45" t="str">
        <f>Statements!B30</f>
        <v>Modi will be re-elected in the upcoming Indian election</v>
      </c>
      <c r="C30" s="46">
        <v>0.99</v>
      </c>
      <c r="D30" s="47">
        <f>vlookup($A30,Statements!$A$2:$P$61,13,TRUE)</f>
        <v>0.9855004303</v>
      </c>
      <c r="E30" s="10" t="str">
        <f>vlookup($A30,Statements!$A$2:$P$61,4,TRUE)</f>
        <v>Politics</v>
      </c>
    </row>
    <row r="31">
      <c r="A31" s="34">
        <f>Statements!A31</f>
        <v>30</v>
      </c>
      <c r="B31" s="22" t="str">
        <f>Statements!B31</f>
        <v>Josh Frydenberg returns to politics, specifically, announces he will contest Kooyong</v>
      </c>
      <c r="C31" s="39">
        <v>0.05</v>
      </c>
      <c r="D31" s="40">
        <f>vlookup($A31,Statements!$A$2:$P$61,13,TRUE)</f>
        <v>0.9259994186</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0.3</v>
      </c>
      <c r="D32" s="40">
        <f>vlookup($A32,Statements!$A$2:$P$61,13,TRUE)</f>
        <v>0.4854268272</v>
      </c>
      <c r="E32" s="10" t="str">
        <f>vlookup($A32,Statements!$A$2:$P$61,4,TRUE)</f>
        <v>Politics</v>
      </c>
    </row>
    <row r="33">
      <c r="A33" s="34">
        <f>Statements!A33</f>
        <v>32</v>
      </c>
      <c r="B33" s="22" t="str">
        <f>Statements!B33</f>
        <v>Taylor swift will be credited/mentioned in U.S legislation created this year.</v>
      </c>
      <c r="C33" s="39">
        <v>0.4</v>
      </c>
      <c r="D33" s="40">
        <f>vlookup($A33,Statements!$A$2:$P$61,13,TRUE)</f>
        <v>0.2630344058</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0.8</v>
      </c>
      <c r="D34" s="40">
        <f>vlookup($A34,Statements!$A$2:$P$61,13,TRUE)</f>
        <v>0.6780719051</v>
      </c>
      <c r="E34" s="10" t="str">
        <f>vlookup($A34,Statements!$A$2:$P$61,4,TRUE)</f>
        <v>Politics</v>
      </c>
    </row>
    <row r="35">
      <c r="A35" s="34">
        <f>Statements!A35</f>
        <v>34</v>
      </c>
      <c r="B35" s="22" t="str">
        <f>Statements!B35</f>
        <v>Pope Francis will retire.</v>
      </c>
      <c r="C35" s="39">
        <v>0.6</v>
      </c>
      <c r="D35" s="40">
        <f>vlookup($A35,Statements!$A$2:$P$61,13,TRUE)</f>
        <v>-0.3219280949</v>
      </c>
      <c r="E35" s="10" t="str">
        <f>vlookup($A35,Statements!$A$2:$P$61,4,TRUE)</f>
        <v>Religion</v>
      </c>
    </row>
    <row r="36">
      <c r="A36" s="34">
        <f>Statements!A36</f>
        <v>35</v>
      </c>
      <c r="B36" s="45" t="str">
        <f>Statements!B36</f>
        <v>King Charles will announce his abdication of the throne</v>
      </c>
      <c r="C36" s="46">
        <v>0.05</v>
      </c>
      <c r="D36" s="47">
        <f>vlookup($A36,Statements!$A$2:$P$61,13,TRUE)</f>
        <v>0.9259994186</v>
      </c>
      <c r="E36" s="10" t="str">
        <f>vlookup($A36,Statements!$A$2:$P$61,4,TRUE)</f>
        <v>Royals</v>
      </c>
    </row>
    <row r="37">
      <c r="A37" s="34">
        <f>Statements!A37</f>
        <v>36</v>
      </c>
      <c r="B37" s="22" t="str">
        <f>Statements!B37</f>
        <v>Prince Andrew remains resident of the Royal Lodge until 15 Dec 2024</v>
      </c>
      <c r="C37" s="39">
        <v>0.6</v>
      </c>
      <c r="D37" s="40">
        <f>vlookup($A37,Statements!$A$2:$P$61,13,TRUE)</f>
        <v>0.2630344058</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0.1</v>
      </c>
      <c r="D38" s="40">
        <f>vlookup($A38,Statements!$A$2:$P$61,13,TRUE)</f>
        <v>0.8479969066</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0.4</v>
      </c>
      <c r="D39" s="40">
        <f>vlookup($A39,Statements!$A$2:$P$61,13,TRUE)</f>
        <v>0.2630344058</v>
      </c>
      <c r="E39" s="10" t="str">
        <f>vlookup($A39,Statements!$A$2:$P$61,4,TRUE)</f>
        <v>Society</v>
      </c>
    </row>
    <row r="40">
      <c r="A40" s="34">
        <f>Statements!A40</f>
        <v>39</v>
      </c>
      <c r="B40" s="22" t="str">
        <f>Statements!B40</f>
        <v>Canberra restaurants will have more than 30 hats by the end of 2024 as per the Australian Good Food Guide</v>
      </c>
      <c r="C40" s="39">
        <v>0.3</v>
      </c>
      <c r="D40" s="40">
        <f>vlookup($A40,Statements!$A$2:$P$61,13,TRUE)</f>
        <v>0.4854268272</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0.5</v>
      </c>
      <c r="D41" s="40">
        <f>vlookup($A41,Statements!$A$2:$P$61,13,TRUE)</f>
        <v>0</v>
      </c>
      <c r="E41" s="10" t="str">
        <f>vlookup($A41,Statements!$A$2:$P$61,4,TRUE)</f>
        <v>Society</v>
      </c>
    </row>
    <row r="42">
      <c r="A42" s="34">
        <f>Statements!A42</f>
        <v>41</v>
      </c>
      <c r="B42" s="22" t="str">
        <f>Statements!B42</f>
        <v>Elon Musk confirmed to have another child on the way</v>
      </c>
      <c r="C42" s="39">
        <v>0.6</v>
      </c>
      <c r="D42" s="40">
        <f>vlookup($A42,Statements!$A$2:$P$61,13,TRUE)</f>
        <v>0.2630344058</v>
      </c>
      <c r="E42" s="10" t="str">
        <f>vlookup($A42,Statements!$A$2:$P$61,4,TRUE)</f>
        <v>Society</v>
      </c>
    </row>
    <row r="43">
      <c r="A43" s="34">
        <f>Statements!A43</f>
        <v>42</v>
      </c>
      <c r="B43" s="22" t="str">
        <f>Statements!B43</f>
        <v>A notional 0 will be given to a student in any of Rohans classes for being caught using ai in an assignment.</v>
      </c>
      <c r="C43" s="39">
        <v>0.3</v>
      </c>
      <c r="D43" s="40">
        <f>vlookup($A43,Statements!$A$2:$P$61,13,TRUE)</f>
        <v>-0.7369655942</v>
      </c>
      <c r="E43" s="10" t="str">
        <f>vlookup($A43,Statements!$A$2:$P$61,4,TRUE)</f>
        <v>Society</v>
      </c>
    </row>
    <row r="44">
      <c r="A44" s="34">
        <f>Statements!A44</f>
        <v>43</v>
      </c>
      <c r="B44" s="45" t="str">
        <f>Statements!B44</f>
        <v>Rafael Nadal will win the French tennis open in 2024</v>
      </c>
      <c r="C44" s="46">
        <v>0.05</v>
      </c>
      <c r="D44" s="47">
        <f>vlookup($A44,Statements!$A$2:$P$61,13,TRUE)</f>
        <v>0.9259994186</v>
      </c>
      <c r="E44" s="10" t="str">
        <f>vlookup($A44,Statements!$A$2:$P$61,4,TRUE)</f>
        <v>Sport</v>
      </c>
    </row>
    <row r="45">
      <c r="A45" s="34">
        <f>Statements!A45</f>
        <v>44</v>
      </c>
      <c r="B45" s="22" t="str">
        <f>Statements!B45</f>
        <v>The AFL premiership will be won by a team whose name starts with a letter from the second half of the alphabet</v>
      </c>
      <c r="C45" s="39">
        <v>0.1</v>
      </c>
      <c r="D45" s="40">
        <f>vlookup($A45,Statements!$A$2:$P$61,13,TRUE)</f>
        <v>0.8479969066</v>
      </c>
      <c r="E45" s="10" t="str">
        <f>vlookup($A45,Statements!$A$2:$P$61,4,TRUE)</f>
        <v>Sport</v>
      </c>
    </row>
    <row r="46">
      <c r="A46" s="34">
        <f>Statements!A46</f>
        <v>45</v>
      </c>
      <c r="B46" s="22" t="str">
        <f>Statements!B46</f>
        <v>Australia will win more medals at the Paris Olympics than the last Olympics.</v>
      </c>
      <c r="C46" s="39">
        <v>0.5</v>
      </c>
      <c r="D46" s="40">
        <f>vlookup($A46,Statements!$A$2:$P$61,13,TRUE)</f>
        <v>0</v>
      </c>
      <c r="E46" s="10" t="str">
        <f>vlookup($A46,Statements!$A$2:$P$61,4,TRUE)</f>
        <v>Sport</v>
      </c>
    </row>
    <row r="47">
      <c r="A47" s="34">
        <f>Statements!A47</f>
        <v>46</v>
      </c>
      <c r="B47" s="22" t="str">
        <f>Statements!B47</f>
        <v>Brisbane will win the AFL Grand Final.</v>
      </c>
      <c r="C47" s="39">
        <v>0.6</v>
      </c>
      <c r="D47" s="40">
        <f>vlookup($A47,Statements!$A$2:$P$61,13,TRUE)</f>
        <v>0.2630344058</v>
      </c>
      <c r="E47" s="10" t="str">
        <f>vlookup($A47,Statements!$A$2:$P$61,4,TRUE)</f>
        <v>Sport</v>
      </c>
    </row>
    <row r="48">
      <c r="A48" s="34">
        <f>Statements!A48</f>
        <v>47</v>
      </c>
      <c r="B48" s="45" t="str">
        <f>Statements!B48</f>
        <v>Collingwood will win the Grand Final</v>
      </c>
      <c r="C48" s="46">
        <v>0.02</v>
      </c>
      <c r="D48" s="47">
        <f>vlookup($A48,Statements!$A$2:$P$61,13,TRUE)</f>
        <v>0.9708536543</v>
      </c>
      <c r="E48" s="10" t="str">
        <f>vlookup($A48,Statements!$A$2:$P$61,4,TRUE)</f>
        <v>Sport</v>
      </c>
    </row>
    <row r="49">
      <c r="A49" s="34">
        <f>Statements!A49</f>
        <v>48</v>
      </c>
      <c r="B49" s="22" t="str">
        <f>Statements!B49</f>
        <v>Australia will win at least 9 gold in swimming at the Paris Olympics (they won 9 at Tokyo2020)</v>
      </c>
      <c r="C49" s="39">
        <v>0.4</v>
      </c>
      <c r="D49" s="40">
        <f>vlookup($A49,Statements!$A$2:$P$61,13,TRUE)</f>
        <v>0.2630344058</v>
      </c>
      <c r="E49" s="10" t="str">
        <f>vlookup($A49,Statements!$A$2:$P$61,4,TRUE)</f>
        <v>Sport</v>
      </c>
    </row>
    <row r="50">
      <c r="A50" s="34">
        <f>Statements!A50</f>
        <v>49</v>
      </c>
      <c r="B50" s="22" t="str">
        <f>Statements!B50</f>
        <v>China will win the most gold medals of any nation at the Paris Olympics</v>
      </c>
      <c r="C50" s="39">
        <v>0.7</v>
      </c>
      <c r="D50" s="40">
        <f>vlookup($A50,Statements!$A$2:$P$61,13,TRUE)</f>
        <v>-0.7369655942</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0.3</v>
      </c>
      <c r="D51" s="40">
        <f>vlookup($A51,Statements!$A$2:$P$61,13,TRUE)</f>
        <v>0.4854268272</v>
      </c>
      <c r="E51" s="10" t="str">
        <f>vlookup($A51,Statements!$A$2:$P$61,4,TRUE)</f>
        <v>Sport</v>
      </c>
    </row>
    <row r="52">
      <c r="A52" s="34">
        <f>Statements!A52</f>
        <v>51</v>
      </c>
      <c r="B52" s="22" t="str">
        <f>Statements!B52</f>
        <v>Central Coast Mariners will win the A league premiership this year.</v>
      </c>
      <c r="C52" s="39">
        <v>0.75</v>
      </c>
      <c r="D52" s="40">
        <f>vlookup($A52,Statements!$A$2:$P$61,13,TRUE)</f>
        <v>0.5849625007</v>
      </c>
      <c r="E52" s="10" t="str">
        <f>vlookup($A52,Statements!$A$2:$P$61,4,TRUE)</f>
        <v>Sport</v>
      </c>
    </row>
    <row r="53">
      <c r="A53" s="34">
        <f>Statements!A53</f>
        <v>52</v>
      </c>
      <c r="B53" s="45" t="str">
        <f>Statements!B53</f>
        <v>The Tour de France will not be won by a French national in 2024.</v>
      </c>
      <c r="C53" s="46">
        <v>0.95</v>
      </c>
      <c r="D53" s="47">
        <f>vlookup($A53,Statements!$A$2:$P$61,13,TRUE)</f>
        <v>0.9259994186</v>
      </c>
      <c r="E53" s="10" t="str">
        <f>vlookup($A53,Statements!$A$2:$P$61,4,TRUE)</f>
        <v>Sport</v>
      </c>
    </row>
    <row r="54">
      <c r="A54" s="34">
        <f>Statements!A54</f>
        <v>53</v>
      </c>
      <c r="B54" s="22" t="str">
        <f>Statements!B54</f>
        <v>Sergio Perez’s average qualifying position will be below p6.</v>
      </c>
      <c r="C54" s="39">
        <v>0.2</v>
      </c>
      <c r="D54" s="40">
        <f>vlookup($A54,Statements!$A$2:$P$61,13,TRUE)</f>
        <v>-1.321928095</v>
      </c>
      <c r="E54" s="10" t="str">
        <f>vlookup($A54,Statements!$A$2:$P$61,4,TRUE)</f>
        <v>Sport</v>
      </c>
    </row>
    <row r="55">
      <c r="A55" s="34">
        <f>Statements!A55</f>
        <v>54</v>
      </c>
      <c r="B55" s="22" t="str">
        <f>Statements!B55</f>
        <v>A service will exist to generate full episodes of bespoke TV (or films) based on prompts about the plot and casting</v>
      </c>
      <c r="C55" s="39">
        <v>0.6</v>
      </c>
      <c r="D55" s="40">
        <f>vlookup($A55,Statements!$A$2:$P$61,13,TRUE)</f>
        <v>0.2630344058</v>
      </c>
      <c r="E55" s="10" t="str">
        <f>vlookup($A55,Statements!$A$2:$P$61,4,TRUE)</f>
        <v>Technology</v>
      </c>
    </row>
    <row r="56">
      <c r="A56" s="34">
        <f>Statements!A56</f>
        <v>55</v>
      </c>
      <c r="B56" s="22" t="str">
        <f>Statements!B56</f>
        <v>Materially adverse complications arise to human subjects that have Neuralink installed</v>
      </c>
      <c r="C56" s="39">
        <v>0.65</v>
      </c>
      <c r="D56" s="40">
        <f>vlookup($A56,Statements!$A$2:$P$61,13,TRUE)</f>
        <v>-0.5145731728</v>
      </c>
      <c r="E56" s="10" t="str">
        <f>vlookup($A56,Statements!$A$2:$P$61,4,TRUE)</f>
        <v>Technology</v>
      </c>
    </row>
    <row r="57">
      <c r="A57" s="34">
        <f>Statements!A57</f>
        <v>56</v>
      </c>
      <c r="B57" s="22" t="str">
        <f>Statements!B57</f>
        <v>Some UAPs confirmed to be military aircraft by government officials or an official government statement</v>
      </c>
      <c r="C57" s="39">
        <v>0.5</v>
      </c>
      <c r="D57" s="40">
        <f>vlookup($A57,Statements!$A$2:$P$61,13,TRUE)</f>
        <v>0</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0.1</v>
      </c>
      <c r="D58" s="40">
        <f>vlookup($A58,Statements!$A$2:$P$61,13,TRUE)</f>
        <v>0.8479969066</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0.3</v>
      </c>
      <c r="D59" s="40">
        <f>vlookup($A59,Statements!$A$2:$P$61,13,TRUE)</f>
        <v>0.4854268272</v>
      </c>
      <c r="E59" s="10" t="str">
        <f>vlookup($A59,Statements!$A$2:$P$61,4,TRUE)</f>
        <v>Technology</v>
      </c>
    </row>
    <row r="60">
      <c r="A60" s="34">
        <f>Statements!A60</f>
        <v>59</v>
      </c>
      <c r="B60" s="22" t="str">
        <f>Statements!B60</f>
        <v>SpaceX's Starship vehicle will complete at least 1 full orbit of the Earth</v>
      </c>
      <c r="C60" s="39">
        <v>0.9</v>
      </c>
      <c r="D60" s="40">
        <f>vlookup($A60,Statements!$A$2:$P$61,13,TRUE)</f>
        <v>-2.321928095</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0.8</v>
      </c>
      <c r="D61" s="40" t="str">
        <f>vlookup($A61,Statements!$A$2:$P$61,13,TRUE)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0.9855004303</v>
      </c>
    </row>
    <row r="64">
      <c r="A64" s="34" t="str">
        <f>Statements!A64</f>
        <v/>
      </c>
      <c r="B64" s="22" t="str">
        <f>Statements!B64</f>
        <v/>
      </c>
      <c r="C64" s="10" t="s">
        <v>117</v>
      </c>
      <c r="D64" s="52">
        <f>MIN($D$2:$D$61)</f>
        <v>-3.321928095</v>
      </c>
      <c r="E64" s="53" t="s">
        <v>118</v>
      </c>
      <c r="F64" s="53" t="s">
        <v>119</v>
      </c>
    </row>
    <row r="65">
      <c r="A65" s="34" t="str">
        <f>Statements!A65</f>
        <v/>
      </c>
      <c r="B65" s="22" t="str">
        <f>Statements!B65</f>
        <v/>
      </c>
      <c r="C65" s="56" t="s">
        <v>21</v>
      </c>
      <c r="D65" s="32">
        <f t="shared" ref="D65:D75" si="1">sumif($E$2:$E$61,$C65,$D$2:$D$61)</f>
        <v>0.2681037755</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0.4854268272</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7" t="s">
        <v>36</v>
      </c>
      <c r="D67" s="58">
        <f t="shared" si="1"/>
        <v>-0.7369655942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7" t="s">
        <v>38</v>
      </c>
      <c r="D68" s="58">
        <f t="shared" si="1"/>
        <v>-1.380821784</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7" t="s">
        <v>44</v>
      </c>
      <c r="D69" s="58">
        <f t="shared" si="1"/>
        <v>-3.380821784</v>
      </c>
      <c r="E69" s="32">
        <f>min(Andrew!D69,Bruce!D69,Eileen!D69,Gael!D69,Iain!D69,Jac!D69,James!D69,Kate!D69,Lachy!D69,Pete!D69,Rohan!D69)</f>
        <v>-4.895394957</v>
      </c>
      <c r="F69" s="32">
        <f>max(Andrew!D69,Bruce!D69,Eileen!D69,Gael!D69,Iain!D69,Jac!D69,James!D69,Kate!D69,Lachy!D69,Pete!D69,Rohan!D69)</f>
        <v>2.011495639</v>
      </c>
    </row>
    <row r="70">
      <c r="B70" s="22"/>
      <c r="C70" s="54" t="s">
        <v>48</v>
      </c>
      <c r="D70" s="55">
        <f t="shared" si="1"/>
        <v>4.920241353</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-0.3219280949</v>
      </c>
      <c r="E71" s="32">
        <f>min(Andrew!D71,Bruce!D71,Eileen!D71,Gael!D71,Iain!D71,Jac!D71,James!D71,Kate!D71,Lachy!D71,Pete!D71,Rohan!D71)</f>
        <v>-0.7369655942</v>
      </c>
      <c r="F71" s="32">
        <f>max(Andrew!D71,Bruce!D71,Eileen!D71,Gael!D71,Iain!D71,Jac!D71,James!D71,Kate!D71,Lachy!D71,Pete!D71,Rohan!D71)</f>
        <v>0.8479969066</v>
      </c>
    </row>
    <row r="72">
      <c r="B72" s="22"/>
      <c r="C72" s="54" t="s">
        <v>63</v>
      </c>
      <c r="D72" s="55">
        <f t="shared" si="1"/>
        <v>2.037030731</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0.2745300447</v>
      </c>
      <c r="E73" s="32">
        <f>min(Andrew!D73,Bruce!D73,Eileen!D73,Gael!D73,Iain!D73,Jac!D73,James!D73,Kate!D73,Lachy!D73,Pete!D73,Rohan!D73)</f>
        <v>-0.7958592832</v>
      </c>
      <c r="F73" s="32">
        <f>max(Andrew!D73,Bruce!D73,Eileen!D73,Gael!D73,Iain!D73,Jac!D73,James!D73,Kate!D73,Lachy!D73,Pete!D73,Rohan!D73)</f>
        <v>1.519642543</v>
      </c>
    </row>
    <row r="74">
      <c r="B74" s="22"/>
      <c r="C74" s="54" t="s">
        <v>73</v>
      </c>
      <c r="D74" s="55">
        <f t="shared" si="1"/>
        <v>3.208413849</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-1.240043128</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0.8</v>
      </c>
      <c r="D2" s="40" t="str">
        <f>vlookup($A2,Statements!$A$2:$P$61,9,TRUE)</f>
        <v/>
      </c>
      <c r="E2" s="10" t="str">
        <f>vlookup($A2,Statements!$A$2:$P$61,4,TRUE)</f>
        <v>Entertainment</v>
      </c>
    </row>
    <row r="3">
      <c r="A3" s="34">
        <f>Statements!A3</f>
        <v>2</v>
      </c>
      <c r="B3" s="22" t="str">
        <f>Statements!B3</f>
        <v>NewJeans surpass 13M subscribers on instagram (currently 11.3M)</v>
      </c>
      <c r="C3" s="39">
        <v>0.5</v>
      </c>
      <c r="D3" s="40">
        <f>vlookup($A3,Statements!$A$2:$P$61,9,TRUE)</f>
        <v>0</v>
      </c>
      <c r="E3" s="10" t="str">
        <f>vlookup($A3,Statements!$A$2:$P$61,4,TRUE)</f>
        <v>Entertainment</v>
      </c>
    </row>
    <row r="4">
      <c r="A4" s="34">
        <f>Statements!A4</f>
        <v>3</v>
      </c>
      <c r="B4" s="22" t="str">
        <f>Statements!B4</f>
        <v>Timothee and Kylie break up</v>
      </c>
      <c r="C4" s="39">
        <v>0.8</v>
      </c>
      <c r="D4" s="40">
        <f>vlookup($A4,Statements!$A$2:$P$61,9,TRUE)</f>
        <v>-1.321928095</v>
      </c>
      <c r="E4" s="10" t="str">
        <f>vlookup($A4,Statements!$A$2:$P$61,4,TRUE)</f>
        <v>Entertainment</v>
      </c>
    </row>
    <row r="5">
      <c r="A5" s="34">
        <f>Statements!A5</f>
        <v>4</v>
      </c>
      <c r="B5" s="22" t="str">
        <f>Statements!B5</f>
        <v>A guest on Hot Ones will not complete the full set of hot sauces/wings</v>
      </c>
      <c r="C5" s="39">
        <v>0.8</v>
      </c>
      <c r="D5" s="40">
        <f>vlookup($A5,Statements!$A$2:$P$61,9,TRUE)</f>
        <v>-1.321928095</v>
      </c>
      <c r="E5" s="10" t="str">
        <f>vlookup($A5,Statements!$A$2:$P$61,4,TRUE)</f>
        <v>Entertainment</v>
      </c>
    </row>
    <row r="6">
      <c r="A6" s="34">
        <f>Statements!A6</f>
        <v>5</v>
      </c>
      <c r="B6" s="22" t="str">
        <f>Statements!B6</f>
        <v>An alone participant in a 2024 season (Australia/Denmark/UK) will fall ill from eating poisonous fruit they misidentify</v>
      </c>
      <c r="C6" s="39">
        <v>0.2</v>
      </c>
      <c r="D6" s="40">
        <f>vlookup($A6,Statements!$A$2:$P$61,9,TRUE)</f>
        <v>-1.321928095</v>
      </c>
      <c r="E6" s="10" t="str">
        <f>vlookup($A6,Statements!$A$2:$P$61,4,TRUE)</f>
        <v>Entertainment</v>
      </c>
    </row>
    <row r="7">
      <c r="A7" s="34">
        <f>Statements!A7</f>
        <v>6</v>
      </c>
      <c r="B7" s="22" t="str">
        <f>Statements!B7</f>
        <v>An Australian or New Zealand restaurant will feature on the 2024 "World's 50 Best Restaurants" list</v>
      </c>
      <c r="C7" s="39">
        <v>0.7</v>
      </c>
      <c r="D7" s="40">
        <f>vlookup($A7,Statements!$A$2:$P$61,9,TRUE)</f>
        <v>-0.7369655942</v>
      </c>
      <c r="E7" s="10" t="str">
        <f>vlookup($A7,Statements!$A$2:$P$61,4,TRUE)</f>
        <v>Entertainment</v>
      </c>
    </row>
    <row r="8">
      <c r="A8" s="34">
        <f>Statements!A8</f>
        <v>7</v>
      </c>
      <c r="B8" s="22" t="str">
        <f>Statements!B8</f>
        <v>Dex (Kim Jin Young) will feature as a guest or star in a food-based show available on Netflix AU/NZ</v>
      </c>
      <c r="C8" s="39">
        <v>0.5</v>
      </c>
      <c r="D8" s="40">
        <f>vlookup($A8,Statements!$A$2:$P$61,9,TRUE)</f>
        <v>0</v>
      </c>
      <c r="E8" s="10" t="str">
        <f>vlookup($A8,Statements!$A$2:$P$61,4,TRUE)</f>
        <v>Entertainment</v>
      </c>
    </row>
    <row r="9">
      <c r="A9" s="34">
        <f>Statements!A9</f>
        <v>8</v>
      </c>
      <c r="B9" s="22" t="str">
        <f>Statements!B9</f>
        <v>Taylor will break up with Travis</v>
      </c>
      <c r="C9" s="39">
        <v>0.4</v>
      </c>
      <c r="D9" s="40">
        <f>vlookup($A9,Statements!$A$2:$P$61,9,TRUE)</f>
        <v>0.2630344058</v>
      </c>
      <c r="E9" s="10" t="str">
        <f>vlookup($A9,Statements!$A$2:$P$61,4,TRUE)</f>
        <v>Entertainment</v>
      </c>
    </row>
    <row r="10">
      <c r="A10" s="34">
        <f>Statements!A10</f>
        <v>9</v>
      </c>
      <c r="B10" s="22" t="str">
        <f>Statements!B10</f>
        <v>Taylor will release the re-record of her debut album in 2024.</v>
      </c>
      <c r="C10" s="39">
        <v>0.7</v>
      </c>
      <c r="D10" s="40">
        <f>vlookup($A10,Statements!$A$2:$P$61,9,TRUE)</f>
        <v>-0.7369655942</v>
      </c>
      <c r="E10" s="10" t="str">
        <f>vlookup($A10,Statements!$A$2:$P$61,4,TRUE)</f>
        <v>Entertainment</v>
      </c>
    </row>
    <row r="11">
      <c r="A11" s="34">
        <f>Statements!A11</f>
        <v>10</v>
      </c>
      <c r="B11" s="22" t="str">
        <f>Statements!B11</f>
        <v>Barbie will win best picture at the academy awards.</v>
      </c>
      <c r="C11" s="39">
        <v>0.1</v>
      </c>
      <c r="D11" s="40" t="str">
        <f>vlookup($A11,Statements!$A$2:$P$61,9,TRUE)</f>
        <v/>
      </c>
      <c r="E11" s="10" t="str">
        <f>vlookup($A11,Statements!$A$2:$P$61,4,TRUE)</f>
        <v>Entertainment</v>
      </c>
    </row>
    <row r="12">
      <c r="A12" s="34">
        <f>Statements!A12</f>
        <v>11</v>
      </c>
      <c r="B12" s="22" t="str">
        <f>Statements!B12</f>
        <v>Kate will win at least two prizes for her Phillip and Bennelong book.</v>
      </c>
      <c r="C12" s="39">
        <v>0.2</v>
      </c>
      <c r="D12" s="40">
        <f>vlookup($A12,Statements!$A$2:$P$61,9,TRUE)</f>
        <v>-1.321928095</v>
      </c>
      <c r="E12" s="10" t="str">
        <f>vlookup($A12,Statements!$A$2:$P$61,4,TRUE)</f>
        <v>Family</v>
      </c>
    </row>
    <row r="13">
      <c r="A13" s="34">
        <f>Statements!A13</f>
        <v>12</v>
      </c>
      <c r="B13" s="22" t="str">
        <f>Statements!B13</f>
        <v>Baby Starmeadow will be under 50cm long at birth (Oz average is 50.8cm).</v>
      </c>
      <c r="C13" s="39">
        <v>0.8</v>
      </c>
      <c r="D13" s="40" t="str">
        <f>vlookup($A13,Statements!$A$2:$P$61,9,TRUE)</f>
        <v/>
      </c>
      <c r="E13" s="10" t="str">
        <f>vlookup($A13,Statements!$A$2:$P$61,4,TRUE)</f>
        <v>Family</v>
      </c>
    </row>
    <row r="14">
      <c r="A14" s="34">
        <f>Statements!A14</f>
        <v>13</v>
      </c>
      <c r="B14" s="22" t="str">
        <f>Statements!B14</f>
        <v>The Reserve Bank will announce at least three interest rate reductions in 2024</v>
      </c>
      <c r="C14" s="39">
        <v>0.4</v>
      </c>
      <c r="D14" s="40">
        <f>vlookup($A14,Statements!$A$2:$P$61,9,TRUE)</f>
        <v>0.2630344058</v>
      </c>
      <c r="E14" s="10" t="str">
        <f>vlookup($A14,Statements!$A$2:$P$61,4,TRUE)</f>
        <v>Finance</v>
      </c>
    </row>
    <row r="15">
      <c r="A15" s="34">
        <f>Statements!A15</f>
        <v>14</v>
      </c>
      <c r="B15" s="22" t="str">
        <f>Statements!B15</f>
        <v>Bruce Lehrmann will be awarded damages</v>
      </c>
      <c r="C15" s="39">
        <v>0.1</v>
      </c>
      <c r="D15" s="40">
        <f>vlookup($A15,Statements!$A$2:$P$61,9,TRUE)</f>
        <v>0.8479969066</v>
      </c>
      <c r="E15" s="10" t="str">
        <f>vlookup($A15,Statements!$A$2:$P$61,4,TRUE)</f>
        <v>Law</v>
      </c>
    </row>
    <row r="16">
      <c r="A16" s="34">
        <f>Statements!A16</f>
        <v>15</v>
      </c>
      <c r="B16" s="22" t="str">
        <f>Statements!B16</f>
        <v>Chinese courts will refuse Evergrande liquidators’ requests to seize the developer’s assets in mainland China</v>
      </c>
      <c r="C16" s="39">
        <v>0.5</v>
      </c>
      <c r="D16" s="40">
        <f>vlookup($A16,Statements!$A$2:$P$61,9,TRUE)</f>
        <v>0</v>
      </c>
      <c r="E16" s="10" t="str">
        <f>vlookup($A16,Statements!$A$2:$P$61,4,TRUE)</f>
        <v>Law</v>
      </c>
    </row>
    <row r="17">
      <c r="A17" s="34">
        <f>Statements!A17</f>
        <v>16</v>
      </c>
      <c r="B17" s="22" t="str">
        <f>Statements!B17</f>
        <v>David McBride will be sentenced to a lifetime jail sentence</v>
      </c>
      <c r="C17" s="39">
        <v>0.6</v>
      </c>
      <c r="D17" s="40">
        <f>vlookup($A17,Statements!$A$2:$P$61,9,TRUE)</f>
        <v>-0.3219280949</v>
      </c>
      <c r="E17" s="10" t="str">
        <f>vlookup($A17,Statements!$A$2:$P$61,4,TRUE)</f>
        <v>Law</v>
      </c>
    </row>
    <row r="18">
      <c r="A18" s="34">
        <f>Statements!A18</f>
        <v>17</v>
      </c>
      <c r="B18" s="22" t="str">
        <f>Statements!B18</f>
        <v>The federal court will find that Bruce Lehrmann was not defamed</v>
      </c>
      <c r="C18" s="39">
        <v>0.6</v>
      </c>
      <c r="D18" s="40">
        <f>vlookup($A18,Statements!$A$2:$P$61,9,TRUE)</f>
        <v>0.2630344058</v>
      </c>
      <c r="E18" s="10" t="str">
        <f>vlookup($A18,Statements!$A$2:$P$61,4,TRUE)</f>
        <v>Law</v>
      </c>
    </row>
    <row r="19">
      <c r="A19" s="34">
        <f>Statements!A19</f>
        <v>18</v>
      </c>
      <c r="B19" s="22" t="str">
        <f>Statements!B19</f>
        <v>OpenAI successfully defends the New York Times' claim on the basis of fair use</v>
      </c>
      <c r="C19" s="39">
        <v>0.4</v>
      </c>
      <c r="D19" s="40">
        <f>vlookup($A19,Statements!$A$2:$P$61,9,TRUE)</f>
        <v>0.2630344058</v>
      </c>
      <c r="E19" s="10" t="str">
        <f>vlookup($A19,Statements!$A$2:$P$61,4,TRUE)</f>
        <v>Law</v>
      </c>
    </row>
    <row r="20">
      <c r="A20" s="34">
        <f>Statements!A20</f>
        <v>19</v>
      </c>
      <c r="B20" s="22" t="str">
        <f>Statements!B20</f>
        <v>2024 will be the hottest European summer on record.</v>
      </c>
      <c r="C20" s="39">
        <v>0.6</v>
      </c>
      <c r="D20" s="40">
        <f>vlookup($A20,Statements!$A$2:$P$61,9,TRUE)</f>
        <v>0.2630344058</v>
      </c>
      <c r="E20" s="10" t="str">
        <f>vlookup($A20,Statements!$A$2:$P$61,4,TRUE)</f>
        <v>Nature</v>
      </c>
    </row>
    <row r="21">
      <c r="A21" s="34">
        <f>Statements!A21</f>
        <v>20</v>
      </c>
      <c r="B21" s="22" t="str">
        <f>Statements!B21</f>
        <v>The  NOAA will announce an alert level 5 bleaching event on the Great Barrier Reef</v>
      </c>
      <c r="C21" s="39">
        <v>0.6</v>
      </c>
      <c r="D21" s="40">
        <f>vlookup($A21,Statements!$A$2:$P$61,9,TRUE)</f>
        <v>-0.3219280949</v>
      </c>
      <c r="E21" s="10" t="str">
        <f>vlookup($A21,Statements!$A$2:$P$61,4,TRUE)</f>
        <v>Nature</v>
      </c>
    </row>
    <row r="22">
      <c r="A22" s="34">
        <f>Statements!A22</f>
        <v>21</v>
      </c>
      <c r="B22" s="22" t="str">
        <f>Statements!B22</f>
        <v>At least three cyclones will drench North Queensland before the end of the year.</v>
      </c>
      <c r="C22" s="39">
        <v>0.4</v>
      </c>
      <c r="D22" s="40">
        <f>vlookup($A22,Statements!$A$2:$P$61,9,TRUE)</f>
        <v>0.2630344058</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0.2</v>
      </c>
      <c r="D23" s="40">
        <f>vlookup($A23,Statements!$A$2:$P$61,9,TRUE)</f>
        <v>0.6780719051</v>
      </c>
      <c r="E23" s="10" t="str">
        <f>vlookup($A23,Statements!$A$2:$P$61,4,TRUE)</f>
        <v>Politics</v>
      </c>
    </row>
    <row r="24">
      <c r="A24" s="34">
        <f>Statements!A24</f>
        <v>23</v>
      </c>
      <c r="B24" s="22" t="str">
        <f>Statements!B24</f>
        <v>Trump will promise to enact an order or legislation with the express intention of negatively impacting Taylor Swift</v>
      </c>
      <c r="C24" s="39">
        <v>0.1</v>
      </c>
      <c r="D24" s="40">
        <f>vlookup($A24,Statements!$A$2:$P$61,9,TRUE)</f>
        <v>0.8479969066</v>
      </c>
      <c r="E24" s="10" t="str">
        <f>vlookup($A24,Statements!$A$2:$P$61,4,TRUE)</f>
        <v>Politics</v>
      </c>
    </row>
    <row r="25">
      <c r="A25" s="34">
        <f>Statements!A25</f>
        <v>24</v>
      </c>
      <c r="B25" s="22" t="str">
        <f>Statements!B25</f>
        <v>Netanyahu will lose the prime ministership of Israel during 2024</v>
      </c>
      <c r="C25" s="39">
        <v>0.4</v>
      </c>
      <c r="D25" s="40">
        <f>vlookup($A25,Statements!$A$2:$P$61,9,TRUE)</f>
        <v>0.2630344058</v>
      </c>
      <c r="E25" s="10" t="str">
        <f>vlookup($A25,Statements!$A$2:$P$61,4,TRUE)</f>
        <v>Politics</v>
      </c>
    </row>
    <row r="26">
      <c r="A26" s="34">
        <f>Statements!A26</f>
        <v>25</v>
      </c>
      <c r="B26" s="22" t="str">
        <f>Statements!B26</f>
        <v>There will be an Australian Federal election in 2024</v>
      </c>
      <c r="C26" s="39">
        <v>0.6</v>
      </c>
      <c r="D26" s="40">
        <f>vlookup($A26,Statements!$A$2:$P$61,9,TRUE)</f>
        <v>-0.3219280949</v>
      </c>
      <c r="E26" s="10" t="str">
        <f>vlookup($A26,Statements!$A$2:$P$61,4,TRUE)</f>
        <v>Politics</v>
      </c>
    </row>
    <row r="27">
      <c r="A27" s="34">
        <f>Statements!A27</f>
        <v>26</v>
      </c>
      <c r="B27" s="22" t="str">
        <f>Statements!B27</f>
        <v>Donald Trump will get less of the Popular vote than the Democratic candidate.</v>
      </c>
      <c r="C27" s="39">
        <v>0.7</v>
      </c>
      <c r="D27" s="40">
        <f>vlookup($A27,Statements!$A$2:$P$61,9,TRUE)</f>
        <v>-0.7369655942</v>
      </c>
      <c r="E27" s="10" t="str">
        <f>vlookup($A27,Statements!$A$2:$P$61,4,TRUE)</f>
        <v>Politics</v>
      </c>
    </row>
    <row r="28">
      <c r="A28" s="34">
        <f>Statements!A28</f>
        <v>27</v>
      </c>
      <c r="B28" s="22" t="str">
        <f>Statements!B28</f>
        <v>An Australian Aboriginal organisation will sign at least one state-based treaty this year.</v>
      </c>
      <c r="C28" s="39">
        <v>0.1</v>
      </c>
      <c r="D28" s="40">
        <f>vlookup($A28,Statements!$A$2:$P$61,9,TRUE)</f>
        <v>0.8479969066</v>
      </c>
      <c r="E28" s="10" t="str">
        <f>vlookup($A28,Statements!$A$2:$P$61,4,TRUE)</f>
        <v>Politics</v>
      </c>
    </row>
    <row r="29">
      <c r="A29" s="34">
        <f>Statements!A29</f>
        <v>28</v>
      </c>
      <c r="B29" s="22" t="str">
        <f>Statements!B29</f>
        <v>Donald Trump will not go to prison this year.</v>
      </c>
      <c r="C29" s="39">
        <v>0.9</v>
      </c>
      <c r="D29" s="40">
        <f>vlookup($A29,Statements!$A$2:$P$61,9,TRUE)</f>
        <v>0.8479969066</v>
      </c>
      <c r="E29" s="10" t="str">
        <f>vlookup($A29,Statements!$A$2:$P$61,4,TRUE)</f>
        <v>Politics</v>
      </c>
    </row>
    <row r="30">
      <c r="A30" s="34">
        <f>Statements!A30</f>
        <v>29</v>
      </c>
      <c r="B30" s="22" t="str">
        <f>Statements!B30</f>
        <v>Modi will be re-elected in the upcoming Indian election</v>
      </c>
      <c r="C30" s="39">
        <v>0.5</v>
      </c>
      <c r="D30" s="40">
        <f>vlookup($A30,Statements!$A$2:$P$61,9,TRUE)</f>
        <v>0</v>
      </c>
      <c r="E30" s="10" t="str">
        <f>vlookup($A30,Statements!$A$2:$P$61,4,TRUE)</f>
        <v>Politics</v>
      </c>
    </row>
    <row r="31">
      <c r="A31" s="34">
        <f>Statements!A31</f>
        <v>30</v>
      </c>
      <c r="B31" s="22" t="str">
        <f>Statements!B31</f>
        <v>Josh Frydenberg returns to politics, specifically, announces he will contest Kooyong</v>
      </c>
      <c r="C31" s="39">
        <v>0.1</v>
      </c>
      <c r="D31" s="40">
        <f>vlookup($A31,Statements!$A$2:$P$61,9,TRUE)</f>
        <v>0.8479969066</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0.7</v>
      </c>
      <c r="D32" s="40">
        <f>vlookup($A32,Statements!$A$2:$P$61,9,TRUE)</f>
        <v>-0.7369655942</v>
      </c>
      <c r="E32" s="10" t="str">
        <f>vlookup($A32,Statements!$A$2:$P$61,4,TRUE)</f>
        <v>Politics</v>
      </c>
    </row>
    <row r="33">
      <c r="A33" s="34">
        <f>Statements!A33</f>
        <v>32</v>
      </c>
      <c r="B33" s="22" t="str">
        <f>Statements!B33</f>
        <v>Taylor swift will be credited/mentioned in U.S legislation created this year.</v>
      </c>
      <c r="C33" s="39">
        <v>0.1</v>
      </c>
      <c r="D33" s="40">
        <f>vlookup($A33,Statements!$A$2:$P$61,9,TRUE)</f>
        <v>0.8479969066</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0.3</v>
      </c>
      <c r="D34" s="40">
        <f>vlookup($A34,Statements!$A$2:$P$61,9,TRUE)</f>
        <v>-0.7369655942</v>
      </c>
      <c r="E34" s="10" t="str">
        <f>vlookup($A34,Statements!$A$2:$P$61,4,TRUE)</f>
        <v>Politics</v>
      </c>
    </row>
    <row r="35">
      <c r="A35" s="34">
        <f>Statements!A35</f>
        <v>34</v>
      </c>
      <c r="B35" s="22" t="str">
        <f>Statements!B35</f>
        <v>Pope Francis will retire.</v>
      </c>
      <c r="C35" s="39">
        <v>0.2</v>
      </c>
      <c r="D35" s="40">
        <f>vlookup($A35,Statements!$A$2:$P$61,9,TRUE)</f>
        <v>0.6780719051</v>
      </c>
      <c r="E35" s="10" t="str">
        <f>vlookup($A35,Statements!$A$2:$P$61,4,TRUE)</f>
        <v>Religion</v>
      </c>
    </row>
    <row r="36">
      <c r="A36" s="34">
        <f>Statements!A36</f>
        <v>35</v>
      </c>
      <c r="B36" s="45" t="str">
        <f>Statements!B36</f>
        <v>King Charles will announce his abdication of the throne</v>
      </c>
      <c r="C36" s="46">
        <v>0.05</v>
      </c>
      <c r="D36" s="47">
        <f>vlookup($A36,Statements!$A$2:$P$61,9,TRUE)</f>
        <v>0.9259994186</v>
      </c>
      <c r="E36" s="10" t="str">
        <f>vlookup($A36,Statements!$A$2:$P$61,4,TRUE)</f>
        <v>Royals</v>
      </c>
    </row>
    <row r="37">
      <c r="A37" s="34">
        <f>Statements!A37</f>
        <v>36</v>
      </c>
      <c r="B37" s="22" t="str">
        <f>Statements!B37</f>
        <v>Prince Andrew remains resident of the Royal Lodge until 15 Dec 2024</v>
      </c>
      <c r="C37" s="39">
        <v>0.8</v>
      </c>
      <c r="D37" s="40">
        <f>vlookup($A37,Statements!$A$2:$P$61,9,TRUE)</f>
        <v>0.6780719051</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0.1</v>
      </c>
      <c r="D38" s="40">
        <f>vlookup($A38,Statements!$A$2:$P$61,9,TRUE)</f>
        <v>0.8479969066</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0.1</v>
      </c>
      <c r="D39" s="40">
        <f>vlookup($A39,Statements!$A$2:$P$61,9,TRUE)</f>
        <v>0.8479969066</v>
      </c>
      <c r="E39" s="10" t="str">
        <f>vlookup($A39,Statements!$A$2:$P$61,4,TRUE)</f>
        <v>Society</v>
      </c>
    </row>
    <row r="40">
      <c r="A40" s="34">
        <f>Statements!A40</f>
        <v>39</v>
      </c>
      <c r="B40" s="22" t="str">
        <f>Statements!B40</f>
        <v>Canberra restaurants will have more than 30 hats by the end of 2024 as per the Australian Good Food Guide</v>
      </c>
      <c r="C40" s="39">
        <v>0.2</v>
      </c>
      <c r="D40" s="40">
        <f>vlookup($A40,Statements!$A$2:$P$61,9,TRUE)</f>
        <v>0.6780719051</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0.5</v>
      </c>
      <c r="D41" s="40">
        <f>vlookup($A41,Statements!$A$2:$P$61,9,TRUE)</f>
        <v>0</v>
      </c>
      <c r="E41" s="10" t="str">
        <f>vlookup($A41,Statements!$A$2:$P$61,4,TRUE)</f>
        <v>Society</v>
      </c>
    </row>
    <row r="42">
      <c r="A42" s="34">
        <f>Statements!A42</f>
        <v>41</v>
      </c>
      <c r="B42" s="48" t="str">
        <f>Statements!B42</f>
        <v>Elon Musk confirmed to have another child on the way</v>
      </c>
      <c r="C42" s="49">
        <v>0.1</v>
      </c>
      <c r="D42" s="50">
        <f>vlookup($A42,Statements!$A$2:$P$61,9,TRUE)</f>
        <v>-2.321928095</v>
      </c>
      <c r="E42" s="10" t="str">
        <f>vlookup($A42,Statements!$A$2:$P$61,4,TRUE)</f>
        <v>Society</v>
      </c>
    </row>
    <row r="43">
      <c r="A43" s="34">
        <f>Statements!A43</f>
        <v>42</v>
      </c>
      <c r="B43" s="22" t="str">
        <f>Statements!B43</f>
        <v>A notional 0 will be given to a student in any of Rohans classes for being caught using ai in an assignment.</v>
      </c>
      <c r="C43" s="66">
        <v>0.5</v>
      </c>
      <c r="D43" s="40">
        <f>vlookup($A43,Statements!$A$2:$P$61,9,TRUE)</f>
        <v>0</v>
      </c>
      <c r="E43" s="10" t="str">
        <f>vlookup($A43,Statements!$A$2:$P$61,4,TRUE)</f>
        <v>Society</v>
      </c>
    </row>
    <row r="44">
      <c r="A44" s="34">
        <f>Statements!A44</f>
        <v>43</v>
      </c>
      <c r="B44" s="22" t="str">
        <f>Statements!B44</f>
        <v>Rafael Nadal will win the French tennis open in 2024</v>
      </c>
      <c r="C44" s="39">
        <v>0.2</v>
      </c>
      <c r="D44" s="40">
        <f>vlookup($A44,Statements!$A$2:$P$61,9,TRUE)</f>
        <v>0.6780719051</v>
      </c>
      <c r="E44" s="10" t="str">
        <f>vlookup($A44,Statements!$A$2:$P$61,4,TRUE)</f>
        <v>Sport</v>
      </c>
    </row>
    <row r="45">
      <c r="A45" s="34">
        <f>Statements!A45</f>
        <v>44</v>
      </c>
      <c r="B45" s="22" t="str">
        <f>Statements!B45</f>
        <v>The AFL premiership will be won by a team whose name starts with a letter from the second half of the alphabet</v>
      </c>
      <c r="C45" s="39">
        <v>0.3</v>
      </c>
      <c r="D45" s="40">
        <f>vlookup($A45,Statements!$A$2:$P$61,9,TRUE)</f>
        <v>0.4854268272</v>
      </c>
      <c r="E45" s="10" t="str">
        <f>vlookup($A45,Statements!$A$2:$P$61,4,TRUE)</f>
        <v>Sport</v>
      </c>
    </row>
    <row r="46">
      <c r="A46" s="34">
        <f>Statements!A46</f>
        <v>45</v>
      </c>
      <c r="B46" s="22" t="str">
        <f>Statements!B46</f>
        <v>Australia will win more medals at the Paris Olympics than the last Olympics.</v>
      </c>
      <c r="C46" s="39">
        <v>0.5</v>
      </c>
      <c r="D46" s="40">
        <f>vlookup($A46,Statements!$A$2:$P$61,9,TRUE)</f>
        <v>0</v>
      </c>
      <c r="E46" s="10" t="str">
        <f>vlookup($A46,Statements!$A$2:$P$61,4,TRUE)</f>
        <v>Sport</v>
      </c>
    </row>
    <row r="47">
      <c r="A47" s="34">
        <f>Statements!A47</f>
        <v>46</v>
      </c>
      <c r="B47" s="22" t="str">
        <f>Statements!B47</f>
        <v>Brisbane will win the AFL Grand Final.</v>
      </c>
      <c r="C47" s="39">
        <v>0.7</v>
      </c>
      <c r="D47" s="40">
        <f>vlookup($A47,Statements!$A$2:$P$61,9,TRUE)</f>
        <v>0.4854268272</v>
      </c>
      <c r="E47" s="10" t="str">
        <f>vlookup($A47,Statements!$A$2:$P$61,4,TRUE)</f>
        <v>Sport</v>
      </c>
    </row>
    <row r="48">
      <c r="A48" s="34">
        <f>Statements!A48</f>
        <v>47</v>
      </c>
      <c r="B48" s="22" t="str">
        <f>Statements!B48</f>
        <v>Collingwood will win the Grand Final</v>
      </c>
      <c r="C48" s="39">
        <v>0.1</v>
      </c>
      <c r="D48" s="40">
        <f>vlookup($A48,Statements!$A$2:$P$61,9,TRUE)</f>
        <v>0.8479969066</v>
      </c>
      <c r="E48" s="10" t="str">
        <f>vlookup($A48,Statements!$A$2:$P$61,4,TRUE)</f>
        <v>Sport</v>
      </c>
    </row>
    <row r="49">
      <c r="A49" s="34">
        <f>Statements!A49</f>
        <v>48</v>
      </c>
      <c r="B49" s="22" t="str">
        <f>Statements!B49</f>
        <v>Australia will win at least 9 gold in swimming at the Paris Olympics (they won 9 at Tokyo2020)</v>
      </c>
      <c r="C49" s="39">
        <v>0.4</v>
      </c>
      <c r="D49" s="40">
        <f>vlookup($A49,Statements!$A$2:$P$61,9,TRUE)</f>
        <v>0.2630344058</v>
      </c>
      <c r="E49" s="10" t="str">
        <f>vlookup($A49,Statements!$A$2:$P$61,4,TRUE)</f>
        <v>Sport</v>
      </c>
    </row>
    <row r="50">
      <c r="A50" s="34">
        <f>Statements!A50</f>
        <v>49</v>
      </c>
      <c r="B50" s="22" t="str">
        <f>Statements!B50</f>
        <v>China will win the most gold medals of any nation at the Paris Olympics</v>
      </c>
      <c r="C50" s="39">
        <v>0.6</v>
      </c>
      <c r="D50" s="40">
        <f>vlookup($A50,Statements!$A$2:$P$61,9,TRUE)</f>
        <v>-0.3219280949</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0.6</v>
      </c>
      <c r="D51" s="40">
        <f>vlookup($A51,Statements!$A$2:$P$61,9,TRUE)</f>
        <v>-0.3219280949</v>
      </c>
      <c r="E51" s="10" t="str">
        <f>vlookup($A51,Statements!$A$2:$P$61,4,TRUE)</f>
        <v>Sport</v>
      </c>
    </row>
    <row r="52">
      <c r="A52" s="34">
        <f>Statements!A52</f>
        <v>51</v>
      </c>
      <c r="B52" s="22" t="str">
        <f>Statements!B52</f>
        <v>Central Coast Mariners will win the A league premiership this year.</v>
      </c>
      <c r="C52" s="39">
        <v>0.5</v>
      </c>
      <c r="D52" s="40">
        <f>vlookup($A52,Statements!$A$2:$P$61,9,TRUE)</f>
        <v>0</v>
      </c>
      <c r="E52" s="10" t="str">
        <f>vlookup($A52,Statements!$A$2:$P$61,4,TRUE)</f>
        <v>Sport</v>
      </c>
    </row>
    <row r="53">
      <c r="A53" s="34">
        <f>Statements!A53</f>
        <v>52</v>
      </c>
      <c r="B53" s="22" t="str">
        <f>Statements!B53</f>
        <v>The Tour de France will not be won by a French national in 2024.</v>
      </c>
      <c r="C53" s="39">
        <v>0.7</v>
      </c>
      <c r="D53" s="40">
        <f>vlookup($A53,Statements!$A$2:$P$61,9,TRUE)</f>
        <v>0.4854268272</v>
      </c>
      <c r="E53" s="10" t="str">
        <f>vlookup($A53,Statements!$A$2:$P$61,4,TRUE)</f>
        <v>Sport</v>
      </c>
    </row>
    <row r="54">
      <c r="A54" s="34">
        <f>Statements!A54</f>
        <v>53</v>
      </c>
      <c r="B54" s="22" t="str">
        <f>Statements!B54</f>
        <v>Sergio Perez’s average qualifying position will be below p6.</v>
      </c>
      <c r="C54" s="39">
        <v>0.4</v>
      </c>
      <c r="D54" s="40">
        <f>vlookup($A54,Statements!$A$2:$P$61,9,TRUE)</f>
        <v>-0.3219280949</v>
      </c>
      <c r="E54" s="10" t="str">
        <f>vlookup($A54,Statements!$A$2:$P$61,4,TRUE)</f>
        <v>Sport</v>
      </c>
    </row>
    <row r="55">
      <c r="A55" s="34">
        <f>Statements!A55</f>
        <v>54</v>
      </c>
      <c r="B55" s="22" t="str">
        <f>Statements!B55</f>
        <v>A service will exist to generate full episodes of bespoke TV (or films) based on prompts about the plot and casting</v>
      </c>
      <c r="C55" s="39">
        <v>0.2</v>
      </c>
      <c r="D55" s="40">
        <f>vlookup($A55,Statements!$A$2:$P$61,9,TRUE)</f>
        <v>-1.321928095</v>
      </c>
      <c r="E55" s="10" t="str">
        <f>vlookup($A55,Statements!$A$2:$P$61,4,TRUE)</f>
        <v>Technology</v>
      </c>
    </row>
    <row r="56">
      <c r="A56" s="34">
        <f>Statements!A56</f>
        <v>55</v>
      </c>
      <c r="B56" s="22" t="str">
        <f>Statements!B56</f>
        <v>Materially adverse complications arise to human subjects that have Neuralink installed</v>
      </c>
      <c r="C56" s="39">
        <v>0.8</v>
      </c>
      <c r="D56" s="40">
        <f>vlookup($A56,Statements!$A$2:$P$61,9,TRUE)</f>
        <v>-1.321928095</v>
      </c>
      <c r="E56" s="10" t="str">
        <f>vlookup($A56,Statements!$A$2:$P$61,4,TRUE)</f>
        <v>Technology</v>
      </c>
    </row>
    <row r="57">
      <c r="A57" s="34">
        <f>Statements!A57</f>
        <v>56</v>
      </c>
      <c r="B57" s="22" t="str">
        <f>Statements!B57</f>
        <v>Some UAPs confirmed to be military aircraft by government officials or an official government statement</v>
      </c>
      <c r="C57" s="39">
        <v>0.7</v>
      </c>
      <c r="D57" s="40">
        <f>vlookup($A57,Statements!$A$2:$P$61,9,TRUE)</f>
        <v>-0.7369655942</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0.2</v>
      </c>
      <c r="D58" s="40">
        <f>vlookup($A58,Statements!$A$2:$P$61,9,TRUE)</f>
        <v>0.6780719051</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0.2</v>
      </c>
      <c r="D59" s="40">
        <f>vlookup($A59,Statements!$A$2:$P$61,9,TRUE)</f>
        <v>0.6780719051</v>
      </c>
      <c r="E59" s="10" t="str">
        <f>vlookup($A59,Statements!$A$2:$P$61,4,TRUE)</f>
        <v>Technology</v>
      </c>
    </row>
    <row r="60">
      <c r="A60" s="34">
        <f>Statements!A60</f>
        <v>59</v>
      </c>
      <c r="B60" s="22" t="str">
        <f>Statements!B60</f>
        <v>SpaceX's Starship vehicle will complete at least 1 full orbit of the Earth</v>
      </c>
      <c r="C60" s="39">
        <v>0.4</v>
      </c>
      <c r="D60" s="40">
        <f>vlookup($A60,Statements!$A$2:$P$61,9,TRUE)</f>
        <v>0.2630344058</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0.2</v>
      </c>
      <c r="D61" s="40" t="str">
        <f>vlookup($A61,Statements!$A$2:$P$61,9,TRUE)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0.9259994186</v>
      </c>
    </row>
    <row r="64">
      <c r="A64" s="34" t="str">
        <f>Statements!A64</f>
        <v/>
      </c>
      <c r="B64" s="22" t="str">
        <f>Statements!B64</f>
        <v/>
      </c>
      <c r="C64" s="10" t="s">
        <v>117</v>
      </c>
      <c r="D64" s="52">
        <f>MIN($D$2:$D$61)</f>
        <v>-2.321928095</v>
      </c>
      <c r="E64" s="53" t="s">
        <v>118</v>
      </c>
      <c r="F64" s="53" t="s">
        <v>119</v>
      </c>
    </row>
    <row r="65">
      <c r="A65" s="34" t="str">
        <f>Statements!A65</f>
        <v/>
      </c>
      <c r="B65" s="22" t="str">
        <f>Statements!B65</f>
        <v/>
      </c>
      <c r="C65" s="57" t="s">
        <v>21</v>
      </c>
      <c r="D65" s="58">
        <f t="shared" ref="D65:D75" si="1">sumif($E$2:$E$61,$C65,$D$2:$D$61)</f>
        <v>-5.176681067</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7" t="s">
        <v>33</v>
      </c>
      <c r="D66" s="58">
        <f t="shared" si="1"/>
        <v>-1.321928095</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0.2630344058</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1.052137623</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0.2041407168</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2.648265966</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0.6780719051</v>
      </c>
      <c r="E71" s="32">
        <f>min(Andrew!D71,Bruce!D71,Eileen!D71,Gael!D71,Iain!D71,Jac!D71,James!D71,Kate!D71,Lachy!D71,Pete!D71,Rohan!D71)</f>
        <v>-0.7369655942</v>
      </c>
      <c r="F71" s="32">
        <f>max(Andrew!D71,Bruce!D71,Eileen!D71,Gael!D71,Iain!D71,Jac!D71,James!D71,Kate!D71,Lachy!D71,Pete!D71,Rohan!D71)</f>
        <v>0.8479969066</v>
      </c>
    </row>
    <row r="72">
      <c r="B72" s="22"/>
      <c r="C72" s="54" t="s">
        <v>63</v>
      </c>
      <c r="D72" s="55">
        <f t="shared" si="1"/>
        <v>2.45206823</v>
      </c>
      <c r="E72" s="32">
        <f>min(Andrew!D72,Bruce!D72,Eileen!D72,Gael!D72,Iain!D72,Jac!D72,James!D72,Kate!D72,Lachy!D72,Pete!D72,Rohan!D72)</f>
        <v>-0.07339325875</v>
      </c>
      <c r="F72" s="32">
        <f>max(Andrew!D72,Bruce!D72,Eileen!D72,Gael!D72,Iain!D72,Jac!D72,James!D72,Kate!D72,Lachy!D72,Pete!D72,Rohan!D72)</f>
        <v>2.45206823</v>
      </c>
    </row>
    <row r="73">
      <c r="B73" s="22"/>
      <c r="C73" s="57" t="s">
        <v>67</v>
      </c>
      <c r="D73" s="58">
        <f t="shared" si="1"/>
        <v>-0.7958592832</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2.279599414</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-1.761643568</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0.5</v>
      </c>
      <c r="D2" s="40" t="str">
        <f>vlookup($A2,Statements!$A$2:$P$61,14,TRUE)</f>
        <v/>
      </c>
      <c r="E2" s="10" t="str">
        <f>vlookup($A2,Statements!$A$2:$P$61,4,TRUE)</f>
        <v>Entertainment</v>
      </c>
    </row>
    <row r="3">
      <c r="A3" s="34">
        <f>Statements!A3</f>
        <v>2</v>
      </c>
      <c r="B3" s="22" t="str">
        <f>Statements!B3</f>
        <v>NewJeans surpass 13M subscribers on instagram (currently 11.3M)</v>
      </c>
      <c r="C3" s="39">
        <v>0.45</v>
      </c>
      <c r="D3" s="40">
        <f>vlookup($A3,Statements!$A$2:$P$61,14,TRUE)</f>
        <v>-0.1520030934</v>
      </c>
      <c r="E3" s="10" t="str">
        <f>vlookup($A3,Statements!$A$2:$P$61,4,TRUE)</f>
        <v>Entertainment</v>
      </c>
    </row>
    <row r="4">
      <c r="A4" s="34">
        <f>Statements!A4</f>
        <v>3</v>
      </c>
      <c r="B4" s="22" t="str">
        <f>Statements!B4</f>
        <v>Timothee and Kylie break up</v>
      </c>
      <c r="C4" s="39">
        <v>0.3</v>
      </c>
      <c r="D4" s="40">
        <f>vlookup($A4,Statements!$A$2:$P$61,14,TRUE)</f>
        <v>0.4854268272</v>
      </c>
      <c r="E4" s="10" t="str">
        <f>vlookup($A4,Statements!$A$2:$P$61,4,TRUE)</f>
        <v>Entertainment</v>
      </c>
    </row>
    <row r="5">
      <c r="A5" s="34">
        <f>Statements!A5</f>
        <v>4</v>
      </c>
      <c r="B5" s="22" t="str">
        <f>Statements!B5</f>
        <v>A guest on Hot Ones will not complete the full set of hot sauces/wings</v>
      </c>
      <c r="C5" s="39">
        <v>0.8</v>
      </c>
      <c r="D5" s="40">
        <f>vlookup($A5,Statements!$A$2:$P$61,14,TRUE)</f>
        <v>-1.321928095</v>
      </c>
      <c r="E5" s="10" t="str">
        <f>vlookup($A5,Statements!$A$2:$P$61,4,TRUE)</f>
        <v>Entertainment</v>
      </c>
    </row>
    <row r="6">
      <c r="A6" s="34">
        <f>Statements!A6</f>
        <v>5</v>
      </c>
      <c r="B6" s="22" t="str">
        <f>Statements!B6</f>
        <v>An alone participant in a 2024 season (Australia/Denmark/UK) will fall ill from eating poisonous fruit they misidentify</v>
      </c>
      <c r="C6" s="39">
        <v>0.2</v>
      </c>
      <c r="D6" s="40">
        <f>vlookup($A6,Statements!$A$2:$P$61,14,TRUE)</f>
        <v>-1.321928095</v>
      </c>
      <c r="E6" s="10" t="str">
        <f>vlookup($A6,Statements!$A$2:$P$61,4,TRUE)</f>
        <v>Entertainment</v>
      </c>
    </row>
    <row r="7">
      <c r="A7" s="34">
        <f>Statements!A7</f>
        <v>6</v>
      </c>
      <c r="B7" s="48" t="str">
        <f>Statements!B7</f>
        <v>An Australian or New Zealand restaurant will feature on the 2024 "World's 50 Best Restaurants" list</v>
      </c>
      <c r="C7" s="49">
        <v>0.9</v>
      </c>
      <c r="D7" s="50">
        <f>vlookup($A7,Statements!$A$2:$P$61,14,TRUE)</f>
        <v>-2.321928095</v>
      </c>
      <c r="E7" s="10" t="str">
        <f>vlookup($A7,Statements!$A$2:$P$61,4,TRUE)</f>
        <v>Entertainment</v>
      </c>
    </row>
    <row r="8">
      <c r="A8" s="34">
        <f>Statements!A8</f>
        <v>7</v>
      </c>
      <c r="B8" s="22" t="str">
        <f>Statements!B8</f>
        <v>Dex (Kim Jin Young) will feature as a guest or star in a food-based show available on Netflix AU/NZ</v>
      </c>
      <c r="C8" s="39">
        <v>0.5</v>
      </c>
      <c r="D8" s="40">
        <f>vlookup($A8,Statements!$A$2:$P$61,14,TRUE)</f>
        <v>0</v>
      </c>
      <c r="E8" s="10" t="str">
        <f>vlookup($A8,Statements!$A$2:$P$61,4,TRUE)</f>
        <v>Entertainment</v>
      </c>
    </row>
    <row r="9">
      <c r="A9" s="34">
        <f>Statements!A9</f>
        <v>8</v>
      </c>
      <c r="B9" s="22" t="str">
        <f>Statements!B9</f>
        <v>Taylor will break up with Travis</v>
      </c>
      <c r="C9" s="39">
        <v>0.3</v>
      </c>
      <c r="D9" s="40">
        <f>vlookup($A9,Statements!$A$2:$P$61,14,TRUE)</f>
        <v>0.4854268272</v>
      </c>
      <c r="E9" s="10" t="str">
        <f>vlookup($A9,Statements!$A$2:$P$61,4,TRUE)</f>
        <v>Entertainment</v>
      </c>
    </row>
    <row r="10">
      <c r="A10" s="34">
        <f>Statements!A10</f>
        <v>9</v>
      </c>
      <c r="B10" s="22" t="str">
        <f>Statements!B10</f>
        <v>Taylor will release the re-record of her debut album in 2024.</v>
      </c>
      <c r="C10" s="39">
        <v>0.4</v>
      </c>
      <c r="D10" s="40">
        <f>vlookup($A10,Statements!$A$2:$P$61,14,TRUE)</f>
        <v>0.2630344058</v>
      </c>
      <c r="E10" s="10" t="str">
        <f>vlookup($A10,Statements!$A$2:$P$61,4,TRUE)</f>
        <v>Entertainment</v>
      </c>
    </row>
    <row r="11">
      <c r="A11" s="34">
        <f>Statements!A11</f>
        <v>10</v>
      </c>
      <c r="B11" s="22" t="str">
        <f>Statements!B11</f>
        <v>Barbie will win best picture at the academy awards.</v>
      </c>
      <c r="C11" s="39">
        <v>0.5</v>
      </c>
      <c r="D11" s="40" t="str">
        <f>vlookup($A11,Statements!$A$2:$P$61,14,TRUE)</f>
        <v/>
      </c>
      <c r="E11" s="10" t="str">
        <f>vlookup($A11,Statements!$A$2:$P$61,4,TRUE)</f>
        <v>Entertainment</v>
      </c>
    </row>
    <row r="12">
      <c r="A12" s="34">
        <f>Statements!A12</f>
        <v>11</v>
      </c>
      <c r="B12" s="22" t="str">
        <f>Statements!B12</f>
        <v>Kate will win at least two prizes for her Phillip and Bennelong book.</v>
      </c>
      <c r="C12" s="39">
        <v>0.6</v>
      </c>
      <c r="D12" s="40">
        <f>vlookup($A12,Statements!$A$2:$P$61,14,TRUE)</f>
        <v>0.2630344058</v>
      </c>
      <c r="E12" s="10" t="str">
        <f>vlookup($A12,Statements!$A$2:$P$61,4,TRUE)</f>
        <v>Family</v>
      </c>
    </row>
    <row r="13">
      <c r="A13" s="34">
        <f>Statements!A13</f>
        <v>12</v>
      </c>
      <c r="B13" s="22" t="str">
        <f>Statements!B13</f>
        <v>Baby Starmeadow will be under 50cm long at birth (Oz average is 50.8cm).</v>
      </c>
      <c r="C13" s="39">
        <v>0.7</v>
      </c>
      <c r="D13" s="40" t="str">
        <f>vlookup($A13,Statements!$A$2:$P$61,14,TRUE)</f>
        <v/>
      </c>
      <c r="E13" s="10" t="str">
        <f>vlookup($A13,Statements!$A$2:$P$61,4,TRUE)</f>
        <v>Family</v>
      </c>
    </row>
    <row r="14">
      <c r="A14" s="34">
        <f>Statements!A14</f>
        <v>13</v>
      </c>
      <c r="B14" s="22" t="str">
        <f>Statements!B14</f>
        <v>The Reserve Bank will announce at least three interest rate reductions in 2024</v>
      </c>
      <c r="C14" s="39">
        <v>0.2</v>
      </c>
      <c r="D14" s="40">
        <f>vlookup($A14,Statements!$A$2:$P$61,14,TRUE)</f>
        <v>0.6780719051</v>
      </c>
      <c r="E14" s="10" t="str">
        <f>vlookup($A14,Statements!$A$2:$P$61,4,TRUE)</f>
        <v>Finance</v>
      </c>
    </row>
    <row r="15">
      <c r="A15" s="34">
        <f>Statements!A15</f>
        <v>14</v>
      </c>
      <c r="B15" s="22" t="str">
        <f>Statements!B15</f>
        <v>Bruce Lehrmann will be awarded damages</v>
      </c>
      <c r="C15" s="39">
        <v>0.6</v>
      </c>
      <c r="D15" s="40">
        <f>vlookup($A15,Statements!$A$2:$P$61,14,TRUE)</f>
        <v>-0.3219280949</v>
      </c>
      <c r="E15" s="10" t="str">
        <f>vlookup($A15,Statements!$A$2:$P$61,4,TRUE)</f>
        <v>Law</v>
      </c>
    </row>
    <row r="16">
      <c r="A16" s="34">
        <f>Statements!A16</f>
        <v>15</v>
      </c>
      <c r="B16" s="22" t="str">
        <f>Statements!B16</f>
        <v>Chinese courts will refuse Evergrande liquidators’ requests to seize the developer’s assets in mainland China</v>
      </c>
      <c r="C16" s="39">
        <v>0.7</v>
      </c>
      <c r="D16" s="40">
        <f>vlookup($A16,Statements!$A$2:$P$61,14,TRUE)</f>
        <v>-0.7369655942</v>
      </c>
      <c r="E16" s="10" t="str">
        <f>vlookup($A16,Statements!$A$2:$P$61,4,TRUE)</f>
        <v>Law</v>
      </c>
    </row>
    <row r="17">
      <c r="A17" s="34">
        <f>Statements!A17</f>
        <v>16</v>
      </c>
      <c r="B17" s="22" t="str">
        <f>Statements!B17</f>
        <v>David McBride will be sentenced to a lifetime jail sentence</v>
      </c>
      <c r="C17" s="39">
        <v>0.55</v>
      </c>
      <c r="D17" s="40">
        <f>vlookup($A17,Statements!$A$2:$P$61,14,TRUE)</f>
        <v>-0.1520030934</v>
      </c>
      <c r="E17" s="10" t="str">
        <f>vlookup($A17,Statements!$A$2:$P$61,4,TRUE)</f>
        <v>Law</v>
      </c>
    </row>
    <row r="18">
      <c r="A18" s="34">
        <f>Statements!A18</f>
        <v>17</v>
      </c>
      <c r="B18" s="22" t="str">
        <f>Statements!B18</f>
        <v>The federal court will find that Bruce Lehrmann was not defamed</v>
      </c>
      <c r="C18" s="39">
        <v>0.4</v>
      </c>
      <c r="D18" s="40">
        <f>vlookup($A18,Statements!$A$2:$P$61,14,TRUE)</f>
        <v>-0.3219280949</v>
      </c>
      <c r="E18" s="10" t="str">
        <f>vlookup($A18,Statements!$A$2:$P$61,4,TRUE)</f>
        <v>Law</v>
      </c>
    </row>
    <row r="19">
      <c r="A19" s="34">
        <f>Statements!A19</f>
        <v>18</v>
      </c>
      <c r="B19" s="22" t="str">
        <f>Statements!B19</f>
        <v>OpenAI successfully defends the New York Times' claim on the basis of fair use</v>
      </c>
      <c r="C19" s="39">
        <v>0.2</v>
      </c>
      <c r="D19" s="40">
        <f>vlookup($A19,Statements!$A$2:$P$61,14,TRUE)</f>
        <v>0.6780719051</v>
      </c>
      <c r="E19" s="10" t="str">
        <f>vlookup($A19,Statements!$A$2:$P$61,4,TRUE)</f>
        <v>Law</v>
      </c>
    </row>
    <row r="20">
      <c r="A20" s="34">
        <f>Statements!A20</f>
        <v>19</v>
      </c>
      <c r="B20" s="22" t="str">
        <f>Statements!B20</f>
        <v>2024 will be the hottest European summer on record.</v>
      </c>
      <c r="C20" s="39">
        <v>0.7</v>
      </c>
      <c r="D20" s="40">
        <f>vlookup($A20,Statements!$A$2:$P$61,14,TRUE)</f>
        <v>0.4854268272</v>
      </c>
      <c r="E20" s="10" t="str">
        <f>vlookup($A20,Statements!$A$2:$P$61,4,TRUE)</f>
        <v>Nature</v>
      </c>
    </row>
    <row r="21">
      <c r="A21" s="34">
        <f>Statements!A21</f>
        <v>20</v>
      </c>
      <c r="B21" s="22" t="str">
        <f>Statements!B21</f>
        <v>The  NOAA will announce an alert level 5 bleaching event on the Great Barrier Reef</v>
      </c>
      <c r="C21" s="39">
        <v>0.1</v>
      </c>
      <c r="D21" s="40">
        <f>vlookup($A21,Statements!$A$2:$P$61,14,TRUE)</f>
        <v>0.8479969066</v>
      </c>
      <c r="E21" s="10" t="str">
        <f>vlookup($A21,Statements!$A$2:$P$61,4,TRUE)</f>
        <v>Nature</v>
      </c>
    </row>
    <row r="22">
      <c r="A22" s="34">
        <f>Statements!A22</f>
        <v>21</v>
      </c>
      <c r="B22" s="22" t="str">
        <f>Statements!B22</f>
        <v>At least three cyclones will drench North Queensland before the end of the year.</v>
      </c>
      <c r="C22" s="39">
        <v>0.2</v>
      </c>
      <c r="D22" s="40">
        <f>vlookup($A22,Statements!$A$2:$P$61,14,TRUE)</f>
        <v>0.6780719051</v>
      </c>
      <c r="E22" s="10" t="str">
        <f>vlookup($A22,Statements!$A$2:$P$61,4,TRUE)</f>
        <v>Nature</v>
      </c>
    </row>
    <row r="23">
      <c r="A23" s="34">
        <f>Statements!A23</f>
        <v>22</v>
      </c>
      <c r="B23" s="45" t="str">
        <f>Statements!B23</f>
        <v>A head of state or relevant minister from an island nation will declare their geographic country no longer inhabitable in the long term, due to climate-related issues. This will include a commitment to relevant action of some kind</v>
      </c>
      <c r="C23" s="46">
        <v>0.01</v>
      </c>
      <c r="D23" s="47">
        <f>vlookup($A23,Statements!$A$2:$P$61,14,TRUE)</f>
        <v>0.9855004303</v>
      </c>
      <c r="E23" s="10" t="str">
        <f>vlookup($A23,Statements!$A$2:$P$61,4,TRUE)</f>
        <v>Politics</v>
      </c>
    </row>
    <row r="24">
      <c r="A24" s="34">
        <f>Statements!A24</f>
        <v>23</v>
      </c>
      <c r="B24" s="22" t="str">
        <f>Statements!B24</f>
        <v>Trump will promise to enact an order or legislation with the express intention of negatively impacting Taylor Swift</v>
      </c>
      <c r="C24" s="39">
        <v>0.6</v>
      </c>
      <c r="D24" s="40">
        <f>vlookup($A24,Statements!$A$2:$P$61,14,TRUE)</f>
        <v>-0.3219280949</v>
      </c>
      <c r="E24" s="10" t="str">
        <f>vlookup($A24,Statements!$A$2:$P$61,4,TRUE)</f>
        <v>Politics</v>
      </c>
    </row>
    <row r="25">
      <c r="A25" s="34">
        <f>Statements!A25</f>
        <v>24</v>
      </c>
      <c r="B25" s="22" t="str">
        <f>Statements!B25</f>
        <v>Netanyahu will lose the prime ministership of Israel during 2024</v>
      </c>
      <c r="C25" s="39">
        <v>0.3</v>
      </c>
      <c r="D25" s="40">
        <f>vlookup($A25,Statements!$A$2:$P$61,14,TRUE)</f>
        <v>0.4854268272</v>
      </c>
      <c r="E25" s="10" t="str">
        <f>vlookup($A25,Statements!$A$2:$P$61,4,TRUE)</f>
        <v>Politics</v>
      </c>
    </row>
    <row r="26">
      <c r="A26" s="34">
        <f>Statements!A26</f>
        <v>25</v>
      </c>
      <c r="B26" s="22" t="str">
        <f>Statements!B26</f>
        <v>There will be an Australian Federal election in 2024</v>
      </c>
      <c r="C26" s="39">
        <v>0.8</v>
      </c>
      <c r="D26" s="40">
        <f>vlookup($A26,Statements!$A$2:$P$61,14,TRUE)</f>
        <v>-1.321928095</v>
      </c>
      <c r="E26" s="10" t="str">
        <f>vlookup($A26,Statements!$A$2:$P$61,4,TRUE)</f>
        <v>Politics</v>
      </c>
    </row>
    <row r="27">
      <c r="A27" s="34">
        <f>Statements!A27</f>
        <v>26</v>
      </c>
      <c r="B27" s="48" t="str">
        <f>Statements!B27</f>
        <v>Donald Trump will get less of the Popular vote than the Democratic candidate.</v>
      </c>
      <c r="C27" s="49">
        <v>0.9</v>
      </c>
      <c r="D27" s="50">
        <f>vlookup($A27,Statements!$A$2:$P$61,14,TRUE)</f>
        <v>-2.321928095</v>
      </c>
      <c r="E27" s="10" t="str">
        <f>vlookup($A27,Statements!$A$2:$P$61,4,TRUE)</f>
        <v>Politics</v>
      </c>
    </row>
    <row r="28">
      <c r="A28" s="34">
        <f>Statements!A28</f>
        <v>27</v>
      </c>
      <c r="B28" s="22" t="str">
        <f>Statements!B28</f>
        <v>An Australian Aboriginal organisation will sign at least one state-based treaty this year.</v>
      </c>
      <c r="C28" s="39">
        <v>0.1</v>
      </c>
      <c r="D28" s="40">
        <f>vlookup($A28,Statements!$A$2:$P$61,14,TRUE)</f>
        <v>0.8479969066</v>
      </c>
      <c r="E28" s="10" t="str">
        <f>vlookup($A28,Statements!$A$2:$P$61,4,TRUE)</f>
        <v>Politics</v>
      </c>
    </row>
    <row r="29">
      <c r="A29" s="34">
        <f>Statements!A29</f>
        <v>28</v>
      </c>
      <c r="B29" s="22" t="str">
        <f>Statements!B29</f>
        <v>Donald Trump will not go to prison this year.</v>
      </c>
      <c r="C29" s="39">
        <v>0.4</v>
      </c>
      <c r="D29" s="40">
        <f>vlookup($A29,Statements!$A$2:$P$61,14,TRUE)</f>
        <v>-0.3219280949</v>
      </c>
      <c r="E29" s="10" t="str">
        <f>vlookup($A29,Statements!$A$2:$P$61,4,TRUE)</f>
        <v>Politics</v>
      </c>
    </row>
    <row r="30">
      <c r="A30" s="34">
        <f>Statements!A30</f>
        <v>29</v>
      </c>
      <c r="B30" s="22" t="str">
        <f>Statements!B30</f>
        <v>Modi will be re-elected in the upcoming Indian election</v>
      </c>
      <c r="C30" s="39">
        <v>0.8</v>
      </c>
      <c r="D30" s="40">
        <f>vlookup($A30,Statements!$A$2:$P$61,14,TRUE)</f>
        <v>0.6780719051</v>
      </c>
      <c r="E30" s="10" t="str">
        <f>vlookup($A30,Statements!$A$2:$P$61,4,TRUE)</f>
        <v>Politics</v>
      </c>
    </row>
    <row r="31">
      <c r="A31" s="34">
        <f>Statements!A31</f>
        <v>30</v>
      </c>
      <c r="B31" s="22" t="str">
        <f>Statements!B31</f>
        <v>Josh Frydenberg returns to politics, specifically, announces he will contest Kooyong</v>
      </c>
      <c r="C31" s="39">
        <v>0.1</v>
      </c>
      <c r="D31" s="40">
        <f>vlookup($A31,Statements!$A$2:$P$61,14,TRUE)</f>
        <v>0.8479969066</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0.7</v>
      </c>
      <c r="D32" s="40">
        <f>vlookup($A32,Statements!$A$2:$P$61,14,TRUE)</f>
        <v>-0.7369655942</v>
      </c>
      <c r="E32" s="10" t="str">
        <f>vlookup($A32,Statements!$A$2:$P$61,4,TRUE)</f>
        <v>Politics</v>
      </c>
    </row>
    <row r="33">
      <c r="A33" s="34">
        <f>Statements!A33</f>
        <v>32</v>
      </c>
      <c r="B33" s="22" t="str">
        <f>Statements!B33</f>
        <v>Taylor swift will be credited/mentioned in U.S legislation created this year.</v>
      </c>
      <c r="C33" s="39">
        <v>0.2</v>
      </c>
      <c r="D33" s="40">
        <f>vlookup($A33,Statements!$A$2:$P$61,14,TRUE)</f>
        <v>0.6780719051</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0.8</v>
      </c>
      <c r="D34" s="40">
        <f>vlookup($A34,Statements!$A$2:$P$61,14,TRUE)</f>
        <v>0.6780719051</v>
      </c>
      <c r="E34" s="10" t="str">
        <f>vlookup($A34,Statements!$A$2:$P$61,4,TRUE)</f>
        <v>Politics</v>
      </c>
    </row>
    <row r="35">
      <c r="A35" s="34">
        <f>Statements!A35</f>
        <v>34</v>
      </c>
      <c r="B35" s="22" t="str">
        <f>Statements!B35</f>
        <v>Pope Francis will retire.</v>
      </c>
      <c r="C35" s="39">
        <v>0.1</v>
      </c>
      <c r="D35" s="40">
        <f>vlookup($A35,Statements!$A$2:$P$61,14,TRUE)</f>
        <v>0.8479969066</v>
      </c>
      <c r="E35" s="10" t="str">
        <f>vlookup($A35,Statements!$A$2:$P$61,4,TRUE)</f>
        <v>Religion</v>
      </c>
    </row>
    <row r="36">
      <c r="A36" s="34">
        <f>Statements!A36</f>
        <v>35</v>
      </c>
      <c r="B36" s="45" t="str">
        <f>Statements!B36</f>
        <v>King Charles will announce his abdication of the throne</v>
      </c>
      <c r="C36" s="46">
        <v>0.01</v>
      </c>
      <c r="D36" s="47">
        <f>vlookup($A36,Statements!$A$2:$P$61,14,TRUE)</f>
        <v>0.9855004303</v>
      </c>
      <c r="E36" s="10" t="str">
        <f>vlookup($A36,Statements!$A$2:$P$61,4,TRUE)</f>
        <v>Royals</v>
      </c>
    </row>
    <row r="37">
      <c r="A37" s="34">
        <f>Statements!A37</f>
        <v>36</v>
      </c>
      <c r="B37" s="22" t="str">
        <f>Statements!B37</f>
        <v>Prince Andrew remains resident of the Royal Lodge until 15 Dec 2024</v>
      </c>
      <c r="C37" s="39">
        <v>0.8</v>
      </c>
      <c r="D37" s="40">
        <f>vlookup($A37,Statements!$A$2:$P$61,14,TRUE)</f>
        <v>0.6780719051</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0.7</v>
      </c>
      <c r="D38" s="40">
        <f>vlookup($A38,Statements!$A$2:$P$61,14,TRUE)</f>
        <v>-0.7369655942</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0.4</v>
      </c>
      <c r="D39" s="40">
        <f>vlookup($A39,Statements!$A$2:$P$61,14,TRUE)</f>
        <v>0.2630344058</v>
      </c>
      <c r="E39" s="10" t="str">
        <f>vlookup($A39,Statements!$A$2:$P$61,4,TRUE)</f>
        <v>Society</v>
      </c>
    </row>
    <row r="40">
      <c r="A40" s="34">
        <f>Statements!A40</f>
        <v>39</v>
      </c>
      <c r="B40" s="22" t="str">
        <f>Statements!B40</f>
        <v>Canberra restaurants will have more than 30 hats by the end of 2024 as per the Australian Good Food Guide</v>
      </c>
      <c r="C40" s="39">
        <v>0.5</v>
      </c>
      <c r="D40" s="40">
        <f>vlookup($A40,Statements!$A$2:$P$61,14,TRUE)</f>
        <v>0</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0.3</v>
      </c>
      <c r="D41" s="40">
        <f>vlookup($A41,Statements!$A$2:$P$61,14,TRUE)</f>
        <v>0.4854268272</v>
      </c>
      <c r="E41" s="10" t="str">
        <f>vlookup($A41,Statements!$A$2:$P$61,4,TRUE)</f>
        <v>Society</v>
      </c>
    </row>
    <row r="42">
      <c r="A42" s="34">
        <f>Statements!A42</f>
        <v>41</v>
      </c>
      <c r="B42" s="22" t="str">
        <f>Statements!B42</f>
        <v>Elon Musk confirmed to have another child on the way</v>
      </c>
      <c r="C42" s="39">
        <v>0.6</v>
      </c>
      <c r="D42" s="40">
        <f>vlookup($A42,Statements!$A$2:$P$61,14,TRUE)</f>
        <v>0.2630344058</v>
      </c>
      <c r="E42" s="10" t="str">
        <f>vlookup($A42,Statements!$A$2:$P$61,4,TRUE)</f>
        <v>Society</v>
      </c>
    </row>
    <row r="43">
      <c r="A43" s="34">
        <f>Statements!A43</f>
        <v>42</v>
      </c>
      <c r="B43" s="22" t="str">
        <f>Statements!B43</f>
        <v>A notional 0 will be given to a student in any of Rohans classes for being caught using ai in an assignment.</v>
      </c>
      <c r="C43" s="39">
        <v>0.7</v>
      </c>
      <c r="D43" s="40">
        <f>vlookup($A43,Statements!$A$2:$P$61,14,TRUE)</f>
        <v>0.4854268272</v>
      </c>
      <c r="E43" s="10" t="str">
        <f>vlookup($A43,Statements!$A$2:$P$61,4,TRUE)</f>
        <v>Society</v>
      </c>
    </row>
    <row r="44">
      <c r="A44" s="34">
        <f>Statements!A44</f>
        <v>43</v>
      </c>
      <c r="B44" s="22" t="str">
        <f>Statements!B44</f>
        <v>Rafael Nadal will win the French tennis open in 2024</v>
      </c>
      <c r="C44" s="39">
        <v>0.3</v>
      </c>
      <c r="D44" s="40">
        <f>vlookup($A44,Statements!$A$2:$P$61,14,TRUE)</f>
        <v>0.4854268272</v>
      </c>
      <c r="E44" s="10" t="str">
        <f>vlookup($A44,Statements!$A$2:$P$61,4,TRUE)</f>
        <v>Sport</v>
      </c>
    </row>
    <row r="45">
      <c r="A45" s="34">
        <f>Statements!A45</f>
        <v>44</v>
      </c>
      <c r="B45" s="22" t="str">
        <f>Statements!B45</f>
        <v>The AFL premiership will be won by a team whose name starts with a letter from the second half of the alphabet</v>
      </c>
      <c r="C45" s="39">
        <v>0.5</v>
      </c>
      <c r="D45" s="40">
        <f>vlookup($A45,Statements!$A$2:$P$61,14,TRUE)</f>
        <v>0</v>
      </c>
      <c r="E45" s="10" t="str">
        <f>vlookup($A45,Statements!$A$2:$P$61,4,TRUE)</f>
        <v>Sport</v>
      </c>
    </row>
    <row r="46">
      <c r="A46" s="34">
        <f>Statements!A46</f>
        <v>45</v>
      </c>
      <c r="B46" s="22" t="str">
        <f>Statements!B46</f>
        <v>Australia will win more medals at the Paris Olympics than the last Olympics.</v>
      </c>
      <c r="C46" s="39">
        <v>0.4</v>
      </c>
      <c r="D46" s="40">
        <f>vlookup($A46,Statements!$A$2:$P$61,14,TRUE)</f>
        <v>-0.3219280949</v>
      </c>
      <c r="E46" s="10" t="str">
        <f>vlookup($A46,Statements!$A$2:$P$61,4,TRUE)</f>
        <v>Sport</v>
      </c>
    </row>
    <row r="47">
      <c r="A47" s="34">
        <f>Statements!A47</f>
        <v>46</v>
      </c>
      <c r="B47" s="22" t="str">
        <f>Statements!B47</f>
        <v>Brisbane will win the AFL Grand Final.</v>
      </c>
      <c r="C47" s="39">
        <v>0.2</v>
      </c>
      <c r="D47" s="40">
        <f>vlookup($A47,Statements!$A$2:$P$61,14,TRUE)</f>
        <v>-1.321928095</v>
      </c>
      <c r="E47" s="10" t="str">
        <f>vlookup($A47,Statements!$A$2:$P$61,4,TRUE)</f>
        <v>Sport</v>
      </c>
    </row>
    <row r="48">
      <c r="A48" s="34">
        <f>Statements!A48</f>
        <v>47</v>
      </c>
      <c r="B48" s="22" t="str">
        <f>Statements!B48</f>
        <v>Collingwood will win the Grand Final</v>
      </c>
      <c r="C48" s="39">
        <v>0.3</v>
      </c>
      <c r="D48" s="40">
        <f>vlookup($A48,Statements!$A$2:$P$61,14,TRUE)</f>
        <v>0.4854268272</v>
      </c>
      <c r="E48" s="10" t="str">
        <f>vlookup($A48,Statements!$A$2:$P$61,4,TRUE)</f>
        <v>Sport</v>
      </c>
    </row>
    <row r="49">
      <c r="A49" s="34">
        <f>Statements!A49</f>
        <v>48</v>
      </c>
      <c r="B49" s="22" t="str">
        <f>Statements!B49</f>
        <v>Australia will win at least 9 gold in swimming at the Paris Olympics (they won 9 at Tokyo2020)</v>
      </c>
      <c r="C49" s="39">
        <v>0.6</v>
      </c>
      <c r="D49" s="40">
        <f>vlookup($A49,Statements!$A$2:$P$61,14,TRUE)</f>
        <v>-0.3219280949</v>
      </c>
      <c r="E49" s="10" t="str">
        <f>vlookup($A49,Statements!$A$2:$P$61,4,TRUE)</f>
        <v>Sport</v>
      </c>
    </row>
    <row r="50">
      <c r="A50" s="34">
        <f>Statements!A50</f>
        <v>49</v>
      </c>
      <c r="B50" s="22" t="str">
        <f>Statements!B50</f>
        <v>China will win the most gold medals of any nation at the Paris Olympics</v>
      </c>
      <c r="C50" s="39">
        <v>0.7</v>
      </c>
      <c r="D50" s="40">
        <f>vlookup($A50,Statements!$A$2:$P$61,14,TRUE)</f>
        <v>-0.7369655942</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0.6</v>
      </c>
      <c r="D51" s="40">
        <f>vlookup($A51,Statements!$A$2:$P$61,14,TRUE)</f>
        <v>-0.3219280949</v>
      </c>
      <c r="E51" s="10" t="str">
        <f>vlookup($A51,Statements!$A$2:$P$61,4,TRUE)</f>
        <v>Sport</v>
      </c>
    </row>
    <row r="52">
      <c r="A52" s="34">
        <f>Statements!A52</f>
        <v>51</v>
      </c>
      <c r="B52" s="22" t="str">
        <f>Statements!B52</f>
        <v>Central Coast Mariners will win the A league premiership this year.</v>
      </c>
      <c r="C52" s="39">
        <v>0.5</v>
      </c>
      <c r="D52" s="40">
        <f>vlookup($A52,Statements!$A$2:$P$61,14,TRUE)</f>
        <v>0</v>
      </c>
      <c r="E52" s="10" t="str">
        <f>vlookup($A52,Statements!$A$2:$P$61,4,TRUE)</f>
        <v>Sport</v>
      </c>
    </row>
    <row r="53">
      <c r="A53" s="34">
        <f>Statements!A53</f>
        <v>52</v>
      </c>
      <c r="B53" s="22" t="str">
        <f>Statements!B53</f>
        <v>The Tour de France will not be won by a French national in 2024.</v>
      </c>
      <c r="C53" s="39">
        <v>0.7</v>
      </c>
      <c r="D53" s="40">
        <f>vlookup($A53,Statements!$A$2:$P$61,14,TRUE)</f>
        <v>0.4854268272</v>
      </c>
      <c r="E53" s="10" t="str">
        <f>vlookup($A53,Statements!$A$2:$P$61,4,TRUE)</f>
        <v>Sport</v>
      </c>
    </row>
    <row r="54">
      <c r="A54" s="34">
        <f>Statements!A54</f>
        <v>53</v>
      </c>
      <c r="B54" s="22" t="str">
        <f>Statements!B54</f>
        <v>Sergio Perez’s average qualifying position will be below p6.</v>
      </c>
      <c r="C54" s="39">
        <v>0.6</v>
      </c>
      <c r="D54" s="40">
        <f>vlookup($A54,Statements!$A$2:$P$61,14,TRUE)</f>
        <v>0.2630344058</v>
      </c>
      <c r="E54" s="10" t="str">
        <f>vlookup($A54,Statements!$A$2:$P$61,4,TRUE)</f>
        <v>Sport</v>
      </c>
    </row>
    <row r="55">
      <c r="A55" s="34">
        <f>Statements!A55</f>
        <v>54</v>
      </c>
      <c r="B55" s="48" t="str">
        <f>Statements!B55</f>
        <v>A service will exist to generate full episodes of bespoke TV (or films) based on prompts about the plot and casting</v>
      </c>
      <c r="C55" s="49">
        <v>0.1</v>
      </c>
      <c r="D55" s="50">
        <f>vlookup($A55,Statements!$A$2:$P$61,14,TRUE)</f>
        <v>-2.321928095</v>
      </c>
      <c r="E55" s="10" t="str">
        <f>vlookup($A55,Statements!$A$2:$P$61,4,TRUE)</f>
        <v>Technology</v>
      </c>
    </row>
    <row r="56">
      <c r="A56" s="34">
        <f>Statements!A56</f>
        <v>55</v>
      </c>
      <c r="B56" s="22" t="str">
        <f>Statements!B56</f>
        <v>Materially adverse complications arise to human subjects that have Neuralink installed</v>
      </c>
      <c r="C56" s="39">
        <v>0.1</v>
      </c>
      <c r="D56" s="40">
        <f>vlookup($A56,Statements!$A$2:$P$61,14,TRUE)</f>
        <v>0.8479969066</v>
      </c>
      <c r="E56" s="10" t="str">
        <f>vlookup($A56,Statements!$A$2:$P$61,4,TRUE)</f>
        <v>Technology</v>
      </c>
    </row>
    <row r="57">
      <c r="A57" s="34">
        <f>Statements!A57</f>
        <v>56</v>
      </c>
      <c r="B57" s="22" t="str">
        <f>Statements!B57</f>
        <v>Some UAPs confirmed to be military aircraft by government officials or an official government statement</v>
      </c>
      <c r="C57" s="39">
        <v>0.3</v>
      </c>
      <c r="D57" s="40">
        <f>vlookup($A57,Statements!$A$2:$P$61,14,TRUE)</f>
        <v>0.4854268272</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0.2</v>
      </c>
      <c r="D58" s="40">
        <f>vlookup($A58,Statements!$A$2:$P$61,14,TRUE)</f>
        <v>0.6780719051</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0.3</v>
      </c>
      <c r="D59" s="40">
        <f>vlookup($A59,Statements!$A$2:$P$61,14,TRUE)</f>
        <v>0.4854268272</v>
      </c>
      <c r="E59" s="10" t="str">
        <f>vlookup($A59,Statements!$A$2:$P$61,4,TRUE)</f>
        <v>Technology</v>
      </c>
    </row>
    <row r="60">
      <c r="A60" s="34">
        <f>Statements!A60</f>
        <v>59</v>
      </c>
      <c r="B60" s="48" t="str">
        <f>Statements!B60</f>
        <v>SpaceX's Starship vehicle will complete at least 1 full orbit of the Earth</v>
      </c>
      <c r="C60" s="49">
        <v>0.9</v>
      </c>
      <c r="D60" s="50">
        <f>vlookup($A60,Statements!$A$2:$P$61,14,TRUE)</f>
        <v>-2.321928095</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0.7</v>
      </c>
      <c r="D61" s="40" t="str">
        <f>vlookup($A61,Statements!$A$2:$P$61,14,TRUE)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0.9855004303</v>
      </c>
    </row>
    <row r="64">
      <c r="A64" s="34" t="str">
        <f>Statements!A64</f>
        <v/>
      </c>
      <c r="B64" s="22" t="str">
        <f>Statements!B64</f>
        <v/>
      </c>
      <c r="C64" s="10" t="s">
        <v>117</v>
      </c>
      <c r="D64" s="52">
        <f>MIN($D$2:$D$61)</f>
        <v>-2.321928095</v>
      </c>
      <c r="E64" s="53" t="s">
        <v>118</v>
      </c>
      <c r="F64" s="53" t="s">
        <v>119</v>
      </c>
    </row>
    <row r="65">
      <c r="A65" s="34" t="str">
        <f>Statements!A65</f>
        <v/>
      </c>
      <c r="B65" s="22" t="str">
        <f>Statements!B65</f>
        <v/>
      </c>
      <c r="C65" s="56" t="s">
        <v>21</v>
      </c>
      <c r="D65" s="32">
        <f t="shared" ref="D65:D75" si="1">sumif($E$2:$E$61,$C65,$D$2:$D$61)</f>
        <v>-3.883899318</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0.2630344058</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4" t="s">
        <v>36</v>
      </c>
      <c r="D67" s="55">
        <f t="shared" si="1"/>
        <v>0.6780719051</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-0.8547529723</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4" t="s">
        <v>44</v>
      </c>
      <c r="D69" s="55">
        <f t="shared" si="1"/>
        <v>2.011495639</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0.1764588122</v>
      </c>
      <c r="E70" s="32">
        <f>min(Andrew!D70,Bruce!D70,Eileen!D70,Gael!D70,Iain!D70,Jac!D70,James!D70,Kate!D70,Lachy!D70,Pete!D70,Rohan!D70)</f>
        <v>-2.209102545</v>
      </c>
      <c r="F70" s="32">
        <f>max(Andrew!D70,Bruce!D70,Eileen!D70,Gael!D70,Iain!D70,Jac!D70,James!D70,Kate!D70,Lachy!D70,Pete!D70,Rohan!D70)</f>
        <v>4.920241353</v>
      </c>
    </row>
    <row r="71">
      <c r="B71" s="22"/>
      <c r="C71" s="54" t="s">
        <v>61</v>
      </c>
      <c r="D71" s="55">
        <f t="shared" si="1"/>
        <v>0.8479969066</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0.9266067413</v>
      </c>
      <c r="E72" s="32">
        <f>min(Andrew!D72,Bruce!D72,Eileen!D72,Gael!D72,Iain!D72,Jac!D72,James!D72,Kate!D72,Lachy!D72,Pete!D72,Rohan!D72)</f>
        <v>-0.07339325875</v>
      </c>
      <c r="F72" s="32">
        <f>max(Andrew!D72,Bruce!D72,Eileen!D72,Gael!D72,Iain!D72,Jac!D72,James!D72,Kate!D72,Lachy!D72,Pete!D72,Rohan!D72)</f>
        <v>2.45206823</v>
      </c>
    </row>
    <row r="73">
      <c r="B73" s="22"/>
      <c r="C73" s="54" t="s">
        <v>67</v>
      </c>
      <c r="D73" s="55">
        <f t="shared" si="1"/>
        <v>1.496922466</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-1.305363086</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-2.146933724</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v>0.1</v>
      </c>
      <c r="D2" s="40" t="str">
        <f>vlookup($A2,Statements!$A$2:$P$61,11,TRUE)</f>
        <v/>
      </c>
      <c r="E2" s="10" t="str">
        <f>vlookup($A2,Statements!$A$2:$P$61,4,TRUE)</f>
        <v>Entertainment</v>
      </c>
    </row>
    <row r="3">
      <c r="A3" s="34">
        <f>Statements!A3</f>
        <v>2</v>
      </c>
      <c r="B3" s="22" t="str">
        <f>Statements!B3</f>
        <v>NewJeans surpass 13M subscribers on instagram (currently 11.3M)</v>
      </c>
      <c r="C3" s="39">
        <v>0.6</v>
      </c>
      <c r="D3" s="40">
        <f>vlookup($A3,Statements!$A$2:$P$61,11,TRUE)</f>
        <v>0.2630344058</v>
      </c>
      <c r="E3" s="10" t="str">
        <f>vlookup($A3,Statements!$A$2:$P$61,4,TRUE)</f>
        <v>Entertainment</v>
      </c>
    </row>
    <row r="4">
      <c r="A4" s="34">
        <f>Statements!A4</f>
        <v>3</v>
      </c>
      <c r="B4" s="22" t="str">
        <f>Statements!B4</f>
        <v>Timothee and Kylie break up</v>
      </c>
      <c r="C4" s="39">
        <v>0.4</v>
      </c>
      <c r="D4" s="40">
        <f>vlookup($A4,Statements!$A$2:$P$61,11,TRUE)</f>
        <v>0.2630344058</v>
      </c>
      <c r="E4" s="10" t="str">
        <f>vlookup($A4,Statements!$A$2:$P$61,4,TRUE)</f>
        <v>Entertainment</v>
      </c>
    </row>
    <row r="5">
      <c r="A5" s="34">
        <f>Statements!A5</f>
        <v>4</v>
      </c>
      <c r="B5" s="22" t="str">
        <f>Statements!B5</f>
        <v>A guest on Hot Ones will not complete the full set of hot sauces/wings</v>
      </c>
      <c r="C5" s="39">
        <v>0.4</v>
      </c>
      <c r="D5" s="40">
        <f>vlookup($A5,Statements!$A$2:$P$61,11,TRUE)</f>
        <v>0.2630344058</v>
      </c>
      <c r="E5" s="10" t="str">
        <f>vlookup($A5,Statements!$A$2:$P$61,4,TRUE)</f>
        <v>Entertainment</v>
      </c>
    </row>
    <row r="6">
      <c r="A6" s="34">
        <f>Statements!A6</f>
        <v>5</v>
      </c>
      <c r="B6" s="48" t="str">
        <f>Statements!B6</f>
        <v>An alone participant in a 2024 season (Australia/Denmark/UK) will fall ill from eating poisonous fruit they misidentify</v>
      </c>
      <c r="C6" s="49">
        <v>0.3</v>
      </c>
      <c r="D6" s="50">
        <f>vlookup($A6,Statements!$A$2:$P$61,11,TRUE)</f>
        <v>-0.7369655942</v>
      </c>
      <c r="E6" s="10" t="str">
        <f>vlookup($A6,Statements!$A$2:$P$61,4,TRUE)</f>
        <v>Entertainment</v>
      </c>
    </row>
    <row r="7">
      <c r="A7" s="34">
        <f>Statements!A7</f>
        <v>6</v>
      </c>
      <c r="B7" s="22" t="str">
        <f>Statements!B7</f>
        <v>An Australian or New Zealand restaurant will feature on the 2024 "World's 50 Best Restaurants" list</v>
      </c>
      <c r="C7" s="39">
        <v>0.4</v>
      </c>
      <c r="D7" s="40">
        <f>vlookup($A7,Statements!$A$2:$P$61,11,TRUE)</f>
        <v>0.2630344058</v>
      </c>
      <c r="E7" s="10" t="str">
        <f>vlookup($A7,Statements!$A$2:$P$61,4,TRUE)</f>
        <v>Entertainment</v>
      </c>
    </row>
    <row r="8">
      <c r="A8" s="34">
        <f>Statements!A8</f>
        <v>7</v>
      </c>
      <c r="B8" s="45" t="str">
        <f>Statements!B8</f>
        <v>Dex (Kim Jin Young) will feature as a guest or star in a food-based show available on Netflix AU/NZ</v>
      </c>
      <c r="C8" s="46">
        <v>0.3</v>
      </c>
      <c r="D8" s="47">
        <f>vlookup($A8,Statements!$A$2:$P$61,11,TRUE)</f>
        <v>0.4854268272</v>
      </c>
      <c r="E8" s="10" t="str">
        <f>vlookup($A8,Statements!$A$2:$P$61,4,TRUE)</f>
        <v>Entertainment</v>
      </c>
    </row>
    <row r="9">
      <c r="A9" s="34">
        <f>Statements!A9</f>
        <v>8</v>
      </c>
      <c r="B9" s="22" t="str">
        <f>Statements!B9</f>
        <v>Taylor will break up with Travis</v>
      </c>
      <c r="C9" s="39">
        <v>0.4</v>
      </c>
      <c r="D9" s="40">
        <f>vlookup($A9,Statements!$A$2:$P$61,11,TRUE)</f>
        <v>0.2630344058</v>
      </c>
      <c r="E9" s="10" t="str">
        <f>vlookup($A9,Statements!$A$2:$P$61,4,TRUE)</f>
        <v>Entertainment</v>
      </c>
    </row>
    <row r="10">
      <c r="A10" s="34">
        <f>Statements!A10</f>
        <v>9</v>
      </c>
      <c r="B10" s="22" t="str">
        <f>Statements!B10</f>
        <v>Taylor will release the re-record of her debut album in 2024.</v>
      </c>
      <c r="C10" s="39">
        <v>0.4</v>
      </c>
      <c r="D10" s="40">
        <f>vlookup($A10,Statements!$A$2:$P$61,11,TRUE)</f>
        <v>0.2630344058</v>
      </c>
      <c r="E10" s="10" t="str">
        <f>vlookup($A10,Statements!$A$2:$P$61,4,TRUE)</f>
        <v>Entertainment</v>
      </c>
    </row>
    <row r="11">
      <c r="A11" s="34">
        <f>Statements!A11</f>
        <v>10</v>
      </c>
      <c r="B11" s="22" t="str">
        <f>Statements!B11</f>
        <v>Barbie will win best picture at the academy awards.</v>
      </c>
      <c r="C11" s="39">
        <v>0.6</v>
      </c>
      <c r="D11" s="40" t="str">
        <f>vlookup($A11,Statements!$A$2:$P$61,11,TRUE)</f>
        <v/>
      </c>
      <c r="E11" s="10" t="str">
        <f>vlookup($A11,Statements!$A$2:$P$61,4,TRUE)</f>
        <v>Entertainment</v>
      </c>
    </row>
    <row r="12">
      <c r="A12" s="34">
        <f>Statements!A12</f>
        <v>11</v>
      </c>
      <c r="B12" s="45" t="str">
        <f>Statements!B12</f>
        <v>Kate will win at least two prizes for her Phillip and Bennelong book.</v>
      </c>
      <c r="C12" s="46">
        <v>0.7</v>
      </c>
      <c r="D12" s="47">
        <f>vlookup($A12,Statements!$A$2:$P$61,11,TRUE)</f>
        <v>0.4854268272</v>
      </c>
      <c r="E12" s="10" t="str">
        <f>vlookup($A12,Statements!$A$2:$P$61,4,TRUE)</f>
        <v>Family</v>
      </c>
    </row>
    <row r="13">
      <c r="A13" s="34">
        <f>Statements!A13</f>
        <v>12</v>
      </c>
      <c r="B13" s="22" t="str">
        <f>Statements!B13</f>
        <v>Baby Starmeadow will be under 50cm long at birth (Oz average is 50.8cm).</v>
      </c>
      <c r="C13" s="39">
        <v>0.4</v>
      </c>
      <c r="D13" s="40" t="str">
        <f>vlookup($A13,Statements!$A$2:$P$61,11,TRUE)</f>
        <v/>
      </c>
      <c r="E13" s="10" t="str">
        <f>vlookup($A13,Statements!$A$2:$P$61,4,TRUE)</f>
        <v>Family</v>
      </c>
    </row>
    <row r="14">
      <c r="A14" s="34">
        <f>Statements!A14</f>
        <v>13</v>
      </c>
      <c r="B14" s="45" t="str">
        <f>Statements!B14</f>
        <v>The Reserve Bank will announce at least three interest rate reductions in 2024</v>
      </c>
      <c r="C14" s="46">
        <v>0.3</v>
      </c>
      <c r="D14" s="47">
        <f>vlookup($A14,Statements!$A$2:$P$61,11,TRUE)</f>
        <v>0.4854268272</v>
      </c>
      <c r="E14" s="10" t="str">
        <f>vlookup($A14,Statements!$A$2:$P$61,4,TRUE)</f>
        <v>Finance</v>
      </c>
    </row>
    <row r="15">
      <c r="A15" s="34">
        <f>Statements!A15</f>
        <v>14</v>
      </c>
      <c r="B15" s="22" t="str">
        <f>Statements!B15</f>
        <v>Bruce Lehrmann will be awarded damages</v>
      </c>
      <c r="C15" s="39">
        <v>0.4</v>
      </c>
      <c r="D15" s="40">
        <f>vlookup($A15,Statements!$A$2:$P$61,11,TRUE)</f>
        <v>0.2630344058</v>
      </c>
      <c r="E15" s="10" t="str">
        <f>vlookup($A15,Statements!$A$2:$P$61,4,TRUE)</f>
        <v>Law</v>
      </c>
    </row>
    <row r="16">
      <c r="A16" s="34">
        <f>Statements!A16</f>
        <v>15</v>
      </c>
      <c r="B16" s="22" t="str">
        <f>Statements!B16</f>
        <v>Chinese courts will refuse Evergrande liquidators’ requests to seize the developer’s assets in mainland China</v>
      </c>
      <c r="C16" s="39">
        <v>0.6</v>
      </c>
      <c r="D16" s="40">
        <f>vlookup($A16,Statements!$A$2:$P$61,11,TRUE)</f>
        <v>-0.3219280949</v>
      </c>
      <c r="E16" s="10" t="str">
        <f>vlookup($A16,Statements!$A$2:$P$61,4,TRUE)</f>
        <v>Law</v>
      </c>
    </row>
    <row r="17">
      <c r="A17" s="34">
        <f>Statements!A17</f>
        <v>16</v>
      </c>
      <c r="B17" s="22" t="str">
        <f>Statements!B17</f>
        <v>David McBride will be sentenced to a lifetime jail sentence</v>
      </c>
      <c r="C17" s="39">
        <v>0.6</v>
      </c>
      <c r="D17" s="40">
        <f>vlookup($A17,Statements!$A$2:$P$61,11,TRUE)</f>
        <v>-0.3219280949</v>
      </c>
      <c r="E17" s="10" t="str">
        <f>vlookup($A17,Statements!$A$2:$P$61,4,TRUE)</f>
        <v>Law</v>
      </c>
    </row>
    <row r="18">
      <c r="A18" s="34">
        <f>Statements!A18</f>
        <v>17</v>
      </c>
      <c r="B18" s="22" t="str">
        <f>Statements!B18</f>
        <v>The federal court will find that Bruce Lehrmann was not defamed</v>
      </c>
      <c r="C18" s="39">
        <v>0.4</v>
      </c>
      <c r="D18" s="40">
        <f>vlookup($A18,Statements!$A$2:$P$61,11,TRUE)</f>
        <v>-0.3219280949</v>
      </c>
      <c r="E18" s="10" t="str">
        <f>vlookup($A18,Statements!$A$2:$P$61,4,TRUE)</f>
        <v>Law</v>
      </c>
    </row>
    <row r="19">
      <c r="A19" s="34">
        <f>Statements!A19</f>
        <v>18</v>
      </c>
      <c r="B19" s="22" t="str">
        <f>Statements!B19</f>
        <v>OpenAI successfully defends the New York Times' claim on the basis of fair use</v>
      </c>
      <c r="C19" s="39">
        <v>0.6</v>
      </c>
      <c r="D19" s="40">
        <f>vlookup($A19,Statements!$A$2:$P$61,11,TRUE)</f>
        <v>-0.3219280949</v>
      </c>
      <c r="E19" s="10" t="str">
        <f>vlookup($A19,Statements!$A$2:$P$61,4,TRUE)</f>
        <v>Law</v>
      </c>
    </row>
    <row r="20">
      <c r="A20" s="34">
        <f>Statements!A20</f>
        <v>19</v>
      </c>
      <c r="B20" s="22" t="str">
        <f>Statements!B20</f>
        <v>2024 will be the hottest European summer on record.</v>
      </c>
      <c r="C20" s="39">
        <v>0.6</v>
      </c>
      <c r="D20" s="40">
        <f>vlookup($A20,Statements!$A$2:$P$61,11,TRUE)</f>
        <v>0.2630344058</v>
      </c>
      <c r="E20" s="10" t="str">
        <f>vlookup($A20,Statements!$A$2:$P$61,4,TRUE)</f>
        <v>Nature</v>
      </c>
    </row>
    <row r="21">
      <c r="A21" s="34">
        <f>Statements!A21</f>
        <v>20</v>
      </c>
      <c r="B21" s="22" t="str">
        <f>Statements!B21</f>
        <v>The  NOAA will announce an alert level 5 bleaching event on the Great Barrier Reef</v>
      </c>
      <c r="C21" s="39">
        <v>0.4</v>
      </c>
      <c r="D21" s="40">
        <f>vlookup($A21,Statements!$A$2:$P$61,11,TRUE)</f>
        <v>0.2630344058</v>
      </c>
      <c r="E21" s="10" t="str">
        <f>vlookup($A21,Statements!$A$2:$P$61,4,TRUE)</f>
        <v>Nature</v>
      </c>
    </row>
    <row r="22">
      <c r="A22" s="34">
        <f>Statements!A22</f>
        <v>21</v>
      </c>
      <c r="B22" s="48" t="str">
        <f>Statements!B22</f>
        <v>At least three cyclones will drench North Queensland before the end of the year.</v>
      </c>
      <c r="C22" s="49">
        <v>0.7</v>
      </c>
      <c r="D22" s="50">
        <f>vlookup($A22,Statements!$A$2:$P$61,11,TRUE)</f>
        <v>-0.7369655942</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0.6</v>
      </c>
      <c r="D23" s="40">
        <f>vlookup($A23,Statements!$A$2:$P$61,11,TRUE)</f>
        <v>-0.3219280949</v>
      </c>
      <c r="E23" s="10" t="str">
        <f>vlookup($A23,Statements!$A$2:$P$61,4,TRUE)</f>
        <v>Politics</v>
      </c>
    </row>
    <row r="24">
      <c r="A24" s="34">
        <f>Statements!A24</f>
        <v>23</v>
      </c>
      <c r="B24" s="22" t="str">
        <f>Statements!B24</f>
        <v>Trump will promise to enact an order or legislation with the express intention of negatively impacting Taylor Swift</v>
      </c>
      <c r="C24" s="39">
        <v>0.4</v>
      </c>
      <c r="D24" s="40">
        <f>vlookup($A24,Statements!$A$2:$P$61,11,TRUE)</f>
        <v>0.2630344058</v>
      </c>
      <c r="E24" s="10" t="str">
        <f>vlookup($A24,Statements!$A$2:$P$61,4,TRUE)</f>
        <v>Politics</v>
      </c>
    </row>
    <row r="25">
      <c r="A25" s="34">
        <f>Statements!A25</f>
        <v>24</v>
      </c>
      <c r="B25" s="22" t="str">
        <f>Statements!B25</f>
        <v>Netanyahu will lose the prime ministership of Israel during 2024</v>
      </c>
      <c r="C25" s="39">
        <v>0.4</v>
      </c>
      <c r="D25" s="40">
        <f>vlookup($A25,Statements!$A$2:$P$61,11,TRUE)</f>
        <v>0.2630344058</v>
      </c>
      <c r="E25" s="10" t="str">
        <f>vlookup($A25,Statements!$A$2:$P$61,4,TRUE)</f>
        <v>Politics</v>
      </c>
    </row>
    <row r="26">
      <c r="A26" s="34">
        <f>Statements!A26</f>
        <v>25</v>
      </c>
      <c r="B26" s="45" t="str">
        <f>Statements!B26</f>
        <v>There will be an Australian Federal election in 2024</v>
      </c>
      <c r="C26" s="46">
        <v>0.3</v>
      </c>
      <c r="D26" s="47">
        <f>vlookup($A26,Statements!$A$2:$P$61,11,TRUE)</f>
        <v>0.4854268272</v>
      </c>
      <c r="E26" s="10" t="str">
        <f>vlookup($A26,Statements!$A$2:$P$61,4,TRUE)</f>
        <v>Politics</v>
      </c>
    </row>
    <row r="27">
      <c r="A27" s="34">
        <f>Statements!A27</f>
        <v>26</v>
      </c>
      <c r="B27" s="45" t="str">
        <f>Statements!B27</f>
        <v>Donald Trump will get less of the Popular vote than the Democratic candidate.</v>
      </c>
      <c r="C27" s="46">
        <v>0.3</v>
      </c>
      <c r="D27" s="47">
        <f>vlookup($A27,Statements!$A$2:$P$61,11,TRUE)</f>
        <v>0.4854268272</v>
      </c>
      <c r="E27" s="10" t="str">
        <f>vlookup($A27,Statements!$A$2:$P$61,4,TRUE)</f>
        <v>Politics</v>
      </c>
    </row>
    <row r="28">
      <c r="A28" s="34">
        <f>Statements!A28</f>
        <v>27</v>
      </c>
      <c r="B28" s="22" t="str">
        <f>Statements!B28</f>
        <v>An Australian Aboriginal organisation will sign at least one state-based treaty this year.</v>
      </c>
      <c r="C28" s="39">
        <v>0.6</v>
      </c>
      <c r="D28" s="40">
        <f>vlookup($A28,Statements!$A$2:$P$61,11,TRUE)</f>
        <v>-0.3219280949</v>
      </c>
      <c r="E28" s="10" t="str">
        <f>vlookup($A28,Statements!$A$2:$P$61,4,TRUE)</f>
        <v>Politics</v>
      </c>
    </row>
    <row r="29">
      <c r="A29" s="34">
        <f>Statements!A29</f>
        <v>28</v>
      </c>
      <c r="B29" s="48" t="str">
        <f>Statements!B29</f>
        <v>Donald Trump will not go to prison this year.</v>
      </c>
      <c r="C29" s="49">
        <v>0.3</v>
      </c>
      <c r="D29" s="50">
        <f>vlookup($A29,Statements!$A$2:$P$61,11,TRUE)</f>
        <v>-0.7369655942</v>
      </c>
      <c r="E29" s="10" t="str">
        <f>vlookup($A29,Statements!$A$2:$P$61,4,TRUE)</f>
        <v>Politics</v>
      </c>
    </row>
    <row r="30">
      <c r="A30" s="34">
        <f>Statements!A30</f>
        <v>29</v>
      </c>
      <c r="B30" s="22" t="str">
        <f>Statements!B30</f>
        <v>Modi will be re-elected in the upcoming Indian election</v>
      </c>
      <c r="C30" s="39">
        <v>0.6</v>
      </c>
      <c r="D30" s="40">
        <f>vlookup($A30,Statements!$A$2:$P$61,11,TRUE)</f>
        <v>0.2630344058</v>
      </c>
      <c r="E30" s="10" t="str">
        <f>vlookup($A30,Statements!$A$2:$P$61,4,TRUE)</f>
        <v>Politics</v>
      </c>
    </row>
    <row r="31">
      <c r="A31" s="34">
        <f>Statements!A31</f>
        <v>30</v>
      </c>
      <c r="B31" s="22" t="str">
        <f>Statements!B31</f>
        <v>Josh Frydenberg returns to politics, specifically, announces he will contest Kooyong</v>
      </c>
      <c r="C31" s="39">
        <v>0.4</v>
      </c>
      <c r="D31" s="40">
        <f>vlookup($A31,Statements!$A$2:$P$61,11,TRUE)</f>
        <v>0.2630344058</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0.4</v>
      </c>
      <c r="D32" s="40">
        <f>vlookup($A32,Statements!$A$2:$P$61,11,TRUE)</f>
        <v>0.2630344058</v>
      </c>
      <c r="E32" s="10" t="str">
        <f>vlookup($A32,Statements!$A$2:$P$61,4,TRUE)</f>
        <v>Politics</v>
      </c>
    </row>
    <row r="33">
      <c r="A33" s="34">
        <f>Statements!A33</f>
        <v>32</v>
      </c>
      <c r="B33" s="22" t="str">
        <f>Statements!B33</f>
        <v>Taylor swift will be credited/mentioned in U.S legislation created this year.</v>
      </c>
      <c r="C33" s="39">
        <v>0.4</v>
      </c>
      <c r="D33" s="40">
        <f>vlookup($A33,Statements!$A$2:$P$61,11,TRUE)</f>
        <v>0.2630344058</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0.6</v>
      </c>
      <c r="D34" s="40">
        <f>vlookup($A34,Statements!$A$2:$P$61,11,TRUE)</f>
        <v>0.2630344058</v>
      </c>
      <c r="E34" s="10" t="str">
        <f>vlookup($A34,Statements!$A$2:$P$61,4,TRUE)</f>
        <v>Politics</v>
      </c>
    </row>
    <row r="35">
      <c r="A35" s="34">
        <f>Statements!A35</f>
        <v>34</v>
      </c>
      <c r="B35" s="22" t="str">
        <f>Statements!B35</f>
        <v>Pope Francis will retire.</v>
      </c>
      <c r="C35" s="39">
        <v>0.4</v>
      </c>
      <c r="D35" s="40">
        <f>vlookup($A35,Statements!$A$2:$P$61,11,TRUE)</f>
        <v>0.2630344058</v>
      </c>
      <c r="E35" s="10" t="str">
        <f>vlookup($A35,Statements!$A$2:$P$61,4,TRUE)</f>
        <v>Religion</v>
      </c>
    </row>
    <row r="36">
      <c r="A36" s="34">
        <f>Statements!A36</f>
        <v>35</v>
      </c>
      <c r="B36" s="22" t="str">
        <f>Statements!B36</f>
        <v>King Charles will announce his abdication of the throne</v>
      </c>
      <c r="C36" s="39">
        <v>0.6</v>
      </c>
      <c r="D36" s="40">
        <f>vlookup($A36,Statements!$A$2:$P$61,11,TRUE)</f>
        <v>-0.3219280949</v>
      </c>
      <c r="E36" s="10" t="str">
        <f>vlookup($A36,Statements!$A$2:$P$61,4,TRUE)</f>
        <v>Royals</v>
      </c>
    </row>
    <row r="37">
      <c r="A37" s="34">
        <f>Statements!A37</f>
        <v>36</v>
      </c>
      <c r="B37" s="22" t="str">
        <f>Statements!B37</f>
        <v>Prince Andrew remains resident of the Royal Lodge until 15 Dec 2024</v>
      </c>
      <c r="C37" s="39">
        <v>0.6</v>
      </c>
      <c r="D37" s="40">
        <f>vlookup($A37,Statements!$A$2:$P$61,11,TRUE)</f>
        <v>0.2630344058</v>
      </c>
      <c r="E37" s="10" t="str">
        <f>vlookup($A37,Statements!$A$2:$P$61,4,TRUE)</f>
        <v>Royals</v>
      </c>
    </row>
    <row r="38">
      <c r="A38" s="34">
        <f>Statements!A38</f>
        <v>37</v>
      </c>
      <c r="B38" s="45"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46">
        <v>0.3</v>
      </c>
      <c r="D38" s="47">
        <f>vlookup($A38,Statements!$A$2:$P$61,11,TRUE)</f>
        <v>0.4854268272</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0.4</v>
      </c>
      <c r="D39" s="40">
        <f>vlookup($A39,Statements!$A$2:$P$61,11,TRUE)</f>
        <v>0.2630344058</v>
      </c>
      <c r="E39" s="10" t="str">
        <f>vlookup($A39,Statements!$A$2:$P$61,4,TRUE)</f>
        <v>Society</v>
      </c>
    </row>
    <row r="40">
      <c r="A40" s="34">
        <f>Statements!A40</f>
        <v>39</v>
      </c>
      <c r="B40" s="22" t="str">
        <f>Statements!B40</f>
        <v>Canberra restaurants will have more than 30 hats by the end of 2024 as per the Australian Good Food Guide</v>
      </c>
      <c r="C40" s="39">
        <v>0.4</v>
      </c>
      <c r="D40" s="40">
        <f>vlookup($A40,Statements!$A$2:$P$61,11,TRUE)</f>
        <v>0.2630344058</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0.4</v>
      </c>
      <c r="D41" s="40">
        <f>vlookup($A41,Statements!$A$2:$P$61,11,TRUE)</f>
        <v>0.2630344058</v>
      </c>
      <c r="E41" s="10" t="str">
        <f>vlookup($A41,Statements!$A$2:$P$61,4,TRUE)</f>
        <v>Society</v>
      </c>
    </row>
    <row r="42">
      <c r="A42" s="34">
        <f>Statements!A42</f>
        <v>41</v>
      </c>
      <c r="B42" s="22" t="str">
        <f>Statements!B42</f>
        <v>Elon Musk confirmed to have another child on the way</v>
      </c>
      <c r="C42" s="39">
        <v>0.4</v>
      </c>
      <c r="D42" s="40">
        <f>vlookup($A42,Statements!$A$2:$P$61,11,TRUE)</f>
        <v>-0.3219280949</v>
      </c>
      <c r="E42" s="10" t="str">
        <f>vlookup($A42,Statements!$A$2:$P$61,4,TRUE)</f>
        <v>Society</v>
      </c>
    </row>
    <row r="43">
      <c r="A43" s="34">
        <f>Statements!A43</f>
        <v>42</v>
      </c>
      <c r="B43" s="48" t="str">
        <f>Statements!B43</f>
        <v>A notional 0 will be given to a student in any of Rohans classes for being caught using ai in an assignment.</v>
      </c>
      <c r="C43" s="49">
        <v>0.3</v>
      </c>
      <c r="D43" s="50">
        <f>vlookup($A43,Statements!$A$2:$P$61,11,TRUE)</f>
        <v>-0.7369655942</v>
      </c>
      <c r="E43" s="10" t="str">
        <f>vlookup($A43,Statements!$A$2:$P$61,4,TRUE)</f>
        <v>Society</v>
      </c>
    </row>
    <row r="44">
      <c r="A44" s="34">
        <f>Statements!A44</f>
        <v>43</v>
      </c>
      <c r="B44" s="45" t="str">
        <f>Statements!B44</f>
        <v>Rafael Nadal will win the French tennis open in 2024</v>
      </c>
      <c r="C44" s="46">
        <v>0.3</v>
      </c>
      <c r="D44" s="47">
        <f>vlookup($A44,Statements!$A$2:$P$61,11,TRUE)</f>
        <v>0.4854268272</v>
      </c>
      <c r="E44" s="10" t="str">
        <f>vlookup($A44,Statements!$A$2:$P$61,4,TRUE)</f>
        <v>Sport</v>
      </c>
    </row>
    <row r="45">
      <c r="A45" s="34">
        <f>Statements!A45</f>
        <v>44</v>
      </c>
      <c r="B45" s="22" t="str">
        <f>Statements!B45</f>
        <v>The AFL premiership will be won by a team whose name starts with a letter from the second half of the alphabet</v>
      </c>
      <c r="C45" s="39">
        <v>0.4</v>
      </c>
      <c r="D45" s="40">
        <f>vlookup($A45,Statements!$A$2:$P$61,11,TRUE)</f>
        <v>0.2630344058</v>
      </c>
      <c r="E45" s="10" t="str">
        <f>vlookup($A45,Statements!$A$2:$P$61,4,TRUE)</f>
        <v>Sport</v>
      </c>
    </row>
    <row r="46">
      <c r="A46" s="34">
        <f>Statements!A46</f>
        <v>45</v>
      </c>
      <c r="B46" s="22" t="str">
        <f>Statements!B46</f>
        <v>Australia will win more medals at the Paris Olympics than the last Olympics.</v>
      </c>
      <c r="C46" s="39">
        <v>0.6</v>
      </c>
      <c r="D46" s="40">
        <f>vlookup($A46,Statements!$A$2:$P$61,11,TRUE)</f>
        <v>0.2630344058</v>
      </c>
      <c r="E46" s="10" t="str">
        <f>vlookup($A46,Statements!$A$2:$P$61,4,TRUE)</f>
        <v>Sport</v>
      </c>
    </row>
    <row r="47">
      <c r="A47" s="34">
        <f>Statements!A47</f>
        <v>46</v>
      </c>
      <c r="B47" s="22" t="str">
        <f>Statements!B47</f>
        <v>Brisbane will win the AFL Grand Final.</v>
      </c>
      <c r="C47" s="39">
        <v>0.4</v>
      </c>
      <c r="D47" s="40">
        <f>vlookup($A47,Statements!$A$2:$P$61,11,TRUE)</f>
        <v>-0.3219280949</v>
      </c>
      <c r="E47" s="10" t="str">
        <f>vlookup($A47,Statements!$A$2:$P$61,4,TRUE)</f>
        <v>Sport</v>
      </c>
    </row>
    <row r="48">
      <c r="A48" s="34">
        <f>Statements!A48</f>
        <v>47</v>
      </c>
      <c r="B48" s="45" t="str">
        <f>Statements!B48</f>
        <v>Collingwood will win the Grand Final</v>
      </c>
      <c r="C48" s="46">
        <v>0.3</v>
      </c>
      <c r="D48" s="47">
        <f>vlookup($A48,Statements!$A$2:$P$61,11,TRUE)</f>
        <v>0.4854268272</v>
      </c>
      <c r="E48" s="10" t="str">
        <f>vlookup($A48,Statements!$A$2:$P$61,4,TRUE)</f>
        <v>Sport</v>
      </c>
    </row>
    <row r="49">
      <c r="A49" s="34">
        <f>Statements!A49</f>
        <v>48</v>
      </c>
      <c r="B49" s="22" t="str">
        <f>Statements!B49</f>
        <v>Australia will win at least 9 gold in swimming at the Paris Olympics (they won 9 at Tokyo2020)</v>
      </c>
      <c r="C49" s="39">
        <v>0.4</v>
      </c>
      <c r="D49" s="40">
        <f>vlookup($A49,Statements!$A$2:$P$61,11,TRUE)</f>
        <v>0.2630344058</v>
      </c>
      <c r="E49" s="10" t="str">
        <f>vlookup($A49,Statements!$A$2:$P$61,4,TRUE)</f>
        <v>Sport</v>
      </c>
    </row>
    <row r="50">
      <c r="A50" s="34">
        <f>Statements!A50</f>
        <v>49</v>
      </c>
      <c r="B50" s="22" t="str">
        <f>Statements!B50</f>
        <v>China will win the most gold medals of any nation at the Paris Olympics</v>
      </c>
      <c r="C50" s="39">
        <v>0.6</v>
      </c>
      <c r="D50" s="40">
        <f>vlookup($A50,Statements!$A$2:$P$61,11,TRUE)</f>
        <v>-0.3219280949</v>
      </c>
      <c r="E50" s="10" t="str">
        <f>vlookup($A50,Statements!$A$2:$P$61,4,TRUE)</f>
        <v>Sport</v>
      </c>
    </row>
    <row r="51">
      <c r="A51" s="34">
        <f>Statements!A51</f>
        <v>50</v>
      </c>
      <c r="B51" s="48" t="str">
        <f>Statements!B51</f>
        <v>Australia will collect fewer medals at the forthcoming 2024 Olympics than they did at their last Olympics (Tokyo 2021, 46 medals) and will be ranked lower than 6th (as they were in Tokyo).</v>
      </c>
      <c r="C51" s="49">
        <v>0.7</v>
      </c>
      <c r="D51" s="50">
        <f>vlookup($A51,Statements!$A$2:$P$61,11,TRUE)</f>
        <v>-0.7369655942</v>
      </c>
      <c r="E51" s="10" t="str">
        <f>vlookup($A51,Statements!$A$2:$P$61,4,TRUE)</f>
        <v>Sport</v>
      </c>
    </row>
    <row r="52">
      <c r="A52" s="34">
        <f>Statements!A52</f>
        <v>51</v>
      </c>
      <c r="B52" s="22" t="str">
        <f>Statements!B52</f>
        <v>Central Coast Mariners will win the A league premiership this year.</v>
      </c>
      <c r="C52" s="39">
        <v>0.4</v>
      </c>
      <c r="D52" s="40">
        <f>vlookup($A52,Statements!$A$2:$P$61,11,TRUE)</f>
        <v>-0.3219280949</v>
      </c>
      <c r="E52" s="10" t="str">
        <f>vlookup($A52,Statements!$A$2:$P$61,4,TRUE)</f>
        <v>Sport</v>
      </c>
    </row>
    <row r="53">
      <c r="A53" s="34">
        <f>Statements!A53</f>
        <v>52</v>
      </c>
      <c r="B53" s="45" t="str">
        <f>Statements!B53</f>
        <v>The Tour de France will not be won by a French national in 2024.</v>
      </c>
      <c r="C53" s="46">
        <v>0.7</v>
      </c>
      <c r="D53" s="47">
        <f>vlookup($A53,Statements!$A$2:$P$61,11,TRUE)</f>
        <v>0.4854268272</v>
      </c>
      <c r="E53" s="10" t="str">
        <f>vlookup($A53,Statements!$A$2:$P$61,4,TRUE)</f>
        <v>Sport</v>
      </c>
    </row>
    <row r="54">
      <c r="A54" s="34">
        <f>Statements!A54</f>
        <v>53</v>
      </c>
      <c r="B54" s="22" t="str">
        <f>Statements!B54</f>
        <v>Sergio Perez’s average qualifying position will be below p6.</v>
      </c>
      <c r="C54" s="39">
        <v>0.4</v>
      </c>
      <c r="D54" s="40">
        <f>vlookup($A54,Statements!$A$2:$P$61,11,TRUE)</f>
        <v>-0.3219280949</v>
      </c>
      <c r="E54" s="10" t="str">
        <f>vlookup($A54,Statements!$A$2:$P$61,4,TRUE)</f>
        <v>Sport</v>
      </c>
    </row>
    <row r="55">
      <c r="A55" s="34">
        <f>Statements!A55</f>
        <v>54</v>
      </c>
      <c r="B55" s="22" t="str">
        <f>Statements!B55</f>
        <v>A service will exist to generate full episodes of bespoke TV (or films) based on prompts about the plot and casting</v>
      </c>
      <c r="C55" s="39">
        <v>0.4</v>
      </c>
      <c r="D55" s="40">
        <f>vlookup($A55,Statements!$A$2:$P$61,11,TRUE)</f>
        <v>-0.3219280949</v>
      </c>
      <c r="E55" s="10" t="str">
        <f>vlookup($A55,Statements!$A$2:$P$61,4,TRUE)</f>
        <v>Technology</v>
      </c>
    </row>
    <row r="56">
      <c r="A56" s="34">
        <f>Statements!A56</f>
        <v>55</v>
      </c>
      <c r="B56" s="22" t="str">
        <f>Statements!B56</f>
        <v>Materially adverse complications arise to human subjects that have Neuralink installed</v>
      </c>
      <c r="C56" s="39">
        <v>0.4</v>
      </c>
      <c r="D56" s="40">
        <f>vlookup($A56,Statements!$A$2:$P$61,11,TRUE)</f>
        <v>0.2630344058</v>
      </c>
      <c r="E56" s="10" t="str">
        <f>vlookup($A56,Statements!$A$2:$P$61,4,TRUE)</f>
        <v>Technology</v>
      </c>
    </row>
    <row r="57">
      <c r="A57" s="34">
        <f>Statements!A57</f>
        <v>56</v>
      </c>
      <c r="B57" s="22" t="str">
        <f>Statements!B57</f>
        <v>Some UAPs confirmed to be military aircraft by government officials or an official government statement</v>
      </c>
      <c r="C57" s="39">
        <v>0.6</v>
      </c>
      <c r="D57" s="40">
        <f>vlookup($A57,Statements!$A$2:$P$61,11,TRUE)</f>
        <v>-0.3219280949</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0.4</v>
      </c>
      <c r="D58" s="40">
        <f>vlookup($A58,Statements!$A$2:$P$61,11,TRUE)</f>
        <v>0.2630344058</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0.4</v>
      </c>
      <c r="D59" s="40">
        <f>vlookup($A59,Statements!$A$2:$P$61,11,TRUE)</f>
        <v>0.2630344058</v>
      </c>
      <c r="E59" s="10" t="str">
        <f>vlookup($A59,Statements!$A$2:$P$61,4,TRUE)</f>
        <v>Technology</v>
      </c>
    </row>
    <row r="60">
      <c r="A60" s="34">
        <f>Statements!A60</f>
        <v>59</v>
      </c>
      <c r="B60" s="22" t="str">
        <f>Statements!B60</f>
        <v>SpaceX's Starship vehicle will complete at least 1 full orbit of the Earth</v>
      </c>
      <c r="C60" s="39">
        <v>0.6</v>
      </c>
      <c r="D60" s="40">
        <f>vlookup($A60,Statements!$A$2:$P$61,11,TRUE)</f>
        <v>-0.3219280949</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0.5</v>
      </c>
      <c r="D61" s="40" t="str">
        <f>vlookup($A61,Statements!$A$2:$P$61,11,TRUE)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0.4854268272</v>
      </c>
    </row>
    <row r="64">
      <c r="A64" s="34" t="str">
        <f>Statements!A64</f>
        <v/>
      </c>
      <c r="B64" s="22" t="str">
        <f>Statements!B64</f>
        <v/>
      </c>
      <c r="C64" s="10" t="s">
        <v>117</v>
      </c>
      <c r="D64" s="52">
        <f>MIN($D$2:$D$61)</f>
        <v>-0.7369655942</v>
      </c>
      <c r="E64" s="53" t="s">
        <v>118</v>
      </c>
      <c r="F64" s="53" t="s">
        <v>119</v>
      </c>
    </row>
    <row r="65">
      <c r="A65" s="34" t="str">
        <f>Statements!A65</f>
        <v/>
      </c>
      <c r="B65" s="22" t="str">
        <f>Statements!B65</f>
        <v/>
      </c>
      <c r="C65" s="56" t="s">
        <v>21</v>
      </c>
      <c r="D65" s="32">
        <f t="shared" ref="D65:D75" si="1">sumif($E$2:$E$61,$C65,$D$2:$D$61)</f>
        <v>1.326667668</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6" t="s">
        <v>33</v>
      </c>
      <c r="D66" s="32">
        <f t="shared" si="1"/>
        <v>0.4854268272</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0.4854268272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-1.024677974</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-0.2108967825</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1.431272711</v>
      </c>
      <c r="E70" s="32">
        <f>min(Andrew!D70,Bruce!D70,Eileen!D70,Gael!D70,Iain!D70,Jac!D70,James!D70,Kate!D70,Lachy!D70,Pete!D70,Rohan!D70)</f>
        <v>-2.209102545</v>
      </c>
      <c r="F70" s="32">
        <f>max(Andrew!D70,Bruce!D70,Eileen!D70,Gael!D70,Iain!D70,Jac!D70,James!D70,Kate!D70,Lachy!D70,Pete!D70,Rohan!D70)</f>
        <v>4.920241353</v>
      </c>
    </row>
    <row r="71">
      <c r="B71" s="22"/>
      <c r="C71" s="56" t="s">
        <v>61</v>
      </c>
      <c r="D71" s="32">
        <f t="shared" si="1"/>
        <v>0.2630344058</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0.4265331381</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-0.2697904716</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0.2207057253</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-0.1766810672</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c r="D1" s="10" t="s">
        <v>114</v>
      </c>
      <c r="E1" s="10" t="s">
        <v>5</v>
      </c>
    </row>
    <row r="2">
      <c r="A2" s="34">
        <f>Statements!A2</f>
        <v>1</v>
      </c>
      <c r="B2" s="22" t="str">
        <f>Statements!B2</f>
        <v>”What was I made for?” (Billie Eilish) wins Best Music - Original Song at the Oscars</v>
      </c>
      <c r="C2" s="39" t="s">
        <v>123</v>
      </c>
      <c r="D2" s="40" t="str">
        <f>vlookup($A2,Statements!$A$2:$P$61,10,TRUE)</f>
        <v/>
      </c>
      <c r="E2" s="10" t="str">
        <f>vlookup($A2,Statements!$A$2:$P$61,4,TRUE)</f>
        <v>Entertainment</v>
      </c>
    </row>
    <row r="3">
      <c r="A3" s="34">
        <f>Statements!A3</f>
        <v>2</v>
      </c>
      <c r="B3" s="22" t="str">
        <f>Statements!B3</f>
        <v>NewJeans surpass 13M subscribers on instagram (currently 11.3M)</v>
      </c>
      <c r="C3" s="39">
        <v>0.54</v>
      </c>
      <c r="D3" s="40">
        <f>vlookup($A3,Statements!$A$2:$P$61,10,TRUE)</f>
        <v>0.1110313124</v>
      </c>
      <c r="E3" s="10" t="str">
        <f>vlookup($A3,Statements!$A$2:$P$61,4,TRUE)</f>
        <v>Entertainment</v>
      </c>
    </row>
    <row r="4">
      <c r="A4" s="34">
        <f>Statements!A4</f>
        <v>3</v>
      </c>
      <c r="B4" s="22" t="str">
        <f>Statements!B4</f>
        <v>Timothee and Kylie break up</v>
      </c>
      <c r="C4" s="39">
        <v>0.55</v>
      </c>
      <c r="D4" s="40">
        <f>vlookup($A4,Statements!$A$2:$P$61,10,TRUE)</f>
        <v>-0.1520030934</v>
      </c>
      <c r="E4" s="10" t="str">
        <f>vlookup($A4,Statements!$A$2:$P$61,4,TRUE)</f>
        <v>Entertainment</v>
      </c>
    </row>
    <row r="5">
      <c r="A5" s="34">
        <f>Statements!A5</f>
        <v>4</v>
      </c>
      <c r="B5" s="22" t="str">
        <f>Statements!B5</f>
        <v>A guest on Hot Ones will not complete the full set of hot sauces/wings</v>
      </c>
      <c r="C5" s="39">
        <v>0.78</v>
      </c>
      <c r="D5" s="40">
        <f>vlookup($A5,Statements!$A$2:$P$61,10,TRUE)</f>
        <v>-1.184424571</v>
      </c>
      <c r="E5" s="10" t="str">
        <f>vlookup($A5,Statements!$A$2:$P$61,4,TRUE)</f>
        <v>Entertainment</v>
      </c>
    </row>
    <row r="6">
      <c r="A6" s="34">
        <f>Statements!A6</f>
        <v>5</v>
      </c>
      <c r="B6" s="22" t="str">
        <f>Statements!B6</f>
        <v>An alone participant in a 2024 season (Australia/Denmark/UK) will fall ill from eating poisonous fruit they misidentify</v>
      </c>
      <c r="C6" s="39">
        <v>0.45</v>
      </c>
      <c r="D6" s="40">
        <f>vlookup($A6,Statements!$A$2:$P$61,10,TRUE)</f>
        <v>-0.1520030934</v>
      </c>
      <c r="E6" s="10" t="str">
        <f>vlookup($A6,Statements!$A$2:$P$61,4,TRUE)</f>
        <v>Entertainment</v>
      </c>
    </row>
    <row r="7">
      <c r="A7" s="34">
        <f>Statements!A7</f>
        <v>6</v>
      </c>
      <c r="B7" s="22" t="str">
        <f>Statements!B7</f>
        <v>An Australian or New Zealand restaurant will feature on the 2024 "World's 50 Best Restaurants" list</v>
      </c>
      <c r="C7" s="39">
        <v>0.45</v>
      </c>
      <c r="D7" s="40">
        <f>vlookup($A7,Statements!$A$2:$P$61,10,TRUE)</f>
        <v>0.1375035237</v>
      </c>
      <c r="E7" s="10" t="str">
        <f>vlookup($A7,Statements!$A$2:$P$61,4,TRUE)</f>
        <v>Entertainment</v>
      </c>
    </row>
    <row r="8">
      <c r="A8" s="34">
        <f>Statements!A8</f>
        <v>7</v>
      </c>
      <c r="B8" s="22" t="str">
        <f>Statements!B8</f>
        <v>Dex (Kim Jin Young) will feature as a guest or star in a food-based show available on Netflix AU/NZ</v>
      </c>
      <c r="C8" s="39">
        <v>0.3</v>
      </c>
      <c r="D8" s="40">
        <f>vlookup($A8,Statements!$A$2:$P$61,10,TRUE)</f>
        <v>0.4854268272</v>
      </c>
      <c r="E8" s="10" t="str">
        <f>vlookup($A8,Statements!$A$2:$P$61,4,TRUE)</f>
        <v>Entertainment</v>
      </c>
    </row>
    <row r="9">
      <c r="A9" s="34">
        <f>Statements!A9</f>
        <v>8</v>
      </c>
      <c r="B9" s="22" t="str">
        <f>Statements!B9</f>
        <v>Taylor will break up with Travis</v>
      </c>
      <c r="C9" s="39">
        <v>0.4</v>
      </c>
      <c r="D9" s="40">
        <f>vlookup($A9,Statements!$A$2:$P$61,10,TRUE)</f>
        <v>0.2630344058</v>
      </c>
      <c r="E9" s="10" t="str">
        <f>vlookup($A9,Statements!$A$2:$P$61,4,TRUE)</f>
        <v>Entertainment</v>
      </c>
    </row>
    <row r="10">
      <c r="A10" s="34">
        <f>Statements!A10</f>
        <v>9</v>
      </c>
      <c r="B10" s="22" t="str">
        <f>Statements!B10</f>
        <v>Taylor will release the re-record of her debut album in 2024.</v>
      </c>
      <c r="C10" s="39">
        <v>0.5</v>
      </c>
      <c r="D10" s="40">
        <f>vlookup($A10,Statements!$A$2:$P$61,10,TRUE)</f>
        <v>0</v>
      </c>
      <c r="E10" s="10" t="str">
        <f>vlookup($A10,Statements!$A$2:$P$61,4,TRUE)</f>
        <v>Entertainment</v>
      </c>
    </row>
    <row r="11">
      <c r="A11" s="34">
        <f>Statements!A11</f>
        <v>10</v>
      </c>
      <c r="B11" s="22" t="str">
        <f>Statements!B11</f>
        <v>Barbie will win best picture at the academy awards.</v>
      </c>
      <c r="C11" s="39" t="s">
        <v>123</v>
      </c>
      <c r="D11" s="40" t="str">
        <f>vlookup($A11,Statements!$A$2:$P$61,10,TRUE)</f>
        <v/>
      </c>
      <c r="E11" s="10" t="str">
        <f>vlookup($A11,Statements!$A$2:$P$61,4,TRUE)</f>
        <v>Entertainment</v>
      </c>
    </row>
    <row r="12">
      <c r="A12" s="34">
        <f>Statements!A12</f>
        <v>11</v>
      </c>
      <c r="B12" s="22" t="str">
        <f>Statements!B12</f>
        <v>Kate will win at least two prizes for her Phillip and Bennelong book.</v>
      </c>
      <c r="C12" s="39">
        <v>0.77</v>
      </c>
      <c r="D12" s="40">
        <f>vlookup($A12,Statements!$A$2:$P$61,10,TRUE)</f>
        <v>0.6229303509</v>
      </c>
      <c r="E12" s="10" t="str">
        <f>vlookup($A12,Statements!$A$2:$P$61,4,TRUE)</f>
        <v>Family</v>
      </c>
    </row>
    <row r="13">
      <c r="A13" s="34">
        <f>Statements!A13</f>
        <v>12</v>
      </c>
      <c r="B13" s="22" t="str">
        <f>Statements!B13</f>
        <v>Baby Starmeadow will be under 50cm long at birth (Oz average is 50.8cm).</v>
      </c>
      <c r="C13" s="39">
        <v>0.15</v>
      </c>
      <c r="D13" s="40" t="str">
        <f>vlookup($A13,Statements!$A$2:$P$61,10,TRUE)</f>
        <v/>
      </c>
      <c r="E13" s="10" t="str">
        <f>vlookup($A13,Statements!$A$2:$P$61,4,TRUE)</f>
        <v>Family</v>
      </c>
    </row>
    <row r="14">
      <c r="A14" s="34">
        <f>Statements!A14</f>
        <v>13</v>
      </c>
      <c r="B14" s="22" t="str">
        <f>Statements!B14</f>
        <v>The Reserve Bank will announce at least three interest rate reductions in 2024</v>
      </c>
      <c r="C14" s="39">
        <v>0.3</v>
      </c>
      <c r="D14" s="40">
        <f>vlookup($A14,Statements!$A$2:$P$61,10,TRUE)</f>
        <v>0.4854268272</v>
      </c>
      <c r="E14" s="10" t="str">
        <f>vlookup($A14,Statements!$A$2:$P$61,4,TRUE)</f>
        <v>Finance</v>
      </c>
    </row>
    <row r="15">
      <c r="A15" s="34">
        <f>Statements!A15</f>
        <v>14</v>
      </c>
      <c r="B15" s="22" t="str">
        <f>Statements!B15</f>
        <v>Bruce Lehrmann will be awarded damages</v>
      </c>
      <c r="C15" s="39">
        <v>0.72</v>
      </c>
      <c r="D15" s="40">
        <f>vlookup($A15,Statements!$A$2:$P$61,10,TRUE)</f>
        <v>-0.8365012677</v>
      </c>
      <c r="E15" s="10" t="str">
        <f>vlookup($A15,Statements!$A$2:$P$61,4,TRUE)</f>
        <v>Law</v>
      </c>
    </row>
    <row r="16">
      <c r="A16" s="34">
        <f>Statements!A16</f>
        <v>15</v>
      </c>
      <c r="B16" s="22" t="str">
        <f>Statements!B16</f>
        <v>Chinese courts will refuse Evergrande liquidators’ requests to seize the developer’s assets in mainland China</v>
      </c>
      <c r="C16" s="39">
        <v>0.6</v>
      </c>
      <c r="D16" s="40">
        <f>vlookup($A16,Statements!$A$2:$P$61,10,TRUE)</f>
        <v>-0.3219280949</v>
      </c>
      <c r="E16" s="10" t="str">
        <f>vlookup($A16,Statements!$A$2:$P$61,4,TRUE)</f>
        <v>Law</v>
      </c>
    </row>
    <row r="17">
      <c r="A17" s="34">
        <f>Statements!A17</f>
        <v>16</v>
      </c>
      <c r="B17" s="22" t="str">
        <f>Statements!B17</f>
        <v>David McBride will be sentenced to a lifetime jail sentence</v>
      </c>
      <c r="C17" s="39">
        <v>0.4</v>
      </c>
      <c r="D17" s="40">
        <f>vlookup($A17,Statements!$A$2:$P$61,10,TRUE)</f>
        <v>0.2630344058</v>
      </c>
      <c r="E17" s="10" t="str">
        <f>vlookup($A17,Statements!$A$2:$P$61,4,TRUE)</f>
        <v>Law</v>
      </c>
    </row>
    <row r="18">
      <c r="A18" s="34">
        <f>Statements!A18</f>
        <v>17</v>
      </c>
      <c r="B18" s="22" t="str">
        <f>Statements!B18</f>
        <v>The federal court will find that Bruce Lehrmann was not defamed</v>
      </c>
      <c r="C18" s="39">
        <v>0.5</v>
      </c>
      <c r="D18" s="40">
        <f>vlookup($A18,Statements!$A$2:$P$61,10,TRUE)</f>
        <v>0</v>
      </c>
      <c r="E18" s="10" t="str">
        <f>vlookup($A18,Statements!$A$2:$P$61,4,TRUE)</f>
        <v>Law</v>
      </c>
    </row>
    <row r="19">
      <c r="A19" s="34">
        <f>Statements!A19</f>
        <v>18</v>
      </c>
      <c r="B19" s="22" t="str">
        <f>Statements!B19</f>
        <v>OpenAI successfully defends the New York Times' claim on the basis of fair use</v>
      </c>
      <c r="C19" s="39">
        <v>0.54</v>
      </c>
      <c r="D19" s="40">
        <f>vlookup($A19,Statements!$A$2:$P$61,10,TRUE)</f>
        <v>-0.1202942337</v>
      </c>
      <c r="E19" s="10" t="str">
        <f>vlookup($A19,Statements!$A$2:$P$61,4,TRUE)</f>
        <v>Law</v>
      </c>
    </row>
    <row r="20">
      <c r="A20" s="34">
        <f>Statements!A20</f>
        <v>19</v>
      </c>
      <c r="B20" s="22" t="str">
        <f>Statements!B20</f>
        <v>2024 will be the hottest European summer on record.</v>
      </c>
      <c r="C20" s="39">
        <v>0.34</v>
      </c>
      <c r="D20" s="40">
        <f>vlookup($A20,Statements!$A$2:$P$61,10,TRUE)</f>
        <v>-0.5563933485</v>
      </c>
      <c r="E20" s="10" t="str">
        <f>vlookup($A20,Statements!$A$2:$P$61,4,TRUE)</f>
        <v>Nature</v>
      </c>
    </row>
    <row r="21">
      <c r="A21" s="34">
        <f>Statements!A21</f>
        <v>20</v>
      </c>
      <c r="B21" s="22" t="str">
        <f>Statements!B21</f>
        <v>The  NOAA will announce an alert level 5 bleaching event on the Great Barrier Reef</v>
      </c>
      <c r="C21" s="39">
        <v>0.2</v>
      </c>
      <c r="D21" s="40">
        <f>vlookup($A21,Statements!$A$2:$P$61,10,TRUE)</f>
        <v>0.6780719051</v>
      </c>
      <c r="E21" s="10" t="str">
        <f>vlookup($A21,Statements!$A$2:$P$61,4,TRUE)</f>
        <v>Nature</v>
      </c>
    </row>
    <row r="22">
      <c r="A22" s="34">
        <f>Statements!A22</f>
        <v>21</v>
      </c>
      <c r="B22" s="22" t="str">
        <f>Statements!B22</f>
        <v>At least three cyclones will drench North Queensland before the end of the year.</v>
      </c>
      <c r="C22" s="39">
        <v>0.4</v>
      </c>
      <c r="D22" s="40">
        <f>vlookup($A22,Statements!$A$2:$P$61,10,TRUE)</f>
        <v>0.2630344058</v>
      </c>
      <c r="E22" s="10" t="str">
        <f>vlookup($A22,Statements!$A$2:$P$61,4,TRUE)</f>
        <v>Nature</v>
      </c>
    </row>
    <row r="23">
      <c r="A23" s="34">
        <f>Statements!A23</f>
        <v>22</v>
      </c>
      <c r="B23" s="22" t="str">
        <f>Statements!B23</f>
        <v>A head of state or relevant minister from an island nation will declare their geographic country no longer inhabitable in the long term, due to climate-related issues. This will include a commitment to relevant action of some kind</v>
      </c>
      <c r="C23" s="39">
        <v>0.7</v>
      </c>
      <c r="D23" s="40">
        <f>vlookup($A23,Statements!$A$2:$P$61,10,TRUE)</f>
        <v>-0.7369655942</v>
      </c>
      <c r="E23" s="10" t="str">
        <f>vlookup($A23,Statements!$A$2:$P$61,4,TRUE)</f>
        <v>Politics</v>
      </c>
    </row>
    <row r="24">
      <c r="A24" s="34">
        <f>Statements!A24</f>
        <v>23</v>
      </c>
      <c r="B24" s="22" t="str">
        <f>Statements!B24</f>
        <v>Trump will promise to enact an order or legislation with the express intention of negatively impacting Taylor Swift</v>
      </c>
      <c r="C24" s="39">
        <v>0.49</v>
      </c>
      <c r="D24" s="40">
        <f>vlookup($A24,Statements!$A$2:$P$61,10,TRUE)</f>
        <v>0.0285691522</v>
      </c>
      <c r="E24" s="10" t="str">
        <f>vlookup($A24,Statements!$A$2:$P$61,4,TRUE)</f>
        <v>Politics</v>
      </c>
    </row>
    <row r="25">
      <c r="A25" s="34">
        <f>Statements!A25</f>
        <v>24</v>
      </c>
      <c r="B25" s="22" t="str">
        <f>Statements!B25</f>
        <v>Netanyahu will lose the prime ministership of Israel during 2024</v>
      </c>
      <c r="C25" s="39">
        <v>0.55</v>
      </c>
      <c r="D25" s="40">
        <f>vlookup($A25,Statements!$A$2:$P$61,10,TRUE)</f>
        <v>-0.1520030934</v>
      </c>
      <c r="E25" s="10" t="str">
        <f>vlookup($A25,Statements!$A$2:$P$61,4,TRUE)</f>
        <v>Politics</v>
      </c>
    </row>
    <row r="26">
      <c r="A26" s="34">
        <f>Statements!A26</f>
        <v>25</v>
      </c>
      <c r="B26" s="45" t="str">
        <f>Statements!B26</f>
        <v>There will be an Australian Federal election in 2024</v>
      </c>
      <c r="C26" s="46">
        <v>0.01</v>
      </c>
      <c r="D26" s="47">
        <f>vlookup($A26,Statements!$A$2:$P$61,10,TRUE)</f>
        <v>0.9855004303</v>
      </c>
      <c r="E26" s="10" t="str">
        <f>vlookup($A26,Statements!$A$2:$P$61,4,TRUE)</f>
        <v>Politics</v>
      </c>
    </row>
    <row r="27">
      <c r="A27" s="34">
        <f>Statements!A27</f>
        <v>26</v>
      </c>
      <c r="B27" s="22" t="str">
        <f>Statements!B27</f>
        <v>Donald Trump will get less of the Popular vote than the Democratic candidate.</v>
      </c>
      <c r="C27" s="39">
        <v>0.6</v>
      </c>
      <c r="D27" s="40">
        <f>vlookup($A27,Statements!$A$2:$P$61,10,TRUE)</f>
        <v>-0.3219280949</v>
      </c>
      <c r="E27" s="10" t="str">
        <f>vlookup($A27,Statements!$A$2:$P$61,4,TRUE)</f>
        <v>Politics</v>
      </c>
    </row>
    <row r="28">
      <c r="A28" s="34">
        <f>Statements!A28</f>
        <v>27</v>
      </c>
      <c r="B28" s="22" t="str">
        <f>Statements!B28</f>
        <v>An Australian Aboriginal organisation will sign at least one state-based treaty this year.</v>
      </c>
      <c r="C28" s="39">
        <v>0.3</v>
      </c>
      <c r="D28" s="40">
        <f>vlookup($A28,Statements!$A$2:$P$61,10,TRUE)</f>
        <v>0.4854268272</v>
      </c>
      <c r="E28" s="10" t="str">
        <f>vlookup($A28,Statements!$A$2:$P$61,4,TRUE)</f>
        <v>Politics</v>
      </c>
    </row>
    <row r="29">
      <c r="A29" s="34">
        <f>Statements!A29</f>
        <v>28</v>
      </c>
      <c r="B29" s="22" t="str">
        <f>Statements!B29</f>
        <v>Donald Trump will not go to prison this year.</v>
      </c>
      <c r="C29" s="39">
        <v>0.8</v>
      </c>
      <c r="D29" s="40">
        <f>vlookup($A29,Statements!$A$2:$P$61,10,TRUE)</f>
        <v>0.6780719051</v>
      </c>
      <c r="E29" s="10" t="str">
        <f>vlookup($A29,Statements!$A$2:$P$61,4,TRUE)</f>
        <v>Politics</v>
      </c>
    </row>
    <row r="30">
      <c r="A30" s="34">
        <f>Statements!A30</f>
        <v>29</v>
      </c>
      <c r="B30" s="22" t="str">
        <f>Statements!B30</f>
        <v>Modi will be re-elected in the upcoming Indian election</v>
      </c>
      <c r="C30" s="39">
        <v>0.75</v>
      </c>
      <c r="D30" s="40">
        <f>vlookup($A30,Statements!$A$2:$P$61,10,TRUE)</f>
        <v>0.5849625007</v>
      </c>
      <c r="E30" s="10" t="str">
        <f>vlookup($A30,Statements!$A$2:$P$61,4,TRUE)</f>
        <v>Politics</v>
      </c>
    </row>
    <row r="31">
      <c r="A31" s="34">
        <f>Statements!A31</f>
        <v>30</v>
      </c>
      <c r="B31" s="22" t="str">
        <f>Statements!B31</f>
        <v>Josh Frydenberg returns to politics, specifically, announces he will contest Kooyong</v>
      </c>
      <c r="C31" s="39">
        <v>0.15</v>
      </c>
      <c r="D31" s="40">
        <f>vlookup($A31,Statements!$A$2:$P$61,10,TRUE)</f>
        <v>0.7655347464</v>
      </c>
      <c r="E31" s="10" t="str">
        <f>vlookup($A31,Statements!$A$2:$P$61,4,TRUE)</f>
        <v>Politics</v>
      </c>
    </row>
    <row r="32">
      <c r="A32" s="34">
        <f>Statements!A32</f>
        <v>31</v>
      </c>
      <c r="B32" s="22" t="str">
        <f>Statements!B32</f>
        <v>The 2024 US Presidential election result will instigate widespread (multiple cities) violent (with injuries or deaths) unrest</v>
      </c>
      <c r="C32" s="39">
        <v>0.79</v>
      </c>
      <c r="D32" s="40">
        <f>vlookup($A32,Statements!$A$2:$P$61,10,TRUE)</f>
        <v>-1.251538767</v>
      </c>
      <c r="E32" s="10" t="str">
        <f>vlookup($A32,Statements!$A$2:$P$61,4,TRUE)</f>
        <v>Politics</v>
      </c>
    </row>
    <row r="33">
      <c r="A33" s="34">
        <f>Statements!A33</f>
        <v>32</v>
      </c>
      <c r="B33" s="22" t="str">
        <f>Statements!B33</f>
        <v>Taylor swift will be credited/mentioned in U.S legislation created this year.</v>
      </c>
      <c r="C33" s="39">
        <v>0.4</v>
      </c>
      <c r="D33" s="40">
        <f>vlookup($A33,Statements!$A$2:$P$61,10,TRUE)</f>
        <v>0.2630344058</v>
      </c>
      <c r="E33" s="10" t="str">
        <f>vlookup($A33,Statements!$A$2:$P$61,4,TRUE)</f>
        <v>Politics</v>
      </c>
    </row>
    <row r="34">
      <c r="A34" s="34">
        <f>Statements!A34</f>
        <v>33</v>
      </c>
      <c r="B34" s="22" t="str">
        <f>Statements!B34</f>
        <v>The guardian Australia will publish more articles covering the UK election than the Russian and Ukrainian elections combined.</v>
      </c>
      <c r="C34" s="39">
        <v>0.9</v>
      </c>
      <c r="D34" s="40">
        <f>vlookup($A34,Statements!$A$2:$P$61,10,TRUE)</f>
        <v>0.8479969066</v>
      </c>
      <c r="E34" s="10" t="str">
        <f>vlookup($A34,Statements!$A$2:$P$61,4,TRUE)</f>
        <v>Politics</v>
      </c>
    </row>
    <row r="35">
      <c r="A35" s="34">
        <f>Statements!A35</f>
        <v>34</v>
      </c>
      <c r="B35" s="22" t="str">
        <f>Statements!B35</f>
        <v>Pope Francis will retire.</v>
      </c>
      <c r="C35" s="39">
        <v>0.1</v>
      </c>
      <c r="D35" s="40">
        <f>vlookup($A35,Statements!$A$2:$P$61,10,TRUE)</f>
        <v>0.8479969066</v>
      </c>
      <c r="E35" s="10" t="str">
        <f>vlookup($A35,Statements!$A$2:$P$61,4,TRUE)</f>
        <v>Religion</v>
      </c>
    </row>
    <row r="36">
      <c r="A36" s="34">
        <f>Statements!A36</f>
        <v>35</v>
      </c>
      <c r="B36" s="22" t="str">
        <f>Statements!B36</f>
        <v>King Charles will announce his abdication of the throne</v>
      </c>
      <c r="C36" s="39">
        <v>0.1</v>
      </c>
      <c r="D36" s="40">
        <f>vlookup($A36,Statements!$A$2:$P$61,10,TRUE)</f>
        <v>0.8479969066</v>
      </c>
      <c r="E36" s="10" t="str">
        <f>vlookup($A36,Statements!$A$2:$P$61,4,TRUE)</f>
        <v>Royals</v>
      </c>
    </row>
    <row r="37">
      <c r="A37" s="34">
        <f>Statements!A37</f>
        <v>36</v>
      </c>
      <c r="B37" s="22" t="str">
        <f>Statements!B37</f>
        <v>Prince Andrew remains resident of the Royal Lodge until 15 Dec 2024</v>
      </c>
      <c r="C37" s="39">
        <v>0.6</v>
      </c>
      <c r="D37" s="40">
        <f>vlookup($A37,Statements!$A$2:$P$61,10,TRUE)</f>
        <v>0.2630344058</v>
      </c>
      <c r="E37" s="10" t="str">
        <f>vlookup($A37,Statements!$A$2:$P$61,4,TRUE)</f>
        <v>Royals</v>
      </c>
    </row>
    <row r="38">
      <c r="A38" s="34">
        <f>Statements!A38</f>
        <v>37</v>
      </c>
      <c r="B38"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8" s="39">
        <v>0.29</v>
      </c>
      <c r="D38" s="40">
        <f>vlookup($A38,Statements!$A$2:$P$61,10,TRUE)</f>
        <v>0.5058909297</v>
      </c>
      <c r="E38" s="10" t="str">
        <f>vlookup($A38,Statements!$A$2:$P$61,4,TRUE)</f>
        <v>Royals</v>
      </c>
    </row>
    <row r="39">
      <c r="A39" s="34">
        <f>Statements!A39</f>
        <v>38</v>
      </c>
      <c r="B39" s="22" t="str">
        <f>Statements!B39</f>
        <v>A direct flight between Canberra and Queenstown will commence and run at regular intervals (at least fortnightly, completing at least 3 cycles of its schedule)</v>
      </c>
      <c r="C39" s="39">
        <v>0.4</v>
      </c>
      <c r="D39" s="40">
        <f>vlookup($A39,Statements!$A$2:$P$61,10,TRUE)</f>
        <v>0.2630344058</v>
      </c>
      <c r="E39" s="10" t="str">
        <f>vlookup($A39,Statements!$A$2:$P$61,4,TRUE)</f>
        <v>Society</v>
      </c>
    </row>
    <row r="40">
      <c r="A40" s="34">
        <f>Statements!A40</f>
        <v>39</v>
      </c>
      <c r="B40" s="22" t="str">
        <f>Statements!B40</f>
        <v>Canberra restaurants will have more than 30 hats by the end of 2024 as per the Australian Good Food Guide</v>
      </c>
      <c r="C40" s="39">
        <v>0.5</v>
      </c>
      <c r="D40" s="40">
        <f>vlookup($A40,Statements!$A$2:$P$61,10,TRUE)</f>
        <v>0</v>
      </c>
      <c r="E40" s="10" t="str">
        <f>vlookup($A40,Statements!$A$2:$P$61,4,TRUE)</f>
        <v>Society</v>
      </c>
    </row>
    <row r="41">
      <c r="A41" s="34">
        <f>Statements!A41</f>
        <v>40</v>
      </c>
      <c r="B41" s="22" t="str">
        <f>Statements!B41</f>
        <v>Pantone Colour of the Year for 2025 is a blue tone colour (either it has the word blue in its name, or is closer to blue on the colour scale - e.g. teal is considered blue tone, but turquoise is considered green tone)</v>
      </c>
      <c r="C41" s="39">
        <v>0.35</v>
      </c>
      <c r="D41" s="40">
        <f>vlookup($A41,Statements!$A$2:$P$61,10,TRUE)</f>
        <v>0.3785116233</v>
      </c>
      <c r="E41" s="10" t="str">
        <f>vlookup($A41,Statements!$A$2:$P$61,4,TRUE)</f>
        <v>Society</v>
      </c>
    </row>
    <row r="42">
      <c r="A42" s="34">
        <f>Statements!A42</f>
        <v>41</v>
      </c>
      <c r="B42" s="22" t="str">
        <f>Statements!B42</f>
        <v>Elon Musk confirmed to have another child on the way</v>
      </c>
      <c r="C42" s="39">
        <v>0.51</v>
      </c>
      <c r="D42" s="40">
        <f>vlookup($A42,Statements!$A$2:$P$61,10,TRUE)</f>
        <v>0.0285691522</v>
      </c>
      <c r="E42" s="10" t="str">
        <f>vlookup($A42,Statements!$A$2:$P$61,4,TRUE)</f>
        <v>Society</v>
      </c>
    </row>
    <row r="43">
      <c r="A43" s="34">
        <f>Statements!A43</f>
        <v>42</v>
      </c>
      <c r="B43" s="22" t="str">
        <f>Statements!B43</f>
        <v>A notional 0 will be given to a student in any of Rohans classes for being caught using ai in an assignment.</v>
      </c>
      <c r="C43" s="39">
        <v>0.2</v>
      </c>
      <c r="D43" s="40">
        <f>vlookup($A43,Statements!$A$2:$P$61,10,TRUE)</f>
        <v>-1.321928095</v>
      </c>
      <c r="E43" s="10" t="str">
        <f>vlookup($A43,Statements!$A$2:$P$61,4,TRUE)</f>
        <v>Society</v>
      </c>
    </row>
    <row r="44">
      <c r="A44" s="34">
        <f>Statements!A44</f>
        <v>43</v>
      </c>
      <c r="B44" s="22" t="str">
        <f>Statements!B44</f>
        <v>Rafael Nadal will win the French tennis open in 2024</v>
      </c>
      <c r="C44" s="39">
        <v>0.23</v>
      </c>
      <c r="D44" s="40">
        <f>vlookup($A44,Statements!$A$2:$P$61,10,TRUE)</f>
        <v>0.6229303509</v>
      </c>
      <c r="E44" s="10" t="str">
        <f>vlookup($A44,Statements!$A$2:$P$61,4,TRUE)</f>
        <v>Sport</v>
      </c>
    </row>
    <row r="45">
      <c r="A45" s="34">
        <f>Statements!A45</f>
        <v>44</v>
      </c>
      <c r="B45" s="22" t="str">
        <f>Statements!B45</f>
        <v>The AFL premiership will be won by a team whose name starts with a letter from the second half of the alphabet</v>
      </c>
      <c r="C45" s="39">
        <v>0.45</v>
      </c>
      <c r="D45" s="40">
        <f>vlookup($A45,Statements!$A$2:$P$61,10,TRUE)</f>
        <v>0.1375035237</v>
      </c>
      <c r="E45" s="10" t="str">
        <f>vlookup($A45,Statements!$A$2:$P$61,4,TRUE)</f>
        <v>Sport</v>
      </c>
    </row>
    <row r="46">
      <c r="A46" s="34">
        <f>Statements!A46</f>
        <v>45</v>
      </c>
      <c r="B46" s="22" t="str">
        <f>Statements!B46</f>
        <v>Australia will win more medals at the Paris Olympics than the last Olympics.</v>
      </c>
      <c r="C46" s="39">
        <v>0.55</v>
      </c>
      <c r="D46" s="40">
        <f>vlookup($A46,Statements!$A$2:$P$61,10,TRUE)</f>
        <v>0.1375035237</v>
      </c>
      <c r="E46" s="10" t="str">
        <f>vlookup($A46,Statements!$A$2:$P$61,4,TRUE)</f>
        <v>Sport</v>
      </c>
    </row>
    <row r="47">
      <c r="A47" s="34">
        <f>Statements!A47</f>
        <v>46</v>
      </c>
      <c r="B47" s="48" t="str">
        <f>Statements!B47</f>
        <v>Brisbane will win the AFL Grand Final.</v>
      </c>
      <c r="C47" s="49">
        <v>0.1</v>
      </c>
      <c r="D47" s="50">
        <f>vlookup($A47,Statements!$A$2:$P$61,10,TRUE)</f>
        <v>-2.321928095</v>
      </c>
      <c r="E47" s="10" t="str">
        <f>vlookup($A47,Statements!$A$2:$P$61,4,TRUE)</f>
        <v>Sport</v>
      </c>
    </row>
    <row r="48">
      <c r="A48" s="34">
        <f>Statements!A48</f>
        <v>47</v>
      </c>
      <c r="B48" s="22" t="str">
        <f>Statements!B48</f>
        <v>Collingwood will win the Grand Final</v>
      </c>
      <c r="C48" s="39">
        <v>0.48</v>
      </c>
      <c r="D48" s="40">
        <f>vlookup($A48,Statements!$A$2:$P$61,10,TRUE)</f>
        <v>0.05658352837</v>
      </c>
      <c r="E48" s="10" t="str">
        <f>vlookup($A48,Statements!$A$2:$P$61,4,TRUE)</f>
        <v>Sport</v>
      </c>
    </row>
    <row r="49">
      <c r="A49" s="34">
        <f>Statements!A49</f>
        <v>48</v>
      </c>
      <c r="B49" s="22" t="str">
        <f>Statements!B49</f>
        <v>Australia will win at least 9 gold in swimming at the Paris Olympics (they won 9 at Tokyo2020)</v>
      </c>
      <c r="C49" s="39">
        <v>0.51</v>
      </c>
      <c r="D49" s="40">
        <f>vlookup($A49,Statements!$A$2:$P$61,10,TRUE)</f>
        <v>-0.02914634566</v>
      </c>
      <c r="E49" s="10" t="str">
        <f>vlookup($A49,Statements!$A$2:$P$61,4,TRUE)</f>
        <v>Sport</v>
      </c>
    </row>
    <row r="50">
      <c r="A50" s="34">
        <f>Statements!A50</f>
        <v>49</v>
      </c>
      <c r="B50" s="22" t="str">
        <f>Statements!B50</f>
        <v>China will win the most gold medals of any nation at the Paris Olympics</v>
      </c>
      <c r="C50" s="39">
        <v>0.25</v>
      </c>
      <c r="D50" s="40">
        <f>vlookup($A50,Statements!$A$2:$P$61,10,TRUE)</f>
        <v>0.5849625007</v>
      </c>
      <c r="E50" s="10" t="str">
        <f>vlookup($A50,Statements!$A$2:$P$61,4,TRUE)</f>
        <v>Sport</v>
      </c>
    </row>
    <row r="51">
      <c r="A51" s="34">
        <f>Statements!A51</f>
        <v>50</v>
      </c>
      <c r="B51" s="22" t="str">
        <f>Statements!B51</f>
        <v>Australia will collect fewer medals at the forthcoming 2024 Olympics than they did at their last Olympics (Tokyo 2021, 46 medals) and will be ranked lower than 6th (as they were in Tokyo).</v>
      </c>
      <c r="C51" s="39">
        <v>0.49</v>
      </c>
      <c r="D51" s="40">
        <f>vlookup($A51,Statements!$A$2:$P$61,10,TRUE)</f>
        <v>0.0285691522</v>
      </c>
      <c r="E51" s="10" t="str">
        <f>vlookup($A51,Statements!$A$2:$P$61,4,TRUE)</f>
        <v>Sport</v>
      </c>
    </row>
    <row r="52">
      <c r="A52" s="34">
        <f>Statements!A52</f>
        <v>51</v>
      </c>
      <c r="B52" s="22" t="str">
        <f>Statements!B52</f>
        <v>Central Coast Mariners will win the A league premiership this year.</v>
      </c>
      <c r="C52" s="39">
        <v>0.4</v>
      </c>
      <c r="D52" s="40">
        <f>vlookup($A52,Statements!$A$2:$P$61,10,TRUE)</f>
        <v>-0.3219280949</v>
      </c>
      <c r="E52" s="10" t="str">
        <f>vlookup($A52,Statements!$A$2:$P$61,4,TRUE)</f>
        <v>Sport</v>
      </c>
    </row>
    <row r="53">
      <c r="A53" s="34">
        <f>Statements!A53</f>
        <v>52</v>
      </c>
      <c r="B53" s="22" t="str">
        <f>Statements!B53</f>
        <v>The Tour de France will not be won by a French national in 2024.</v>
      </c>
      <c r="C53" s="39">
        <v>0.6</v>
      </c>
      <c r="D53" s="40">
        <f>vlookup($A53,Statements!$A$2:$P$61,10,TRUE)</f>
        <v>0.2630344058</v>
      </c>
      <c r="E53" s="10" t="str">
        <f>vlookup($A53,Statements!$A$2:$P$61,4,TRUE)</f>
        <v>Sport</v>
      </c>
    </row>
    <row r="54">
      <c r="A54" s="34">
        <f>Statements!A54</f>
        <v>53</v>
      </c>
      <c r="B54" s="22" t="str">
        <f>Statements!B54</f>
        <v>Sergio Perez’s average qualifying position will be below p6.</v>
      </c>
      <c r="C54" s="39">
        <v>0.35</v>
      </c>
      <c r="D54" s="40">
        <f>vlookup($A54,Statements!$A$2:$P$61,10,TRUE)</f>
        <v>-0.5145731728</v>
      </c>
      <c r="E54" s="10" t="str">
        <f>vlookup($A54,Statements!$A$2:$P$61,4,TRUE)</f>
        <v>Sport</v>
      </c>
    </row>
    <row r="55">
      <c r="A55" s="34">
        <f>Statements!A55</f>
        <v>54</v>
      </c>
      <c r="B55" s="22" t="str">
        <f>Statements!B55</f>
        <v>A service will exist to generate full episodes of bespoke TV (or films) based on prompts about the plot and casting</v>
      </c>
      <c r="C55" s="39">
        <v>0.45</v>
      </c>
      <c r="D55" s="40">
        <f>vlookup($A55,Statements!$A$2:$P$61,10,TRUE)</f>
        <v>-0.1520030934</v>
      </c>
      <c r="E55" s="10" t="str">
        <f>vlookup($A55,Statements!$A$2:$P$61,4,TRUE)</f>
        <v>Technology</v>
      </c>
    </row>
    <row r="56">
      <c r="A56" s="34">
        <f>Statements!A56</f>
        <v>55</v>
      </c>
      <c r="B56" s="22" t="str">
        <f>Statements!B56</f>
        <v>Materially adverse complications arise to human subjects that have Neuralink installed</v>
      </c>
      <c r="C56" s="39">
        <v>0.2</v>
      </c>
      <c r="D56" s="40">
        <f>vlookup($A56,Statements!$A$2:$P$61,10,TRUE)</f>
        <v>0.6780719051</v>
      </c>
      <c r="E56" s="10" t="str">
        <f>vlookup($A56,Statements!$A$2:$P$61,4,TRUE)</f>
        <v>Technology</v>
      </c>
    </row>
    <row r="57">
      <c r="A57" s="34">
        <f>Statements!A57</f>
        <v>56</v>
      </c>
      <c r="B57" s="22" t="str">
        <f>Statements!B57</f>
        <v>Some UAPs confirmed to be military aircraft by government officials or an official government statement</v>
      </c>
      <c r="C57" s="39">
        <v>0.4</v>
      </c>
      <c r="D57" s="40">
        <f>vlookup($A57,Statements!$A$2:$P$61,10,TRUE)</f>
        <v>0.2630344058</v>
      </c>
      <c r="E57" s="10" t="str">
        <f>vlookup($A57,Statements!$A$2:$P$61,4,TRUE)</f>
        <v>Technology</v>
      </c>
    </row>
    <row r="58">
      <c r="A58" s="34">
        <f>Statements!A58</f>
        <v>57</v>
      </c>
      <c r="B58"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8" s="39">
        <v>0.2</v>
      </c>
      <c r="D58" s="40">
        <f>vlookup($A58,Statements!$A$2:$P$61,10,TRUE)</f>
        <v>0.6780719051</v>
      </c>
      <c r="E58" s="10" t="str">
        <f>vlookup($A58,Statements!$A$2:$P$61,4,TRUE)</f>
        <v>Technology</v>
      </c>
    </row>
    <row r="59">
      <c r="A59" s="34">
        <f>Statements!A59</f>
        <v>58</v>
      </c>
      <c r="B59" s="22" t="str">
        <f>Statements!B59</f>
        <v>An AI model whose architecture is not a GPT-style transformer will spend any amount of time at the top of the LMSYS Chatbot Arena Leaderboard (https://huggingface.co/spaces/lmsys/chatbot-arena-leaderboard).</v>
      </c>
      <c r="C59" s="39">
        <v>0.3</v>
      </c>
      <c r="D59" s="40">
        <f>vlookup($A59,Statements!$A$2:$P$61,10,TRUE)</f>
        <v>0.4854268272</v>
      </c>
      <c r="E59" s="10" t="str">
        <f>vlookup($A59,Statements!$A$2:$P$61,4,TRUE)</f>
        <v>Technology</v>
      </c>
    </row>
    <row r="60">
      <c r="A60" s="34">
        <f>Statements!A60</f>
        <v>59</v>
      </c>
      <c r="B60" s="22" t="str">
        <f>Statements!B60</f>
        <v>SpaceX's Starship vehicle will complete at least 1 full orbit of the Earth</v>
      </c>
      <c r="C60" s="39">
        <v>0.83</v>
      </c>
      <c r="D60" s="40">
        <f>vlookup($A60,Statements!$A$2:$P$61,10,TRUE)</f>
        <v>-1.556393349</v>
      </c>
      <c r="E60" s="10" t="str">
        <f>vlookup($A60,Statements!$A$2:$P$61,4,TRUE)</f>
        <v>Technology</v>
      </c>
    </row>
    <row r="61">
      <c r="A61" s="34">
        <f>Statements!A61</f>
        <v>60</v>
      </c>
      <c r="B61" s="22" t="str">
        <f>Statements!B61</f>
        <v>A reputable newspaper publishes a story that Kate Middleton's disappearance is linked to William getting funky with Lady Rose Hanbury (otherwise known as: the Marchioness of Molmondeley)</v>
      </c>
      <c r="C61" s="39">
        <v>0.4</v>
      </c>
      <c r="D61" s="40" t="str">
        <f>vlookup($A61,Statements!$A$2:$P$61,10,TRUE)</f>
        <v/>
      </c>
      <c r="E61" s="10" t="str">
        <f>vlookup($A61,Statements!$A$2:$P$61,4,TRUE)</f>
        <v>Royals</v>
      </c>
    </row>
    <row r="62">
      <c r="A62" s="34" t="str">
        <f>Statements!A62</f>
        <v/>
      </c>
      <c r="B62" s="22" t="str">
        <f>Statements!B62</f>
        <v/>
      </c>
    </row>
    <row r="63">
      <c r="A63" s="34" t="str">
        <f>Statements!A63</f>
        <v/>
      </c>
      <c r="B63" s="22" t="str">
        <f>Statements!B63</f>
        <v/>
      </c>
      <c r="C63" s="10" t="s">
        <v>116</v>
      </c>
      <c r="D63" s="52">
        <f>MAX($D$2:$D$61)</f>
        <v>0.9855004303</v>
      </c>
    </row>
    <row r="64">
      <c r="A64" s="34" t="str">
        <f>Statements!A64</f>
        <v/>
      </c>
      <c r="B64" s="22" t="str">
        <f>Statements!B64</f>
        <v/>
      </c>
      <c r="C64" s="10" t="s">
        <v>117</v>
      </c>
      <c r="D64" s="52">
        <f>MIN($D$2:$D$61)</f>
        <v>-2.321928095</v>
      </c>
      <c r="E64" s="53" t="s">
        <v>118</v>
      </c>
      <c r="F64" s="53" t="s">
        <v>119</v>
      </c>
    </row>
    <row r="65">
      <c r="A65" s="34" t="str">
        <f>Statements!A65</f>
        <v/>
      </c>
      <c r="B65" s="22" t="str">
        <f>Statements!B65</f>
        <v/>
      </c>
      <c r="C65" s="56" t="s">
        <v>21</v>
      </c>
      <c r="D65" s="32">
        <f t="shared" ref="D65:D75" si="1">sumif($E$2:$E$61,$C65,$D$2:$D$61)</f>
        <v>-0.4914346889</v>
      </c>
      <c r="E65" s="32">
        <f>min(Andrew!D65,Bruce!D65,Eileen!D65,Gael!D65,Iain!D65,Jac!D65,James!D65,Kate!D65,Lachy!D65,Pete!D65,Rohan!D65)</f>
        <v>-5.176681067</v>
      </c>
      <c r="F65" s="32">
        <f>max(Andrew!D65,Bruce!D65,Eileen!D65,Gael!D65,Iain!D65,Jac!D65,James!D65,Kate!D65,Lachy!D65,Pete!D65,Rohan!D65)</f>
        <v>2.571427902</v>
      </c>
    </row>
    <row r="66">
      <c r="A66" s="34" t="str">
        <f>Statements!A66</f>
        <v/>
      </c>
      <c r="B66" s="22" t="str">
        <f>Statements!B66</f>
        <v/>
      </c>
      <c r="C66" s="54" t="s">
        <v>33</v>
      </c>
      <c r="D66" s="55">
        <f t="shared" si="1"/>
        <v>0.6229303509</v>
      </c>
      <c r="E66" s="32">
        <f>min(Andrew!D66,Bruce!D66,Eileen!D66,Gael!D66,Iain!D66,Jac!D66,James!D66,Kate!D66,Lachy!D66,Pete!D66,Rohan!D66)</f>
        <v>-1.321928095</v>
      </c>
      <c r="F66" s="32">
        <f>max(Andrew!D66,Bruce!D66,Eileen!D66,Gael!D66,Iain!D66,Jac!D66,James!D66,Kate!D66,Lachy!D66,Pete!D66,Rohan!D66)</f>
        <v>0.6780719051</v>
      </c>
    </row>
    <row r="67">
      <c r="A67" s="34" t="str">
        <f>Statements!A67</f>
        <v/>
      </c>
      <c r="B67" s="22" t="str">
        <f>Statements!B67</f>
        <v/>
      </c>
      <c r="C67" s="56" t="s">
        <v>36</v>
      </c>
      <c r="D67" s="32">
        <f t="shared" si="1"/>
        <v>0.4854268272</v>
      </c>
      <c r="E67" s="32">
        <f>min(Andrew!D67,Bruce!D67,Eileen!D67,Gael!D67,Iain!D67,Jac!D67,James!D67,Kate!D67,Lachy!D67,Pete!D67,Rohan!D67)</f>
        <v>-0.7369655942</v>
      </c>
      <c r="F67" s="32">
        <f>max(Andrew!D67,Bruce!D67,Eileen!D67,Gael!D67,Iain!D67,Jac!D67,James!D67,Kate!D67,Lachy!D67,Pete!D67,Rohan!D67)</f>
        <v>0.6780719051</v>
      </c>
    </row>
    <row r="68">
      <c r="A68" s="34" t="str">
        <f>Statements!A68</f>
        <v/>
      </c>
      <c r="B68" s="22" t="str">
        <f>Statements!B68</f>
        <v/>
      </c>
      <c r="C68" s="56" t="s">
        <v>38</v>
      </c>
      <c r="D68" s="32">
        <f t="shared" si="1"/>
        <v>-1.01568919</v>
      </c>
      <c r="E68" s="32">
        <f>min(Andrew!D68,Bruce!D68,Eileen!D68,Gael!D68,Iain!D68,Jac!D68,James!D68,Kate!D68,Lachy!D68,Pete!D68,Rohan!D68)</f>
        <v>-1.380821784</v>
      </c>
      <c r="F68" s="32">
        <f>max(Andrew!D68,Bruce!D68,Eileen!D68,Gael!D68,Iain!D68,Jac!D68,James!D68,Kate!D68,Lachy!D68,Pete!D68,Rohan!D68)</f>
        <v>2.434753645</v>
      </c>
    </row>
    <row r="69">
      <c r="A69" s="34" t="str">
        <f>Statements!A69</f>
        <v/>
      </c>
      <c r="B69" s="22" t="str">
        <f>Statements!B69</f>
        <v/>
      </c>
      <c r="C69" s="56" t="s">
        <v>44</v>
      </c>
      <c r="D69" s="32">
        <f t="shared" si="1"/>
        <v>0.3847129624</v>
      </c>
      <c r="E69" s="32">
        <f>min(Andrew!D69,Bruce!D69,Eileen!D69,Gael!D69,Iain!D69,Jac!D69,James!D69,Kate!D69,Lachy!D69,Pete!D69,Rohan!D69)</f>
        <v>-4.895394957</v>
      </c>
      <c r="F69" s="32">
        <f>max(Andrew!D69,Bruce!D69,Eileen!D69,Gael!D69,Iain!D69,Jac!D69,James!D69,Kate!D69,Lachy!D69,Pete!D69,Rohan!D69)</f>
        <v>2.011495639</v>
      </c>
    </row>
    <row r="70">
      <c r="B70" s="22"/>
      <c r="C70" s="56" t="s">
        <v>48</v>
      </c>
      <c r="D70" s="32">
        <f t="shared" si="1"/>
        <v>2.176661325</v>
      </c>
      <c r="E70" s="32">
        <f>min(Andrew!D70,Bruce!D70,Eileen!D70,Gael!D70,Iain!D70,Jac!D70,James!D70,Kate!D70,Lachy!D70,Pete!D70,Rohan!D70)</f>
        <v>-2.209102545</v>
      </c>
      <c r="F70" s="32">
        <f>max(Andrew!D70,Bruce!D70,Eileen!D70,Gael!D70,Iain!D70,Jac!D70,James!D70,Kate!D70,Lachy!D70,Pete!D70,Rohan!D70)</f>
        <v>4.920241353</v>
      </c>
    </row>
    <row r="71">
      <c r="B71" s="22"/>
      <c r="C71" s="54" t="s">
        <v>61</v>
      </c>
      <c r="D71" s="55">
        <f t="shared" si="1"/>
        <v>0.8479969066</v>
      </c>
      <c r="E71" s="32">
        <f>min(Andrew!D71,Bruce!D71,Eileen!D71,Gael!D71,Iain!D71,Jac!D71,James!D71,Kate!D71,Lachy!D71,Pete!D71,Rohan!D71)</f>
        <v>-0.7369655942</v>
      </c>
      <c r="F71" s="32">
        <f>max(Andrew!D71,Bruce!D71,Eileen!D71,Gael!D71,Iain!D71,Jac!D71,James!D71,Kate!D71,Lachy!D71,Pete!D71,Rohan!D71)</f>
        <v>0.8479969066</v>
      </c>
    </row>
    <row r="72">
      <c r="B72" s="22"/>
      <c r="C72" s="56" t="s">
        <v>63</v>
      </c>
      <c r="D72" s="32">
        <f t="shared" si="1"/>
        <v>1.616922242</v>
      </c>
      <c r="E72" s="32">
        <f>min(Andrew!D72,Bruce!D72,Eileen!D72,Gael!D72,Iain!D72,Jac!D72,James!D72,Kate!D72,Lachy!D72,Pete!D72,Rohan!D72)</f>
        <v>-0.07339325875</v>
      </c>
      <c r="F72" s="32">
        <f>max(Andrew!D72,Bruce!D72,Eileen!D72,Gael!D72,Iain!D72,Jac!D72,James!D72,Kate!D72,Lachy!D72,Pete!D72,Rohan!D72)</f>
        <v>2.45206823</v>
      </c>
    </row>
    <row r="73">
      <c r="B73" s="22"/>
      <c r="C73" s="56" t="s">
        <v>67</v>
      </c>
      <c r="D73" s="32">
        <f t="shared" si="1"/>
        <v>-0.6518129136</v>
      </c>
      <c r="E73" s="32">
        <f>min(Andrew!D73,Bruce!D73,Eileen!D73,Gael!D73,Iain!D73,Jac!D73,James!D73,Kate!D73,Lachy!D73,Pete!D73,Rohan!D73)</f>
        <v>-0.7958592832</v>
      </c>
      <c r="F73" s="32">
        <f>max(Andrew!D73,Bruce!D73,Eileen!D73,Gael!D73,Iain!D73,Jac!D73,James!D73,Kate!D73,Lachy!D73,Pete!D73,Rohan!D73)</f>
        <v>1.519642543</v>
      </c>
    </row>
    <row r="74">
      <c r="B74" s="22"/>
      <c r="C74" s="56" t="s">
        <v>73</v>
      </c>
      <c r="D74" s="32">
        <f t="shared" si="1"/>
        <v>-1.356488723</v>
      </c>
      <c r="E74" s="32">
        <f>min(Andrew!D74,Bruce!D74,Eileen!D74,Gael!D74,Iain!D74,Jac!D74,James!D74,Kate!D74,Lachy!D74,Pete!D74,Rohan!D74)</f>
        <v>-2.995260427</v>
      </c>
      <c r="F74" s="32">
        <f>max(Andrew!D74,Bruce!D74,Eileen!D74,Gael!D74,Iain!D74,Jac!D74,James!D74,Kate!D74,Lachy!D74,Pete!D74,Rohan!D74)</f>
        <v>3.208413849</v>
      </c>
    </row>
    <row r="75">
      <c r="B75" s="22"/>
      <c r="C75" s="56" t="s">
        <v>85</v>
      </c>
      <c r="D75" s="32">
        <f t="shared" si="1"/>
        <v>0.3962086013</v>
      </c>
      <c r="E75" s="32">
        <f>min(Andrew!D75,Bruce!D75,Eileen!D75,Gael!D75,Iain!D75,Jac!D75,James!D75,Kate!D75,Lachy!D75,Pete!D75,Rohan!D75)</f>
        <v>-4.291323633</v>
      </c>
      <c r="F75" s="32">
        <f>max(Andrew!D75,Bruce!D75,Eileen!D75,Gael!D75,Iain!D75,Jac!D75,James!D75,Kate!D75,Lachy!D75,Pete!D75,Rohan!D75)</f>
        <v>1.853066276</v>
      </c>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94.63"/>
    <col customWidth="1" min="3" max="3" width="18.88"/>
  </cols>
  <sheetData>
    <row r="1">
      <c r="A1" s="36" t="str">
        <f>Statements!A1</f>
        <v>Number</v>
      </c>
      <c r="B1" s="37" t="str">
        <f>Statements!B1</f>
        <v>Prediction</v>
      </c>
      <c r="C1" s="38" t="s">
        <v>113</v>
      </c>
    </row>
    <row r="2">
      <c r="A2" s="34">
        <f>Statements!A2</f>
        <v>1</v>
      </c>
      <c r="B2" s="22" t="str">
        <f>Statements!B2</f>
        <v>”What was I made for?” (Billie Eilish) wins Best Music - Original Song at the Oscars</v>
      </c>
      <c r="C2" s="67"/>
    </row>
    <row r="3">
      <c r="A3" s="34">
        <f>Statements!A3</f>
        <v>2</v>
      </c>
      <c r="B3" s="22" t="str">
        <f>Statements!B3</f>
        <v>NewJeans surpass 13M subscribers on instagram (currently 11.3M)</v>
      </c>
      <c r="C3" s="67"/>
    </row>
    <row r="4">
      <c r="A4" s="34">
        <f>Statements!A4</f>
        <v>3</v>
      </c>
      <c r="B4" s="22" t="str">
        <f>Statements!B4</f>
        <v>Timothee and Kylie break up</v>
      </c>
      <c r="C4" s="67"/>
    </row>
    <row r="5">
      <c r="A5" s="34">
        <f>Statements!A5</f>
        <v>4</v>
      </c>
      <c r="B5" s="22" t="str">
        <f>Statements!B5</f>
        <v>A guest on Hot Ones will not complete the full set of hot sauces/wings</v>
      </c>
      <c r="C5" s="67"/>
    </row>
    <row r="6">
      <c r="A6" s="34">
        <f>Statements!A6</f>
        <v>5</v>
      </c>
      <c r="B6" s="22" t="str">
        <f>Statements!B6</f>
        <v>An alone participant in a 2024 season (Australia/Denmark/UK) will fall ill from eating poisonous fruit they misidentify</v>
      </c>
      <c r="C6" s="67"/>
    </row>
    <row r="7">
      <c r="A7" s="34">
        <f>Statements!A7</f>
        <v>6</v>
      </c>
      <c r="B7" s="22" t="str">
        <f>Statements!B7</f>
        <v>An Australian or New Zealand restaurant will feature on the 2024 "World's 50 Best Restaurants" list</v>
      </c>
      <c r="C7" s="67"/>
    </row>
    <row r="8">
      <c r="A8" s="34">
        <f>Statements!A8</f>
        <v>7</v>
      </c>
      <c r="B8" s="22" t="str">
        <f>Statements!B8</f>
        <v>Dex (Kim Jin Young) will feature as a guest or star in a food-based show available on Netflix AU/NZ</v>
      </c>
      <c r="C8" s="67"/>
    </row>
    <row r="9">
      <c r="A9" s="34">
        <f>Statements!A9</f>
        <v>8</v>
      </c>
      <c r="B9" s="22" t="str">
        <f>Statements!B9</f>
        <v>Taylor will break up with Travis</v>
      </c>
      <c r="C9" s="67"/>
    </row>
    <row r="10">
      <c r="A10" s="34">
        <f>Statements!A10</f>
        <v>9</v>
      </c>
      <c r="B10" s="22" t="str">
        <f>Statements!B10</f>
        <v>Taylor will release the re-record of her debut album in 2024.</v>
      </c>
      <c r="C10" s="67"/>
    </row>
    <row r="11">
      <c r="A11" s="34">
        <f>Statements!A11</f>
        <v>10</v>
      </c>
      <c r="B11" s="22" t="str">
        <f>Statements!B11</f>
        <v>Barbie will win best picture at the academy awards.</v>
      </c>
      <c r="C11" s="67"/>
    </row>
    <row r="12">
      <c r="A12" s="34">
        <f>Statements!A12</f>
        <v>11</v>
      </c>
      <c r="B12" s="22" t="str">
        <f>Statements!B12</f>
        <v>Kate will win at least two prizes for her Phillip and Bennelong book.</v>
      </c>
      <c r="C12" s="67"/>
    </row>
    <row r="13">
      <c r="A13" s="34">
        <f>Statements!A13</f>
        <v>12</v>
      </c>
      <c r="B13" s="22" t="str">
        <f>Statements!B13</f>
        <v>Baby Starmeadow will be under 50cm long at birth (Oz average is 50.8cm).</v>
      </c>
      <c r="C13" s="67"/>
    </row>
    <row r="14">
      <c r="A14" s="34">
        <f>Statements!A14</f>
        <v>13</v>
      </c>
      <c r="B14" s="22" t="str">
        <f>Statements!B14</f>
        <v>The Reserve Bank will announce at least three interest rate reductions in 2024</v>
      </c>
      <c r="C14" s="67"/>
    </row>
    <row r="15">
      <c r="A15" s="34">
        <f>Statements!A15</f>
        <v>14</v>
      </c>
      <c r="B15" s="22" t="str">
        <f>Statements!B15</f>
        <v>Bruce Lehrmann will be awarded damages</v>
      </c>
      <c r="C15" s="67"/>
    </row>
    <row r="16">
      <c r="A16" s="34">
        <f>Statements!A16</f>
        <v>15</v>
      </c>
      <c r="B16" s="22" t="str">
        <f>Statements!B16</f>
        <v>Chinese courts will refuse Evergrande liquidators’ requests to seize the developer’s assets in mainland China</v>
      </c>
      <c r="C16" s="67"/>
    </row>
    <row r="17">
      <c r="A17" s="34">
        <f>Statements!A17</f>
        <v>16</v>
      </c>
      <c r="B17" s="22" t="str">
        <f>Statements!B17</f>
        <v>David McBride will be sentenced to a lifetime jail sentence</v>
      </c>
      <c r="C17" s="67"/>
    </row>
    <row r="18">
      <c r="A18" s="34">
        <f>Statements!A18</f>
        <v>17</v>
      </c>
      <c r="B18" s="22" t="str">
        <f>Statements!B18</f>
        <v>The federal court will find that Bruce Lehrmann was not defamed</v>
      </c>
      <c r="C18" s="67"/>
    </row>
    <row r="19">
      <c r="A19" s="34">
        <f>Statements!A19</f>
        <v>18</v>
      </c>
      <c r="B19" s="22" t="str">
        <f>Statements!B19</f>
        <v>OpenAI successfully defends the New York Times' claim on the basis of fair use</v>
      </c>
      <c r="C19" s="67"/>
    </row>
    <row r="20">
      <c r="A20" s="34">
        <f>Statements!A20</f>
        <v>19</v>
      </c>
      <c r="B20" s="22" t="str">
        <f>Statements!B20</f>
        <v>2024 will be the hottest European summer on record.</v>
      </c>
      <c r="C20" s="67"/>
    </row>
    <row r="21">
      <c r="A21" s="34">
        <f>Statements!A21</f>
        <v>20</v>
      </c>
      <c r="B21" s="22" t="str">
        <f>Statements!B21</f>
        <v>The  NOAA will announce an alert level 5 bleaching event on the Great Barrier Reef</v>
      </c>
      <c r="C21" s="67"/>
    </row>
    <row r="22">
      <c r="A22" s="34" t="str">
        <f t="shared" ref="A22:B22" si="1">#REF!</f>
        <v>#REF!</v>
      </c>
      <c r="B22" s="22" t="str">
        <f t="shared" si="1"/>
        <v>#REF!</v>
      </c>
      <c r="C22" s="67"/>
    </row>
    <row r="23">
      <c r="A23" s="34">
        <f>Statements!A22</f>
        <v>21</v>
      </c>
      <c r="B23" s="22" t="str">
        <f>Statements!B22</f>
        <v>At least three cyclones will drench North Queensland before the end of the year.</v>
      </c>
      <c r="C23" s="67"/>
    </row>
    <row r="24">
      <c r="A24" s="34">
        <f>Statements!A23</f>
        <v>22</v>
      </c>
      <c r="B24" s="22" t="str">
        <f>Statements!B23</f>
        <v>A head of state or relevant minister from an island nation will declare their geographic country no longer inhabitable in the long term, due to climate-related issues. This will include a commitment to relevant action of some kind</v>
      </c>
      <c r="C24" s="67"/>
    </row>
    <row r="25">
      <c r="A25" s="34">
        <f>Statements!A24</f>
        <v>23</v>
      </c>
      <c r="B25" s="22" t="str">
        <f>Statements!B24</f>
        <v>Trump will promise to enact an order or legislation with the express intention of negatively impacting Taylor Swift</v>
      </c>
      <c r="C25" s="67"/>
    </row>
    <row r="26">
      <c r="A26" s="34">
        <f>Statements!A25</f>
        <v>24</v>
      </c>
      <c r="B26" s="22" t="str">
        <f>Statements!B25</f>
        <v>Netanyahu will lose the prime ministership of Israel during 2024</v>
      </c>
      <c r="C26" s="67"/>
    </row>
    <row r="27">
      <c r="A27" s="34">
        <f>Statements!A26</f>
        <v>25</v>
      </c>
      <c r="B27" s="22" t="str">
        <f>Statements!B26</f>
        <v>There will be an Australian Federal election in 2024</v>
      </c>
      <c r="C27" s="67"/>
    </row>
    <row r="28">
      <c r="A28" s="34">
        <f>Statements!A27</f>
        <v>26</v>
      </c>
      <c r="B28" s="22" t="str">
        <f>Statements!B27</f>
        <v>Donald Trump will get less of the Popular vote than the Democratic candidate.</v>
      </c>
      <c r="C28" s="67"/>
    </row>
    <row r="29">
      <c r="A29" s="34">
        <f>Statements!A28</f>
        <v>27</v>
      </c>
      <c r="B29" s="22" t="str">
        <f>Statements!B28</f>
        <v>An Australian Aboriginal organisation will sign at least one state-based treaty this year.</v>
      </c>
      <c r="C29" s="67"/>
    </row>
    <row r="30">
      <c r="A30" s="34">
        <f>Statements!A29</f>
        <v>28</v>
      </c>
      <c r="B30" s="22" t="str">
        <f>Statements!B29</f>
        <v>Donald Trump will not go to prison this year.</v>
      </c>
      <c r="C30" s="67"/>
    </row>
    <row r="31">
      <c r="A31" s="34">
        <f>Statements!A30</f>
        <v>29</v>
      </c>
      <c r="B31" s="22" t="str">
        <f>Statements!B30</f>
        <v>Modi will be re-elected in the upcoming Indian election</v>
      </c>
      <c r="C31" s="67"/>
    </row>
    <row r="32">
      <c r="A32" s="34">
        <f>Statements!A31</f>
        <v>30</v>
      </c>
      <c r="B32" s="22" t="str">
        <f>Statements!B31</f>
        <v>Josh Frydenberg returns to politics, specifically, announces he will contest Kooyong</v>
      </c>
      <c r="C32" s="67"/>
    </row>
    <row r="33">
      <c r="A33" s="34">
        <f>Statements!A32</f>
        <v>31</v>
      </c>
      <c r="B33" s="22" t="str">
        <f>Statements!B32</f>
        <v>The 2024 US Presidential election result will instigate widespread (multiple cities) violent (with injuries or deaths) unrest</v>
      </c>
      <c r="C33" s="67"/>
    </row>
    <row r="34">
      <c r="A34" s="34">
        <f>Statements!A33</f>
        <v>32</v>
      </c>
      <c r="B34" s="22" t="str">
        <f>Statements!B33</f>
        <v>Taylor swift will be credited/mentioned in U.S legislation created this year.</v>
      </c>
      <c r="C34" s="67"/>
    </row>
    <row r="35">
      <c r="A35" s="34">
        <f>Statements!A34</f>
        <v>33</v>
      </c>
      <c r="B35" s="22" t="str">
        <f>Statements!B34</f>
        <v>The guardian Australia will publish more articles covering the UK election than the Russian and Ukrainian elections combined.</v>
      </c>
      <c r="C35" s="67"/>
    </row>
    <row r="36">
      <c r="A36" s="34">
        <f>Statements!A35</f>
        <v>34</v>
      </c>
      <c r="B36" s="22" t="str">
        <f>Statements!B35</f>
        <v>Pope Francis will retire.</v>
      </c>
      <c r="C36" s="67"/>
    </row>
    <row r="37">
      <c r="A37" s="34">
        <f>Statements!A36</f>
        <v>35</v>
      </c>
      <c r="B37" s="22" t="str">
        <f>Statements!B36</f>
        <v>King Charles will announce his abdication of the throne</v>
      </c>
      <c r="C37" s="67"/>
    </row>
    <row r="38">
      <c r="A38" s="34">
        <f>Statements!A37</f>
        <v>36</v>
      </c>
      <c r="B38" s="22" t="str">
        <f>Statements!B37</f>
        <v>Prince Andrew remains resident of the Royal Lodge until 15 Dec 2024</v>
      </c>
      <c r="C38" s="67"/>
    </row>
    <row r="39">
      <c r="A39" s="34">
        <f>Statements!A38</f>
        <v>37</v>
      </c>
      <c r="B39" s="22" t="str">
        <f>Statements!B38</f>
        <v>Prince Charles' cancer will go into remission in 2024 and he will publically attribute this success to at least one of: - A naturopathic or homeopathic regimen, including 'fresh air' or tramping through the Scottish countryside, or - God determining that his work as King was not yet done</v>
      </c>
      <c r="C39" s="67"/>
    </row>
    <row r="40">
      <c r="A40" s="34">
        <f>Statements!A39</f>
        <v>38</v>
      </c>
      <c r="B40" s="22" t="str">
        <f>Statements!B39</f>
        <v>A direct flight between Canberra and Queenstown will commence and run at regular intervals (at least fortnightly, completing at least 3 cycles of its schedule)</v>
      </c>
      <c r="C40" s="67"/>
    </row>
    <row r="41">
      <c r="A41" s="34">
        <f>Statements!A40</f>
        <v>39</v>
      </c>
      <c r="B41" s="22" t="str">
        <f>Statements!B40</f>
        <v>Canberra restaurants will have more than 30 hats by the end of 2024 as per the Australian Good Food Guide</v>
      </c>
      <c r="C41" s="67"/>
    </row>
    <row r="42">
      <c r="A42" s="34">
        <f>Statements!A41</f>
        <v>40</v>
      </c>
      <c r="B42" s="22" t="str">
        <f>Statements!B41</f>
        <v>Pantone Colour of the Year for 2025 is a blue tone colour (either it has the word blue in its name, or is closer to blue on the colour scale - e.g. teal is considered blue tone, but turquoise is considered green tone)</v>
      </c>
      <c r="C42" s="67"/>
    </row>
    <row r="43">
      <c r="A43" s="34">
        <f>Statements!A42</f>
        <v>41</v>
      </c>
      <c r="B43" s="22" t="str">
        <f>Statements!B42</f>
        <v>Elon Musk confirmed to have another child on the way</v>
      </c>
      <c r="C43" s="67"/>
    </row>
    <row r="44">
      <c r="A44" s="34">
        <f>Statements!A43</f>
        <v>42</v>
      </c>
      <c r="B44" s="22" t="str">
        <f>Statements!B43</f>
        <v>A notional 0 will be given to a student in any of Rohans classes for being caught using ai in an assignment.</v>
      </c>
      <c r="C44" s="67"/>
    </row>
    <row r="45">
      <c r="A45" s="34">
        <f>Statements!A44</f>
        <v>43</v>
      </c>
      <c r="B45" s="22" t="str">
        <f>Statements!B44</f>
        <v>Rafael Nadal will win the French tennis open in 2024</v>
      </c>
      <c r="C45" s="67"/>
    </row>
    <row r="46">
      <c r="A46" s="34">
        <f>Statements!A45</f>
        <v>44</v>
      </c>
      <c r="B46" s="22" t="str">
        <f>Statements!B45</f>
        <v>The AFL premiership will be won by a team whose name starts with a letter from the second half of the alphabet</v>
      </c>
      <c r="C46" s="67"/>
    </row>
    <row r="47">
      <c r="A47" s="34">
        <f>Statements!A46</f>
        <v>45</v>
      </c>
      <c r="B47" s="22" t="str">
        <f>Statements!B46</f>
        <v>Australia will win more medals at the Paris Olympics than the last Olympics.</v>
      </c>
      <c r="C47" s="67"/>
    </row>
    <row r="48">
      <c r="A48" s="34">
        <f>Statements!A47</f>
        <v>46</v>
      </c>
      <c r="B48" s="22" t="str">
        <f>Statements!B47</f>
        <v>Brisbane will win the AFL Grand Final.</v>
      </c>
      <c r="C48" s="67"/>
    </row>
    <row r="49">
      <c r="A49" s="34">
        <f>Statements!A48</f>
        <v>47</v>
      </c>
      <c r="B49" s="22" t="str">
        <f>Statements!B48</f>
        <v>Collingwood will win the Grand Final</v>
      </c>
      <c r="C49" s="67"/>
    </row>
    <row r="50">
      <c r="A50" s="34">
        <f>Statements!A49</f>
        <v>48</v>
      </c>
      <c r="B50" s="22" t="str">
        <f>Statements!B49</f>
        <v>Australia will win at least 9 gold in swimming at the Paris Olympics (they won 9 at Tokyo2020)</v>
      </c>
      <c r="C50" s="67"/>
    </row>
    <row r="51">
      <c r="A51" s="34">
        <f>Statements!A50</f>
        <v>49</v>
      </c>
      <c r="B51" s="22" t="str">
        <f>Statements!B50</f>
        <v>China will win the most gold medals of any nation at the Paris Olympics</v>
      </c>
      <c r="C51" s="67"/>
    </row>
    <row r="52">
      <c r="A52" s="34">
        <f>Statements!A51</f>
        <v>50</v>
      </c>
      <c r="B52" s="22" t="str">
        <f>Statements!B51</f>
        <v>Australia will collect fewer medals at the forthcoming 2024 Olympics than they did at their last Olympics (Tokyo 2021, 46 medals) and will be ranked lower than 6th (as they were in Tokyo).</v>
      </c>
      <c r="C52" s="67"/>
    </row>
    <row r="53">
      <c r="A53" s="34">
        <f>Statements!A52</f>
        <v>51</v>
      </c>
      <c r="B53" s="22" t="str">
        <f>Statements!B52</f>
        <v>Central Coast Mariners will win the A league premiership this year.</v>
      </c>
      <c r="C53" s="67"/>
    </row>
    <row r="54">
      <c r="A54" s="34">
        <f>Statements!A53</f>
        <v>52</v>
      </c>
      <c r="B54" s="22" t="str">
        <f>Statements!B53</f>
        <v>The Tour de France will not be won by a French national in 2024.</v>
      </c>
      <c r="C54" s="67"/>
    </row>
    <row r="55">
      <c r="A55" s="34">
        <f>Statements!A54</f>
        <v>53</v>
      </c>
      <c r="B55" s="22" t="str">
        <f>Statements!B54</f>
        <v>Sergio Perez’s average qualifying position will be below p6.</v>
      </c>
      <c r="C55" s="67"/>
    </row>
    <row r="56">
      <c r="A56" s="34">
        <f>Statements!A55</f>
        <v>54</v>
      </c>
      <c r="B56" s="22" t="str">
        <f>Statements!B55</f>
        <v>A service will exist to generate full episodes of bespoke TV (or films) based on prompts about the plot and casting</v>
      </c>
      <c r="C56" s="67"/>
    </row>
    <row r="57">
      <c r="A57" s="34">
        <f>Statements!A56</f>
        <v>55</v>
      </c>
      <c r="B57" s="22" t="str">
        <f>Statements!B56</f>
        <v>Materially adverse complications arise to human subjects that have Neuralink installed</v>
      </c>
      <c r="C57" s="67"/>
    </row>
    <row r="58">
      <c r="A58" s="34">
        <f>Statements!A57</f>
        <v>56</v>
      </c>
      <c r="B58" s="22" t="str">
        <f>Statements!B57</f>
        <v>Some UAPs confirmed to be military aircraft by government officials or an official government statement</v>
      </c>
      <c r="C58" s="67"/>
    </row>
    <row r="59">
      <c r="A59" s="34">
        <f>Statements!A58</f>
        <v>57</v>
      </c>
      <c r="B59" s="22" t="str">
        <f>Statements!B58</f>
        <v>A single event causing the death of at least 1000 people will be widely attributed (in at least 1 national media source) to a Large Language Model AI (ML) system. For example, a bio-engineered pandemic designed by AI counts as a single event but an annual road toll from tesla autopilot does not.</v>
      </c>
      <c r="C59" s="67"/>
    </row>
    <row r="60">
      <c r="A60" s="34">
        <f>Statements!A59</f>
        <v>58</v>
      </c>
      <c r="B60" s="22" t="str">
        <f>Statements!B59</f>
        <v>An AI model whose architecture is not a GPT-style transformer will spend any amount of time at the top of the LMSYS Chatbot Arena Leaderboard (https://huggingface.co/spaces/lmsys/chatbot-arena-leaderboard).</v>
      </c>
      <c r="C60" s="67"/>
    </row>
    <row r="61">
      <c r="A61" s="34">
        <f>Statements!A60</f>
        <v>59</v>
      </c>
      <c r="B61" s="22" t="str">
        <f>Statements!B60</f>
        <v>SpaceX's Starship vehicle will complete at least 1 full orbit of the Earth</v>
      </c>
      <c r="C61" s="67"/>
    </row>
    <row r="62">
      <c r="A62" s="34">
        <f>Statements!A61</f>
        <v>60</v>
      </c>
      <c r="B62" s="22" t="str">
        <f>Statements!B61</f>
        <v>A reputable newspaper publishes a story that Kate Middleton's disappearance is linked to William getting funky with Lady Rose Hanbury (otherwise known as: the Marchioness of Molmondeley)</v>
      </c>
      <c r="C62" s="67"/>
    </row>
    <row r="63">
      <c r="A63" s="34" t="str">
        <f>Statements!A62</f>
        <v/>
      </c>
      <c r="B63" s="22" t="str">
        <f>Statements!B62</f>
        <v/>
      </c>
    </row>
    <row r="64">
      <c r="A64" s="34" t="str">
        <f>Statements!A63</f>
        <v/>
      </c>
      <c r="B64" s="22" t="str">
        <f>Statements!B63</f>
        <v/>
      </c>
    </row>
    <row r="65">
      <c r="A65" s="34" t="str">
        <f>Statements!A64</f>
        <v/>
      </c>
      <c r="B65" s="22" t="str">
        <f>Statements!B64</f>
        <v/>
      </c>
    </row>
    <row r="66">
      <c r="A66" s="34" t="str">
        <f>Statements!A65</f>
        <v/>
      </c>
      <c r="B66" s="22" t="str">
        <f>Statements!B65</f>
        <v/>
      </c>
    </row>
    <row r="67">
      <c r="A67" s="34" t="str">
        <f>Statements!A66</f>
        <v/>
      </c>
      <c r="B67" s="22" t="str">
        <f>Statements!B66</f>
        <v/>
      </c>
    </row>
    <row r="68">
      <c r="A68" s="34" t="str">
        <f>Statements!A67</f>
        <v/>
      </c>
      <c r="B68" s="22" t="str">
        <f>Statements!B67</f>
        <v/>
      </c>
    </row>
    <row r="69">
      <c r="A69" s="34" t="str">
        <f>Statements!A68</f>
        <v/>
      </c>
      <c r="B69" s="22" t="str">
        <f>Statements!B68</f>
        <v/>
      </c>
    </row>
    <row r="70">
      <c r="A70" s="34" t="str">
        <f>Statements!A69</f>
        <v/>
      </c>
      <c r="B70" s="22" t="str">
        <f>Statements!B69</f>
        <v/>
      </c>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drawing r:id="rId1"/>
</worksheet>
</file>