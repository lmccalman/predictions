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s" sheetId="1" r:id="rId5"/>
    <sheet state="visible" name="Summary" sheetId="2" r:id="rId6"/>
    <sheet state="visible" name="Main" sheetId="3" r:id="rId7"/>
    <sheet state="visible" name="Andrew" sheetId="4" r:id="rId8"/>
    <sheet state="visible" name="Bruce" sheetId="5" r:id="rId9"/>
    <sheet state="visible" name="Christine" sheetId="6" r:id="rId10"/>
    <sheet state="visible" name="Eileen" sheetId="7" r:id="rId11"/>
    <sheet state="visible" name="Iain" sheetId="8" r:id="rId12"/>
    <sheet state="visible" name="Gael" sheetId="9" r:id="rId13"/>
    <sheet state="visible" name="Jac" sheetId="10" r:id="rId14"/>
    <sheet state="visible" name="James" sheetId="11" r:id="rId15"/>
    <sheet state="visible" name="Kate" sheetId="12" r:id="rId16"/>
    <sheet state="visible" name="Lachy" sheetId="13" r:id="rId17"/>
    <sheet state="visible" name="Pete" sheetId="14" r:id="rId18"/>
    <sheet state="visible" name="Rohan" sheetId="15" r:id="rId1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tc={6145204d-f416-47f3-a975-18fa169b2835}</author>
  </authors>
  <commentList>
    <comment authorId="0" xr:uid="{6145204d-f416-47f3-a975-18fa169b2835}" ref="B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Has this been resolved?
	-Andrew McCalman
</t>
      </text>
    </comment>
  </commentList>
</comments>
</file>

<file path=xl/sharedStrings.xml><?xml version="1.0" encoding="utf-8"?>
<sst xmlns="http://schemas.openxmlformats.org/spreadsheetml/2006/main" count="876" uniqueCount="213">
  <si>
    <t>Predictions resolved</t>
  </si>
  <si>
    <t>Predictions to come</t>
  </si>
  <si>
    <t>We are…</t>
  </si>
  <si>
    <t>there!</t>
  </si>
  <si>
    <t>ID</t>
  </si>
  <si>
    <t>Category</t>
  </si>
  <si>
    <t>Prediction</t>
  </si>
  <si>
    <t>Date resolved</t>
  </si>
  <si>
    <t>Outcome (0 = false, 1 = true)</t>
  </si>
  <si>
    <t>Andrew</t>
  </si>
  <si>
    <t>Boof</t>
  </si>
  <si>
    <t>Christine</t>
  </si>
  <si>
    <t>Eileen</t>
  </si>
  <si>
    <t>Iain</t>
  </si>
  <si>
    <r>
      <rPr>
        <rFont val="Arial"/>
        <b/>
        <color theme="1"/>
        <sz val="10.0"/>
      </rPr>
      <t>G</t>
    </r>
    <r>
      <rPr>
        <rFont val="Calibri"/>
        <b/>
        <color theme="1"/>
        <sz val="10.0"/>
      </rPr>
      <t>ä</t>
    </r>
    <r>
      <rPr>
        <rFont val="Arial"/>
        <b/>
        <color theme="1"/>
        <sz val="10.0"/>
      </rPr>
      <t>el</t>
    </r>
  </si>
  <si>
    <t>Jac</t>
  </si>
  <si>
    <t>James</t>
  </si>
  <si>
    <t>Kate</t>
  </si>
  <si>
    <t>Lachy</t>
  </si>
  <si>
    <t>Pete</t>
  </si>
  <si>
    <t>Rohan</t>
  </si>
  <si>
    <t>Bruce</t>
  </si>
  <si>
    <r>
      <rPr>
        <rFont val="Arial"/>
        <b/>
        <color theme="1"/>
        <sz val="10.0"/>
      </rPr>
      <t>G</t>
    </r>
    <r>
      <rPr>
        <rFont val="Calibri"/>
        <b/>
        <color theme="1"/>
        <sz val="10.0"/>
      </rPr>
      <t>ä</t>
    </r>
    <r>
      <rPr>
        <rFont val="Arial"/>
        <b/>
        <color theme="1"/>
        <sz val="10.0"/>
      </rPr>
      <t>el</t>
    </r>
  </si>
  <si>
    <t>High-low scores</t>
  </si>
  <si>
    <t>Mean prediction</t>
  </si>
  <si>
    <t>Variance</t>
  </si>
  <si>
    <t>Andrew min</t>
  </si>
  <si>
    <t>Boof min</t>
  </si>
  <si>
    <t>Christine min</t>
  </si>
  <si>
    <t>Eileen min</t>
  </si>
  <si>
    <t>Iain min</t>
  </si>
  <si>
    <t>Gäel min</t>
  </si>
  <si>
    <t>Jac min</t>
  </si>
  <si>
    <t>James min</t>
  </si>
  <si>
    <t>Kate min</t>
  </si>
  <si>
    <t>Lachy min</t>
  </si>
  <si>
    <t>Pete min</t>
  </si>
  <si>
    <t>Rohan min</t>
  </si>
  <si>
    <t>Andrew max</t>
  </si>
  <si>
    <t>Boof max</t>
  </si>
  <si>
    <t>Christine max</t>
  </si>
  <si>
    <t>Eileen max</t>
  </si>
  <si>
    <t>Iain max</t>
  </si>
  <si>
    <t>Gäel max</t>
  </si>
  <si>
    <t>Jac max</t>
  </si>
  <si>
    <t>James max</t>
  </si>
  <si>
    <t>Kate max</t>
  </si>
  <si>
    <t>Lachy max</t>
  </si>
  <si>
    <t>Pete max</t>
  </si>
  <si>
    <t>Rohan max</t>
  </si>
  <si>
    <t>Boof, Andrew</t>
  </si>
  <si>
    <t>Jac, James</t>
  </si>
  <si>
    <t>Boof, Andrew total</t>
  </si>
  <si>
    <t>Jac, James total</t>
  </si>
  <si>
    <t>Optimistic statement? Yes = optimistic, No = pessimistic, blank is neutral</t>
  </si>
  <si>
    <t>Aus Politics</t>
  </si>
  <si>
    <t>That there will be a hung parliament at the next election and Labor will take office</t>
  </si>
  <si>
    <t>Analysis</t>
  </si>
  <si>
    <t>Dan Andrews will become leader of the Australian Labor Party</t>
  </si>
  <si>
    <t>Yes</t>
  </si>
  <si>
    <t>The Greens will get more than 9 senators in the next federal election</t>
  </si>
  <si>
    <t>The House of Reps will include 5 independents by the end of the federal election</t>
  </si>
  <si>
    <t>The Australian Labor Party will not pledge to reverse the uni fee structure introduced in 2020</t>
  </si>
  <si>
    <t>No</t>
  </si>
  <si>
    <t>Zali Steggal and Helen Haines will both retain their seats in Federal Parliament</t>
  </si>
  <si>
    <t>Scott Morrison will lose leadership of the Liberal Party at least once</t>
  </si>
  <si>
    <t>Anthony Albanese will be Prime Minister on at least one day</t>
  </si>
  <si>
    <t>A sitting MP will make allegations of possible voter fraud or election 'rigging' in the 2022 Australian federal election</t>
  </si>
  <si>
    <t>The Australian Intelligence Community will release a statement contradicting a Government minister or MP during the 2022 election campaign</t>
  </si>
  <si>
    <t>Scott Morrison will still be the Prime Minister of Australia</t>
  </si>
  <si>
    <t>An Australian federal Minister will step down from their position due to direct involvement (proven or otherwise) in sexual misconduct at some point in the year.</t>
  </si>
  <si>
    <t>Friendlyjordies, or evidence he has brought to light, will feature in a court case or ICAC inquiry.</t>
  </si>
  <si>
    <t>At least one person commits suicide as an effect of the Royal Commission into Defence and Veteran Suicide, as reported in The Guardian</t>
  </si>
  <si>
    <t>Celebrities</t>
  </si>
  <si>
    <t>Taylor Swift will get married</t>
  </si>
  <si>
    <t>Jane Campion will win the Oscar for Best Director</t>
  </si>
  <si>
    <t>Harry and Megan's animated series "Pearl" will be released and have over 50% on Rotten Tomatoes</t>
  </si>
  <si>
    <t>Prince Andrew will enter or exit a courtroom wearing an oxygen mask and/or sitting in a wheelchair</t>
  </si>
  <si>
    <t>News Ltd will report on the emergence of a conspiracy theory relating to the Queen's death: that the palace is either secretly concealing her death or her continuing life</t>
  </si>
  <si>
    <t>Julian Assange will be located in Australia</t>
  </si>
  <si>
    <t>An alleged sexual predator will recieve an Emmy or Oscar by mainstream media (Andrew’s system)</t>
  </si>
  <si>
    <t>The Queen will die</t>
  </si>
  <si>
    <t>Ghislaine Maxwell will successfully strike a plea deal and reduce her aggregate sentence to no greater than 10 years with parole no greater than 5 years</t>
  </si>
  <si>
    <t>Formal criminal charges will be laid against Prince Andrew for sex offenses</t>
  </si>
  <si>
    <t>Elizabeth Holmes will be sentenced to no greater than 15 years imprisonment</t>
  </si>
  <si>
    <t>Meghan and Harry will separate</t>
  </si>
  <si>
    <t>Tom Holland and Zendaya will separate</t>
  </si>
  <si>
    <t>Donald Trump endorses on social media a movement that is called White Lives Matter</t>
  </si>
  <si>
    <t>Britney Spears returns under conservatorship</t>
  </si>
  <si>
    <t>Taylor Swift and her partner separate, or announce they're expecting a child</t>
  </si>
  <si>
    <t>Aung San Suu Kyi dies or announces she has a terminal illness (terminal illness including cancer)</t>
  </si>
  <si>
    <t>Henry Cavill marries</t>
  </si>
  <si>
    <t>Covid</t>
  </si>
  <si>
    <t>Daily COVID cases in Australia will reach 150,000 at least once</t>
  </si>
  <si>
    <t>More deaths will be attributed to Omicron by the WHO than all other covid variants combined</t>
  </si>
  <si>
    <t>The average number of covid vaccinations per person amongst members of Xmas eve 2022 will be &gt; 3</t>
  </si>
  <si>
    <t>2 new variants of Covid will be invented/discovered during 2022</t>
  </si>
  <si>
    <t>Tasmania will have experienced at least 10,000 new cases in 1 day</t>
  </si>
  <si>
    <t>WHO switches to another alphabet than the Greek alphabet for Covid variants</t>
  </si>
  <si>
    <t>Family</t>
  </si>
  <si>
    <t>Lachy and Jac's extension will be completed</t>
  </si>
  <si>
    <t>Rohan will work for two different employers (not his own family members)</t>
  </si>
  <si>
    <t>Kate will swim the Broulee Bay to Breakers in March 2022 and improve her position from 9th in the 40s women’s age group</t>
  </si>
  <si>
    <t>Rohan will be at least 6ft tall</t>
  </si>
  <si>
    <t xml:space="preserve">A participant in the prediction game will get a dog or another dog </t>
  </si>
  <si>
    <t>Natural world</t>
  </si>
  <si>
    <t>There will be a flow of water into the Lake Eyre basin in 2022</t>
  </si>
  <si>
    <t>Water from the Paroo will spill into the Darling in 2022</t>
  </si>
  <si>
    <t>In the Antarctic the Thwaites Glacier ice-shelf will collapse in 2022</t>
  </si>
  <si>
    <t>At least three quarters of the Great Barrier Reef will be bleached as a result of warming seas.</t>
  </si>
  <si>
    <t>Sabine Hoffstader will release a Youtube video explaining that the nature of dark matter has been confirmed experimentally</t>
  </si>
  <si>
    <t>2022 will be the hottest year on record globally (via NASA)</t>
  </si>
  <si>
    <t>A cultivated chilli will replace the Carolina Reaper as the world’s hottest, as measured in scoville units (GWR seems to be the source of this currently)</t>
  </si>
  <si>
    <t>Christchurch will experience an earthquake of at least 4 on the Richter scale</t>
  </si>
  <si>
    <t>Society</t>
  </si>
  <si>
    <t>Pope Francis will condemn the metaverse or warn of its potential damage</t>
  </si>
  <si>
    <t>The 4th most popular baby name for girls in Australia will be Isla according to the NSW Government popular baby names site</t>
  </si>
  <si>
    <t>The 4th most popular baby name for boys in Australia will be Leo according to the NSW Government popular baby names site</t>
  </si>
  <si>
    <t>A statue in Australia will be removed because of negative associations with its history or colonial ties</t>
  </si>
  <si>
    <t>Dave Chapelle’s special ‘The Closer’ will be available to watch on Netflix (Aus or US)</t>
  </si>
  <si>
    <t>An actor in a Disney film or TV show will have their contract ‘cancelled’ due to social pressure related to a social media post or opinion they have expressed publicly.</t>
  </si>
  <si>
    <t>An Australian company or department will mandate the inclusion or visibility of preferred gender pronouns, whether through an HR directory or email signatures.</t>
  </si>
  <si>
    <t>More than 30% of Australians will have been born overseas (currently 29.8%)</t>
  </si>
  <si>
    <t>LGBTIQ+ will be the acronym in widespread usage throughout Australia, as determined by the definition from LGBTIQ+ Health Australia (the peak body org for health and research related to that community)</t>
  </si>
  <si>
    <t>The meat industry in Australia and/or the US will succeed in controlling the use of ‘meat terms’ (meat, beef etc.) for non-animal protein products</t>
  </si>
  <si>
    <t>The median house price in Canberra will be over $1,200,000 (currently $1,015,833)</t>
  </si>
  <si>
    <t>An artist or band on the Rock and Roll Hall of Fame has a performance using digital avatar (source https://en.wikipedia.org/wiki/List_of_Rock_and_Roll_Hall_of_Fame_inductees)</t>
  </si>
  <si>
    <t>Sport</t>
  </si>
  <si>
    <t>No Australian tennis player will win a senior Championship event at the Australian Open in 2022</t>
  </si>
  <si>
    <t>-</t>
  </si>
  <si>
    <t>Daniel Ricciardo will win the Australian GP in 2022</t>
  </si>
  <si>
    <t>Collingwood will make it into the top 8 at the end of the footy season</t>
  </si>
  <si>
    <t>Italy will defeat Portugal in their qualifying match and reach the finals of the Football World Cup</t>
  </si>
  <si>
    <t>Ash Barty will be world number 1 in the WRA rankings after the US Open</t>
  </si>
  <si>
    <t>Neither Roger Federer nor Serena Williams will win a Grand Slam tennis tournament</t>
  </si>
  <si>
    <t>The Football World Cup will not go ahead on the scheduled dates in Qatar</t>
  </si>
  <si>
    <t>Lewis hamilton will win the 2022 world championship in Formula 1</t>
  </si>
  <si>
    <t>The Haas F1 team will score 0 points in the 2022 season</t>
  </si>
  <si>
    <t>Technology</t>
  </si>
  <si>
    <t>ULA's vulcan centaur will launch succesfully (places a payload into orbit)</t>
  </si>
  <si>
    <t>NASA will declare its Artemis 1 mission a success</t>
  </si>
  <si>
    <t>Starship/Superheavy will place Starship into a (partial) orbital trajectory</t>
  </si>
  <si>
    <t>James Webb telescope will deploy at L2 and 1 image from its Near-Infrared Camera (NIRCam) will be available on the internet for viewing by the public</t>
  </si>
  <si>
    <t>Facebook connect 2022 (or its 'meta' equivalent) will be hosted in virtual reality / a ('the'?) metaverse</t>
  </si>
  <si>
    <t>Apple will announce mixed reality glasses</t>
  </si>
  <si>
    <t xml:space="preserve"> In-app purchases of Kindle books will be possible in the Kindle iphone app</t>
  </si>
  <si>
    <t>It will be possible for at least one of the prediction participants to have food delivered by drone to their place of residence as a mainstream service, without it being part of a specific trial.</t>
  </si>
  <si>
    <t>TMTG, the company that owns Trump’s “TRUTH Social” platform, will have a market cap of over $20 billion USD. (Twitter is around 35b)</t>
  </si>
  <si>
    <t>It will not be financially viable to mine ethereum using commercial GPUs.</t>
  </si>
  <si>
    <t>China will have more than 800 satellites in orbit (currently around 500)</t>
  </si>
  <si>
    <t>Australia will be in the top 40 countries for broadband speed (as tracked in wiki page)</t>
  </si>
  <si>
    <t>India will produce more total CO2 emissions than the US</t>
  </si>
  <si>
    <t>The number of electric vehicles under $50K (excl on road costs) grows 67% or more in Australia, as listed on carsguide.com.au. Currently there are three cars: Hyundai Ioniq, Nissan Leaf and MG ZS EV</t>
  </si>
  <si>
    <t>World Politics</t>
  </si>
  <si>
    <t>Boris Johnson will be replaced as Prime Minister by the Tory Party</t>
  </si>
  <si>
    <t>Boris Johnson will be the Prime Minister of the UK</t>
  </si>
  <si>
    <t>At least some American states will resort to proclaimed and violent civil war rather that accept democratic elections</t>
  </si>
  <si>
    <t>Democrats will lose control of the US House of Representatives at the midterm elections</t>
  </si>
  <si>
    <t>Democrats will not have control of the US Senate after the midterm election</t>
  </si>
  <si>
    <t>Donald Trump will recieve at least 1 vote in the selection of the Speaker of the US house of Representatives (Congress)</t>
  </si>
  <si>
    <t>Donald Trump will release a book in 2022</t>
  </si>
  <si>
    <t>Trump will announce he will contest the Republican presidential candidacy and launch an NFT</t>
  </si>
  <si>
    <t>China will invade Taiwan</t>
  </si>
  <si>
    <t>A nuclear weapon will be detonated for any purpose (including a test) somewhere on earth or in space</t>
  </si>
  <si>
    <t>Iran will announce it has produced a nuclear weapon</t>
  </si>
  <si>
    <t>One or more of the G12 member countries will have diplomatically recognised Taiwan</t>
  </si>
  <si>
    <t>Russia will have invaded Ukraine (as reported by CNN, BBC, Guardian or NYT)</t>
  </si>
  <si>
    <t>The US will have gone to battle with China or Russia (nuclear battle acceptable) agreed upon by at least half the people attending 2022 predictions</t>
  </si>
  <si>
    <t>There is an assassination attempt on Xi Jinping as reported in The Guardian</t>
  </si>
  <si>
    <t>Bolsanaro wins the next Brazilian elections</t>
  </si>
  <si>
    <t>positives</t>
  </si>
  <si>
    <t>negatives</t>
  </si>
  <si>
    <t>Proposer</t>
  </si>
  <si>
    <t>Clarifications</t>
  </si>
  <si>
    <t>Outcome</t>
  </si>
  <si>
    <t>Outcome comments</t>
  </si>
  <si>
    <t>Outcome supporting link</t>
  </si>
  <si>
    <t>Gael</t>
  </si>
  <si>
    <t>James and Christine</t>
  </si>
  <si>
    <t>Ghislaine Maxwell will successfully strike a plea deal and reduce her aggregate sentence to no greater than 10 years with parole no greater than 5 years.</t>
  </si>
  <si>
    <t>Pete has listed this as invalid, but we should allow him to update as he's mistaken — it's a civil not criminal action</t>
  </si>
  <si>
    <t>Elizabeth Holmes will be sentenced to no greater than 15 years imprisonment.</t>
  </si>
  <si>
    <t>Tom Holland and Zendaya will separate.</t>
  </si>
  <si>
    <r>
      <rPr/>
      <t xml:space="preserve">As reported by where? </t>
    </r>
    <r>
      <rPr>
        <color rgb="FF1155CC"/>
        <u/>
      </rPr>
      <t>ourworldindata.org</t>
    </r>
    <r>
      <rPr/>
      <t xml:space="preserve"> shows this has already happened, let's use dept. health in which case it hasn't </t>
    </r>
  </si>
  <si>
    <t>Suggest updating to "at least 2", otherwise more than 2 will make this false. let's also change to 'variants of concern'</t>
  </si>
  <si>
    <t>At the time of predictions being calculated? At the same time? If he works for 3, is this false? let's clarify as has worked for at least 2 during the course of the year</t>
  </si>
  <si>
    <t>there's apparently no official measure of this — dad said it should be 'as reported in the guardian' ie if the guardian doesn't report it, it's false</t>
  </si>
  <si>
    <t>A statue in Australia will be removed because of negative associations with its history or colonial ties.</t>
  </si>
  <si>
    <t>This has occurred (and is true)</t>
  </si>
  <si>
    <t>Daniel Ricciardo will win the Australian GP in 2022.</t>
  </si>
  <si>
    <t>Value already exceeds 20 billion. Suggest updating to 30 billion for more interesting prediction (from Andrew)</t>
  </si>
  <si>
    <t>Iain, James and Christine</t>
  </si>
  <si>
    <t>Andrew, Iain, James and Christine</t>
  </si>
  <si>
    <t>The US will have gone to battle with China or Russia ( nuclear battle acceptable) agreed upon by at least half the people attending 2022 predictions</t>
  </si>
  <si>
    <t>Probability (0.0 to 1.0)</t>
  </si>
  <si>
    <t>Rationale (optional)</t>
  </si>
  <si>
    <t>Gaël</t>
  </si>
  <si>
    <t>Diff is equal or greater than 0.5</t>
  </si>
  <si>
    <t>Lachy scale</t>
  </si>
  <si>
    <t>lachy scale</t>
  </si>
  <si>
    <t>Prob</t>
  </si>
  <si>
    <t>description</t>
  </si>
  <si>
    <t>No idea / even odds</t>
  </si>
  <si>
    <t>slightly more likely than not</t>
  </si>
  <si>
    <t>very likely</t>
  </si>
  <si>
    <t>almost certain</t>
  </si>
  <si>
    <t>certain</t>
  </si>
  <si>
    <t>Note he put invalid</t>
  </si>
  <si>
    <t>note he put invalid</t>
  </si>
  <si>
    <t>?</t>
  </si>
  <si>
    <t>idk if if im allowed to answer tho</t>
  </si>
  <si>
    <t>knee injury</t>
  </si>
  <si>
    <t>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</si>
</sst>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"/>
    <numFmt numFmtId="166" formatCode="0.000"/>
  </numFmts>
  <fonts count="19">
    <font>
      <sz val="10.0"/>
      <color rgb="FF000000"/>
      <name val="Arial"/>
      <scheme val="minor"/>
    </font>
    <font>
      <b/>
      <sz val="12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BFBFBF"/>
      <name val="Arial"/>
    </font>
    <font>
      <color theme="1"/>
      <name val="Arial"/>
    </font>
    <font>
      <sz val="8.0"/>
      <color rgb="FF000000"/>
      <name val="Arial"/>
    </font>
    <font>
      <sz val="36.0"/>
      <color theme="1"/>
      <name val="Arial"/>
    </font>
    <font/>
    <font>
      <sz val="10.0"/>
      <color rgb="FF0000FF"/>
      <name val="Arial"/>
    </font>
    <font>
      <b/>
      <color theme="1"/>
      <name val="Arial"/>
    </font>
    <font>
      <sz val="10.0"/>
      <color rgb="FF000000"/>
      <name val="Roboto"/>
    </font>
    <font>
      <sz val="10.0"/>
      <color theme="1"/>
      <name val="Roboto"/>
    </font>
    <font>
      <color rgb="FF000000"/>
      <name val="Roboto"/>
    </font>
    <font>
      <color theme="1"/>
      <name val="Roboto"/>
    </font>
    <font>
      <u/>
      <color rgb="FF0000FF"/>
    </font>
    <font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theme="9"/>
        <bgColor theme="9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</fills>
  <borders count="15">
    <border/>
    <border>
      <left/>
      <right/>
      <top/>
      <bottom/>
    </border>
    <border>
      <left/>
      <right/>
      <top/>
    </border>
    <border>
      <left/>
      <top/>
      <bottom/>
    </border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</border>
    <border>
      <right/>
      <top/>
      <bottom/>
    </border>
    <border>
      <left/>
      <right/>
    </border>
    <border>
      <top/>
      <bottom/>
    </border>
    <border>
      <left style="medium">
        <color rgb="FF00FF00"/>
      </left>
      <top style="medium">
        <color rgb="FF00FF00"/>
      </top>
      <bottom style="medium">
        <color rgb="FF00FF00"/>
      </bottom>
    </border>
    <border>
      <right style="medium">
        <color rgb="FF00FF00"/>
      </right>
      <top style="medium">
        <color rgb="FF00FF00"/>
      </top>
      <bottom style="medium">
        <color rgb="FF00FF00"/>
      </bottom>
    </border>
    <border>
      <left/>
      <right/>
      <bottom/>
    </border>
    <border>
      <left/>
      <bottom/>
    </border>
    <border>
      <left style="thick">
        <color rgb="FF00FF00"/>
      </left>
      <right style="thick">
        <color rgb="FF00FF00"/>
      </right>
      <top style="thick">
        <color rgb="FF00FF00"/>
      </top>
      <bottom style="thick">
        <color rgb="FF00FF00"/>
      </bottom>
    </border>
    <border>
      <bottom style="double">
        <color rgb="FF000000"/>
      </bottom>
    </border>
    <border>
      <left/>
      <right/>
      <bottom style="double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1" numFmtId="9" xfId="0" applyBorder="1" applyFont="1" applyNumberForma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3" numFmtId="164" xfId="0" applyFont="1" applyNumberFormat="1"/>
    <xf borderId="0" fillId="0" fontId="3" numFmtId="164" xfId="0" applyAlignment="1" applyFont="1" applyNumberFormat="1">
      <alignment horizontal="center" shrinkToFit="0" wrapText="1"/>
    </xf>
    <xf borderId="1" fillId="3" fontId="3" numFmtId="165" xfId="0" applyBorder="1" applyFill="1" applyFont="1" applyNumberFormat="1"/>
    <xf borderId="2" fillId="3" fontId="3" numFmtId="165" xfId="0" applyBorder="1" applyFont="1" applyNumberFormat="1"/>
    <xf borderId="0" fillId="0" fontId="3" numFmtId="165" xfId="0" applyFont="1" applyNumberFormat="1"/>
    <xf borderId="0" fillId="0" fontId="4" numFmtId="165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5" numFmtId="0" xfId="0" applyFont="1"/>
    <xf borderId="0" fillId="0" fontId="7" numFmtId="0" xfId="0" applyAlignment="1" applyFont="1">
      <alignment horizontal="center" shrinkToFit="0" wrapText="1"/>
    </xf>
    <xf borderId="1" fillId="4" fontId="4" numFmtId="0" xfId="0" applyBorder="1" applyFill="1" applyFont="1"/>
    <xf borderId="1" fillId="4" fontId="4" numFmtId="0" xfId="0" applyAlignment="1" applyBorder="1" applyFont="1">
      <alignment shrinkToFit="0" wrapText="1"/>
    </xf>
    <xf borderId="1" fillId="4" fontId="4" numFmtId="164" xfId="0" applyAlignment="1" applyBorder="1" applyFont="1" applyNumberFormat="1">
      <alignment readingOrder="0"/>
    </xf>
    <xf borderId="1" fillId="3" fontId="4" numFmtId="1" xfId="0" applyAlignment="1" applyBorder="1" applyFont="1" applyNumberFormat="1">
      <alignment horizontal="center" readingOrder="0"/>
    </xf>
    <xf borderId="1" fillId="3" fontId="4" numFmtId="2" xfId="0" applyBorder="1" applyFont="1" applyNumberFormat="1"/>
    <xf borderId="3" fillId="4" fontId="4" numFmtId="2" xfId="0" applyBorder="1" applyFont="1" applyNumberFormat="1"/>
    <xf borderId="4" fillId="3" fontId="4" numFmtId="2" xfId="0" applyBorder="1" applyFont="1" applyNumberFormat="1"/>
    <xf borderId="5" fillId="4" fontId="4" numFmtId="2" xfId="0" applyBorder="1" applyFont="1" applyNumberFormat="1"/>
    <xf borderId="1" fillId="4" fontId="4" numFmtId="2" xfId="0" applyBorder="1" applyFont="1" applyNumberFormat="1"/>
    <xf borderId="3" fillId="3" fontId="4" numFmtId="2" xfId="0" applyBorder="1" applyFont="1" applyNumberFormat="1"/>
    <xf borderId="4" fillId="4" fontId="4" numFmtId="2" xfId="0" applyBorder="1" applyFont="1" applyNumberFormat="1"/>
    <xf borderId="5" fillId="3" fontId="4" numFmtId="2" xfId="0" applyBorder="1" applyFont="1" applyNumberFormat="1"/>
    <xf borderId="2" fillId="5" fontId="8" numFmtId="2" xfId="0" applyAlignment="1" applyBorder="1" applyFill="1" applyFont="1" applyNumberFormat="1">
      <alignment horizontal="center" textRotation="90" vertical="center"/>
    </xf>
    <xf borderId="0" fillId="0" fontId="4" numFmtId="2" xfId="0" applyFont="1" applyNumberFormat="1"/>
    <xf borderId="0" fillId="0" fontId="2" numFmtId="0" xfId="0" applyAlignment="1" applyFont="1">
      <alignment horizontal="center"/>
    </xf>
    <xf borderId="0" fillId="0" fontId="2" numFmtId="2" xfId="0" applyFont="1" applyNumberFormat="1"/>
    <xf borderId="0" fillId="0" fontId="5" numFmtId="2" xfId="0" applyFont="1" applyNumberFormat="1"/>
    <xf borderId="0" fillId="0" fontId="2" numFmtId="2" xfId="0" applyAlignment="1" applyFont="1" applyNumberFormat="1">
      <alignment horizontal="center"/>
    </xf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4" numFmtId="164" xfId="0" applyFont="1" applyNumberFormat="1"/>
    <xf borderId="0" fillId="0" fontId="4" numFmtId="1" xfId="0" applyAlignment="1" applyFont="1" applyNumberFormat="1">
      <alignment horizontal="center" readingOrder="0"/>
    </xf>
    <xf borderId="0" fillId="0" fontId="4" numFmtId="166" xfId="0" applyFont="1" applyNumberFormat="1"/>
    <xf borderId="6" fillId="0" fontId="9" numFmtId="0" xfId="0" applyBorder="1" applyFont="1"/>
    <xf borderId="7" fillId="4" fontId="4" numFmtId="2" xfId="0" applyBorder="1" applyFont="1" applyNumberFormat="1"/>
    <xf borderId="2" fillId="3" fontId="4" numFmtId="2" xfId="0" applyBorder="1" applyFont="1" applyNumberFormat="1"/>
    <xf borderId="0" fillId="0" fontId="10" numFmtId="0" xfId="0" applyAlignment="1" applyFont="1">
      <alignment shrinkToFit="0" wrapText="1"/>
    </xf>
    <xf borderId="0" fillId="0" fontId="4" numFmtId="164" xfId="0" applyAlignment="1" applyFont="1" applyNumberFormat="1">
      <alignment readingOrder="0"/>
    </xf>
    <xf borderId="0" fillId="0" fontId="10" numFmtId="2" xfId="0" applyFont="1" applyNumberFormat="1"/>
    <xf borderId="4" fillId="0" fontId="10" numFmtId="2" xfId="0" applyBorder="1" applyFont="1" applyNumberFormat="1"/>
    <xf borderId="0" fillId="0" fontId="10" numFmtId="166" xfId="0" applyFont="1" applyNumberFormat="1"/>
    <xf borderId="1" fillId="4" fontId="4" numFmtId="164" xfId="0" applyBorder="1" applyFont="1" applyNumberFormat="1"/>
    <xf borderId="2" fillId="4" fontId="4" numFmtId="2" xfId="0" applyBorder="1" applyFont="1" applyNumberFormat="1"/>
    <xf borderId="6" fillId="3" fontId="4" numFmtId="2" xfId="0" applyBorder="1" applyFont="1" applyNumberFormat="1"/>
    <xf borderId="4" fillId="0" fontId="4" numFmtId="2" xfId="0" applyBorder="1" applyFont="1" applyNumberFormat="1"/>
    <xf borderId="8" fillId="0" fontId="4" numFmtId="2" xfId="0" applyBorder="1" applyFont="1" applyNumberFormat="1"/>
    <xf borderId="9" fillId="0" fontId="4" numFmtId="2" xfId="0" applyBorder="1" applyFont="1" applyNumberFormat="1"/>
    <xf borderId="1" fillId="4" fontId="10" numFmtId="0" xfId="0" applyAlignment="1" applyBorder="1" applyFont="1">
      <alignment shrinkToFit="0" wrapText="1"/>
    </xf>
    <xf borderId="1" fillId="3" fontId="10" numFmtId="2" xfId="0" applyBorder="1" applyFont="1" applyNumberFormat="1"/>
    <xf borderId="6" fillId="4" fontId="10" numFmtId="2" xfId="0" applyBorder="1" applyFont="1" applyNumberFormat="1"/>
    <xf borderId="1" fillId="4" fontId="10" numFmtId="2" xfId="0" applyBorder="1" applyFont="1" applyNumberFormat="1"/>
    <xf borderId="10" fillId="3" fontId="10" numFmtId="2" xfId="0" applyBorder="1" applyFont="1" applyNumberFormat="1"/>
    <xf borderId="10" fillId="4" fontId="10" numFmtId="2" xfId="0" applyBorder="1" applyFont="1" applyNumberFormat="1"/>
    <xf borderId="3" fillId="4" fontId="10" numFmtId="2" xfId="0" applyBorder="1" applyFont="1" applyNumberFormat="1"/>
    <xf borderId="4" fillId="3" fontId="10" numFmtId="2" xfId="0" applyBorder="1" applyFont="1" applyNumberFormat="1"/>
    <xf borderId="5" fillId="4" fontId="10" numFmtId="2" xfId="0" applyBorder="1" applyFont="1" applyNumberFormat="1"/>
    <xf borderId="11" fillId="3" fontId="10" numFmtId="2" xfId="0" applyBorder="1" applyFont="1" applyNumberFormat="1"/>
    <xf borderId="4" fillId="4" fontId="10" numFmtId="2" xfId="0" applyBorder="1" applyFont="1" applyNumberFormat="1"/>
    <xf borderId="10" fillId="4" fontId="4" numFmtId="2" xfId="0" applyBorder="1" applyFont="1" applyNumberFormat="1"/>
    <xf borderId="10" fillId="3" fontId="4" numFmtId="2" xfId="0" applyBorder="1" applyFont="1" applyNumberFormat="1"/>
    <xf borderId="4" fillId="0" fontId="10" numFmtId="166" xfId="0" applyBorder="1" applyFont="1" applyNumberFormat="1"/>
    <xf borderId="0" fillId="0" fontId="4" numFmtId="1" xfId="0" applyAlignment="1" applyFont="1" applyNumberFormat="1">
      <alignment horizontal="center"/>
    </xf>
    <xf borderId="12" fillId="0" fontId="10" numFmtId="2" xfId="0" applyBorder="1" applyFont="1" applyNumberFormat="1"/>
    <xf borderId="1" fillId="4" fontId="10" numFmtId="166" xfId="0" applyBorder="1" applyFont="1" applyNumberFormat="1"/>
    <xf borderId="12" fillId="4" fontId="4" numFmtId="2" xfId="0" applyBorder="1" applyFont="1" applyNumberFormat="1"/>
    <xf borderId="12" fillId="3" fontId="4" numFmtId="2" xfId="0" applyBorder="1" applyFont="1" applyNumberFormat="1"/>
    <xf borderId="1" fillId="4" fontId="4" numFmtId="166" xfId="0" applyBorder="1" applyFont="1" applyNumberFormat="1"/>
    <xf borderId="1" fillId="3" fontId="4" numFmtId="166" xfId="0" applyBorder="1" applyFont="1" applyNumberFormat="1"/>
    <xf borderId="1" fillId="3" fontId="4" numFmtId="1" xfId="0" applyAlignment="1" applyBorder="1" applyFont="1" applyNumberFormat="1">
      <alignment horizontal="center"/>
    </xf>
    <xf borderId="12" fillId="0" fontId="4" numFmtId="2" xfId="0" applyBorder="1" applyFont="1" applyNumberFormat="1"/>
    <xf borderId="12" fillId="0" fontId="4" numFmtId="166" xfId="0" applyBorder="1" applyFont="1" applyNumberFormat="1"/>
    <xf borderId="1" fillId="3" fontId="10" numFmtId="166" xfId="0" applyBorder="1" applyFont="1" applyNumberFormat="1"/>
    <xf borderId="13" fillId="0" fontId="4" numFmtId="0" xfId="0" applyBorder="1" applyFont="1"/>
    <xf borderId="13" fillId="0" fontId="4" numFmtId="0" xfId="0" applyAlignment="1" applyBorder="1" applyFont="1">
      <alignment shrinkToFit="0" wrapText="1"/>
    </xf>
    <xf borderId="13" fillId="0" fontId="4" numFmtId="164" xfId="0" applyAlignment="1" applyBorder="1" applyFont="1" applyNumberFormat="1">
      <alignment readingOrder="0"/>
    </xf>
    <xf borderId="13" fillId="0" fontId="4" numFmtId="1" xfId="0" applyAlignment="1" applyBorder="1" applyFont="1" applyNumberFormat="1">
      <alignment horizontal="center" readingOrder="0"/>
    </xf>
    <xf borderId="13" fillId="0" fontId="4" numFmtId="2" xfId="0" applyBorder="1" applyFont="1" applyNumberFormat="1"/>
    <xf borderId="14" fillId="0" fontId="9" numFmtId="0" xfId="0" applyBorder="1" applyFont="1"/>
    <xf borderId="13" fillId="0" fontId="2" numFmtId="0" xfId="0" applyAlignment="1" applyBorder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3" numFmtId="2" xfId="0" applyFont="1" applyNumberFormat="1"/>
    <xf borderId="0" fillId="0" fontId="4" numFmtId="0" xfId="0" applyAlignment="1" applyFont="1">
      <alignment horizontal="center"/>
    </xf>
    <xf borderId="0" fillId="0" fontId="4" numFmtId="165" xfId="0" applyFont="1" applyNumberFormat="1"/>
    <xf borderId="0" fillId="0" fontId="4" numFmtId="164" xfId="0" applyAlignment="1" applyFont="1" applyNumberFormat="1">
      <alignment horizontal="right"/>
    </xf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4" numFmtId="0" xfId="0" applyAlignment="1" applyFont="1">
      <alignment shrinkToFit="0" vertical="bottom" wrapText="0"/>
    </xf>
    <xf borderId="0" fillId="0" fontId="15" numFmtId="0" xfId="0" applyFont="1"/>
    <xf borderId="0" fillId="0" fontId="16" numFmtId="0" xfId="0" applyFont="1"/>
    <xf borderId="0" fillId="0" fontId="3" numFmtId="0" xfId="0" applyAlignment="1" applyFont="1">
      <alignment readingOrder="0"/>
    </xf>
    <xf borderId="0" fillId="0" fontId="17" numFmtId="2" xfId="0" applyFont="1" applyNumberFormat="1"/>
    <xf borderId="0" fillId="0" fontId="17" numFmtId="0" xfId="0" applyAlignment="1" applyFont="1">
      <alignment horizontal="right" readingOrder="0"/>
    </xf>
    <xf borderId="0" fillId="0" fontId="18" numFmtId="1" xfId="0" applyFont="1" applyNumberFormat="1"/>
    <xf borderId="0" fillId="6" fontId="18" numFmtId="1" xfId="0" applyFill="1" applyFont="1" applyNumberFormat="1"/>
    <xf borderId="0" fillId="7" fontId="18" numFmtId="1" xfId="0" applyFill="1" applyFont="1" applyNumberFormat="1"/>
    <xf borderId="0" fillId="0" fontId="18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right" vertical="bottom"/>
    </xf>
    <xf borderId="0" fillId="0" fontId="11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3">
    <dxf>
      <font>
        <color theme="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Summary!$R$1:$AC$1</c:f>
            </c:strRef>
          </c:cat>
          <c:val>
            <c:numRef>
              <c:f>Summary!$R$104:$AC$104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Summary!$R$1:$AC$1</c:f>
            </c:strRef>
          </c:cat>
          <c:val>
            <c:numRef>
              <c:f>Summary!$R$105:$AC$105</c:f>
              <c:numCache/>
            </c:numRef>
          </c:val>
        </c:ser>
        <c:axId val="198213311"/>
        <c:axId val="1110062717"/>
      </c:barChart>
      <c:catAx>
        <c:axId val="198213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10062717"/>
      </c:catAx>
      <c:valAx>
        <c:axId val="1110062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8213311"/>
      </c:valAx>
    </c:plotArea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4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" id="{824089e9-4985-4142-9852-c9b0bd47a22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9" dT="2022-05-09T12:25:05.00" personId="{824089e9-4985-4142-9852-c9b0bd47a226}" id="{6145204d-f416-47f3-a975-18fa169b2835}" done="0">
    <x18tc:text xml:space="preserve">Has this been resolved?
	-Andrew McCalman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ourworldindata.org/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3.38"/>
    <col customWidth="1" min="3" max="23" width="8.75"/>
  </cols>
  <sheetData>
    <row r="1" ht="12.75" customHeight="1">
      <c r="A1" s="1" t="s">
        <v>0</v>
      </c>
      <c r="B1" s="2"/>
      <c r="C1" s="1">
        <f>COUNTIF(Summary!D2:D103,"&lt;&gt;")</f>
        <v>24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2.75" customHeight="1">
      <c r="A2" s="1" t="s">
        <v>1</v>
      </c>
      <c r="B2" s="2"/>
      <c r="C2" s="1">
        <f>COUNTA(Summary!A2:A103)-C1</f>
        <v>78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2.75" customHeight="1">
      <c r="A4" s="1" t="s">
        <v>2</v>
      </c>
      <c r="B4" s="3">
        <f>C1/SUM(C1:C2)</f>
        <v>0.2352941176</v>
      </c>
      <c r="C4" s="1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6.38"/>
    <col customWidth="1" min="2" max="2" width="18.25"/>
    <col customWidth="1" min="3" max="3" width="90.5"/>
    <col customWidth="1" min="4" max="4" width="12.75"/>
    <col customWidth="1" min="5" max="5" width="13.0"/>
    <col customWidth="1" min="6" max="30" width="7.63"/>
    <col customWidth="1" min="31" max="45" width="12.63"/>
    <col customWidth="1" min="46" max="69" width="8.63"/>
    <col customWidth="1" min="77" max="77" width="12.63"/>
    <col customWidth="1" min="80" max="81" width="12.63"/>
    <col customWidth="1" min="83" max="83" width="12.63"/>
    <col customWidth="1" min="86" max="86" width="12.63"/>
  </cols>
  <sheetData>
    <row r="1" ht="12.75" customHeight="1">
      <c r="A1" s="4" t="s">
        <v>4</v>
      </c>
      <c r="B1" s="4" t="s">
        <v>5</v>
      </c>
      <c r="C1" s="5" t="s">
        <v>6</v>
      </c>
      <c r="D1" s="6" t="s">
        <v>7</v>
      </c>
      <c r="E1" s="7" t="s">
        <v>8</v>
      </c>
      <c r="F1" s="8" t="s">
        <v>9</v>
      </c>
      <c r="G1" s="4" t="s">
        <v>10</v>
      </c>
      <c r="H1" s="9" t="s">
        <v>11</v>
      </c>
      <c r="I1" s="4" t="s">
        <v>12</v>
      </c>
      <c r="J1" s="8" t="s">
        <v>13</v>
      </c>
      <c r="K1" s="4" t="s">
        <v>14</v>
      </c>
      <c r="L1" s="8" t="s">
        <v>15</v>
      </c>
      <c r="M1" s="4" t="s">
        <v>16</v>
      </c>
      <c r="N1" s="8" t="s">
        <v>17</v>
      </c>
      <c r="O1" s="4" t="s">
        <v>18</v>
      </c>
      <c r="P1" s="9" t="s">
        <v>19</v>
      </c>
      <c r="Q1" s="4" t="s">
        <v>20</v>
      </c>
      <c r="R1" s="8" t="s">
        <v>9</v>
      </c>
      <c r="S1" s="10" t="s">
        <v>21</v>
      </c>
      <c r="T1" s="8" t="s">
        <v>11</v>
      </c>
      <c r="U1" s="10" t="s">
        <v>12</v>
      </c>
      <c r="V1" s="8" t="s">
        <v>13</v>
      </c>
      <c r="W1" s="4" t="s">
        <v>22</v>
      </c>
      <c r="X1" s="8" t="s">
        <v>15</v>
      </c>
      <c r="Y1" s="10" t="s">
        <v>16</v>
      </c>
      <c r="Z1" s="8" t="s">
        <v>17</v>
      </c>
      <c r="AA1" s="10" t="s">
        <v>18</v>
      </c>
      <c r="AB1" s="8" t="s">
        <v>19</v>
      </c>
      <c r="AC1" s="10" t="s">
        <v>20</v>
      </c>
      <c r="AD1" s="10"/>
      <c r="AE1" s="10" t="s">
        <v>23</v>
      </c>
      <c r="AF1" s="10" t="s">
        <v>24</v>
      </c>
      <c r="AG1" s="10" t="s">
        <v>25</v>
      </c>
      <c r="AH1" s="10" t="str">
        <f t="shared" ref="AH1:AS1" si="1">CONCATENATE(F1," points")</f>
        <v>Andrew points</v>
      </c>
      <c r="AI1" s="10" t="str">
        <f t="shared" si="1"/>
        <v>Boof points</v>
      </c>
      <c r="AJ1" s="10" t="str">
        <f t="shared" si="1"/>
        <v>Christine points</v>
      </c>
      <c r="AK1" s="10" t="str">
        <f t="shared" si="1"/>
        <v>Eileen points</v>
      </c>
      <c r="AL1" s="10" t="str">
        <f t="shared" si="1"/>
        <v>Iain points</v>
      </c>
      <c r="AM1" s="10" t="str">
        <f t="shared" si="1"/>
        <v>Gäel points</v>
      </c>
      <c r="AN1" s="10" t="str">
        <f t="shared" si="1"/>
        <v>Jac points</v>
      </c>
      <c r="AO1" s="10" t="str">
        <f t="shared" si="1"/>
        <v>James points</v>
      </c>
      <c r="AP1" s="10" t="str">
        <f t="shared" si="1"/>
        <v>Kate points</v>
      </c>
      <c r="AQ1" s="10" t="str">
        <f t="shared" si="1"/>
        <v>Lachy points</v>
      </c>
      <c r="AR1" s="10" t="str">
        <f t="shared" si="1"/>
        <v>Pete points</v>
      </c>
      <c r="AS1" s="10" t="str">
        <f t="shared" si="1"/>
        <v>Rohan points</v>
      </c>
      <c r="AT1" s="11" t="s">
        <v>26</v>
      </c>
      <c r="AU1" s="11" t="s">
        <v>27</v>
      </c>
      <c r="AV1" s="11" t="s">
        <v>28</v>
      </c>
      <c r="AW1" s="12" t="s">
        <v>29</v>
      </c>
      <c r="AX1" s="12" t="s">
        <v>30</v>
      </c>
      <c r="AY1" s="12" t="s">
        <v>31</v>
      </c>
      <c r="AZ1" s="12" t="s">
        <v>32</v>
      </c>
      <c r="BA1" s="12" t="s">
        <v>33</v>
      </c>
      <c r="BB1" s="12" t="s">
        <v>34</v>
      </c>
      <c r="BC1" s="12" t="s">
        <v>35</v>
      </c>
      <c r="BD1" s="12" t="s">
        <v>36</v>
      </c>
      <c r="BE1" s="12" t="s">
        <v>37</v>
      </c>
      <c r="BF1" s="12" t="s">
        <v>38</v>
      </c>
      <c r="BG1" s="12" t="s">
        <v>39</v>
      </c>
      <c r="BH1" s="12" t="s">
        <v>40</v>
      </c>
      <c r="BI1" s="12" t="s">
        <v>41</v>
      </c>
      <c r="BJ1" s="12" t="s">
        <v>42</v>
      </c>
      <c r="BK1" s="12" t="s">
        <v>43</v>
      </c>
      <c r="BL1" s="12" t="s">
        <v>44</v>
      </c>
      <c r="BM1" s="12" t="s">
        <v>45</v>
      </c>
      <c r="BN1" s="12" t="s">
        <v>46</v>
      </c>
      <c r="BO1" s="12" t="s">
        <v>47</v>
      </c>
      <c r="BP1" s="12" t="s">
        <v>48</v>
      </c>
      <c r="BQ1" s="12" t="s">
        <v>49</v>
      </c>
      <c r="BR1" s="12" t="s">
        <v>50</v>
      </c>
      <c r="BS1" s="12" t="s">
        <v>51</v>
      </c>
      <c r="BT1" s="12"/>
      <c r="BU1" s="12"/>
      <c r="BV1" s="12"/>
      <c r="BW1" s="13" t="s">
        <v>10</v>
      </c>
      <c r="BX1" s="12" t="s">
        <v>9</v>
      </c>
      <c r="BY1" s="14" t="s">
        <v>52</v>
      </c>
      <c r="BZ1" s="13" t="s">
        <v>15</v>
      </c>
      <c r="CA1" s="15" t="s">
        <v>16</v>
      </c>
      <c r="CB1" s="16" t="s">
        <v>53</v>
      </c>
      <c r="CC1" s="17" t="s">
        <v>54</v>
      </c>
      <c r="CE1" s="16"/>
      <c r="CG1" s="13"/>
      <c r="CH1" s="16"/>
      <c r="CK1" s="13"/>
    </row>
    <row r="2" ht="12.75" customHeight="1">
      <c r="A2" s="18">
        <v>1.0</v>
      </c>
      <c r="B2" s="18" t="s">
        <v>55</v>
      </c>
      <c r="C2" s="19" t="s">
        <v>56</v>
      </c>
      <c r="D2" s="20">
        <v>44711.0</v>
      </c>
      <c r="E2" s="21">
        <v>0.0</v>
      </c>
      <c r="F2" s="22">
        <f>Andrew!D2</f>
        <v>0.4</v>
      </c>
      <c r="G2" s="23">
        <f>Bruce!D2</f>
        <v>0.7</v>
      </c>
      <c r="H2" s="24">
        <f>Christine!D2</f>
        <v>0.1</v>
      </c>
      <c r="I2" s="25">
        <f>Eileen!D2</f>
        <v>0.2</v>
      </c>
      <c r="J2" s="22">
        <f>Iain!D2</f>
        <v>0.5</v>
      </c>
      <c r="K2" s="26">
        <f>Gael!D2</f>
        <v>0.65</v>
      </c>
      <c r="L2" s="27">
        <f>Jac!D2</f>
        <v>0.2</v>
      </c>
      <c r="M2" s="28">
        <f>James!D2</f>
        <v>0.1</v>
      </c>
      <c r="N2" s="29">
        <f>Kate!D2</f>
        <v>0.8</v>
      </c>
      <c r="O2" s="23">
        <f>Lachy!D2</f>
        <v>0.35</v>
      </c>
      <c r="P2" s="24">
        <f>Pete!D2</f>
        <v>0.1</v>
      </c>
      <c r="Q2" s="25">
        <f>Rohan!D2</f>
        <v>0.45</v>
      </c>
      <c r="R2" s="22">
        <f t="shared" ref="R2:AC2" si="2">IF($E2=1,(LOG(F2,2)+1),IF($E2=0,(LOG(1-F2,2)+1),""))</f>
        <v>0.2630344058</v>
      </c>
      <c r="S2" s="22">
        <f t="shared" si="2"/>
        <v>-0.7369655942</v>
      </c>
      <c r="T2" s="22">
        <f t="shared" si="2"/>
        <v>0.8479969066</v>
      </c>
      <c r="U2" s="22">
        <f t="shared" si="2"/>
        <v>0.6780719051</v>
      </c>
      <c r="V2" s="22">
        <f t="shared" si="2"/>
        <v>0</v>
      </c>
      <c r="W2" s="22">
        <f t="shared" si="2"/>
        <v>-0.5145731728</v>
      </c>
      <c r="X2" s="22">
        <f t="shared" si="2"/>
        <v>0.6780719051</v>
      </c>
      <c r="Y2" s="22">
        <f t="shared" si="2"/>
        <v>0.8479969066</v>
      </c>
      <c r="Z2" s="22">
        <f t="shared" si="2"/>
        <v>-1.321928095</v>
      </c>
      <c r="AA2" s="22">
        <f t="shared" si="2"/>
        <v>0.3785116233</v>
      </c>
      <c r="AB2" s="22">
        <f t="shared" si="2"/>
        <v>0.8479969066</v>
      </c>
      <c r="AC2" s="22">
        <f t="shared" si="2"/>
        <v>0.1375035237</v>
      </c>
      <c r="AD2" s="30" t="s">
        <v>57</v>
      </c>
      <c r="AE2" s="31">
        <f t="shared" ref="AE2:AE103" si="6">ABS((LOG(F2,2)-LOG(1-F2,2))+ABS(LOG(G2,2)-LOG(1-G2,2))+ABS(LOG(H2,2)-LOG(1-H2,2))+ABS(LOG(I2,2)-LOG(1-I2,2))+ABS(LOG(J2,2)-LOG(1-J2,2))+ABS(LOG(K2,2)-LOG(1-K2,2))+ABS(LOG(L2,2)-LOG(1-L2,2))+ABS(LOG(M2,2)-LOG(1-M2,2))+ABS(LOG(N2,2)-LOG(1-N2,2))+ABS(LOG(O2,2)-LOG(1-O2,2))+ABS(LOG(P2,2)-LOG(1-P2,2))+ABS(LOG(Q2,2)-LOG(1-Q2,2)))</f>
        <v>18.22288113</v>
      </c>
      <c r="AF2" s="31">
        <f t="shared" ref="AF2:AF104" si="7">AVERAGE(F2:Q2)</f>
        <v>0.3791666667</v>
      </c>
      <c r="AG2" s="31">
        <f t="shared" ref="AG2:AG104" si="8">VAR(F2,G2,H2,I2,J2,K2,L2,M2,N2,O2,P2,Q2)</f>
        <v>0.06111742424</v>
      </c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2" t="str">
        <f t="shared" ref="AT2:BE2" si="3">IF(F2=MIN($F2:$Q2),"Yes","")</f>
        <v/>
      </c>
      <c r="AU2" s="32" t="str">
        <f t="shared" si="3"/>
        <v/>
      </c>
      <c r="AV2" s="32" t="str">
        <f t="shared" si="3"/>
        <v>Yes</v>
      </c>
      <c r="AW2" s="32" t="str">
        <f t="shared" si="3"/>
        <v/>
      </c>
      <c r="AX2" s="32" t="str">
        <f t="shared" si="3"/>
        <v/>
      </c>
      <c r="AY2" s="32" t="str">
        <f t="shared" si="3"/>
        <v/>
      </c>
      <c r="AZ2" s="32" t="str">
        <f t="shared" si="3"/>
        <v/>
      </c>
      <c r="BA2" s="32" t="str">
        <f t="shared" si="3"/>
        <v>Yes</v>
      </c>
      <c r="BB2" s="32" t="str">
        <f t="shared" si="3"/>
        <v/>
      </c>
      <c r="BC2" s="32" t="str">
        <f t="shared" si="3"/>
        <v/>
      </c>
      <c r="BD2" s="32" t="str">
        <f t="shared" si="3"/>
        <v>Yes</v>
      </c>
      <c r="BE2" s="32" t="str">
        <f t="shared" si="3"/>
        <v/>
      </c>
      <c r="BF2" s="32" t="str">
        <f t="shared" ref="BF2:BQ2" si="4">IF(F2=MAX($F2:$Q2),"Yes","")</f>
        <v/>
      </c>
      <c r="BG2" s="32" t="str">
        <f t="shared" si="4"/>
        <v/>
      </c>
      <c r="BH2" s="32" t="str">
        <f t="shared" si="4"/>
        <v/>
      </c>
      <c r="BI2" s="32" t="str">
        <f t="shared" si="4"/>
        <v/>
      </c>
      <c r="BJ2" s="32" t="str">
        <f t="shared" si="4"/>
        <v/>
      </c>
      <c r="BK2" s="32" t="str">
        <f t="shared" si="4"/>
        <v/>
      </c>
      <c r="BL2" s="32" t="str">
        <f t="shared" si="4"/>
        <v/>
      </c>
      <c r="BM2" s="32" t="str">
        <f t="shared" si="4"/>
        <v/>
      </c>
      <c r="BN2" s="32" t="str">
        <f t="shared" si="4"/>
        <v>Yes</v>
      </c>
      <c r="BO2" s="32" t="str">
        <f t="shared" si="4"/>
        <v/>
      </c>
      <c r="BP2" s="32" t="str">
        <f t="shared" si="4"/>
        <v/>
      </c>
      <c r="BQ2" s="32" t="str">
        <f t="shared" si="4"/>
        <v/>
      </c>
      <c r="BR2" s="32" t="str">
        <f t="shared" ref="BR2:BR103" si="11">IF((F2-G2)&gt;=0.5,"Yes",IF((G2-F2)&gt;=0.5,"Yes",""))</f>
        <v/>
      </c>
      <c r="BS2" s="32" t="str">
        <f t="shared" ref="BS2:BS103" si="12">IF((L2-M2)&gt;=0.5,"Yes",IF((M2-L2)&gt;=0.5,"Yes",""))</f>
        <v/>
      </c>
      <c r="BT2" s="32"/>
      <c r="BU2" s="32"/>
      <c r="BV2" s="32"/>
      <c r="BW2" s="33">
        <f t="shared" ref="BW2:BW103" si="13">IF(BR2="Yes",-G2,0)</f>
        <v>0</v>
      </c>
      <c r="BX2" s="33">
        <f t="shared" ref="BX2:BX103" si="14">IF(BR2="Yes",F2,0)</f>
        <v>0</v>
      </c>
      <c r="BY2" s="34" t="str">
        <f t="shared" ref="BY2:BY103" si="15">IF((BX2-BW2)&gt;0.01,(BX2-BW2),"")</f>
        <v/>
      </c>
      <c r="BZ2" s="33">
        <f t="shared" ref="BZ2:BZ103" si="16">IF(BS2="Yes",-L2,0)</f>
        <v>0</v>
      </c>
      <c r="CA2" s="33">
        <f t="shared" ref="CA2:CA103" si="17">IF(BS2="Yes",M2,0)</f>
        <v>0</v>
      </c>
      <c r="CB2" s="34" t="str">
        <f t="shared" ref="CB2:CB103" si="18">IF((CA2-BZ2)&gt;0.01,(CA2-BZ2),"")</f>
        <v/>
      </c>
      <c r="CC2" s="35"/>
      <c r="CE2" s="34"/>
      <c r="CF2" s="33"/>
      <c r="CG2" s="33"/>
      <c r="CH2" s="34"/>
      <c r="CI2" s="33"/>
      <c r="CJ2" s="33"/>
      <c r="CK2" s="34"/>
    </row>
    <row r="3" ht="12.75" customHeight="1">
      <c r="A3" s="36">
        <v>2.0</v>
      </c>
      <c r="B3" s="36" t="s">
        <v>55</v>
      </c>
      <c r="C3" s="37" t="s">
        <v>58</v>
      </c>
      <c r="D3" s="38"/>
      <c r="E3" s="39">
        <v>0.0</v>
      </c>
      <c r="F3" s="31">
        <f>Andrew!D3</f>
        <v>0.2</v>
      </c>
      <c r="G3" s="31">
        <f>Bruce!D3</f>
        <v>0.1</v>
      </c>
      <c r="H3" s="31">
        <f>Christine!D3</f>
        <v>0.05</v>
      </c>
      <c r="I3" s="31">
        <f>Eileen!D3</f>
        <v>0.2</v>
      </c>
      <c r="J3" s="31">
        <f>Iain!D3</f>
        <v>0.1</v>
      </c>
      <c r="K3" s="31">
        <f>Gael!D3</f>
        <v>0</v>
      </c>
      <c r="L3" s="40">
        <f>Jac!D3</f>
        <v>0.001</v>
      </c>
      <c r="M3" s="31">
        <f>James!D3</f>
        <v>0.05</v>
      </c>
      <c r="N3" s="31">
        <f>Kate!D3</f>
        <v>0.1</v>
      </c>
      <c r="O3" s="40">
        <f>Lachy!D3</f>
        <v>0.001</v>
      </c>
      <c r="P3" s="31">
        <f>Pete!D3</f>
        <v>0.1</v>
      </c>
      <c r="Q3" s="31">
        <f>Rohan!D3</f>
        <v>0.01</v>
      </c>
      <c r="R3" s="31">
        <f t="shared" ref="R3:AC3" si="5">IF($E3=1,(LOG(F3,2)+1),IF($E3=0,(LOG(1-F3,2)+1),""))</f>
        <v>0.6780719051</v>
      </c>
      <c r="S3" s="31">
        <f t="shared" si="5"/>
        <v>0.8479969066</v>
      </c>
      <c r="T3" s="31">
        <f t="shared" si="5"/>
        <v>0.9259994186</v>
      </c>
      <c r="U3" s="31">
        <f t="shared" si="5"/>
        <v>0.6780719051</v>
      </c>
      <c r="V3" s="31">
        <f t="shared" si="5"/>
        <v>0.8479969066</v>
      </c>
      <c r="W3" s="31">
        <f t="shared" si="5"/>
        <v>1</v>
      </c>
      <c r="X3" s="31">
        <f t="shared" si="5"/>
        <v>0.9985565831</v>
      </c>
      <c r="Y3" s="31">
        <f t="shared" si="5"/>
        <v>0.9259994186</v>
      </c>
      <c r="Z3" s="31">
        <f t="shared" si="5"/>
        <v>0.8479969066</v>
      </c>
      <c r="AA3" s="31">
        <f t="shared" si="5"/>
        <v>0.9985565831</v>
      </c>
      <c r="AB3" s="31">
        <f t="shared" si="5"/>
        <v>0.8479969066</v>
      </c>
      <c r="AC3" s="31">
        <f t="shared" si="5"/>
        <v>0.9855004303</v>
      </c>
      <c r="AD3" s="41"/>
      <c r="AE3" s="31" t="str">
        <f t="shared" si="6"/>
        <v>#NUM!</v>
      </c>
      <c r="AF3" s="31">
        <f t="shared" si="7"/>
        <v>0.076</v>
      </c>
      <c r="AG3" s="31">
        <f t="shared" si="8"/>
        <v>0.005071818182</v>
      </c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2" t="str">
        <f t="shared" ref="AT3:BE3" si="9">IF(F3=MIN($F3:$Q3),"Yes","")</f>
        <v/>
      </c>
      <c r="AU3" s="32" t="str">
        <f t="shared" si="9"/>
        <v/>
      </c>
      <c r="AV3" s="32" t="str">
        <f t="shared" si="9"/>
        <v/>
      </c>
      <c r="AW3" s="32" t="str">
        <f t="shared" si="9"/>
        <v/>
      </c>
      <c r="AX3" s="32" t="str">
        <f t="shared" si="9"/>
        <v/>
      </c>
      <c r="AY3" s="32" t="str">
        <f t="shared" si="9"/>
        <v>Yes</v>
      </c>
      <c r="AZ3" s="32" t="str">
        <f t="shared" si="9"/>
        <v/>
      </c>
      <c r="BA3" s="32" t="str">
        <f t="shared" si="9"/>
        <v/>
      </c>
      <c r="BB3" s="32" t="str">
        <f t="shared" si="9"/>
        <v/>
      </c>
      <c r="BC3" s="32" t="str">
        <f t="shared" si="9"/>
        <v/>
      </c>
      <c r="BD3" s="32" t="str">
        <f t="shared" si="9"/>
        <v/>
      </c>
      <c r="BE3" s="32" t="str">
        <f t="shared" si="9"/>
        <v/>
      </c>
      <c r="BF3" s="32" t="str">
        <f t="shared" ref="BF3:BQ3" si="10">IF(F3=MAX($F3:$Q3),"Yes","")</f>
        <v>Yes</v>
      </c>
      <c r="BG3" s="32" t="str">
        <f t="shared" si="10"/>
        <v/>
      </c>
      <c r="BH3" s="32" t="str">
        <f t="shared" si="10"/>
        <v/>
      </c>
      <c r="BI3" s="32" t="str">
        <f t="shared" si="10"/>
        <v>Yes</v>
      </c>
      <c r="BJ3" s="32" t="str">
        <f t="shared" si="10"/>
        <v/>
      </c>
      <c r="BK3" s="32" t="str">
        <f t="shared" si="10"/>
        <v/>
      </c>
      <c r="BL3" s="32" t="str">
        <f t="shared" si="10"/>
        <v/>
      </c>
      <c r="BM3" s="32" t="str">
        <f t="shared" si="10"/>
        <v/>
      </c>
      <c r="BN3" s="32" t="str">
        <f t="shared" si="10"/>
        <v/>
      </c>
      <c r="BO3" s="32" t="str">
        <f t="shared" si="10"/>
        <v/>
      </c>
      <c r="BP3" s="32" t="str">
        <f t="shared" si="10"/>
        <v/>
      </c>
      <c r="BQ3" s="32" t="str">
        <f t="shared" si="10"/>
        <v/>
      </c>
      <c r="BR3" s="32" t="str">
        <f t="shared" si="11"/>
        <v/>
      </c>
      <c r="BS3" s="32" t="str">
        <f t="shared" si="12"/>
        <v/>
      </c>
      <c r="BT3" s="32"/>
      <c r="BU3" s="32"/>
      <c r="BV3" s="32"/>
      <c r="BW3" s="33">
        <f t="shared" si="13"/>
        <v>0</v>
      </c>
      <c r="BX3" s="33">
        <f t="shared" si="14"/>
        <v>0</v>
      </c>
      <c r="BY3" s="34" t="str">
        <f t="shared" si="15"/>
        <v/>
      </c>
      <c r="BZ3" s="33">
        <f t="shared" si="16"/>
        <v>0</v>
      </c>
      <c r="CA3" s="33">
        <f t="shared" si="17"/>
        <v>0</v>
      </c>
      <c r="CB3" s="34" t="str">
        <f t="shared" si="18"/>
        <v/>
      </c>
      <c r="CC3" s="35" t="s">
        <v>59</v>
      </c>
      <c r="CD3" s="33"/>
      <c r="CE3" s="34"/>
      <c r="CF3" s="33"/>
      <c r="CG3" s="33"/>
      <c r="CH3" s="34"/>
      <c r="CI3" s="33"/>
      <c r="CJ3" s="33"/>
      <c r="CK3" s="34"/>
    </row>
    <row r="4" ht="12.75" customHeight="1">
      <c r="A4" s="18">
        <v>3.0</v>
      </c>
      <c r="B4" s="18" t="s">
        <v>55</v>
      </c>
      <c r="C4" s="19" t="s">
        <v>60</v>
      </c>
      <c r="D4" s="20">
        <v>44702.0</v>
      </c>
      <c r="E4" s="21">
        <v>1.0</v>
      </c>
      <c r="F4" s="22">
        <f>Andrew!D4</f>
        <v>0.6</v>
      </c>
      <c r="G4" s="26">
        <f>Bruce!D4</f>
        <v>0.3</v>
      </c>
      <c r="H4" s="22">
        <f>Christine!D4</f>
        <v>0.1</v>
      </c>
      <c r="I4" s="23">
        <f>Eileen!D4</f>
        <v>0.6</v>
      </c>
      <c r="J4" s="24">
        <f>Iain!D4</f>
        <v>0.7</v>
      </c>
      <c r="K4" s="42">
        <f>Gael!D4</f>
        <v>0.6</v>
      </c>
      <c r="L4" s="24">
        <f>Jac!D4</f>
        <v>0.7</v>
      </c>
      <c r="M4" s="25">
        <f>James!D4</f>
        <v>0.1</v>
      </c>
      <c r="N4" s="43">
        <f>Kate!D4</f>
        <v>0.1</v>
      </c>
      <c r="O4" s="26">
        <f>Lachy!D4</f>
        <v>0.5</v>
      </c>
      <c r="P4" s="22">
        <f>Pete!D4</f>
        <v>0.5</v>
      </c>
      <c r="Q4" s="26">
        <f>Rohan!D4</f>
        <v>0.55</v>
      </c>
      <c r="R4" s="22">
        <f t="shared" ref="R4:AC4" si="19">IF($E4=1,(LOG(F4,2)+1),IF($E4=0,(LOG(1-F4,2)+1),""))</f>
        <v>0.2630344058</v>
      </c>
      <c r="S4" s="22">
        <f t="shared" si="19"/>
        <v>-0.7369655942</v>
      </c>
      <c r="T4" s="22">
        <f t="shared" si="19"/>
        <v>-2.321928095</v>
      </c>
      <c r="U4" s="22">
        <f t="shared" si="19"/>
        <v>0.2630344058</v>
      </c>
      <c r="V4" s="22">
        <f t="shared" si="19"/>
        <v>0.4854268272</v>
      </c>
      <c r="W4" s="22">
        <f t="shared" si="19"/>
        <v>0.2630344058</v>
      </c>
      <c r="X4" s="22">
        <f t="shared" si="19"/>
        <v>0.4854268272</v>
      </c>
      <c r="Y4" s="22">
        <f t="shared" si="19"/>
        <v>-2.321928095</v>
      </c>
      <c r="Z4" s="22">
        <f t="shared" si="19"/>
        <v>-2.321928095</v>
      </c>
      <c r="AA4" s="22">
        <f t="shared" si="19"/>
        <v>0</v>
      </c>
      <c r="AB4" s="22">
        <f t="shared" si="19"/>
        <v>0</v>
      </c>
      <c r="AC4" s="22">
        <f t="shared" si="19"/>
        <v>0.1375035237</v>
      </c>
      <c r="AD4" s="41"/>
      <c r="AE4" s="31">
        <f t="shared" si="6"/>
        <v>15.22134639</v>
      </c>
      <c r="AF4" s="31">
        <f t="shared" si="7"/>
        <v>0.4458333333</v>
      </c>
      <c r="AG4" s="31">
        <f t="shared" si="8"/>
        <v>0.05429924242</v>
      </c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2" t="str">
        <f t="shared" ref="AT4:BE4" si="20">IF(F4=MIN($F4:$Q4),"Yes","")</f>
        <v/>
      </c>
      <c r="AU4" s="32" t="str">
        <f t="shared" si="20"/>
        <v/>
      </c>
      <c r="AV4" s="32" t="str">
        <f t="shared" si="20"/>
        <v>Yes</v>
      </c>
      <c r="AW4" s="32" t="str">
        <f t="shared" si="20"/>
        <v/>
      </c>
      <c r="AX4" s="32" t="str">
        <f t="shared" si="20"/>
        <v/>
      </c>
      <c r="AY4" s="32" t="str">
        <f t="shared" si="20"/>
        <v/>
      </c>
      <c r="AZ4" s="32" t="str">
        <f t="shared" si="20"/>
        <v/>
      </c>
      <c r="BA4" s="32" t="str">
        <f t="shared" si="20"/>
        <v>Yes</v>
      </c>
      <c r="BB4" s="32" t="str">
        <f t="shared" si="20"/>
        <v>Yes</v>
      </c>
      <c r="BC4" s="32" t="str">
        <f t="shared" si="20"/>
        <v/>
      </c>
      <c r="BD4" s="32" t="str">
        <f t="shared" si="20"/>
        <v/>
      </c>
      <c r="BE4" s="32" t="str">
        <f t="shared" si="20"/>
        <v/>
      </c>
      <c r="BF4" s="32" t="str">
        <f t="shared" ref="BF4:BQ4" si="21">IF(F4=MAX($F4:$Q4),"Yes","")</f>
        <v/>
      </c>
      <c r="BG4" s="32" t="str">
        <f t="shared" si="21"/>
        <v/>
      </c>
      <c r="BH4" s="32" t="str">
        <f t="shared" si="21"/>
        <v/>
      </c>
      <c r="BI4" s="32" t="str">
        <f t="shared" si="21"/>
        <v/>
      </c>
      <c r="BJ4" s="32" t="str">
        <f t="shared" si="21"/>
        <v>Yes</v>
      </c>
      <c r="BK4" s="32" t="str">
        <f t="shared" si="21"/>
        <v/>
      </c>
      <c r="BL4" s="32" t="str">
        <f t="shared" si="21"/>
        <v>Yes</v>
      </c>
      <c r="BM4" s="32" t="str">
        <f t="shared" si="21"/>
        <v/>
      </c>
      <c r="BN4" s="32" t="str">
        <f t="shared" si="21"/>
        <v/>
      </c>
      <c r="BO4" s="32" t="str">
        <f t="shared" si="21"/>
        <v/>
      </c>
      <c r="BP4" s="32" t="str">
        <f t="shared" si="21"/>
        <v/>
      </c>
      <c r="BQ4" s="32" t="str">
        <f t="shared" si="21"/>
        <v/>
      </c>
      <c r="BR4" s="32" t="str">
        <f t="shared" si="11"/>
        <v/>
      </c>
      <c r="BS4" s="32" t="str">
        <f t="shared" si="12"/>
        <v>Yes</v>
      </c>
      <c r="BT4" s="32"/>
      <c r="BU4" s="32"/>
      <c r="BV4" s="32"/>
      <c r="BW4" s="33">
        <f t="shared" si="13"/>
        <v>0</v>
      </c>
      <c r="BX4" s="33">
        <f t="shared" si="14"/>
        <v>0</v>
      </c>
      <c r="BY4" s="34" t="str">
        <f t="shared" si="15"/>
        <v/>
      </c>
      <c r="BZ4" s="33">
        <f t="shared" si="16"/>
        <v>-0.7</v>
      </c>
      <c r="CA4" s="33">
        <f t="shared" si="17"/>
        <v>0.1</v>
      </c>
      <c r="CB4" s="34">
        <f t="shared" si="18"/>
        <v>0.8</v>
      </c>
      <c r="CC4" s="35" t="s">
        <v>59</v>
      </c>
      <c r="CD4" s="33"/>
      <c r="CE4" s="34"/>
      <c r="CF4" s="33"/>
      <c r="CG4" s="33"/>
      <c r="CH4" s="34"/>
      <c r="CI4" s="33"/>
      <c r="CJ4" s="33"/>
      <c r="CK4" s="34"/>
    </row>
    <row r="5" ht="12.75" customHeight="1">
      <c r="A5" s="36">
        <v>4.0</v>
      </c>
      <c r="B5" s="36" t="s">
        <v>55</v>
      </c>
      <c r="C5" s="44" t="s">
        <v>61</v>
      </c>
      <c r="D5" s="45">
        <v>44702.0</v>
      </c>
      <c r="E5" s="39">
        <v>1.0</v>
      </c>
      <c r="F5" s="46">
        <f>Andrew!D5</f>
        <v>0.7</v>
      </c>
      <c r="G5" s="46">
        <f>Bruce!D5</f>
        <v>0.3</v>
      </c>
      <c r="H5" s="46">
        <f>Christine!D5</f>
        <v>0.1</v>
      </c>
      <c r="I5" s="46">
        <f>Eileen!D5</f>
        <v>0.7</v>
      </c>
      <c r="J5" s="47">
        <f>Iain!D5</f>
        <v>0.9</v>
      </c>
      <c r="K5" s="46">
        <f>Gael!D5</f>
        <v>0.75</v>
      </c>
      <c r="L5" s="48">
        <f>Jac!D5</f>
        <v>0.001</v>
      </c>
      <c r="M5" s="46">
        <f>James!D5</f>
        <v>0.1</v>
      </c>
      <c r="N5" s="47">
        <f>Kate!D5</f>
        <v>0.9</v>
      </c>
      <c r="O5" s="46">
        <f>Lachy!D5</f>
        <v>0.5</v>
      </c>
      <c r="P5" s="46">
        <f>Pete!D5</f>
        <v>0.8</v>
      </c>
      <c r="Q5" s="46">
        <f>Rohan!D5</f>
        <v>0.7</v>
      </c>
      <c r="R5" s="31">
        <f t="shared" ref="R5:R103" si="27">IF($E5=1,(LOG(F5,2)+1),IF($E5=0,(LOG(1-F5,2)+1),""))</f>
        <v>0.4854268272</v>
      </c>
      <c r="S5" s="31">
        <f>LOG(1-G5,2)+1</f>
        <v>0.4854268272</v>
      </c>
      <c r="T5" s="31">
        <f t="shared" ref="T5:W5" si="22">IF($E5=1,(LOG(H5,2)+1),IF($E5=0,(LOG(1-H5,2)+1),""))</f>
        <v>-2.321928095</v>
      </c>
      <c r="U5" s="31">
        <f t="shared" si="22"/>
        <v>0.4854268272</v>
      </c>
      <c r="V5" s="31">
        <f t="shared" si="22"/>
        <v>0.8479969066</v>
      </c>
      <c r="W5" s="31">
        <f t="shared" si="22"/>
        <v>0.5849625007</v>
      </c>
      <c r="X5" s="31">
        <f>LOG(1-L5,2)+1</f>
        <v>0.9985565831</v>
      </c>
      <c r="Y5" s="31">
        <f t="shared" ref="Y5:AC5" si="23">IF($E5=1,(LOG(M5,2)+1),IF($E5=0,(LOG(1-M5,2)+1),""))</f>
        <v>-2.321928095</v>
      </c>
      <c r="Z5" s="31">
        <f t="shared" si="23"/>
        <v>0.8479969066</v>
      </c>
      <c r="AA5" s="31">
        <f t="shared" si="23"/>
        <v>0</v>
      </c>
      <c r="AB5" s="31">
        <f t="shared" si="23"/>
        <v>0.6780719051</v>
      </c>
      <c r="AC5" s="31">
        <f t="shared" si="23"/>
        <v>0.4854268272</v>
      </c>
      <c r="AD5" s="41"/>
      <c r="AE5" s="31">
        <f t="shared" si="6"/>
        <v>31.11857306</v>
      </c>
      <c r="AF5" s="31">
        <f t="shared" si="7"/>
        <v>0.5375833333</v>
      </c>
      <c r="AG5" s="46">
        <f t="shared" si="8"/>
        <v>0.107686447</v>
      </c>
      <c r="AH5" s="46" t="str">
        <f t="shared" ref="AH5:AS5" si="24">IF(F5=MIN($F5:$Q5),LOG(1-F5,2)+1,IF(F5=MAX($F5:$Q5),LOG(F5,2)+1,""))</f>
        <v/>
      </c>
      <c r="AI5" s="46" t="str">
        <f t="shared" si="24"/>
        <v/>
      </c>
      <c r="AJ5" s="46" t="str">
        <f t="shared" si="24"/>
        <v/>
      </c>
      <c r="AK5" s="46" t="str">
        <f t="shared" si="24"/>
        <v/>
      </c>
      <c r="AL5" s="46">
        <f t="shared" si="24"/>
        <v>0.8479969066</v>
      </c>
      <c r="AM5" s="46" t="str">
        <f t="shared" si="24"/>
        <v/>
      </c>
      <c r="AN5" s="46">
        <f t="shared" si="24"/>
        <v>0.9985565831</v>
      </c>
      <c r="AO5" s="46" t="str">
        <f t="shared" si="24"/>
        <v/>
      </c>
      <c r="AP5" s="46">
        <f t="shared" si="24"/>
        <v>0.8479969066</v>
      </c>
      <c r="AQ5" s="46" t="str">
        <f t="shared" si="24"/>
        <v/>
      </c>
      <c r="AR5" s="46" t="str">
        <f t="shared" si="24"/>
        <v/>
      </c>
      <c r="AS5" s="46" t="str">
        <f t="shared" si="24"/>
        <v/>
      </c>
      <c r="AT5" s="32" t="str">
        <f t="shared" ref="AT5:BE5" si="25">IF(F5=MIN($F5:$Q5),"Yes","")</f>
        <v/>
      </c>
      <c r="AU5" s="32" t="str">
        <f t="shared" si="25"/>
        <v/>
      </c>
      <c r="AV5" s="32" t="str">
        <f t="shared" si="25"/>
        <v/>
      </c>
      <c r="AW5" s="32" t="str">
        <f t="shared" si="25"/>
        <v/>
      </c>
      <c r="AX5" s="32" t="str">
        <f t="shared" si="25"/>
        <v/>
      </c>
      <c r="AY5" s="32" t="str">
        <f t="shared" si="25"/>
        <v/>
      </c>
      <c r="AZ5" s="32" t="str">
        <f t="shared" si="25"/>
        <v>Yes</v>
      </c>
      <c r="BA5" s="32" t="str">
        <f t="shared" si="25"/>
        <v/>
      </c>
      <c r="BB5" s="32" t="str">
        <f t="shared" si="25"/>
        <v/>
      </c>
      <c r="BC5" s="32" t="str">
        <f t="shared" si="25"/>
        <v/>
      </c>
      <c r="BD5" s="32" t="str">
        <f t="shared" si="25"/>
        <v/>
      </c>
      <c r="BE5" s="32" t="str">
        <f t="shared" si="25"/>
        <v/>
      </c>
      <c r="BF5" s="32" t="str">
        <f t="shared" ref="BF5:BQ5" si="26">IF(F5=MAX($F5:$Q5),"Yes","")</f>
        <v/>
      </c>
      <c r="BG5" s="32" t="str">
        <f t="shared" si="26"/>
        <v/>
      </c>
      <c r="BH5" s="32" t="str">
        <f t="shared" si="26"/>
        <v/>
      </c>
      <c r="BI5" s="32" t="str">
        <f t="shared" si="26"/>
        <v/>
      </c>
      <c r="BJ5" s="32" t="str">
        <f t="shared" si="26"/>
        <v>Yes</v>
      </c>
      <c r="BK5" s="32" t="str">
        <f t="shared" si="26"/>
        <v/>
      </c>
      <c r="BL5" s="32" t="str">
        <f t="shared" si="26"/>
        <v/>
      </c>
      <c r="BM5" s="32" t="str">
        <f t="shared" si="26"/>
        <v/>
      </c>
      <c r="BN5" s="32" t="str">
        <f t="shared" si="26"/>
        <v>Yes</v>
      </c>
      <c r="BO5" s="32" t="str">
        <f t="shared" si="26"/>
        <v/>
      </c>
      <c r="BP5" s="32" t="str">
        <f t="shared" si="26"/>
        <v/>
      </c>
      <c r="BQ5" s="32" t="str">
        <f t="shared" si="26"/>
        <v/>
      </c>
      <c r="BR5" s="32" t="str">
        <f t="shared" si="11"/>
        <v/>
      </c>
      <c r="BS5" s="32" t="str">
        <f t="shared" si="12"/>
        <v/>
      </c>
      <c r="BT5" s="32"/>
      <c r="BU5" s="32"/>
      <c r="BV5" s="32"/>
      <c r="BW5" s="33">
        <f t="shared" si="13"/>
        <v>0</v>
      </c>
      <c r="BX5" s="33">
        <f t="shared" si="14"/>
        <v>0</v>
      </c>
      <c r="BY5" s="34" t="str">
        <f t="shared" si="15"/>
        <v/>
      </c>
      <c r="BZ5" s="33">
        <f t="shared" si="16"/>
        <v>0</v>
      </c>
      <c r="CA5" s="33">
        <f t="shared" si="17"/>
        <v>0</v>
      </c>
      <c r="CB5" s="34" t="str">
        <f t="shared" si="18"/>
        <v/>
      </c>
      <c r="CC5" s="35" t="s">
        <v>59</v>
      </c>
      <c r="CD5" s="33"/>
      <c r="CE5" s="34"/>
      <c r="CF5" s="33"/>
      <c r="CG5" s="33"/>
      <c r="CH5" s="34"/>
      <c r="CI5" s="33"/>
      <c r="CJ5" s="33"/>
      <c r="CK5" s="34"/>
    </row>
    <row r="6" ht="12.75" customHeight="1">
      <c r="A6" s="18">
        <v>5.0</v>
      </c>
      <c r="B6" s="18" t="s">
        <v>55</v>
      </c>
      <c r="C6" s="19" t="s">
        <v>62</v>
      </c>
      <c r="D6" s="49"/>
      <c r="E6" s="21">
        <v>1.0</v>
      </c>
      <c r="F6" s="22">
        <f>Andrew!D6</f>
        <v>0.6</v>
      </c>
      <c r="G6" s="50">
        <f>Bruce!D6</f>
        <v>0.8</v>
      </c>
      <c r="H6" s="22">
        <f>Christine!D6</f>
        <v>0.9</v>
      </c>
      <c r="I6" s="26">
        <f>Eileen!D6</f>
        <v>0.7</v>
      </c>
      <c r="J6" s="51">
        <f>Iain!D6</f>
        <v>0.5</v>
      </c>
      <c r="K6" s="50">
        <f>Gael!D6</f>
        <v>0.85</v>
      </c>
      <c r="L6" s="22">
        <f>Jac!D6</f>
        <v>0.9</v>
      </c>
      <c r="M6" s="26">
        <f>James!D6</f>
        <v>0.9</v>
      </c>
      <c r="N6" s="51">
        <f>Kate!D6</f>
        <v>0.9</v>
      </c>
      <c r="O6" s="26">
        <f>Lachy!D6</f>
        <v>0.85</v>
      </c>
      <c r="P6" s="43">
        <f>Pete!D6</f>
        <v>0.8</v>
      </c>
      <c r="Q6" s="26">
        <f>Rohan!D6</f>
        <v>0.75</v>
      </c>
      <c r="R6" s="22">
        <f t="shared" si="27"/>
        <v>0.2630344058</v>
      </c>
      <c r="S6" s="22">
        <f t="shared" ref="S6:AC6" si="28">IF($E6=1,(LOG(G6,2)+1),IF($E6=0,(LOG(1-G6,2)+1),""))</f>
        <v>0.6780719051</v>
      </c>
      <c r="T6" s="22">
        <f t="shared" si="28"/>
        <v>0.8479969066</v>
      </c>
      <c r="U6" s="22">
        <f t="shared" si="28"/>
        <v>0.4854268272</v>
      </c>
      <c r="V6" s="22">
        <f t="shared" si="28"/>
        <v>0</v>
      </c>
      <c r="W6" s="22">
        <f t="shared" si="28"/>
        <v>0.7655347464</v>
      </c>
      <c r="X6" s="22">
        <f t="shared" si="28"/>
        <v>0.8479969066</v>
      </c>
      <c r="Y6" s="22">
        <f t="shared" si="28"/>
        <v>0.8479969066</v>
      </c>
      <c r="Z6" s="22">
        <f t="shared" si="28"/>
        <v>0.8479969066</v>
      </c>
      <c r="AA6" s="22">
        <f t="shared" si="28"/>
        <v>0.7655347464</v>
      </c>
      <c r="AB6" s="22">
        <f t="shared" si="28"/>
        <v>0.6780719051</v>
      </c>
      <c r="AC6" s="22">
        <f t="shared" si="28"/>
        <v>0.5849625007</v>
      </c>
      <c r="AD6" s="41"/>
      <c r="AE6" s="31">
        <f t="shared" si="6"/>
        <v>25.07701811</v>
      </c>
      <c r="AF6" s="31">
        <f t="shared" si="7"/>
        <v>0.7875</v>
      </c>
      <c r="AG6" s="31">
        <f t="shared" si="8"/>
        <v>0.016875</v>
      </c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2" t="str">
        <f t="shared" ref="AT6:BE6" si="29">IF(F6=MIN($F6:$Q6),"Yes","")</f>
        <v/>
      </c>
      <c r="AU6" s="32" t="str">
        <f t="shared" si="29"/>
        <v/>
      </c>
      <c r="AV6" s="32" t="str">
        <f t="shared" si="29"/>
        <v/>
      </c>
      <c r="AW6" s="32" t="str">
        <f t="shared" si="29"/>
        <v/>
      </c>
      <c r="AX6" s="32" t="str">
        <f t="shared" si="29"/>
        <v>Yes</v>
      </c>
      <c r="AY6" s="32" t="str">
        <f t="shared" si="29"/>
        <v/>
      </c>
      <c r="AZ6" s="32" t="str">
        <f t="shared" si="29"/>
        <v/>
      </c>
      <c r="BA6" s="32" t="str">
        <f t="shared" si="29"/>
        <v/>
      </c>
      <c r="BB6" s="32" t="str">
        <f t="shared" si="29"/>
        <v/>
      </c>
      <c r="BC6" s="32" t="str">
        <f t="shared" si="29"/>
        <v/>
      </c>
      <c r="BD6" s="32" t="str">
        <f t="shared" si="29"/>
        <v/>
      </c>
      <c r="BE6" s="32" t="str">
        <f t="shared" si="29"/>
        <v/>
      </c>
      <c r="BF6" s="32" t="str">
        <f t="shared" ref="BF6:BQ6" si="30">IF(F6=MAX($F6:$Q6),"Yes","")</f>
        <v/>
      </c>
      <c r="BG6" s="32" t="str">
        <f t="shared" si="30"/>
        <v/>
      </c>
      <c r="BH6" s="32" t="str">
        <f t="shared" si="30"/>
        <v>Yes</v>
      </c>
      <c r="BI6" s="32" t="str">
        <f t="shared" si="30"/>
        <v/>
      </c>
      <c r="BJ6" s="32" t="str">
        <f t="shared" si="30"/>
        <v/>
      </c>
      <c r="BK6" s="32" t="str">
        <f t="shared" si="30"/>
        <v/>
      </c>
      <c r="BL6" s="32" t="str">
        <f t="shared" si="30"/>
        <v>Yes</v>
      </c>
      <c r="BM6" s="32" t="str">
        <f t="shared" si="30"/>
        <v>Yes</v>
      </c>
      <c r="BN6" s="32" t="str">
        <f t="shared" si="30"/>
        <v>Yes</v>
      </c>
      <c r="BO6" s="32" t="str">
        <f t="shared" si="30"/>
        <v/>
      </c>
      <c r="BP6" s="32" t="str">
        <f t="shared" si="30"/>
        <v/>
      </c>
      <c r="BQ6" s="32" t="str">
        <f t="shared" si="30"/>
        <v/>
      </c>
      <c r="BR6" s="32" t="str">
        <f t="shared" si="11"/>
        <v/>
      </c>
      <c r="BS6" s="32" t="str">
        <f t="shared" si="12"/>
        <v/>
      </c>
      <c r="BT6" s="32"/>
      <c r="BU6" s="32"/>
      <c r="BV6" s="32"/>
      <c r="BW6" s="33">
        <f t="shared" si="13"/>
        <v>0</v>
      </c>
      <c r="BX6" s="33">
        <f t="shared" si="14"/>
        <v>0</v>
      </c>
      <c r="BY6" s="34" t="str">
        <f t="shared" si="15"/>
        <v/>
      </c>
      <c r="BZ6" s="33">
        <f t="shared" si="16"/>
        <v>0</v>
      </c>
      <c r="CA6" s="33">
        <f t="shared" si="17"/>
        <v>0</v>
      </c>
      <c r="CB6" s="34" t="str">
        <f t="shared" si="18"/>
        <v/>
      </c>
      <c r="CC6" s="35" t="s">
        <v>63</v>
      </c>
      <c r="CD6" s="33"/>
      <c r="CE6" s="34"/>
      <c r="CF6" s="33"/>
      <c r="CG6" s="33"/>
      <c r="CH6" s="34"/>
      <c r="CI6" s="33"/>
      <c r="CJ6" s="33"/>
      <c r="CK6" s="34"/>
    </row>
    <row r="7" ht="12.75" customHeight="1">
      <c r="A7" s="36">
        <v>6.0</v>
      </c>
      <c r="B7" s="36" t="s">
        <v>55</v>
      </c>
      <c r="C7" s="37" t="s">
        <v>64</v>
      </c>
      <c r="D7" s="45">
        <v>44702.0</v>
      </c>
      <c r="E7" s="39">
        <v>1.0</v>
      </c>
      <c r="F7" s="31">
        <f>Andrew!D7</f>
        <v>0.5</v>
      </c>
      <c r="G7" s="52">
        <f>Bruce!D7</f>
        <v>0.9</v>
      </c>
      <c r="H7" s="31">
        <f>Christine!D7</f>
        <v>0.5</v>
      </c>
      <c r="I7" s="31">
        <f>Eileen!D7</f>
        <v>0.7</v>
      </c>
      <c r="J7" s="53">
        <f>Iain!D7</f>
        <v>0.9</v>
      </c>
      <c r="K7" s="54">
        <f>Gael!D7</f>
        <v>0.95</v>
      </c>
      <c r="L7" s="31">
        <f>Jac!D7</f>
        <v>0.4</v>
      </c>
      <c r="M7" s="31">
        <f>James!D7</f>
        <v>0.5</v>
      </c>
      <c r="N7" s="52">
        <f>Kate!D7</f>
        <v>0.9</v>
      </c>
      <c r="O7" s="31">
        <f>Lachy!D7</f>
        <v>0.85</v>
      </c>
      <c r="P7" s="52">
        <f>Pete!D7</f>
        <v>0.9</v>
      </c>
      <c r="Q7" s="31">
        <f>Rohan!D7</f>
        <v>0.5</v>
      </c>
      <c r="R7" s="31">
        <f t="shared" si="27"/>
        <v>0</v>
      </c>
      <c r="S7" s="31">
        <f t="shared" ref="S7:AC7" si="31">IF($E7=1,(LOG(G7,2)+1),IF($E7=0,(LOG(1-G7,2)+1),""))</f>
        <v>0.8479969066</v>
      </c>
      <c r="T7" s="31">
        <f t="shared" si="31"/>
        <v>0</v>
      </c>
      <c r="U7" s="31">
        <f t="shared" si="31"/>
        <v>0.4854268272</v>
      </c>
      <c r="V7" s="31">
        <f t="shared" si="31"/>
        <v>0.8479969066</v>
      </c>
      <c r="W7" s="31">
        <f t="shared" si="31"/>
        <v>0.9259994186</v>
      </c>
      <c r="X7" s="31">
        <f t="shared" si="31"/>
        <v>-0.3219280949</v>
      </c>
      <c r="Y7" s="31">
        <f t="shared" si="31"/>
        <v>0</v>
      </c>
      <c r="Z7" s="31">
        <f t="shared" si="31"/>
        <v>0.8479969066</v>
      </c>
      <c r="AA7" s="31">
        <f t="shared" si="31"/>
        <v>0.7655347464</v>
      </c>
      <c r="AB7" s="31">
        <f t="shared" si="31"/>
        <v>0.8479969066</v>
      </c>
      <c r="AC7" s="31">
        <f t="shared" si="31"/>
        <v>0</v>
      </c>
      <c r="AD7" s="41"/>
      <c r="AE7" s="31">
        <f t="shared" si="6"/>
        <v>21.23748278</v>
      </c>
      <c r="AF7" s="31">
        <f t="shared" si="7"/>
        <v>0.7083333333</v>
      </c>
      <c r="AG7" s="31">
        <f t="shared" si="8"/>
        <v>0.04492424242</v>
      </c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2" t="str">
        <f t="shared" ref="AT7:BE7" si="32">IF(F7=MIN($F7:$Q7),"Yes","")</f>
        <v/>
      </c>
      <c r="AU7" s="32" t="str">
        <f t="shared" si="32"/>
        <v/>
      </c>
      <c r="AV7" s="32" t="str">
        <f t="shared" si="32"/>
        <v/>
      </c>
      <c r="AW7" s="32" t="str">
        <f t="shared" si="32"/>
        <v/>
      </c>
      <c r="AX7" s="32" t="str">
        <f t="shared" si="32"/>
        <v/>
      </c>
      <c r="AY7" s="32" t="str">
        <f t="shared" si="32"/>
        <v/>
      </c>
      <c r="AZ7" s="32" t="str">
        <f t="shared" si="32"/>
        <v>Yes</v>
      </c>
      <c r="BA7" s="32" t="str">
        <f t="shared" si="32"/>
        <v/>
      </c>
      <c r="BB7" s="32" t="str">
        <f t="shared" si="32"/>
        <v/>
      </c>
      <c r="BC7" s="32" t="str">
        <f t="shared" si="32"/>
        <v/>
      </c>
      <c r="BD7" s="32" t="str">
        <f t="shared" si="32"/>
        <v/>
      </c>
      <c r="BE7" s="32" t="str">
        <f t="shared" si="32"/>
        <v/>
      </c>
      <c r="BF7" s="32" t="str">
        <f t="shared" ref="BF7:BQ7" si="33">IF(F7=MAX($F7:$Q7),"Yes","")</f>
        <v/>
      </c>
      <c r="BG7" s="32" t="str">
        <f t="shared" si="33"/>
        <v/>
      </c>
      <c r="BH7" s="32" t="str">
        <f t="shared" si="33"/>
        <v/>
      </c>
      <c r="BI7" s="32" t="str">
        <f t="shared" si="33"/>
        <v/>
      </c>
      <c r="BJ7" s="32" t="str">
        <f t="shared" si="33"/>
        <v/>
      </c>
      <c r="BK7" s="32" t="str">
        <f t="shared" si="33"/>
        <v>Yes</v>
      </c>
      <c r="BL7" s="32" t="str">
        <f t="shared" si="33"/>
        <v/>
      </c>
      <c r="BM7" s="32" t="str">
        <f t="shared" si="33"/>
        <v/>
      </c>
      <c r="BN7" s="32" t="str">
        <f t="shared" si="33"/>
        <v/>
      </c>
      <c r="BO7" s="32" t="str">
        <f t="shared" si="33"/>
        <v/>
      </c>
      <c r="BP7" s="32" t="str">
        <f t="shared" si="33"/>
        <v/>
      </c>
      <c r="BQ7" s="32" t="str">
        <f t="shared" si="33"/>
        <v/>
      </c>
      <c r="BR7" s="32" t="str">
        <f t="shared" si="11"/>
        <v/>
      </c>
      <c r="BS7" s="32" t="str">
        <f t="shared" si="12"/>
        <v/>
      </c>
      <c r="BT7" s="32"/>
      <c r="BU7" s="32"/>
      <c r="BV7" s="32"/>
      <c r="BW7" s="33">
        <f t="shared" si="13"/>
        <v>0</v>
      </c>
      <c r="BX7" s="33">
        <f t="shared" si="14"/>
        <v>0</v>
      </c>
      <c r="BY7" s="34" t="str">
        <f t="shared" si="15"/>
        <v/>
      </c>
      <c r="BZ7" s="33">
        <f t="shared" si="16"/>
        <v>0</v>
      </c>
      <c r="CA7" s="33">
        <f t="shared" si="17"/>
        <v>0</v>
      </c>
      <c r="CB7" s="34" t="str">
        <f t="shared" si="18"/>
        <v/>
      </c>
      <c r="CC7" s="35"/>
      <c r="CD7" s="33"/>
      <c r="CE7" s="34"/>
      <c r="CF7" s="33"/>
      <c r="CG7" s="33"/>
      <c r="CH7" s="34"/>
      <c r="CI7" s="33"/>
      <c r="CJ7" s="33"/>
      <c r="CK7" s="34"/>
    </row>
    <row r="8" ht="12.75" customHeight="1">
      <c r="A8" s="18">
        <v>7.0</v>
      </c>
      <c r="B8" s="18" t="s">
        <v>55</v>
      </c>
      <c r="C8" s="55" t="s">
        <v>65</v>
      </c>
      <c r="D8" s="20">
        <v>44702.0</v>
      </c>
      <c r="E8" s="21">
        <v>1.0</v>
      </c>
      <c r="F8" s="56">
        <f>Andrew!D8</f>
        <v>0.8</v>
      </c>
      <c r="G8" s="57">
        <f>Bruce!D8</f>
        <v>0.7</v>
      </c>
      <c r="H8" s="56">
        <f>Christine!D8</f>
        <v>0.15</v>
      </c>
      <c r="I8" s="58">
        <f>Eileen!D8</f>
        <v>0.3</v>
      </c>
      <c r="J8" s="59">
        <f>Iain!D8</f>
        <v>0.6</v>
      </c>
      <c r="K8" s="60">
        <f>Gael!D8</f>
        <v>0.75</v>
      </c>
      <c r="L8" s="56">
        <f>Jac!D8</f>
        <v>0.5</v>
      </c>
      <c r="M8" s="61">
        <f>James!D8</f>
        <v>0.05</v>
      </c>
      <c r="N8" s="62">
        <f>Kate!D8</f>
        <v>0.9</v>
      </c>
      <c r="O8" s="63">
        <f>Lachy!D8</f>
        <v>0.35</v>
      </c>
      <c r="P8" s="64">
        <f>Pete!D8</f>
        <v>0.7</v>
      </c>
      <c r="Q8" s="65">
        <f>Rohan!D8</f>
        <v>0.9</v>
      </c>
      <c r="R8" s="29">
        <f t="shared" si="27"/>
        <v>0.6780719051</v>
      </c>
      <c r="S8" s="22">
        <f t="shared" ref="S8:AC8" si="34">IF($E8=1,(LOG(G8,2)+1),IF($E8=0,(LOG(1-G8,2)+1),""))</f>
        <v>0.4854268272</v>
      </c>
      <c r="T8" s="22">
        <f t="shared" si="34"/>
        <v>-1.736965594</v>
      </c>
      <c r="U8" s="22">
        <f t="shared" si="34"/>
        <v>-0.7369655942</v>
      </c>
      <c r="V8" s="22">
        <f t="shared" si="34"/>
        <v>0.2630344058</v>
      </c>
      <c r="W8" s="22">
        <f t="shared" si="34"/>
        <v>0.5849625007</v>
      </c>
      <c r="X8" s="22">
        <f t="shared" si="34"/>
        <v>0</v>
      </c>
      <c r="Y8" s="22">
        <f t="shared" si="34"/>
        <v>-3.321928095</v>
      </c>
      <c r="Z8" s="22">
        <f t="shared" si="34"/>
        <v>0.8479969066</v>
      </c>
      <c r="AA8" s="22">
        <f t="shared" si="34"/>
        <v>-0.5145731728</v>
      </c>
      <c r="AB8" s="22">
        <f t="shared" si="34"/>
        <v>0.4854268272</v>
      </c>
      <c r="AC8" s="22">
        <f t="shared" si="34"/>
        <v>0.8479969066</v>
      </c>
      <c r="AD8" s="41"/>
      <c r="AE8" s="31">
        <f t="shared" si="6"/>
        <v>21.82046492</v>
      </c>
      <c r="AF8" s="31">
        <f t="shared" si="7"/>
        <v>0.5583333333</v>
      </c>
      <c r="AG8" s="31">
        <f t="shared" si="8"/>
        <v>0.08265151515</v>
      </c>
      <c r="AH8" s="46" t="str">
        <f t="shared" ref="AH8:AS8" si="35">IF(F8=MIN($F8:$Q8),LOG(1-F8,2)+1,IF(F8=MAX($F8:$Q8),LOG(F8,2)+1,""))</f>
        <v/>
      </c>
      <c r="AI8" s="46" t="str">
        <f t="shared" si="35"/>
        <v/>
      </c>
      <c r="AJ8" s="46" t="str">
        <f t="shared" si="35"/>
        <v/>
      </c>
      <c r="AK8" s="46" t="str">
        <f t="shared" si="35"/>
        <v/>
      </c>
      <c r="AL8" s="46" t="str">
        <f t="shared" si="35"/>
        <v/>
      </c>
      <c r="AM8" s="46" t="str">
        <f t="shared" si="35"/>
        <v/>
      </c>
      <c r="AN8" s="46" t="str">
        <f t="shared" si="35"/>
        <v/>
      </c>
      <c r="AO8" s="46">
        <f t="shared" si="35"/>
        <v>0.9259994186</v>
      </c>
      <c r="AP8" s="46">
        <f t="shared" si="35"/>
        <v>0.8479969066</v>
      </c>
      <c r="AQ8" s="46" t="str">
        <f t="shared" si="35"/>
        <v/>
      </c>
      <c r="AR8" s="46" t="str">
        <f t="shared" si="35"/>
        <v/>
      </c>
      <c r="AS8" s="46">
        <f t="shared" si="35"/>
        <v>0.8479969066</v>
      </c>
      <c r="AT8" s="32" t="str">
        <f t="shared" ref="AT8:BE8" si="36">IF(F8=MIN($F8:$Q8),"Yes","")</f>
        <v/>
      </c>
      <c r="AU8" s="32" t="str">
        <f t="shared" si="36"/>
        <v/>
      </c>
      <c r="AV8" s="32" t="str">
        <f t="shared" si="36"/>
        <v/>
      </c>
      <c r="AW8" s="32" t="str">
        <f t="shared" si="36"/>
        <v/>
      </c>
      <c r="AX8" s="32" t="str">
        <f t="shared" si="36"/>
        <v/>
      </c>
      <c r="AY8" s="32" t="str">
        <f t="shared" si="36"/>
        <v/>
      </c>
      <c r="AZ8" s="32" t="str">
        <f t="shared" si="36"/>
        <v/>
      </c>
      <c r="BA8" s="32" t="str">
        <f t="shared" si="36"/>
        <v>Yes</v>
      </c>
      <c r="BB8" s="32" t="str">
        <f t="shared" si="36"/>
        <v/>
      </c>
      <c r="BC8" s="32" t="str">
        <f t="shared" si="36"/>
        <v/>
      </c>
      <c r="BD8" s="32" t="str">
        <f t="shared" si="36"/>
        <v/>
      </c>
      <c r="BE8" s="32" t="str">
        <f t="shared" si="36"/>
        <v/>
      </c>
      <c r="BF8" s="32" t="str">
        <f t="shared" ref="BF8:BQ8" si="37">IF(F8=MAX($F8:$Q8),"Yes","")</f>
        <v/>
      </c>
      <c r="BG8" s="32" t="str">
        <f t="shared" si="37"/>
        <v/>
      </c>
      <c r="BH8" s="32" t="str">
        <f t="shared" si="37"/>
        <v/>
      </c>
      <c r="BI8" s="32" t="str">
        <f t="shared" si="37"/>
        <v/>
      </c>
      <c r="BJ8" s="32" t="str">
        <f t="shared" si="37"/>
        <v/>
      </c>
      <c r="BK8" s="32" t="str">
        <f t="shared" si="37"/>
        <v/>
      </c>
      <c r="BL8" s="32" t="str">
        <f t="shared" si="37"/>
        <v/>
      </c>
      <c r="BM8" s="32" t="str">
        <f t="shared" si="37"/>
        <v/>
      </c>
      <c r="BN8" s="32" t="str">
        <f t="shared" si="37"/>
        <v>Yes</v>
      </c>
      <c r="BO8" s="32" t="str">
        <f t="shared" si="37"/>
        <v/>
      </c>
      <c r="BP8" s="32" t="str">
        <f t="shared" si="37"/>
        <v/>
      </c>
      <c r="BQ8" s="32" t="str">
        <f t="shared" si="37"/>
        <v>Yes</v>
      </c>
      <c r="BR8" s="32" t="str">
        <f t="shared" si="11"/>
        <v/>
      </c>
      <c r="BS8" s="32" t="str">
        <f t="shared" si="12"/>
        <v/>
      </c>
      <c r="BT8" s="32"/>
      <c r="BU8" s="32"/>
      <c r="BV8" s="32"/>
      <c r="BW8" s="33">
        <f t="shared" si="13"/>
        <v>0</v>
      </c>
      <c r="BX8" s="33">
        <f t="shared" si="14"/>
        <v>0</v>
      </c>
      <c r="BY8" s="34" t="str">
        <f t="shared" si="15"/>
        <v/>
      </c>
      <c r="BZ8" s="33">
        <f t="shared" si="16"/>
        <v>0</v>
      </c>
      <c r="CA8" s="33">
        <f t="shared" si="17"/>
        <v>0</v>
      </c>
      <c r="CB8" s="34" t="str">
        <f t="shared" si="18"/>
        <v/>
      </c>
      <c r="CC8" s="35" t="s">
        <v>59</v>
      </c>
      <c r="CD8" s="33"/>
      <c r="CE8" s="34"/>
      <c r="CF8" s="33"/>
      <c r="CG8" s="33"/>
      <c r="CH8" s="34"/>
      <c r="CI8" s="33"/>
      <c r="CJ8" s="33"/>
      <c r="CK8" s="34"/>
    </row>
    <row r="9" ht="12.75" customHeight="1">
      <c r="A9" s="36">
        <v>8.0</v>
      </c>
      <c r="B9" s="36" t="s">
        <v>55</v>
      </c>
      <c r="C9" s="44" t="s">
        <v>66</v>
      </c>
      <c r="D9" s="45">
        <v>44702.0</v>
      </c>
      <c r="E9" s="39">
        <v>1.0</v>
      </c>
      <c r="F9" s="46">
        <f>Andrew!D9</f>
        <v>0.6</v>
      </c>
      <c r="G9" s="47">
        <f>Bruce!D9</f>
        <v>0.9</v>
      </c>
      <c r="H9" s="46">
        <f>Christine!D9</f>
        <v>0.05</v>
      </c>
      <c r="I9" s="46">
        <f>Eileen!D9</f>
        <v>0.3</v>
      </c>
      <c r="J9" s="46">
        <f>Iain!D9</f>
        <v>0.1</v>
      </c>
      <c r="K9" s="46">
        <f>Gael!D9</f>
        <v>0.75</v>
      </c>
      <c r="L9" s="46">
        <f>Jac!D9</f>
        <v>0.3</v>
      </c>
      <c r="M9" s="46">
        <f>James!D9</f>
        <v>0.05</v>
      </c>
      <c r="N9" s="47">
        <f>Kate!D9</f>
        <v>0.9</v>
      </c>
      <c r="O9" s="46">
        <f>Lachy!D9</f>
        <v>0.35</v>
      </c>
      <c r="P9" s="46">
        <f>Pete!D9</f>
        <v>0.8</v>
      </c>
      <c r="Q9" s="46">
        <f>Rohan!D9</f>
        <v>0.4</v>
      </c>
      <c r="R9" s="31">
        <f t="shared" si="27"/>
        <v>0.2630344058</v>
      </c>
      <c r="S9" s="31">
        <f t="shared" ref="S9:AC9" si="38">IF($E9=1,(LOG(G9,2)+1),IF($E9=0,(LOG(1-G9,2)+1),""))</f>
        <v>0.8479969066</v>
      </c>
      <c r="T9" s="31">
        <f t="shared" si="38"/>
        <v>-3.321928095</v>
      </c>
      <c r="U9" s="31">
        <f t="shared" si="38"/>
        <v>-0.7369655942</v>
      </c>
      <c r="V9" s="31">
        <f t="shared" si="38"/>
        <v>-2.321928095</v>
      </c>
      <c r="W9" s="31">
        <f t="shared" si="38"/>
        <v>0.5849625007</v>
      </c>
      <c r="X9" s="31">
        <f t="shared" si="38"/>
        <v>-0.7369655942</v>
      </c>
      <c r="Y9" s="31">
        <f t="shared" si="38"/>
        <v>-3.321928095</v>
      </c>
      <c r="Z9" s="31">
        <f t="shared" si="38"/>
        <v>0.8479969066</v>
      </c>
      <c r="AA9" s="31">
        <f t="shared" si="38"/>
        <v>-0.5145731728</v>
      </c>
      <c r="AB9" s="31">
        <f t="shared" si="38"/>
        <v>0.6780719051</v>
      </c>
      <c r="AC9" s="31">
        <f t="shared" si="38"/>
        <v>-0.3219280949</v>
      </c>
      <c r="AD9" s="41"/>
      <c r="AE9" s="31">
        <f t="shared" si="6"/>
        <v>26.09838717</v>
      </c>
      <c r="AF9" s="31">
        <f t="shared" si="7"/>
        <v>0.4583333333</v>
      </c>
      <c r="AG9" s="31">
        <f t="shared" si="8"/>
        <v>0.1035606061</v>
      </c>
      <c r="AH9" s="46" t="str">
        <f t="shared" ref="AH9:AS9" si="39">IF(F9=MIN($F9:$Q9),LOG(1-F9,2)+1,IF(F9=MAX($F9:$Q9),LOG(F9,2)+1,""))</f>
        <v/>
      </c>
      <c r="AI9" s="46">
        <f t="shared" si="39"/>
        <v>0.8479969066</v>
      </c>
      <c r="AJ9" s="46">
        <f t="shared" si="39"/>
        <v>0.9259994186</v>
      </c>
      <c r="AK9" s="46" t="str">
        <f t="shared" si="39"/>
        <v/>
      </c>
      <c r="AL9" s="46" t="str">
        <f t="shared" si="39"/>
        <v/>
      </c>
      <c r="AM9" s="46" t="str">
        <f t="shared" si="39"/>
        <v/>
      </c>
      <c r="AN9" s="46" t="str">
        <f t="shared" si="39"/>
        <v/>
      </c>
      <c r="AO9" s="46">
        <f t="shared" si="39"/>
        <v>0.9259994186</v>
      </c>
      <c r="AP9" s="46">
        <f t="shared" si="39"/>
        <v>0.8479969066</v>
      </c>
      <c r="AQ9" s="46" t="str">
        <f t="shared" si="39"/>
        <v/>
      </c>
      <c r="AR9" s="46" t="str">
        <f t="shared" si="39"/>
        <v/>
      </c>
      <c r="AS9" s="46" t="str">
        <f t="shared" si="39"/>
        <v/>
      </c>
      <c r="AT9" s="32" t="str">
        <f t="shared" ref="AT9:BE9" si="40">IF(F9=MIN($F9:$Q9),"Yes","")</f>
        <v/>
      </c>
      <c r="AU9" s="32" t="str">
        <f t="shared" si="40"/>
        <v/>
      </c>
      <c r="AV9" s="32" t="str">
        <f t="shared" si="40"/>
        <v>Yes</v>
      </c>
      <c r="AW9" s="32" t="str">
        <f t="shared" si="40"/>
        <v/>
      </c>
      <c r="AX9" s="32" t="str">
        <f t="shared" si="40"/>
        <v/>
      </c>
      <c r="AY9" s="32" t="str">
        <f t="shared" si="40"/>
        <v/>
      </c>
      <c r="AZ9" s="32" t="str">
        <f t="shared" si="40"/>
        <v/>
      </c>
      <c r="BA9" s="32" t="str">
        <f t="shared" si="40"/>
        <v>Yes</v>
      </c>
      <c r="BB9" s="32" t="str">
        <f t="shared" si="40"/>
        <v/>
      </c>
      <c r="BC9" s="32" t="str">
        <f t="shared" si="40"/>
        <v/>
      </c>
      <c r="BD9" s="32" t="str">
        <f t="shared" si="40"/>
        <v/>
      </c>
      <c r="BE9" s="32" t="str">
        <f t="shared" si="40"/>
        <v/>
      </c>
      <c r="BF9" s="32" t="str">
        <f t="shared" ref="BF9:BQ9" si="41">IF(F9=MAX($F9:$Q9),"Yes","")</f>
        <v/>
      </c>
      <c r="BG9" s="32" t="str">
        <f t="shared" si="41"/>
        <v>Yes</v>
      </c>
      <c r="BH9" s="32" t="str">
        <f t="shared" si="41"/>
        <v/>
      </c>
      <c r="BI9" s="32" t="str">
        <f t="shared" si="41"/>
        <v/>
      </c>
      <c r="BJ9" s="32" t="str">
        <f t="shared" si="41"/>
        <v/>
      </c>
      <c r="BK9" s="32" t="str">
        <f t="shared" si="41"/>
        <v/>
      </c>
      <c r="BL9" s="32" t="str">
        <f t="shared" si="41"/>
        <v/>
      </c>
      <c r="BM9" s="32" t="str">
        <f t="shared" si="41"/>
        <v/>
      </c>
      <c r="BN9" s="32" t="str">
        <f t="shared" si="41"/>
        <v>Yes</v>
      </c>
      <c r="BO9" s="32" t="str">
        <f t="shared" si="41"/>
        <v/>
      </c>
      <c r="BP9" s="32" t="str">
        <f t="shared" si="41"/>
        <v/>
      </c>
      <c r="BQ9" s="32" t="str">
        <f t="shared" si="41"/>
        <v/>
      </c>
      <c r="BR9" s="32" t="str">
        <f t="shared" si="11"/>
        <v/>
      </c>
      <c r="BS9" s="32" t="str">
        <f t="shared" si="12"/>
        <v/>
      </c>
      <c r="BT9" s="32"/>
      <c r="BU9" s="32"/>
      <c r="BV9" s="32"/>
      <c r="BW9" s="33">
        <f t="shared" si="13"/>
        <v>0</v>
      </c>
      <c r="BX9" s="33">
        <f t="shared" si="14"/>
        <v>0</v>
      </c>
      <c r="BY9" s="34" t="str">
        <f t="shared" si="15"/>
        <v/>
      </c>
      <c r="BZ9" s="33">
        <f t="shared" si="16"/>
        <v>0</v>
      </c>
      <c r="CA9" s="33">
        <f t="shared" si="17"/>
        <v>0</v>
      </c>
      <c r="CB9" s="34" t="str">
        <f t="shared" si="18"/>
        <v/>
      </c>
      <c r="CC9" s="35" t="s">
        <v>59</v>
      </c>
      <c r="CD9" s="33"/>
      <c r="CE9" s="34"/>
      <c r="CF9" s="33"/>
      <c r="CG9" s="33"/>
      <c r="CH9" s="34"/>
      <c r="CI9" s="33"/>
      <c r="CJ9" s="33"/>
      <c r="CK9" s="34"/>
    </row>
    <row r="10" ht="12.75" customHeight="1">
      <c r="A10" s="18">
        <v>9.0</v>
      </c>
      <c r="B10" s="18" t="s">
        <v>55</v>
      </c>
      <c r="C10" s="19" t="s">
        <v>67</v>
      </c>
      <c r="D10" s="49"/>
      <c r="E10" s="21">
        <v>0.0</v>
      </c>
      <c r="F10" s="22">
        <f>Andrew!D10</f>
        <v>0.55</v>
      </c>
      <c r="G10" s="66">
        <f>Bruce!D10</f>
        <v>0.3</v>
      </c>
      <c r="H10" s="43">
        <f>Christine!D10</f>
        <v>0.3</v>
      </c>
      <c r="I10" s="26">
        <f>Eileen!D10</f>
        <v>0.4</v>
      </c>
      <c r="J10" s="43">
        <f>Iain!D10</f>
        <v>0.9</v>
      </c>
      <c r="K10" s="26">
        <f>Gael!D10</f>
        <v>0.35</v>
      </c>
      <c r="L10" s="22">
        <f>Jac!D10</f>
        <v>0.9</v>
      </c>
      <c r="M10" s="50">
        <f>James!D10</f>
        <v>0.3</v>
      </c>
      <c r="N10" s="67">
        <f>Kate!D10</f>
        <v>0.7</v>
      </c>
      <c r="O10" s="50">
        <f>Lachy!D10</f>
        <v>0.85</v>
      </c>
      <c r="P10" s="22">
        <f>Pete!D10</f>
        <v>0.4</v>
      </c>
      <c r="Q10" s="26">
        <f>Rohan!D10</f>
        <v>0.8</v>
      </c>
      <c r="R10" s="22">
        <f t="shared" si="27"/>
        <v>-0.1520030934</v>
      </c>
      <c r="S10" s="22">
        <f t="shared" ref="S10:AC10" si="42">IF($E10=1,(LOG(G10,2)+1),IF($E10=0,(LOG(1-G10,2)+1),""))</f>
        <v>0.4854268272</v>
      </c>
      <c r="T10" s="22">
        <f t="shared" si="42"/>
        <v>0.4854268272</v>
      </c>
      <c r="U10" s="22">
        <f t="shared" si="42"/>
        <v>0.2630344058</v>
      </c>
      <c r="V10" s="22">
        <f t="shared" si="42"/>
        <v>-2.321928095</v>
      </c>
      <c r="W10" s="22">
        <f t="shared" si="42"/>
        <v>0.3785116233</v>
      </c>
      <c r="X10" s="22">
        <f t="shared" si="42"/>
        <v>-2.321928095</v>
      </c>
      <c r="Y10" s="22">
        <f t="shared" si="42"/>
        <v>0.4854268272</v>
      </c>
      <c r="Z10" s="22">
        <f t="shared" si="42"/>
        <v>-0.7369655942</v>
      </c>
      <c r="AA10" s="22">
        <f t="shared" si="42"/>
        <v>-1.736965594</v>
      </c>
      <c r="AB10" s="22">
        <f t="shared" si="42"/>
        <v>0.2630344058</v>
      </c>
      <c r="AC10" s="22">
        <f t="shared" si="42"/>
        <v>-1.321928095</v>
      </c>
      <c r="AD10" s="41"/>
      <c r="AE10" s="31">
        <f t="shared" si="6"/>
        <v>18.08443644</v>
      </c>
      <c r="AF10" s="31">
        <f t="shared" si="7"/>
        <v>0.5625</v>
      </c>
      <c r="AG10" s="31">
        <f t="shared" si="8"/>
        <v>0.06278409091</v>
      </c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32" t="str">
        <f t="shared" ref="AT10:BE10" si="43">IF(F10=MIN($F10:$Q10),"Yes","")</f>
        <v/>
      </c>
      <c r="AU10" s="32" t="str">
        <f t="shared" si="43"/>
        <v>Yes</v>
      </c>
      <c r="AV10" s="32" t="str">
        <f t="shared" si="43"/>
        <v>Yes</v>
      </c>
      <c r="AW10" s="32" t="str">
        <f t="shared" si="43"/>
        <v/>
      </c>
      <c r="AX10" s="32" t="str">
        <f t="shared" si="43"/>
        <v/>
      </c>
      <c r="AY10" s="32" t="str">
        <f t="shared" si="43"/>
        <v/>
      </c>
      <c r="AZ10" s="32" t="str">
        <f t="shared" si="43"/>
        <v/>
      </c>
      <c r="BA10" s="32" t="str">
        <f t="shared" si="43"/>
        <v>Yes</v>
      </c>
      <c r="BB10" s="32" t="str">
        <f t="shared" si="43"/>
        <v/>
      </c>
      <c r="BC10" s="32" t="str">
        <f t="shared" si="43"/>
        <v/>
      </c>
      <c r="BD10" s="32" t="str">
        <f t="shared" si="43"/>
        <v/>
      </c>
      <c r="BE10" s="32" t="str">
        <f t="shared" si="43"/>
        <v/>
      </c>
      <c r="BF10" s="32" t="str">
        <f t="shared" ref="BF10:BQ10" si="44">IF(F10=MAX($F10:$Q10),"Yes","")</f>
        <v/>
      </c>
      <c r="BG10" s="32" t="str">
        <f t="shared" si="44"/>
        <v/>
      </c>
      <c r="BH10" s="32" t="str">
        <f t="shared" si="44"/>
        <v/>
      </c>
      <c r="BI10" s="32" t="str">
        <f t="shared" si="44"/>
        <v/>
      </c>
      <c r="BJ10" s="32" t="str">
        <f t="shared" si="44"/>
        <v>Yes</v>
      </c>
      <c r="BK10" s="32" t="str">
        <f t="shared" si="44"/>
        <v/>
      </c>
      <c r="BL10" s="32" t="str">
        <f t="shared" si="44"/>
        <v>Yes</v>
      </c>
      <c r="BM10" s="32" t="str">
        <f t="shared" si="44"/>
        <v/>
      </c>
      <c r="BN10" s="32" t="str">
        <f t="shared" si="44"/>
        <v/>
      </c>
      <c r="BO10" s="32" t="str">
        <f t="shared" si="44"/>
        <v/>
      </c>
      <c r="BP10" s="32" t="str">
        <f t="shared" si="44"/>
        <v/>
      </c>
      <c r="BQ10" s="32" t="str">
        <f t="shared" si="44"/>
        <v/>
      </c>
      <c r="BR10" s="32" t="str">
        <f t="shared" si="11"/>
        <v/>
      </c>
      <c r="BS10" s="32" t="str">
        <f t="shared" si="12"/>
        <v>Yes</v>
      </c>
      <c r="BT10" s="32"/>
      <c r="BU10" s="32"/>
      <c r="BV10" s="32"/>
      <c r="BW10" s="33">
        <f t="shared" si="13"/>
        <v>0</v>
      </c>
      <c r="BX10" s="33">
        <f t="shared" si="14"/>
        <v>0</v>
      </c>
      <c r="BY10" s="34" t="str">
        <f t="shared" si="15"/>
        <v/>
      </c>
      <c r="BZ10" s="33">
        <f t="shared" si="16"/>
        <v>-0.9</v>
      </c>
      <c r="CA10" s="33">
        <f t="shared" si="17"/>
        <v>0.3</v>
      </c>
      <c r="CB10" s="34">
        <f t="shared" si="18"/>
        <v>1.2</v>
      </c>
      <c r="CC10" s="35"/>
      <c r="CD10" s="33"/>
      <c r="CE10" s="34"/>
      <c r="CF10" s="33"/>
      <c r="CG10" s="33"/>
      <c r="CH10" s="34"/>
      <c r="CI10" s="33"/>
      <c r="CJ10" s="33"/>
      <c r="CK10" s="34"/>
    </row>
    <row r="11" ht="12.75" customHeight="1">
      <c r="A11" s="36">
        <v>10.0</v>
      </c>
      <c r="B11" s="36" t="s">
        <v>55</v>
      </c>
      <c r="C11" s="44" t="s">
        <v>68</v>
      </c>
      <c r="D11" s="45">
        <v>44702.0</v>
      </c>
      <c r="E11" s="39">
        <v>0.0</v>
      </c>
      <c r="F11" s="46">
        <f>Andrew!D11</f>
        <v>0.4</v>
      </c>
      <c r="G11" s="46">
        <f>Bruce!D11</f>
        <v>0.2</v>
      </c>
      <c r="H11" s="47">
        <f>Christine!D11</f>
        <v>0.1</v>
      </c>
      <c r="I11" s="46">
        <f>Eileen!D11</f>
        <v>0.2</v>
      </c>
      <c r="J11" s="47">
        <f>Iain!D11</f>
        <v>0.1</v>
      </c>
      <c r="K11" s="46">
        <f>Gael!D11</f>
        <v>0.55</v>
      </c>
      <c r="L11" s="46">
        <f>Jac!D11</f>
        <v>0.15</v>
      </c>
      <c r="M11" s="47">
        <f>James!D11</f>
        <v>0.1</v>
      </c>
      <c r="N11" s="46">
        <f>Kate!D11</f>
        <v>0.9</v>
      </c>
      <c r="O11" s="68">
        <f>Lachy!D11</f>
        <v>0.001</v>
      </c>
      <c r="P11" s="46">
        <f>Pete!D11</f>
        <v>0.1</v>
      </c>
      <c r="Q11" s="46">
        <f>Rohan!D11</f>
        <v>0.75</v>
      </c>
      <c r="R11" s="31">
        <f t="shared" si="27"/>
        <v>0.2630344058</v>
      </c>
      <c r="S11" s="31">
        <f t="shared" ref="S11:AC11" si="45">IF($E11=1,(LOG(G11,2)+1),IF($E11=0,(LOG(1-G11,2)+1),""))</f>
        <v>0.6780719051</v>
      </c>
      <c r="T11" s="31">
        <f t="shared" si="45"/>
        <v>0.8479969066</v>
      </c>
      <c r="U11" s="31">
        <f t="shared" si="45"/>
        <v>0.6780719051</v>
      </c>
      <c r="V11" s="31">
        <f t="shared" si="45"/>
        <v>0.8479969066</v>
      </c>
      <c r="W11" s="31">
        <f t="shared" si="45"/>
        <v>-0.1520030934</v>
      </c>
      <c r="X11" s="31">
        <f t="shared" si="45"/>
        <v>0.7655347464</v>
      </c>
      <c r="Y11" s="31">
        <f t="shared" si="45"/>
        <v>0.8479969066</v>
      </c>
      <c r="Z11" s="31">
        <f t="shared" si="45"/>
        <v>-2.321928095</v>
      </c>
      <c r="AA11" s="31">
        <f t="shared" si="45"/>
        <v>0.9985565831</v>
      </c>
      <c r="AB11" s="31">
        <f t="shared" si="45"/>
        <v>0.8479969066</v>
      </c>
      <c r="AC11" s="31">
        <f t="shared" si="45"/>
        <v>-1</v>
      </c>
      <c r="AD11" s="41"/>
      <c r="AE11" s="31">
        <f t="shared" si="6"/>
        <v>33.60597283</v>
      </c>
      <c r="AF11" s="31">
        <f t="shared" si="7"/>
        <v>0.2959166667</v>
      </c>
      <c r="AG11" s="31">
        <f t="shared" si="8"/>
        <v>0.08424553788</v>
      </c>
      <c r="AH11" s="46" t="str">
        <f t="shared" ref="AH11:AS11" si="46">IF(F11=MIN($F11:$Q11),LOG(1-F11,2)+1,IF(F11=MAX($F11:$Q11),LOG(F11,2)+1,""))</f>
        <v/>
      </c>
      <c r="AI11" s="46" t="str">
        <f t="shared" si="46"/>
        <v/>
      </c>
      <c r="AJ11" s="46" t="str">
        <f t="shared" si="46"/>
        <v/>
      </c>
      <c r="AK11" s="46" t="str">
        <f t="shared" si="46"/>
        <v/>
      </c>
      <c r="AL11" s="46" t="str">
        <f t="shared" si="46"/>
        <v/>
      </c>
      <c r="AM11" s="46" t="str">
        <f t="shared" si="46"/>
        <v/>
      </c>
      <c r="AN11" s="46" t="str">
        <f t="shared" si="46"/>
        <v/>
      </c>
      <c r="AO11" s="46" t="str">
        <f t="shared" si="46"/>
        <v/>
      </c>
      <c r="AP11" s="46">
        <f t="shared" si="46"/>
        <v>0.8479969066</v>
      </c>
      <c r="AQ11" s="46">
        <f t="shared" si="46"/>
        <v>0.9985565831</v>
      </c>
      <c r="AR11" s="46" t="str">
        <f t="shared" si="46"/>
        <v/>
      </c>
      <c r="AS11" s="46" t="str">
        <f t="shared" si="46"/>
        <v/>
      </c>
      <c r="AT11" s="32" t="str">
        <f t="shared" ref="AT11:BE11" si="47">IF(F11=MIN($F11:$Q11),"Yes","")</f>
        <v/>
      </c>
      <c r="AU11" s="32" t="str">
        <f t="shared" si="47"/>
        <v/>
      </c>
      <c r="AV11" s="32" t="str">
        <f t="shared" si="47"/>
        <v/>
      </c>
      <c r="AW11" s="32" t="str">
        <f t="shared" si="47"/>
        <v/>
      </c>
      <c r="AX11" s="32" t="str">
        <f t="shared" si="47"/>
        <v/>
      </c>
      <c r="AY11" s="32" t="str">
        <f t="shared" si="47"/>
        <v/>
      </c>
      <c r="AZ11" s="32" t="str">
        <f t="shared" si="47"/>
        <v/>
      </c>
      <c r="BA11" s="32" t="str">
        <f t="shared" si="47"/>
        <v/>
      </c>
      <c r="BB11" s="32" t="str">
        <f t="shared" si="47"/>
        <v/>
      </c>
      <c r="BC11" s="32" t="str">
        <f t="shared" si="47"/>
        <v>Yes</v>
      </c>
      <c r="BD11" s="32" t="str">
        <f t="shared" si="47"/>
        <v/>
      </c>
      <c r="BE11" s="32" t="str">
        <f t="shared" si="47"/>
        <v/>
      </c>
      <c r="BF11" s="32" t="str">
        <f t="shared" ref="BF11:BQ11" si="48">IF(F11=MAX($F11:$Q11),"Yes","")</f>
        <v/>
      </c>
      <c r="BG11" s="32" t="str">
        <f t="shared" si="48"/>
        <v/>
      </c>
      <c r="BH11" s="32" t="str">
        <f t="shared" si="48"/>
        <v/>
      </c>
      <c r="BI11" s="32" t="str">
        <f t="shared" si="48"/>
        <v/>
      </c>
      <c r="BJ11" s="32" t="str">
        <f t="shared" si="48"/>
        <v/>
      </c>
      <c r="BK11" s="32" t="str">
        <f t="shared" si="48"/>
        <v/>
      </c>
      <c r="BL11" s="32" t="str">
        <f t="shared" si="48"/>
        <v/>
      </c>
      <c r="BM11" s="32" t="str">
        <f t="shared" si="48"/>
        <v/>
      </c>
      <c r="BN11" s="32" t="str">
        <f t="shared" si="48"/>
        <v>Yes</v>
      </c>
      <c r="BO11" s="32" t="str">
        <f t="shared" si="48"/>
        <v/>
      </c>
      <c r="BP11" s="32" t="str">
        <f t="shared" si="48"/>
        <v/>
      </c>
      <c r="BQ11" s="32" t="str">
        <f t="shared" si="48"/>
        <v/>
      </c>
      <c r="BR11" s="32" t="str">
        <f t="shared" si="11"/>
        <v/>
      </c>
      <c r="BS11" s="32" t="str">
        <f t="shared" si="12"/>
        <v/>
      </c>
      <c r="BT11" s="32"/>
      <c r="BU11" s="32"/>
      <c r="BV11" s="32"/>
      <c r="BW11" s="33">
        <f t="shared" si="13"/>
        <v>0</v>
      </c>
      <c r="BX11" s="33">
        <f t="shared" si="14"/>
        <v>0</v>
      </c>
      <c r="BY11" s="34" t="str">
        <f t="shared" si="15"/>
        <v/>
      </c>
      <c r="BZ11" s="33">
        <f t="shared" si="16"/>
        <v>0</v>
      </c>
      <c r="CA11" s="33">
        <f t="shared" si="17"/>
        <v>0</v>
      </c>
      <c r="CB11" s="34" t="str">
        <f t="shared" si="18"/>
        <v/>
      </c>
      <c r="CC11" s="35" t="s">
        <v>63</v>
      </c>
      <c r="CD11" s="33"/>
      <c r="CE11" s="34"/>
      <c r="CF11" s="33"/>
      <c r="CG11" s="33"/>
      <c r="CH11" s="34"/>
      <c r="CI11" s="33"/>
      <c r="CJ11" s="33"/>
      <c r="CK11" s="34"/>
    </row>
    <row r="12" ht="12.75" customHeight="1">
      <c r="A12" s="18">
        <v>11.0</v>
      </c>
      <c r="B12" s="18" t="s">
        <v>55</v>
      </c>
      <c r="C12" s="19" t="s">
        <v>69</v>
      </c>
      <c r="D12" s="49"/>
      <c r="E12" s="21">
        <v>0.0</v>
      </c>
      <c r="F12" s="22">
        <f>Andrew!D12</f>
        <v>0.4</v>
      </c>
      <c r="G12" s="26">
        <f>Bruce!D12</f>
        <v>0.2</v>
      </c>
      <c r="H12" s="67">
        <f>Christine!D12</f>
        <v>0.2</v>
      </c>
      <c r="I12" s="26">
        <f>Eileen!D12</f>
        <v>0.8</v>
      </c>
      <c r="J12" s="67">
        <f>Iain!D12</f>
        <v>0.5</v>
      </c>
      <c r="K12" s="26">
        <f>Gael!D12</f>
        <v>0.75</v>
      </c>
      <c r="L12" s="22">
        <f>Jac!D12</f>
        <v>0.7</v>
      </c>
      <c r="M12" s="66">
        <f>James!D12</f>
        <v>0.05</v>
      </c>
      <c r="N12" s="22">
        <f>Kate!D12</f>
        <v>0.1</v>
      </c>
      <c r="O12" s="66">
        <f>Lachy!D12</f>
        <v>0.65</v>
      </c>
      <c r="P12" s="22">
        <f>Pete!D12</f>
        <v>0.3</v>
      </c>
      <c r="Q12" s="26">
        <f>Rohan!D12</f>
        <v>0.1</v>
      </c>
      <c r="R12" s="22">
        <f t="shared" si="27"/>
        <v>0.2630344058</v>
      </c>
      <c r="S12" s="22">
        <f t="shared" ref="S12:AC12" si="49">IF($E12=1,(LOG(G12,2)+1),IF($E12=0,(LOG(1-G12,2)+1),""))</f>
        <v>0.6780719051</v>
      </c>
      <c r="T12" s="22">
        <f t="shared" si="49"/>
        <v>0.6780719051</v>
      </c>
      <c r="U12" s="22">
        <f t="shared" si="49"/>
        <v>-1.321928095</v>
      </c>
      <c r="V12" s="22">
        <f t="shared" si="49"/>
        <v>0</v>
      </c>
      <c r="W12" s="22">
        <f t="shared" si="49"/>
        <v>-1</v>
      </c>
      <c r="X12" s="22">
        <f t="shared" si="49"/>
        <v>-0.7369655942</v>
      </c>
      <c r="Y12" s="22">
        <f t="shared" si="49"/>
        <v>0.9259994186</v>
      </c>
      <c r="Z12" s="22">
        <f t="shared" si="49"/>
        <v>0.8479969066</v>
      </c>
      <c r="AA12" s="22">
        <f t="shared" si="49"/>
        <v>-0.5145731728</v>
      </c>
      <c r="AB12" s="22">
        <f t="shared" si="49"/>
        <v>0.4854268272</v>
      </c>
      <c r="AC12" s="22">
        <f t="shared" si="49"/>
        <v>0.8479969066</v>
      </c>
      <c r="AD12" s="41"/>
      <c r="AE12" s="31">
        <f t="shared" si="6"/>
        <v>20.92564716</v>
      </c>
      <c r="AF12" s="31">
        <f t="shared" si="7"/>
        <v>0.3958333333</v>
      </c>
      <c r="AG12" s="31">
        <f t="shared" si="8"/>
        <v>0.07611742424</v>
      </c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2" t="str">
        <f t="shared" ref="AT12:BE12" si="50">IF(F12=MIN($F12:$Q12),"Yes","")</f>
        <v/>
      </c>
      <c r="AU12" s="32" t="str">
        <f t="shared" si="50"/>
        <v/>
      </c>
      <c r="AV12" s="32" t="str">
        <f t="shared" si="50"/>
        <v/>
      </c>
      <c r="AW12" s="32" t="str">
        <f t="shared" si="50"/>
        <v/>
      </c>
      <c r="AX12" s="32" t="str">
        <f t="shared" si="50"/>
        <v/>
      </c>
      <c r="AY12" s="32" t="str">
        <f t="shared" si="50"/>
        <v/>
      </c>
      <c r="AZ12" s="32" t="str">
        <f t="shared" si="50"/>
        <v/>
      </c>
      <c r="BA12" s="32" t="str">
        <f t="shared" si="50"/>
        <v>Yes</v>
      </c>
      <c r="BB12" s="32" t="str">
        <f t="shared" si="50"/>
        <v/>
      </c>
      <c r="BC12" s="32" t="str">
        <f t="shared" si="50"/>
        <v/>
      </c>
      <c r="BD12" s="32" t="str">
        <f t="shared" si="50"/>
        <v/>
      </c>
      <c r="BE12" s="32" t="str">
        <f t="shared" si="50"/>
        <v/>
      </c>
      <c r="BF12" s="32" t="str">
        <f t="shared" ref="BF12:BQ12" si="51">IF(F12=MAX($F12:$Q12),"Yes","")</f>
        <v/>
      </c>
      <c r="BG12" s="32" t="str">
        <f t="shared" si="51"/>
        <v/>
      </c>
      <c r="BH12" s="32" t="str">
        <f t="shared" si="51"/>
        <v/>
      </c>
      <c r="BI12" s="32" t="str">
        <f t="shared" si="51"/>
        <v>Yes</v>
      </c>
      <c r="BJ12" s="32" t="str">
        <f t="shared" si="51"/>
        <v/>
      </c>
      <c r="BK12" s="32" t="str">
        <f t="shared" si="51"/>
        <v/>
      </c>
      <c r="BL12" s="32" t="str">
        <f t="shared" si="51"/>
        <v/>
      </c>
      <c r="BM12" s="32" t="str">
        <f t="shared" si="51"/>
        <v/>
      </c>
      <c r="BN12" s="32" t="str">
        <f t="shared" si="51"/>
        <v/>
      </c>
      <c r="BO12" s="32" t="str">
        <f t="shared" si="51"/>
        <v/>
      </c>
      <c r="BP12" s="32" t="str">
        <f t="shared" si="51"/>
        <v/>
      </c>
      <c r="BQ12" s="32" t="str">
        <f t="shared" si="51"/>
        <v/>
      </c>
      <c r="BR12" s="32" t="str">
        <f t="shared" si="11"/>
        <v/>
      </c>
      <c r="BS12" s="32" t="str">
        <f t="shared" si="12"/>
        <v>Yes</v>
      </c>
      <c r="BT12" s="32"/>
      <c r="BU12" s="32"/>
      <c r="BV12" s="32"/>
      <c r="BW12" s="33">
        <f t="shared" si="13"/>
        <v>0</v>
      </c>
      <c r="BX12" s="33">
        <f t="shared" si="14"/>
        <v>0</v>
      </c>
      <c r="BY12" s="34" t="str">
        <f t="shared" si="15"/>
        <v/>
      </c>
      <c r="BZ12" s="33">
        <f t="shared" si="16"/>
        <v>-0.7</v>
      </c>
      <c r="CA12" s="33">
        <f t="shared" si="17"/>
        <v>0.05</v>
      </c>
      <c r="CB12" s="34">
        <f t="shared" si="18"/>
        <v>0.75</v>
      </c>
      <c r="CC12" s="35" t="s">
        <v>63</v>
      </c>
      <c r="CD12" s="33"/>
      <c r="CE12" s="34"/>
      <c r="CF12" s="33"/>
      <c r="CG12" s="33"/>
      <c r="CH12" s="34"/>
      <c r="CI12" s="33"/>
      <c r="CJ12" s="33"/>
      <c r="CK12" s="34"/>
    </row>
    <row r="13" ht="12.75" customHeight="1">
      <c r="A13" s="36">
        <v>12.0</v>
      </c>
      <c r="B13" s="36" t="s">
        <v>55</v>
      </c>
      <c r="C13" s="44" t="s">
        <v>70</v>
      </c>
      <c r="D13" s="38"/>
      <c r="E13" s="39">
        <v>0.0</v>
      </c>
      <c r="F13" s="46">
        <f>Andrew!D13</f>
        <v>0.65</v>
      </c>
      <c r="G13" s="46">
        <f>Bruce!D13</f>
        <v>0.4</v>
      </c>
      <c r="H13" s="46">
        <f>Christine!D13</f>
        <v>0.1</v>
      </c>
      <c r="I13" s="46">
        <f>Eileen!D13</f>
        <v>0.9</v>
      </c>
      <c r="J13" s="46">
        <f>Iain!D13</f>
        <v>0.9</v>
      </c>
      <c r="K13" s="46">
        <f>Gael!D13</f>
        <v>0.35</v>
      </c>
      <c r="L13" s="46">
        <f>Jac!D13</f>
        <v>0.2</v>
      </c>
      <c r="M13" s="46">
        <f>James!D13</f>
        <v>0.1</v>
      </c>
      <c r="N13" s="46">
        <f>Kate!D13</f>
        <v>0.6</v>
      </c>
      <c r="O13" s="46">
        <f>Lachy!D13</f>
        <v>0.15</v>
      </c>
      <c r="P13" s="46">
        <f>Pete!D13</f>
        <v>0.3</v>
      </c>
      <c r="Q13" s="46">
        <f>Rohan!D13</f>
        <v>0.6</v>
      </c>
      <c r="R13" s="31">
        <f t="shared" si="27"/>
        <v>-0.5145731728</v>
      </c>
      <c r="S13" s="31">
        <f t="shared" ref="S13:AC13" si="52">IF($E13=1,(LOG(G13,2)+1),IF($E13=0,(LOG(1-G13,2)+1),""))</f>
        <v>0.2630344058</v>
      </c>
      <c r="T13" s="31">
        <f t="shared" si="52"/>
        <v>0.8479969066</v>
      </c>
      <c r="U13" s="31">
        <f t="shared" si="52"/>
        <v>-2.321928095</v>
      </c>
      <c r="V13" s="31">
        <f t="shared" si="52"/>
        <v>-2.321928095</v>
      </c>
      <c r="W13" s="31">
        <f t="shared" si="52"/>
        <v>0.3785116233</v>
      </c>
      <c r="X13" s="31">
        <f t="shared" si="52"/>
        <v>0.6780719051</v>
      </c>
      <c r="Y13" s="31">
        <f t="shared" si="52"/>
        <v>0.8479969066</v>
      </c>
      <c r="Z13" s="31">
        <f t="shared" si="52"/>
        <v>-0.3219280949</v>
      </c>
      <c r="AA13" s="31">
        <f t="shared" si="52"/>
        <v>0.7655347464</v>
      </c>
      <c r="AB13" s="31">
        <f t="shared" si="52"/>
        <v>0.4854268272</v>
      </c>
      <c r="AC13" s="31">
        <f t="shared" si="52"/>
        <v>-0.3219280949</v>
      </c>
      <c r="AD13" s="41"/>
      <c r="AE13" s="31">
        <f t="shared" si="6"/>
        <v>21.94564986</v>
      </c>
      <c r="AF13" s="31">
        <f t="shared" si="7"/>
        <v>0.4375</v>
      </c>
      <c r="AG13" s="31">
        <f t="shared" si="8"/>
        <v>0.08369318182</v>
      </c>
      <c r="AH13" s="46" t="str">
        <f t="shared" ref="AH13:AS13" si="53">IF(F13=MIN($F13:$Q13),LOG(1-F13,2)+1,IF(F13=MAX($F13:$Q13),LOG(F13,2)+1,""))</f>
        <v/>
      </c>
      <c r="AI13" s="46" t="str">
        <f t="shared" si="53"/>
        <v/>
      </c>
      <c r="AJ13" s="46">
        <f t="shared" si="53"/>
        <v>0.8479969066</v>
      </c>
      <c r="AK13" s="46">
        <f t="shared" si="53"/>
        <v>0.8479969066</v>
      </c>
      <c r="AL13" s="46">
        <f t="shared" si="53"/>
        <v>0.8479969066</v>
      </c>
      <c r="AM13" s="46" t="str">
        <f t="shared" si="53"/>
        <v/>
      </c>
      <c r="AN13" s="46" t="str">
        <f t="shared" si="53"/>
        <v/>
      </c>
      <c r="AO13" s="46">
        <f t="shared" si="53"/>
        <v>0.8479969066</v>
      </c>
      <c r="AP13" s="46" t="str">
        <f t="shared" si="53"/>
        <v/>
      </c>
      <c r="AQ13" s="46" t="str">
        <f t="shared" si="53"/>
        <v/>
      </c>
      <c r="AR13" s="46" t="str">
        <f t="shared" si="53"/>
        <v/>
      </c>
      <c r="AS13" s="46" t="str">
        <f t="shared" si="53"/>
        <v/>
      </c>
      <c r="AT13" s="32" t="str">
        <f t="shared" ref="AT13:BE13" si="54">IF(F13=MIN($F13:$Q13),"Yes","")</f>
        <v/>
      </c>
      <c r="AU13" s="32" t="str">
        <f t="shared" si="54"/>
        <v/>
      </c>
      <c r="AV13" s="32" t="str">
        <f t="shared" si="54"/>
        <v>Yes</v>
      </c>
      <c r="AW13" s="32" t="str">
        <f t="shared" si="54"/>
        <v/>
      </c>
      <c r="AX13" s="32" t="str">
        <f t="shared" si="54"/>
        <v/>
      </c>
      <c r="AY13" s="32" t="str">
        <f t="shared" si="54"/>
        <v/>
      </c>
      <c r="AZ13" s="32" t="str">
        <f t="shared" si="54"/>
        <v/>
      </c>
      <c r="BA13" s="32" t="str">
        <f t="shared" si="54"/>
        <v>Yes</v>
      </c>
      <c r="BB13" s="32" t="str">
        <f t="shared" si="54"/>
        <v/>
      </c>
      <c r="BC13" s="32" t="str">
        <f t="shared" si="54"/>
        <v/>
      </c>
      <c r="BD13" s="32" t="str">
        <f t="shared" si="54"/>
        <v/>
      </c>
      <c r="BE13" s="32" t="str">
        <f t="shared" si="54"/>
        <v/>
      </c>
      <c r="BF13" s="32" t="str">
        <f t="shared" ref="BF13:BQ13" si="55">IF(F13=MAX($F13:$Q13),"Yes","")</f>
        <v/>
      </c>
      <c r="BG13" s="32" t="str">
        <f t="shared" si="55"/>
        <v/>
      </c>
      <c r="BH13" s="32" t="str">
        <f t="shared" si="55"/>
        <v/>
      </c>
      <c r="BI13" s="32" t="str">
        <f t="shared" si="55"/>
        <v>Yes</v>
      </c>
      <c r="BJ13" s="32" t="str">
        <f t="shared" si="55"/>
        <v>Yes</v>
      </c>
      <c r="BK13" s="32" t="str">
        <f t="shared" si="55"/>
        <v/>
      </c>
      <c r="BL13" s="32" t="str">
        <f t="shared" si="55"/>
        <v/>
      </c>
      <c r="BM13" s="32" t="str">
        <f t="shared" si="55"/>
        <v/>
      </c>
      <c r="BN13" s="32" t="str">
        <f t="shared" si="55"/>
        <v/>
      </c>
      <c r="BO13" s="32" t="str">
        <f t="shared" si="55"/>
        <v/>
      </c>
      <c r="BP13" s="32" t="str">
        <f t="shared" si="55"/>
        <v/>
      </c>
      <c r="BQ13" s="32" t="str">
        <f t="shared" si="55"/>
        <v/>
      </c>
      <c r="BR13" s="32" t="str">
        <f t="shared" si="11"/>
        <v/>
      </c>
      <c r="BS13" s="32" t="str">
        <f t="shared" si="12"/>
        <v/>
      </c>
      <c r="BT13" s="32"/>
      <c r="BU13" s="32"/>
      <c r="BV13" s="32"/>
      <c r="BW13" s="33">
        <f t="shared" si="13"/>
        <v>0</v>
      </c>
      <c r="BX13" s="33">
        <f t="shared" si="14"/>
        <v>0</v>
      </c>
      <c r="BY13" s="34" t="str">
        <f t="shared" si="15"/>
        <v/>
      </c>
      <c r="BZ13" s="33">
        <f t="shared" si="16"/>
        <v>0</v>
      </c>
      <c r="CA13" s="33">
        <f t="shared" si="17"/>
        <v>0</v>
      </c>
      <c r="CB13" s="34" t="str">
        <f t="shared" si="18"/>
        <v/>
      </c>
      <c r="CC13" s="35" t="s">
        <v>63</v>
      </c>
      <c r="CD13" s="33"/>
      <c r="CE13" s="34"/>
      <c r="CF13" s="33"/>
      <c r="CG13" s="33"/>
      <c r="CH13" s="34"/>
      <c r="CI13" s="33"/>
      <c r="CJ13" s="33"/>
      <c r="CK13" s="34"/>
    </row>
    <row r="14" ht="12.75" customHeight="1">
      <c r="A14" s="18">
        <v>13.0</v>
      </c>
      <c r="B14" s="18" t="s">
        <v>55</v>
      </c>
      <c r="C14" s="19" t="s">
        <v>71</v>
      </c>
      <c r="D14" s="49"/>
      <c r="E14" s="21">
        <v>1.0</v>
      </c>
      <c r="F14" s="22">
        <f>Andrew!D14</f>
        <v>0.55</v>
      </c>
      <c r="G14" s="26">
        <f>Bruce!D14</f>
        <v>0.7</v>
      </c>
      <c r="H14" s="22">
        <f>Christine!D14</f>
        <v>0.3</v>
      </c>
      <c r="I14" s="26">
        <f>Eileen!D14</f>
        <v>0.6</v>
      </c>
      <c r="J14" s="22">
        <f>Iain!D14</f>
        <v>0.7</v>
      </c>
      <c r="K14" s="26">
        <f>Gael!D14</f>
        <v>0.65</v>
      </c>
      <c r="L14" s="22">
        <f>Jac!D14</f>
        <v>0.5</v>
      </c>
      <c r="M14" s="26">
        <f>James!D14</f>
        <v>0.3</v>
      </c>
      <c r="N14" s="22">
        <f>Kate!D14</f>
        <v>0.1</v>
      </c>
      <c r="O14" s="26">
        <f>Lachy!D14</f>
        <v>0.15</v>
      </c>
      <c r="P14" s="22">
        <f>Pete!D14</f>
        <v>0.5</v>
      </c>
      <c r="Q14" s="26">
        <f>Rohan!D14</f>
        <v>0.5</v>
      </c>
      <c r="R14" s="22">
        <f t="shared" si="27"/>
        <v>0.1375035237</v>
      </c>
      <c r="S14" s="22">
        <f t="shared" ref="S14:AC14" si="56">IF($E14=1,(LOG(G14,2)+1),IF($E14=0,(LOG(1-G14,2)+1),""))</f>
        <v>0.4854268272</v>
      </c>
      <c r="T14" s="22">
        <f t="shared" si="56"/>
        <v>-0.7369655942</v>
      </c>
      <c r="U14" s="22">
        <f t="shared" si="56"/>
        <v>0.2630344058</v>
      </c>
      <c r="V14" s="22">
        <f t="shared" si="56"/>
        <v>0.4854268272</v>
      </c>
      <c r="W14" s="22">
        <f t="shared" si="56"/>
        <v>0.3785116233</v>
      </c>
      <c r="X14" s="22">
        <f t="shared" si="56"/>
        <v>0</v>
      </c>
      <c r="Y14" s="22">
        <f t="shared" si="56"/>
        <v>-0.7369655942</v>
      </c>
      <c r="Z14" s="22">
        <f t="shared" si="56"/>
        <v>-2.321928095</v>
      </c>
      <c r="AA14" s="22">
        <f t="shared" si="56"/>
        <v>-1.736965594</v>
      </c>
      <c r="AB14" s="22">
        <f t="shared" si="56"/>
        <v>0</v>
      </c>
      <c r="AC14" s="22">
        <f t="shared" si="56"/>
        <v>0</v>
      </c>
      <c r="AD14" s="41"/>
      <c r="AE14" s="31">
        <f t="shared" si="6"/>
        <v>12.32954894</v>
      </c>
      <c r="AF14" s="31">
        <f t="shared" si="7"/>
        <v>0.4625</v>
      </c>
      <c r="AG14" s="31">
        <f t="shared" si="8"/>
        <v>0.041875</v>
      </c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2" t="str">
        <f t="shared" ref="AT14:BE14" si="57">IF(F14=MIN($F14:$Q14),"Yes","")</f>
        <v/>
      </c>
      <c r="AU14" s="32" t="str">
        <f t="shared" si="57"/>
        <v/>
      </c>
      <c r="AV14" s="32" t="str">
        <f t="shared" si="57"/>
        <v/>
      </c>
      <c r="AW14" s="32" t="str">
        <f t="shared" si="57"/>
        <v/>
      </c>
      <c r="AX14" s="32" t="str">
        <f t="shared" si="57"/>
        <v/>
      </c>
      <c r="AY14" s="32" t="str">
        <f t="shared" si="57"/>
        <v/>
      </c>
      <c r="AZ14" s="32" t="str">
        <f t="shared" si="57"/>
        <v/>
      </c>
      <c r="BA14" s="32" t="str">
        <f t="shared" si="57"/>
        <v/>
      </c>
      <c r="BB14" s="32" t="str">
        <f t="shared" si="57"/>
        <v>Yes</v>
      </c>
      <c r="BC14" s="32" t="str">
        <f t="shared" si="57"/>
        <v/>
      </c>
      <c r="BD14" s="32" t="str">
        <f t="shared" si="57"/>
        <v/>
      </c>
      <c r="BE14" s="32" t="str">
        <f t="shared" si="57"/>
        <v/>
      </c>
      <c r="BF14" s="32" t="str">
        <f t="shared" ref="BF14:BQ14" si="58">IF(F14=MAX($F14:$Q14),"Yes","")</f>
        <v/>
      </c>
      <c r="BG14" s="32" t="str">
        <f t="shared" si="58"/>
        <v>Yes</v>
      </c>
      <c r="BH14" s="32" t="str">
        <f t="shared" si="58"/>
        <v/>
      </c>
      <c r="BI14" s="32" t="str">
        <f t="shared" si="58"/>
        <v/>
      </c>
      <c r="BJ14" s="32" t="str">
        <f t="shared" si="58"/>
        <v>Yes</v>
      </c>
      <c r="BK14" s="32" t="str">
        <f t="shared" si="58"/>
        <v/>
      </c>
      <c r="BL14" s="32" t="str">
        <f t="shared" si="58"/>
        <v/>
      </c>
      <c r="BM14" s="32" t="str">
        <f t="shared" si="58"/>
        <v/>
      </c>
      <c r="BN14" s="32" t="str">
        <f t="shared" si="58"/>
        <v/>
      </c>
      <c r="BO14" s="32" t="str">
        <f t="shared" si="58"/>
        <v/>
      </c>
      <c r="BP14" s="32" t="str">
        <f t="shared" si="58"/>
        <v/>
      </c>
      <c r="BQ14" s="32" t="str">
        <f t="shared" si="58"/>
        <v/>
      </c>
      <c r="BR14" s="32" t="str">
        <f t="shared" si="11"/>
        <v/>
      </c>
      <c r="BS14" s="32" t="str">
        <f t="shared" si="12"/>
        <v/>
      </c>
      <c r="BT14" s="32"/>
      <c r="BU14" s="32"/>
      <c r="BV14" s="32"/>
      <c r="BW14" s="33">
        <f t="shared" si="13"/>
        <v>0</v>
      </c>
      <c r="BX14" s="33">
        <f t="shared" si="14"/>
        <v>0</v>
      </c>
      <c r="BY14" s="34" t="str">
        <f t="shared" si="15"/>
        <v/>
      </c>
      <c r="BZ14" s="33">
        <f t="shared" si="16"/>
        <v>0</v>
      </c>
      <c r="CA14" s="33">
        <f t="shared" si="17"/>
        <v>0</v>
      </c>
      <c r="CB14" s="34" t="str">
        <f t="shared" si="18"/>
        <v/>
      </c>
      <c r="CC14" s="35"/>
      <c r="CD14" s="33"/>
      <c r="CE14" s="34"/>
      <c r="CF14" s="33"/>
      <c r="CG14" s="33"/>
      <c r="CH14" s="34"/>
      <c r="CI14" s="33"/>
      <c r="CJ14" s="33"/>
      <c r="CK14" s="34"/>
    </row>
    <row r="15" ht="12.75" customHeight="1">
      <c r="A15" s="36">
        <v>14.0</v>
      </c>
      <c r="B15" s="36" t="s">
        <v>55</v>
      </c>
      <c r="C15" s="37" t="s">
        <v>72</v>
      </c>
      <c r="D15" s="38"/>
      <c r="E15" s="39">
        <v>0.0</v>
      </c>
      <c r="F15" s="31">
        <f>Andrew!D15</f>
        <v>0.4</v>
      </c>
      <c r="G15" s="31">
        <f>Bruce!D15</f>
        <v>0.8</v>
      </c>
      <c r="H15" s="31">
        <f>Christine!D15</f>
        <v>0.7</v>
      </c>
      <c r="I15" s="31">
        <f>Eileen!D15</f>
        <v>0.4</v>
      </c>
      <c r="J15" s="31">
        <f>Iain!D15</f>
        <v>0.3</v>
      </c>
      <c r="K15" s="31">
        <f>Gael!D15</f>
        <v>0.85</v>
      </c>
      <c r="L15" s="31">
        <f>Jac!D15</f>
        <v>0.6</v>
      </c>
      <c r="M15" s="31">
        <f>James!D15</f>
        <v>0.7</v>
      </c>
      <c r="N15" s="31">
        <f>Kate!D15</f>
        <v>0.9</v>
      </c>
      <c r="O15" s="31">
        <f>Lachy!D15</f>
        <v>0.15</v>
      </c>
      <c r="P15" s="31">
        <f>Pete!D15</f>
        <v>0.5</v>
      </c>
      <c r="Q15" s="31">
        <f>Rohan!D15</f>
        <v>0.4</v>
      </c>
      <c r="R15" s="31">
        <f t="shared" si="27"/>
        <v>0.2630344058</v>
      </c>
      <c r="S15" s="31">
        <f t="shared" ref="S15:AC15" si="59">IF($E15=1,(LOG(G15,2)+1),IF($E15=0,(LOG(1-G15,2)+1),""))</f>
        <v>-1.321928095</v>
      </c>
      <c r="T15" s="31">
        <f t="shared" si="59"/>
        <v>-0.7369655942</v>
      </c>
      <c r="U15" s="31">
        <f t="shared" si="59"/>
        <v>0.2630344058</v>
      </c>
      <c r="V15" s="31">
        <f t="shared" si="59"/>
        <v>0.4854268272</v>
      </c>
      <c r="W15" s="31">
        <f t="shared" si="59"/>
        <v>-1.736965594</v>
      </c>
      <c r="X15" s="31">
        <f t="shared" si="59"/>
        <v>-0.3219280949</v>
      </c>
      <c r="Y15" s="31">
        <f t="shared" si="59"/>
        <v>-0.7369655942</v>
      </c>
      <c r="Z15" s="31">
        <f t="shared" si="59"/>
        <v>-2.321928095</v>
      </c>
      <c r="AA15" s="31">
        <f t="shared" si="59"/>
        <v>0.7655347464</v>
      </c>
      <c r="AB15" s="31">
        <f t="shared" si="59"/>
        <v>0</v>
      </c>
      <c r="AC15" s="31">
        <f t="shared" si="59"/>
        <v>0.2630344058</v>
      </c>
      <c r="AD15" s="41"/>
      <c r="AE15" s="31">
        <f t="shared" si="6"/>
        <v>15.01202795</v>
      </c>
      <c r="AF15" s="31">
        <f t="shared" si="7"/>
        <v>0.5583333333</v>
      </c>
      <c r="AG15" s="31">
        <f t="shared" si="8"/>
        <v>0.05583333333</v>
      </c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2" t="str">
        <f t="shared" ref="AT15:BE15" si="60">IF(F15=MIN($F15:$Q15),"Yes","")</f>
        <v/>
      </c>
      <c r="AU15" s="32" t="str">
        <f t="shared" si="60"/>
        <v/>
      </c>
      <c r="AV15" s="32" t="str">
        <f t="shared" si="60"/>
        <v/>
      </c>
      <c r="AW15" s="32" t="str">
        <f t="shared" si="60"/>
        <v/>
      </c>
      <c r="AX15" s="32" t="str">
        <f t="shared" si="60"/>
        <v/>
      </c>
      <c r="AY15" s="32" t="str">
        <f t="shared" si="60"/>
        <v/>
      </c>
      <c r="AZ15" s="32" t="str">
        <f t="shared" si="60"/>
        <v/>
      </c>
      <c r="BA15" s="32" t="str">
        <f t="shared" si="60"/>
        <v/>
      </c>
      <c r="BB15" s="32" t="str">
        <f t="shared" si="60"/>
        <v/>
      </c>
      <c r="BC15" s="32" t="str">
        <f t="shared" si="60"/>
        <v>Yes</v>
      </c>
      <c r="BD15" s="32" t="str">
        <f t="shared" si="60"/>
        <v/>
      </c>
      <c r="BE15" s="32" t="str">
        <f t="shared" si="60"/>
        <v/>
      </c>
      <c r="BF15" s="32" t="str">
        <f t="shared" ref="BF15:BQ15" si="61">IF(F15=MAX($F15:$Q15),"Yes","")</f>
        <v/>
      </c>
      <c r="BG15" s="32" t="str">
        <f t="shared" si="61"/>
        <v/>
      </c>
      <c r="BH15" s="32" t="str">
        <f t="shared" si="61"/>
        <v/>
      </c>
      <c r="BI15" s="32" t="str">
        <f t="shared" si="61"/>
        <v/>
      </c>
      <c r="BJ15" s="32" t="str">
        <f t="shared" si="61"/>
        <v/>
      </c>
      <c r="BK15" s="32" t="str">
        <f t="shared" si="61"/>
        <v/>
      </c>
      <c r="BL15" s="32" t="str">
        <f t="shared" si="61"/>
        <v/>
      </c>
      <c r="BM15" s="32" t="str">
        <f t="shared" si="61"/>
        <v/>
      </c>
      <c r="BN15" s="32" t="str">
        <f t="shared" si="61"/>
        <v>Yes</v>
      </c>
      <c r="BO15" s="32" t="str">
        <f t="shared" si="61"/>
        <v/>
      </c>
      <c r="BP15" s="32" t="str">
        <f t="shared" si="61"/>
        <v/>
      </c>
      <c r="BQ15" s="32" t="str">
        <f t="shared" si="61"/>
        <v/>
      </c>
      <c r="BR15" s="32" t="str">
        <f t="shared" si="11"/>
        <v/>
      </c>
      <c r="BS15" s="32" t="str">
        <f t="shared" si="12"/>
        <v/>
      </c>
      <c r="BT15" s="32"/>
      <c r="BU15" s="32"/>
      <c r="BV15" s="32"/>
      <c r="BW15" s="33">
        <f t="shared" si="13"/>
        <v>0</v>
      </c>
      <c r="BX15" s="33">
        <f t="shared" si="14"/>
        <v>0</v>
      </c>
      <c r="BY15" s="34" t="str">
        <f t="shared" si="15"/>
        <v/>
      </c>
      <c r="BZ15" s="33">
        <f t="shared" si="16"/>
        <v>0</v>
      </c>
      <c r="CA15" s="33">
        <f t="shared" si="17"/>
        <v>0</v>
      </c>
      <c r="CB15" s="34" t="str">
        <f t="shared" si="18"/>
        <v/>
      </c>
      <c r="CC15" s="35" t="s">
        <v>63</v>
      </c>
      <c r="CD15" s="33"/>
      <c r="CE15" s="34"/>
      <c r="CF15" s="33"/>
      <c r="CG15" s="33"/>
      <c r="CH15" s="34"/>
      <c r="CI15" s="33"/>
      <c r="CJ15" s="33"/>
      <c r="CK15" s="34"/>
    </row>
    <row r="16" ht="12.75" customHeight="1">
      <c r="A16" s="18">
        <v>15.0</v>
      </c>
      <c r="B16" s="18" t="s">
        <v>73</v>
      </c>
      <c r="C16" s="19" t="s">
        <v>74</v>
      </c>
      <c r="D16" s="49"/>
      <c r="E16" s="21">
        <v>0.0</v>
      </c>
      <c r="F16" s="22">
        <f>Andrew!D16</f>
        <v>0.55</v>
      </c>
      <c r="G16" s="26">
        <f>Bruce!D16</f>
        <v>0.4</v>
      </c>
      <c r="H16" s="22">
        <f>Christine!D16</f>
        <v>0.7</v>
      </c>
      <c r="I16" s="26">
        <f>Eileen!D16</f>
        <v>0.15</v>
      </c>
      <c r="J16" s="22">
        <f>Iain!D16</f>
        <v>0.6</v>
      </c>
      <c r="K16" s="26">
        <f>Gael!D16</f>
        <v>0.8</v>
      </c>
      <c r="L16" s="22">
        <f>Jac!D16</f>
        <v>0.2</v>
      </c>
      <c r="M16" s="26">
        <f>James!D16</f>
        <v>0.7</v>
      </c>
      <c r="N16" s="22">
        <f>Kate!D16</f>
        <v>0.8</v>
      </c>
      <c r="O16" s="26">
        <f>Lachy!D16</f>
        <v>0.15</v>
      </c>
      <c r="P16" s="22">
        <f>Pete!D16</f>
        <v>0.5</v>
      </c>
      <c r="Q16" s="26">
        <f>Rohan!D16</f>
        <v>0.01</v>
      </c>
      <c r="R16" s="22">
        <f t="shared" si="27"/>
        <v>-0.1520030934</v>
      </c>
      <c r="S16" s="22">
        <f t="shared" ref="S16:AC16" si="62">IF($E16=1,(LOG(G16,2)+1),IF($E16=0,(LOG(1-G16,2)+1),""))</f>
        <v>0.2630344058</v>
      </c>
      <c r="T16" s="22">
        <f t="shared" si="62"/>
        <v>-0.7369655942</v>
      </c>
      <c r="U16" s="22">
        <f t="shared" si="62"/>
        <v>0.7655347464</v>
      </c>
      <c r="V16" s="22">
        <f t="shared" si="62"/>
        <v>-0.3219280949</v>
      </c>
      <c r="W16" s="22">
        <f t="shared" si="62"/>
        <v>-1.321928095</v>
      </c>
      <c r="X16" s="22">
        <f t="shared" si="62"/>
        <v>0.6780719051</v>
      </c>
      <c r="Y16" s="22">
        <f t="shared" si="62"/>
        <v>-0.7369655942</v>
      </c>
      <c r="Z16" s="22">
        <f t="shared" si="62"/>
        <v>-1.321928095</v>
      </c>
      <c r="AA16" s="22">
        <f t="shared" si="62"/>
        <v>0.7655347464</v>
      </c>
      <c r="AB16" s="22">
        <f t="shared" si="62"/>
        <v>0</v>
      </c>
      <c r="AC16" s="22">
        <f t="shared" si="62"/>
        <v>0.9855004303</v>
      </c>
      <c r="AD16" s="41"/>
      <c r="AE16" s="31">
        <f t="shared" si="6"/>
        <v>21.53857376</v>
      </c>
      <c r="AF16" s="31">
        <f t="shared" si="7"/>
        <v>0.4633333333</v>
      </c>
      <c r="AG16" s="31">
        <f t="shared" si="8"/>
        <v>0.0764969697</v>
      </c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2" t="str">
        <f t="shared" ref="AT16:BE16" si="63">IF(F16=MIN($F16:$Q16),"Yes","")</f>
        <v/>
      </c>
      <c r="AU16" s="32" t="str">
        <f t="shared" si="63"/>
        <v/>
      </c>
      <c r="AV16" s="32" t="str">
        <f t="shared" si="63"/>
        <v/>
      </c>
      <c r="AW16" s="32" t="str">
        <f t="shared" si="63"/>
        <v/>
      </c>
      <c r="AX16" s="32" t="str">
        <f t="shared" si="63"/>
        <v/>
      </c>
      <c r="AY16" s="32" t="str">
        <f t="shared" si="63"/>
        <v/>
      </c>
      <c r="AZ16" s="32" t="str">
        <f t="shared" si="63"/>
        <v/>
      </c>
      <c r="BA16" s="32" t="str">
        <f t="shared" si="63"/>
        <v/>
      </c>
      <c r="BB16" s="32" t="str">
        <f t="shared" si="63"/>
        <v/>
      </c>
      <c r="BC16" s="32" t="str">
        <f t="shared" si="63"/>
        <v/>
      </c>
      <c r="BD16" s="32" t="str">
        <f t="shared" si="63"/>
        <v/>
      </c>
      <c r="BE16" s="32" t="str">
        <f t="shared" si="63"/>
        <v>Yes</v>
      </c>
      <c r="BF16" s="32" t="str">
        <f t="shared" ref="BF16:BQ16" si="64">IF(F16=MAX($F16:$Q16),"Yes","")</f>
        <v/>
      </c>
      <c r="BG16" s="32" t="str">
        <f t="shared" si="64"/>
        <v/>
      </c>
      <c r="BH16" s="32" t="str">
        <f t="shared" si="64"/>
        <v/>
      </c>
      <c r="BI16" s="32" t="str">
        <f t="shared" si="64"/>
        <v/>
      </c>
      <c r="BJ16" s="32" t="str">
        <f t="shared" si="64"/>
        <v/>
      </c>
      <c r="BK16" s="32" t="str">
        <f t="shared" si="64"/>
        <v>Yes</v>
      </c>
      <c r="BL16" s="32" t="str">
        <f t="shared" si="64"/>
        <v/>
      </c>
      <c r="BM16" s="32" t="str">
        <f t="shared" si="64"/>
        <v/>
      </c>
      <c r="BN16" s="32" t="str">
        <f t="shared" si="64"/>
        <v>Yes</v>
      </c>
      <c r="BO16" s="32" t="str">
        <f t="shared" si="64"/>
        <v/>
      </c>
      <c r="BP16" s="32" t="str">
        <f t="shared" si="64"/>
        <v/>
      </c>
      <c r="BQ16" s="32" t="str">
        <f t="shared" si="64"/>
        <v/>
      </c>
      <c r="BR16" s="32" t="str">
        <f t="shared" si="11"/>
        <v/>
      </c>
      <c r="BS16" s="32" t="str">
        <f t="shared" si="12"/>
        <v>Yes</v>
      </c>
      <c r="BT16" s="32"/>
      <c r="BU16" s="32"/>
      <c r="BV16" s="32"/>
      <c r="BW16" s="33">
        <f t="shared" si="13"/>
        <v>0</v>
      </c>
      <c r="BX16" s="33">
        <f t="shared" si="14"/>
        <v>0</v>
      </c>
      <c r="BY16" s="34" t="str">
        <f t="shared" si="15"/>
        <v/>
      </c>
      <c r="BZ16" s="33">
        <f t="shared" si="16"/>
        <v>-0.2</v>
      </c>
      <c r="CA16" s="33">
        <f t="shared" si="17"/>
        <v>0.7</v>
      </c>
      <c r="CB16" s="34">
        <f t="shared" si="18"/>
        <v>0.9</v>
      </c>
      <c r="CC16" s="35"/>
      <c r="CD16" s="33"/>
      <c r="CE16" s="34"/>
      <c r="CF16" s="33"/>
      <c r="CG16" s="33"/>
      <c r="CH16" s="34"/>
      <c r="CI16" s="33"/>
      <c r="CJ16" s="33"/>
      <c r="CK16" s="34"/>
    </row>
    <row r="17" ht="12.75" customHeight="1">
      <c r="A17" s="36">
        <v>16.0</v>
      </c>
      <c r="B17" s="36" t="s">
        <v>73</v>
      </c>
      <c r="C17" s="44" t="s">
        <v>75</v>
      </c>
      <c r="D17" s="38">
        <v>44648.0</v>
      </c>
      <c r="E17" s="69">
        <v>1.0</v>
      </c>
      <c r="F17" s="46">
        <f>Andrew!D17</f>
        <v>0.8</v>
      </c>
      <c r="G17" s="46">
        <f>Bruce!D17</f>
        <v>0.6</v>
      </c>
      <c r="H17" s="46">
        <f>Christine!D17</f>
        <v>0.2</v>
      </c>
      <c r="I17" s="70">
        <f>Eileen!D17</f>
        <v>0.9</v>
      </c>
      <c r="J17" s="70">
        <f>Iain!D17</f>
        <v>0.9</v>
      </c>
      <c r="K17" s="70">
        <f>Gael!D17</f>
        <v>0.95</v>
      </c>
      <c r="L17" s="46">
        <f>Jac!D17</f>
        <v>0.7</v>
      </c>
      <c r="M17" s="46">
        <f>James!D17</f>
        <v>0.2</v>
      </c>
      <c r="N17" s="46">
        <f>Kate!D17</f>
        <v>0.1</v>
      </c>
      <c r="O17" s="46">
        <f>Lachy!D17</f>
        <v>0.5</v>
      </c>
      <c r="P17" s="46">
        <f>Pete!D17</f>
        <v>0.5</v>
      </c>
      <c r="Q17" s="46">
        <f>Rohan!D17</f>
        <v>0.3</v>
      </c>
      <c r="R17" s="31">
        <f t="shared" si="27"/>
        <v>0.6780719051</v>
      </c>
      <c r="S17" s="31">
        <f t="shared" ref="S17:AC17" si="65">IF($E17=1,(LOG(G17,2)+1),IF($E17=0,(LOG(1-G17,2)+1),""))</f>
        <v>0.2630344058</v>
      </c>
      <c r="T17" s="31">
        <f t="shared" si="65"/>
        <v>-1.321928095</v>
      </c>
      <c r="U17" s="31">
        <f t="shared" si="65"/>
        <v>0.8479969066</v>
      </c>
      <c r="V17" s="31">
        <f t="shared" si="65"/>
        <v>0.8479969066</v>
      </c>
      <c r="W17" s="31">
        <f t="shared" si="65"/>
        <v>0.9259994186</v>
      </c>
      <c r="X17" s="31">
        <f t="shared" si="65"/>
        <v>0.4854268272</v>
      </c>
      <c r="Y17" s="31">
        <f t="shared" si="65"/>
        <v>-1.321928095</v>
      </c>
      <c r="Z17" s="31">
        <f t="shared" si="65"/>
        <v>-2.321928095</v>
      </c>
      <c r="AA17" s="31">
        <f t="shared" si="65"/>
        <v>0</v>
      </c>
      <c r="AB17" s="31">
        <f t="shared" si="65"/>
        <v>0</v>
      </c>
      <c r="AC17" s="31">
        <f t="shared" si="65"/>
        <v>-0.7369655942</v>
      </c>
      <c r="AD17" s="41"/>
      <c r="AE17" s="31">
        <f t="shared" si="6"/>
        <v>22.78744986</v>
      </c>
      <c r="AF17" s="31">
        <f t="shared" si="7"/>
        <v>0.5541666667</v>
      </c>
      <c r="AG17" s="31">
        <f t="shared" si="8"/>
        <v>0.0915719697</v>
      </c>
      <c r="AH17" s="46" t="str">
        <f t="shared" ref="AH17:AS17" si="66">IF(F17=MIN($F17:$Q17),LOG(1-F17,2)+1,IF(F17=MAX($F17:$Q17),LOG(F17,2)+1,""))</f>
        <v/>
      </c>
      <c r="AI17" s="46" t="str">
        <f t="shared" si="66"/>
        <v/>
      </c>
      <c r="AJ17" s="46" t="str">
        <f t="shared" si="66"/>
        <v/>
      </c>
      <c r="AK17" s="46" t="str">
        <f t="shared" si="66"/>
        <v/>
      </c>
      <c r="AL17" s="46" t="str">
        <f t="shared" si="66"/>
        <v/>
      </c>
      <c r="AM17" s="46">
        <f t="shared" si="66"/>
        <v>0.9259994186</v>
      </c>
      <c r="AN17" s="46" t="str">
        <f t="shared" si="66"/>
        <v/>
      </c>
      <c r="AO17" s="46" t="str">
        <f t="shared" si="66"/>
        <v/>
      </c>
      <c r="AP17" s="46">
        <f t="shared" si="66"/>
        <v>0.8479969066</v>
      </c>
      <c r="AQ17" s="46" t="str">
        <f t="shared" si="66"/>
        <v/>
      </c>
      <c r="AR17" s="46" t="str">
        <f t="shared" si="66"/>
        <v/>
      </c>
      <c r="AS17" s="46" t="str">
        <f t="shared" si="66"/>
        <v/>
      </c>
      <c r="AT17" s="32" t="str">
        <f t="shared" ref="AT17:BE17" si="67">IF(F17=MIN($F17:$Q17),"Yes","")</f>
        <v/>
      </c>
      <c r="AU17" s="32" t="str">
        <f t="shared" si="67"/>
        <v/>
      </c>
      <c r="AV17" s="32" t="str">
        <f t="shared" si="67"/>
        <v/>
      </c>
      <c r="AW17" s="32" t="str">
        <f t="shared" si="67"/>
        <v/>
      </c>
      <c r="AX17" s="32" t="str">
        <f t="shared" si="67"/>
        <v/>
      </c>
      <c r="AY17" s="32" t="str">
        <f t="shared" si="67"/>
        <v/>
      </c>
      <c r="AZ17" s="32" t="str">
        <f t="shared" si="67"/>
        <v/>
      </c>
      <c r="BA17" s="32" t="str">
        <f t="shared" si="67"/>
        <v/>
      </c>
      <c r="BB17" s="32" t="str">
        <f t="shared" si="67"/>
        <v>Yes</v>
      </c>
      <c r="BC17" s="32" t="str">
        <f t="shared" si="67"/>
        <v/>
      </c>
      <c r="BD17" s="32" t="str">
        <f t="shared" si="67"/>
        <v/>
      </c>
      <c r="BE17" s="32" t="str">
        <f t="shared" si="67"/>
        <v/>
      </c>
      <c r="BF17" s="32" t="str">
        <f t="shared" ref="BF17:BQ17" si="68">IF(F17=MAX($F17:$Q17),"Yes","")</f>
        <v/>
      </c>
      <c r="BG17" s="32" t="str">
        <f t="shared" si="68"/>
        <v/>
      </c>
      <c r="BH17" s="32" t="str">
        <f t="shared" si="68"/>
        <v/>
      </c>
      <c r="BI17" s="32" t="str">
        <f t="shared" si="68"/>
        <v/>
      </c>
      <c r="BJ17" s="32" t="str">
        <f t="shared" si="68"/>
        <v/>
      </c>
      <c r="BK17" s="32" t="str">
        <f t="shared" si="68"/>
        <v>Yes</v>
      </c>
      <c r="BL17" s="32" t="str">
        <f t="shared" si="68"/>
        <v/>
      </c>
      <c r="BM17" s="32" t="str">
        <f t="shared" si="68"/>
        <v/>
      </c>
      <c r="BN17" s="32" t="str">
        <f t="shared" si="68"/>
        <v/>
      </c>
      <c r="BO17" s="32" t="str">
        <f t="shared" si="68"/>
        <v/>
      </c>
      <c r="BP17" s="32" t="str">
        <f t="shared" si="68"/>
        <v/>
      </c>
      <c r="BQ17" s="32" t="str">
        <f t="shared" si="68"/>
        <v/>
      </c>
      <c r="BR17" s="32" t="str">
        <f t="shared" si="11"/>
        <v/>
      </c>
      <c r="BS17" s="32" t="str">
        <f t="shared" si="12"/>
        <v>Yes</v>
      </c>
      <c r="BT17" s="32"/>
      <c r="BU17" s="32"/>
      <c r="BV17" s="32"/>
      <c r="BW17" s="33">
        <f t="shared" si="13"/>
        <v>0</v>
      </c>
      <c r="BX17" s="33">
        <f t="shared" si="14"/>
        <v>0</v>
      </c>
      <c r="BY17" s="34" t="str">
        <f t="shared" si="15"/>
        <v/>
      </c>
      <c r="BZ17" s="33">
        <f t="shared" si="16"/>
        <v>-0.7</v>
      </c>
      <c r="CA17" s="33">
        <f t="shared" si="17"/>
        <v>0.2</v>
      </c>
      <c r="CB17" s="34">
        <f t="shared" si="18"/>
        <v>0.9</v>
      </c>
      <c r="CC17" s="35"/>
      <c r="CD17" s="33"/>
      <c r="CE17" s="34"/>
      <c r="CF17" s="33"/>
      <c r="CG17" s="33"/>
      <c r="CH17" s="34"/>
      <c r="CI17" s="33"/>
      <c r="CJ17" s="33"/>
      <c r="CK17" s="34"/>
    </row>
    <row r="18" ht="12.75" customHeight="1">
      <c r="A18" s="18">
        <v>17.0</v>
      </c>
      <c r="B18" s="18" t="s">
        <v>73</v>
      </c>
      <c r="C18" s="19" t="s">
        <v>76</v>
      </c>
      <c r="D18" s="49"/>
      <c r="E18" s="21">
        <v>0.0</v>
      </c>
      <c r="F18" s="22">
        <f>Andrew!D18</f>
        <v>0.4</v>
      </c>
      <c r="G18" s="26">
        <f>Bruce!D18</f>
        <v>0.3</v>
      </c>
      <c r="H18" s="22">
        <f>Christine!D18</f>
        <v>0.8</v>
      </c>
      <c r="I18" s="26">
        <f>Eileen!D18</f>
        <v>0.4</v>
      </c>
      <c r="J18" s="22">
        <f>Iain!D18</f>
        <v>0.1</v>
      </c>
      <c r="K18" s="26">
        <f>Gael!D18</f>
        <v>0.8</v>
      </c>
      <c r="L18" s="22">
        <f>Jac!D18</f>
        <v>0.2</v>
      </c>
      <c r="M18" s="26">
        <f>James!D18</f>
        <v>0.8</v>
      </c>
      <c r="N18" s="22">
        <f>Kate!D18</f>
        <v>0.8</v>
      </c>
      <c r="O18" s="26">
        <f>Lachy!D18</f>
        <v>0.15</v>
      </c>
      <c r="P18" s="22">
        <f>Pete!D18</f>
        <v>0.5</v>
      </c>
      <c r="Q18" s="26">
        <f>Rohan!D18</f>
        <v>0.4</v>
      </c>
      <c r="R18" s="22">
        <f t="shared" si="27"/>
        <v>0.2630344058</v>
      </c>
      <c r="S18" s="22">
        <f t="shared" ref="S18:AC18" si="69">IF($E18=1,(LOG(G18,2)+1),IF($E18=0,(LOG(1-G18,2)+1),""))</f>
        <v>0.4854268272</v>
      </c>
      <c r="T18" s="22">
        <f t="shared" si="69"/>
        <v>-1.321928095</v>
      </c>
      <c r="U18" s="22">
        <f t="shared" si="69"/>
        <v>0.2630344058</v>
      </c>
      <c r="V18" s="22">
        <f t="shared" si="69"/>
        <v>0.8479969066</v>
      </c>
      <c r="W18" s="22">
        <f t="shared" si="69"/>
        <v>-1.321928095</v>
      </c>
      <c r="X18" s="22">
        <f t="shared" si="69"/>
        <v>0.6780719051</v>
      </c>
      <c r="Y18" s="22">
        <f t="shared" si="69"/>
        <v>-1.321928095</v>
      </c>
      <c r="Z18" s="22">
        <f t="shared" si="69"/>
        <v>-1.321928095</v>
      </c>
      <c r="AA18" s="22">
        <f t="shared" si="69"/>
        <v>0.7655347464</v>
      </c>
      <c r="AB18" s="22">
        <f t="shared" si="69"/>
        <v>0</v>
      </c>
      <c r="AC18" s="22">
        <f t="shared" si="69"/>
        <v>0.2630344058</v>
      </c>
      <c r="AD18" s="41"/>
      <c r="AE18" s="31">
        <f t="shared" si="6"/>
        <v>17.47978026</v>
      </c>
      <c r="AF18" s="31">
        <f t="shared" si="7"/>
        <v>0.4708333333</v>
      </c>
      <c r="AG18" s="31">
        <f t="shared" si="8"/>
        <v>0.07202651515</v>
      </c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2" t="str">
        <f t="shared" ref="AT18:BE18" si="70">IF(F18=MIN($F18:$Q18),"Yes","")</f>
        <v/>
      </c>
      <c r="AU18" s="32" t="str">
        <f t="shared" si="70"/>
        <v/>
      </c>
      <c r="AV18" s="32" t="str">
        <f t="shared" si="70"/>
        <v/>
      </c>
      <c r="AW18" s="32" t="str">
        <f t="shared" si="70"/>
        <v/>
      </c>
      <c r="AX18" s="32" t="str">
        <f t="shared" si="70"/>
        <v>Yes</v>
      </c>
      <c r="AY18" s="32" t="str">
        <f t="shared" si="70"/>
        <v/>
      </c>
      <c r="AZ18" s="32" t="str">
        <f t="shared" si="70"/>
        <v/>
      </c>
      <c r="BA18" s="32" t="str">
        <f t="shared" si="70"/>
        <v/>
      </c>
      <c r="BB18" s="32" t="str">
        <f t="shared" si="70"/>
        <v/>
      </c>
      <c r="BC18" s="32" t="str">
        <f t="shared" si="70"/>
        <v/>
      </c>
      <c r="BD18" s="32" t="str">
        <f t="shared" si="70"/>
        <v/>
      </c>
      <c r="BE18" s="32" t="str">
        <f t="shared" si="70"/>
        <v/>
      </c>
      <c r="BF18" s="32" t="str">
        <f t="shared" ref="BF18:BQ18" si="71">IF(F18=MAX($F18:$Q18),"Yes","")</f>
        <v/>
      </c>
      <c r="BG18" s="32" t="str">
        <f t="shared" si="71"/>
        <v/>
      </c>
      <c r="BH18" s="32" t="str">
        <f t="shared" si="71"/>
        <v>Yes</v>
      </c>
      <c r="BI18" s="32" t="str">
        <f t="shared" si="71"/>
        <v/>
      </c>
      <c r="BJ18" s="32" t="str">
        <f t="shared" si="71"/>
        <v/>
      </c>
      <c r="BK18" s="32" t="str">
        <f t="shared" si="71"/>
        <v>Yes</v>
      </c>
      <c r="BL18" s="32" t="str">
        <f t="shared" si="71"/>
        <v/>
      </c>
      <c r="BM18" s="32" t="str">
        <f t="shared" si="71"/>
        <v>Yes</v>
      </c>
      <c r="BN18" s="32" t="str">
        <f t="shared" si="71"/>
        <v>Yes</v>
      </c>
      <c r="BO18" s="32" t="str">
        <f t="shared" si="71"/>
        <v/>
      </c>
      <c r="BP18" s="32" t="str">
        <f t="shared" si="71"/>
        <v/>
      </c>
      <c r="BQ18" s="32" t="str">
        <f t="shared" si="71"/>
        <v/>
      </c>
      <c r="BR18" s="32" t="str">
        <f t="shared" si="11"/>
        <v/>
      </c>
      <c r="BS18" s="32" t="str">
        <f t="shared" si="12"/>
        <v>Yes</v>
      </c>
      <c r="BT18" s="32"/>
      <c r="BU18" s="32"/>
      <c r="BV18" s="32"/>
      <c r="BW18" s="33">
        <f t="shared" si="13"/>
        <v>0</v>
      </c>
      <c r="BX18" s="33">
        <f t="shared" si="14"/>
        <v>0</v>
      </c>
      <c r="BY18" s="34" t="str">
        <f t="shared" si="15"/>
        <v/>
      </c>
      <c r="BZ18" s="33">
        <f t="shared" si="16"/>
        <v>-0.2</v>
      </c>
      <c r="CA18" s="33">
        <f t="shared" si="17"/>
        <v>0.8</v>
      </c>
      <c r="CB18" s="34">
        <f t="shared" si="18"/>
        <v>1</v>
      </c>
      <c r="CC18" s="35"/>
      <c r="CD18" s="33"/>
      <c r="CE18" s="34"/>
      <c r="CF18" s="33"/>
      <c r="CG18" s="33"/>
      <c r="CH18" s="34"/>
      <c r="CI18" s="33"/>
      <c r="CJ18" s="33"/>
      <c r="CK18" s="34"/>
    </row>
    <row r="19" ht="12.75" customHeight="1">
      <c r="A19" s="36">
        <v>18.0</v>
      </c>
      <c r="B19" s="36" t="s">
        <v>73</v>
      </c>
      <c r="C19" s="37" t="s">
        <v>77</v>
      </c>
      <c r="D19" s="38"/>
      <c r="E19" s="39">
        <v>0.0</v>
      </c>
      <c r="F19" s="31">
        <f>Andrew!D19</f>
        <v>0.3</v>
      </c>
      <c r="G19" s="31">
        <f>Bruce!D19</f>
        <v>0.2</v>
      </c>
      <c r="H19" s="31">
        <f>Christine!D19</f>
        <v>0.7</v>
      </c>
      <c r="I19" s="31">
        <f>Eileen!D19</f>
        <v>0.1</v>
      </c>
      <c r="J19" s="31">
        <f>Iain!D19</f>
        <v>0.4</v>
      </c>
      <c r="K19" s="31">
        <f>Gael!D19</f>
        <v>0.2</v>
      </c>
      <c r="L19" s="31">
        <f>Jac!D19</f>
        <v>0.1</v>
      </c>
      <c r="M19" s="31">
        <f>James!D19</f>
        <v>0.05</v>
      </c>
      <c r="N19" s="31">
        <f>Kate!D19</f>
        <v>0.1</v>
      </c>
      <c r="O19" s="31">
        <f>Lachy!D19</f>
        <v>0.15</v>
      </c>
      <c r="P19" s="31">
        <f>Pete!D19</f>
        <v>0.1</v>
      </c>
      <c r="Q19" s="31">
        <f>Rohan!D19</f>
        <v>0.2</v>
      </c>
      <c r="R19" s="31">
        <f t="shared" si="27"/>
        <v>0.4854268272</v>
      </c>
      <c r="S19" s="31">
        <f t="shared" ref="S19:AC19" si="72">IF($E19=1,(LOG(G19,2)+1),IF($E19=0,(LOG(1-G19,2)+1),""))</f>
        <v>0.6780719051</v>
      </c>
      <c r="T19" s="31">
        <f t="shared" si="72"/>
        <v>-0.7369655942</v>
      </c>
      <c r="U19" s="31">
        <f t="shared" si="72"/>
        <v>0.8479969066</v>
      </c>
      <c r="V19" s="31">
        <f t="shared" si="72"/>
        <v>0.2630344058</v>
      </c>
      <c r="W19" s="31">
        <f t="shared" si="72"/>
        <v>0.6780719051</v>
      </c>
      <c r="X19" s="31">
        <f t="shared" si="72"/>
        <v>0.8479969066</v>
      </c>
      <c r="Y19" s="31">
        <f t="shared" si="72"/>
        <v>0.9259994186</v>
      </c>
      <c r="Z19" s="31">
        <f t="shared" si="72"/>
        <v>0.8479969066</v>
      </c>
      <c r="AA19" s="31">
        <f t="shared" si="72"/>
        <v>0.7655347464</v>
      </c>
      <c r="AB19" s="31">
        <f t="shared" si="72"/>
        <v>0.8479969066</v>
      </c>
      <c r="AC19" s="31">
        <f t="shared" si="72"/>
        <v>0.6780719051</v>
      </c>
      <c r="AD19" s="41"/>
      <c r="AE19" s="31">
        <f t="shared" si="6"/>
        <v>26.01509036</v>
      </c>
      <c r="AF19" s="31">
        <f t="shared" si="7"/>
        <v>0.2166666667</v>
      </c>
      <c r="AG19" s="31">
        <f t="shared" si="8"/>
        <v>0.03287878788</v>
      </c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2" t="str">
        <f t="shared" ref="AT19:BE19" si="73">IF(F19=MIN($F19:$Q19),"Yes","")</f>
        <v/>
      </c>
      <c r="AU19" s="32" t="str">
        <f t="shared" si="73"/>
        <v/>
      </c>
      <c r="AV19" s="32" t="str">
        <f t="shared" si="73"/>
        <v/>
      </c>
      <c r="AW19" s="32" t="str">
        <f t="shared" si="73"/>
        <v/>
      </c>
      <c r="AX19" s="32" t="str">
        <f t="shared" si="73"/>
        <v/>
      </c>
      <c r="AY19" s="32" t="str">
        <f t="shared" si="73"/>
        <v/>
      </c>
      <c r="AZ19" s="32" t="str">
        <f t="shared" si="73"/>
        <v/>
      </c>
      <c r="BA19" s="32" t="str">
        <f t="shared" si="73"/>
        <v>Yes</v>
      </c>
      <c r="BB19" s="32" t="str">
        <f t="shared" si="73"/>
        <v/>
      </c>
      <c r="BC19" s="32" t="str">
        <f t="shared" si="73"/>
        <v/>
      </c>
      <c r="BD19" s="32" t="str">
        <f t="shared" si="73"/>
        <v/>
      </c>
      <c r="BE19" s="32" t="str">
        <f t="shared" si="73"/>
        <v/>
      </c>
      <c r="BF19" s="32" t="str">
        <f t="shared" ref="BF19:BQ19" si="74">IF(F19=MAX($F19:$Q19),"Yes","")</f>
        <v/>
      </c>
      <c r="BG19" s="32" t="str">
        <f t="shared" si="74"/>
        <v/>
      </c>
      <c r="BH19" s="32" t="str">
        <f t="shared" si="74"/>
        <v>Yes</v>
      </c>
      <c r="BI19" s="32" t="str">
        <f t="shared" si="74"/>
        <v/>
      </c>
      <c r="BJ19" s="32" t="str">
        <f t="shared" si="74"/>
        <v/>
      </c>
      <c r="BK19" s="32" t="str">
        <f t="shared" si="74"/>
        <v/>
      </c>
      <c r="BL19" s="32" t="str">
        <f t="shared" si="74"/>
        <v/>
      </c>
      <c r="BM19" s="32" t="str">
        <f t="shared" si="74"/>
        <v/>
      </c>
      <c r="BN19" s="32" t="str">
        <f t="shared" si="74"/>
        <v/>
      </c>
      <c r="BO19" s="32" t="str">
        <f t="shared" si="74"/>
        <v/>
      </c>
      <c r="BP19" s="32" t="str">
        <f t="shared" si="74"/>
        <v/>
      </c>
      <c r="BQ19" s="32" t="str">
        <f t="shared" si="74"/>
        <v/>
      </c>
      <c r="BR19" s="32" t="str">
        <f t="shared" si="11"/>
        <v/>
      </c>
      <c r="BS19" s="32" t="str">
        <f t="shared" si="12"/>
        <v/>
      </c>
      <c r="BT19" s="32"/>
      <c r="BU19" s="32"/>
      <c r="BV19" s="32"/>
      <c r="BW19" s="33">
        <f t="shared" si="13"/>
        <v>0</v>
      </c>
      <c r="BX19" s="33">
        <f t="shared" si="14"/>
        <v>0</v>
      </c>
      <c r="BY19" s="34" t="str">
        <f t="shared" si="15"/>
        <v/>
      </c>
      <c r="BZ19" s="33">
        <f t="shared" si="16"/>
        <v>0</v>
      </c>
      <c r="CA19" s="33">
        <f t="shared" si="17"/>
        <v>0</v>
      </c>
      <c r="CB19" s="34" t="str">
        <f t="shared" si="18"/>
        <v/>
      </c>
      <c r="CC19" s="35"/>
      <c r="CD19" s="33"/>
      <c r="CE19" s="34"/>
      <c r="CF19" s="33"/>
      <c r="CG19" s="33"/>
      <c r="CH19" s="34"/>
      <c r="CI19" s="33"/>
      <c r="CJ19" s="33"/>
      <c r="CK19" s="34"/>
    </row>
    <row r="20" ht="12.75" customHeight="1">
      <c r="A20" s="18">
        <v>19.0</v>
      </c>
      <c r="B20" s="18" t="s">
        <v>73</v>
      </c>
      <c r="C20" s="55" t="s">
        <v>78</v>
      </c>
      <c r="D20" s="49"/>
      <c r="E20" s="21">
        <v>0.0</v>
      </c>
      <c r="F20" s="56">
        <f>Andrew!D20</f>
        <v>0.25</v>
      </c>
      <c r="G20" s="58">
        <f>Bruce!D20</f>
        <v>0.4</v>
      </c>
      <c r="H20" s="56">
        <f>Christine!D20</f>
        <v>0.8</v>
      </c>
      <c r="I20" s="58">
        <f>Eileen!D20</f>
        <v>0.05</v>
      </c>
      <c r="J20" s="56">
        <f>Iain!D20</f>
        <v>0.5</v>
      </c>
      <c r="K20" s="58">
        <f>Gael!D20</f>
        <v>0.85</v>
      </c>
      <c r="L20" s="56">
        <f>Jac!D20</f>
        <v>0.05</v>
      </c>
      <c r="M20" s="58">
        <f>James!D20</f>
        <v>0.8</v>
      </c>
      <c r="N20" s="56">
        <f>Kate!D20</f>
        <v>0.1</v>
      </c>
      <c r="O20" s="71">
        <f>Lachy!D20</f>
        <v>0.001</v>
      </c>
      <c r="P20" s="56">
        <f>Pete!D20</f>
        <v>0.1</v>
      </c>
      <c r="Q20" s="58">
        <f>Rohan!D20</f>
        <v>0.5</v>
      </c>
      <c r="R20" s="22">
        <f t="shared" si="27"/>
        <v>0.5849625007</v>
      </c>
      <c r="S20" s="22">
        <f t="shared" ref="S20:AC20" si="75">IF($E20=1,(LOG(G20,2)+1),IF($E20=0,(LOG(1-G20,2)+1),""))</f>
        <v>0.2630344058</v>
      </c>
      <c r="T20" s="22">
        <f t="shared" si="75"/>
        <v>-1.321928095</v>
      </c>
      <c r="U20" s="22">
        <f t="shared" si="75"/>
        <v>0.9259994186</v>
      </c>
      <c r="V20" s="22">
        <f t="shared" si="75"/>
        <v>0</v>
      </c>
      <c r="W20" s="22">
        <f t="shared" si="75"/>
        <v>-1.736965594</v>
      </c>
      <c r="X20" s="22">
        <f t="shared" si="75"/>
        <v>0.9259994186</v>
      </c>
      <c r="Y20" s="22">
        <f t="shared" si="75"/>
        <v>-1.321928095</v>
      </c>
      <c r="Z20" s="22">
        <f t="shared" si="75"/>
        <v>0.8479969066</v>
      </c>
      <c r="AA20" s="22">
        <f t="shared" si="75"/>
        <v>0.9985565831</v>
      </c>
      <c r="AB20" s="22">
        <f t="shared" si="75"/>
        <v>0.8479969066</v>
      </c>
      <c r="AC20" s="22">
        <f t="shared" si="75"/>
        <v>0</v>
      </c>
      <c r="AD20" s="41"/>
      <c r="AE20" s="31">
        <f t="shared" si="6"/>
        <v>30.30254624</v>
      </c>
      <c r="AF20" s="31">
        <f t="shared" si="7"/>
        <v>0.36675</v>
      </c>
      <c r="AG20" s="31">
        <f t="shared" si="8"/>
        <v>0.10326675</v>
      </c>
      <c r="AH20" s="46" t="str">
        <f t="shared" ref="AH20:AS20" si="76">IF(F20=MIN($F20:$Q20),LOG(1-F20,2)+1,IF(F20=MAX($F20:$Q20),LOG(F20,2)+1,""))</f>
        <v/>
      </c>
      <c r="AI20" s="46" t="str">
        <f t="shared" si="76"/>
        <v/>
      </c>
      <c r="AJ20" s="46" t="str">
        <f t="shared" si="76"/>
        <v/>
      </c>
      <c r="AK20" s="46" t="str">
        <f t="shared" si="76"/>
        <v/>
      </c>
      <c r="AL20" s="46" t="str">
        <f t="shared" si="76"/>
        <v/>
      </c>
      <c r="AM20" s="46">
        <f t="shared" si="76"/>
        <v>0.7655347464</v>
      </c>
      <c r="AN20" s="46" t="str">
        <f t="shared" si="76"/>
        <v/>
      </c>
      <c r="AO20" s="46" t="str">
        <f t="shared" si="76"/>
        <v/>
      </c>
      <c r="AP20" s="46" t="str">
        <f t="shared" si="76"/>
        <v/>
      </c>
      <c r="AQ20" s="46">
        <f t="shared" si="76"/>
        <v>0.9985565831</v>
      </c>
      <c r="AR20" s="46" t="str">
        <f t="shared" si="76"/>
        <v/>
      </c>
      <c r="AS20" s="46" t="str">
        <f t="shared" si="76"/>
        <v/>
      </c>
      <c r="AT20" s="32" t="str">
        <f t="shared" ref="AT20:BE20" si="77">IF(F20=MIN($F20:$Q20),"Yes","")</f>
        <v/>
      </c>
      <c r="AU20" s="32" t="str">
        <f t="shared" si="77"/>
        <v/>
      </c>
      <c r="AV20" s="32" t="str">
        <f t="shared" si="77"/>
        <v/>
      </c>
      <c r="AW20" s="32" t="str">
        <f t="shared" si="77"/>
        <v/>
      </c>
      <c r="AX20" s="32" t="str">
        <f t="shared" si="77"/>
        <v/>
      </c>
      <c r="AY20" s="32" t="str">
        <f t="shared" si="77"/>
        <v/>
      </c>
      <c r="AZ20" s="32" t="str">
        <f t="shared" si="77"/>
        <v/>
      </c>
      <c r="BA20" s="32" t="str">
        <f t="shared" si="77"/>
        <v/>
      </c>
      <c r="BB20" s="32" t="str">
        <f t="shared" si="77"/>
        <v/>
      </c>
      <c r="BC20" s="32" t="str">
        <f t="shared" si="77"/>
        <v>Yes</v>
      </c>
      <c r="BD20" s="32" t="str">
        <f t="shared" si="77"/>
        <v/>
      </c>
      <c r="BE20" s="32" t="str">
        <f t="shared" si="77"/>
        <v/>
      </c>
      <c r="BF20" s="32" t="str">
        <f t="shared" ref="BF20:BQ20" si="78">IF(F20=MAX($F20:$Q20),"Yes","")</f>
        <v/>
      </c>
      <c r="BG20" s="32" t="str">
        <f t="shared" si="78"/>
        <v/>
      </c>
      <c r="BH20" s="32" t="str">
        <f t="shared" si="78"/>
        <v/>
      </c>
      <c r="BI20" s="32" t="str">
        <f t="shared" si="78"/>
        <v/>
      </c>
      <c r="BJ20" s="32" t="str">
        <f t="shared" si="78"/>
        <v/>
      </c>
      <c r="BK20" s="32" t="str">
        <f t="shared" si="78"/>
        <v>Yes</v>
      </c>
      <c r="BL20" s="32" t="str">
        <f t="shared" si="78"/>
        <v/>
      </c>
      <c r="BM20" s="32" t="str">
        <f t="shared" si="78"/>
        <v/>
      </c>
      <c r="BN20" s="32" t="str">
        <f t="shared" si="78"/>
        <v/>
      </c>
      <c r="BO20" s="32" t="str">
        <f t="shared" si="78"/>
        <v/>
      </c>
      <c r="BP20" s="32" t="str">
        <f t="shared" si="78"/>
        <v/>
      </c>
      <c r="BQ20" s="32" t="str">
        <f t="shared" si="78"/>
        <v/>
      </c>
      <c r="BR20" s="32" t="str">
        <f t="shared" si="11"/>
        <v/>
      </c>
      <c r="BS20" s="32" t="str">
        <f t="shared" si="12"/>
        <v>Yes</v>
      </c>
      <c r="BT20" s="32"/>
      <c r="BU20" s="32"/>
      <c r="BV20" s="32"/>
      <c r="BW20" s="33">
        <f t="shared" si="13"/>
        <v>0</v>
      </c>
      <c r="BX20" s="33">
        <f t="shared" si="14"/>
        <v>0</v>
      </c>
      <c r="BY20" s="34" t="str">
        <f t="shared" si="15"/>
        <v/>
      </c>
      <c r="BZ20" s="33">
        <f t="shared" si="16"/>
        <v>-0.05</v>
      </c>
      <c r="CA20" s="33">
        <f t="shared" si="17"/>
        <v>0.8</v>
      </c>
      <c r="CB20" s="34">
        <f t="shared" si="18"/>
        <v>0.85</v>
      </c>
      <c r="CC20" s="35"/>
      <c r="CD20" s="33"/>
      <c r="CE20" s="34"/>
      <c r="CF20" s="33"/>
      <c r="CG20" s="33"/>
      <c r="CH20" s="34"/>
      <c r="CI20" s="33"/>
      <c r="CJ20" s="33"/>
      <c r="CK20" s="34"/>
    </row>
    <row r="21" ht="12.75" customHeight="1">
      <c r="A21" s="36">
        <v>20.0</v>
      </c>
      <c r="B21" s="36" t="s">
        <v>73</v>
      </c>
      <c r="C21" s="37" t="s">
        <v>79</v>
      </c>
      <c r="D21" s="38"/>
      <c r="E21" s="39">
        <v>0.0</v>
      </c>
      <c r="F21" s="31">
        <f>Andrew!D21</f>
        <v>0.2</v>
      </c>
      <c r="G21" s="31">
        <f>Bruce!D21</f>
        <v>0.2</v>
      </c>
      <c r="H21" s="31">
        <f>Christine!D21</f>
        <v>0.1</v>
      </c>
      <c r="I21" s="31">
        <f>Eileen!D21</f>
        <v>0.05</v>
      </c>
      <c r="J21" s="31">
        <f>Iain!D21</f>
        <v>0.3</v>
      </c>
      <c r="K21" s="31">
        <f>Gael!D21</f>
        <v>0.55</v>
      </c>
      <c r="L21" s="31">
        <f>Jac!D21</f>
        <v>0.2</v>
      </c>
      <c r="M21" s="31">
        <f>James!D21</f>
        <v>0.1</v>
      </c>
      <c r="N21" s="31">
        <f>Kate!D21</f>
        <v>0.2</v>
      </c>
      <c r="O21" s="31">
        <f>Lachy!D21</f>
        <v>0.15</v>
      </c>
      <c r="P21" s="31">
        <f>Pete!D21</f>
        <v>0.1</v>
      </c>
      <c r="Q21" s="31">
        <f>Rohan!D21</f>
        <v>0.3</v>
      </c>
      <c r="R21" s="31">
        <f t="shared" si="27"/>
        <v>0.6780719051</v>
      </c>
      <c r="S21" s="31">
        <f t="shared" ref="S21:AC21" si="79">IF($E21=1,(LOG(G21,2)+1),IF($E21=0,(LOG(1-G21,2)+1),""))</f>
        <v>0.6780719051</v>
      </c>
      <c r="T21" s="31">
        <f t="shared" si="79"/>
        <v>0.8479969066</v>
      </c>
      <c r="U21" s="31">
        <f t="shared" si="79"/>
        <v>0.9259994186</v>
      </c>
      <c r="V21" s="31">
        <f t="shared" si="79"/>
        <v>0.4854268272</v>
      </c>
      <c r="W21" s="31">
        <f t="shared" si="79"/>
        <v>-0.1520030934</v>
      </c>
      <c r="X21" s="31">
        <f t="shared" si="79"/>
        <v>0.6780719051</v>
      </c>
      <c r="Y21" s="31">
        <f t="shared" si="79"/>
        <v>0.8479969066</v>
      </c>
      <c r="Z21" s="31">
        <f t="shared" si="79"/>
        <v>0.6780719051</v>
      </c>
      <c r="AA21" s="31">
        <f t="shared" si="79"/>
        <v>0.7655347464</v>
      </c>
      <c r="AB21" s="31">
        <f t="shared" si="79"/>
        <v>0.8479969066</v>
      </c>
      <c r="AC21" s="31">
        <f t="shared" si="79"/>
        <v>0.4854268272</v>
      </c>
      <c r="AD21" s="41"/>
      <c r="AE21" s="31">
        <f t="shared" si="6"/>
        <v>22.99449432</v>
      </c>
      <c r="AF21" s="31">
        <f t="shared" si="7"/>
        <v>0.2041666667</v>
      </c>
      <c r="AG21" s="31">
        <f t="shared" si="8"/>
        <v>0.01793560606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2" t="str">
        <f t="shared" ref="AT21:BE21" si="80">IF(F21=MIN($F21:$Q21),"Yes","")</f>
        <v/>
      </c>
      <c r="AU21" s="32" t="str">
        <f t="shared" si="80"/>
        <v/>
      </c>
      <c r="AV21" s="32" t="str">
        <f t="shared" si="80"/>
        <v/>
      </c>
      <c r="AW21" s="32" t="str">
        <f t="shared" si="80"/>
        <v>Yes</v>
      </c>
      <c r="AX21" s="32" t="str">
        <f t="shared" si="80"/>
        <v/>
      </c>
      <c r="AY21" s="32" t="str">
        <f t="shared" si="80"/>
        <v/>
      </c>
      <c r="AZ21" s="32" t="str">
        <f t="shared" si="80"/>
        <v/>
      </c>
      <c r="BA21" s="32" t="str">
        <f t="shared" si="80"/>
        <v/>
      </c>
      <c r="BB21" s="32" t="str">
        <f t="shared" si="80"/>
        <v/>
      </c>
      <c r="BC21" s="32" t="str">
        <f t="shared" si="80"/>
        <v/>
      </c>
      <c r="BD21" s="32" t="str">
        <f t="shared" si="80"/>
        <v/>
      </c>
      <c r="BE21" s="32" t="str">
        <f t="shared" si="80"/>
        <v/>
      </c>
      <c r="BF21" s="32" t="str">
        <f t="shared" ref="BF21:BQ21" si="81">IF(F21=MAX($F21:$Q21),"Yes","")</f>
        <v/>
      </c>
      <c r="BG21" s="32" t="str">
        <f t="shared" si="81"/>
        <v/>
      </c>
      <c r="BH21" s="32" t="str">
        <f t="shared" si="81"/>
        <v/>
      </c>
      <c r="BI21" s="32" t="str">
        <f t="shared" si="81"/>
        <v/>
      </c>
      <c r="BJ21" s="32" t="str">
        <f t="shared" si="81"/>
        <v/>
      </c>
      <c r="BK21" s="32" t="str">
        <f t="shared" si="81"/>
        <v>Yes</v>
      </c>
      <c r="BL21" s="32" t="str">
        <f t="shared" si="81"/>
        <v/>
      </c>
      <c r="BM21" s="32" t="str">
        <f t="shared" si="81"/>
        <v/>
      </c>
      <c r="BN21" s="32" t="str">
        <f t="shared" si="81"/>
        <v/>
      </c>
      <c r="BO21" s="32" t="str">
        <f t="shared" si="81"/>
        <v/>
      </c>
      <c r="BP21" s="32" t="str">
        <f t="shared" si="81"/>
        <v/>
      </c>
      <c r="BQ21" s="32" t="str">
        <f t="shared" si="81"/>
        <v/>
      </c>
      <c r="BR21" s="32" t="str">
        <f t="shared" si="11"/>
        <v/>
      </c>
      <c r="BS21" s="32" t="str">
        <f t="shared" si="12"/>
        <v/>
      </c>
      <c r="BT21" s="32"/>
      <c r="BU21" s="32"/>
      <c r="BV21" s="32"/>
      <c r="BW21" s="33">
        <f t="shared" si="13"/>
        <v>0</v>
      </c>
      <c r="BX21" s="33">
        <f t="shared" si="14"/>
        <v>0</v>
      </c>
      <c r="BY21" s="34" t="str">
        <f t="shared" si="15"/>
        <v/>
      </c>
      <c r="BZ21" s="33">
        <f t="shared" si="16"/>
        <v>0</v>
      </c>
      <c r="CA21" s="33">
        <f t="shared" si="17"/>
        <v>0</v>
      </c>
      <c r="CB21" s="34" t="str">
        <f t="shared" si="18"/>
        <v/>
      </c>
      <c r="CC21" s="35"/>
      <c r="CD21" s="33"/>
      <c r="CE21" s="34"/>
      <c r="CF21" s="33"/>
      <c r="CG21" s="33"/>
      <c r="CH21" s="34"/>
      <c r="CI21" s="33"/>
      <c r="CJ21" s="33"/>
      <c r="CK21" s="34"/>
    </row>
    <row r="22" ht="12.75" customHeight="1">
      <c r="A22" s="18">
        <v>21.0</v>
      </c>
      <c r="B22" s="18" t="s">
        <v>73</v>
      </c>
      <c r="C22" s="19" t="s">
        <v>80</v>
      </c>
      <c r="D22" s="49"/>
      <c r="E22" s="21">
        <v>0.0</v>
      </c>
      <c r="F22" s="22">
        <f>Andrew!D22</f>
        <v>0.4</v>
      </c>
      <c r="G22" s="26">
        <f>Bruce!D22</f>
        <v>0.3</v>
      </c>
      <c r="H22" s="22">
        <f>Christine!D22</f>
        <v>0.3</v>
      </c>
      <c r="I22" s="26">
        <f>Eileen!D22</f>
        <v>0.2</v>
      </c>
      <c r="J22" s="22">
        <f>Iain!D22</f>
        <v>0.6</v>
      </c>
      <c r="K22" s="26">
        <f>Gael!D22</f>
        <v>0.7</v>
      </c>
      <c r="L22" s="22">
        <f>Jac!D22</f>
        <v>0.2</v>
      </c>
      <c r="M22" s="26">
        <f>James!D22</f>
        <v>0.3</v>
      </c>
      <c r="N22" s="22">
        <f>Kate!D22</f>
        <v>0.8</v>
      </c>
      <c r="O22" s="26">
        <f>Lachy!D22</f>
        <v>0.65</v>
      </c>
      <c r="P22" s="22">
        <f>Pete!D22</f>
        <v>0.1</v>
      </c>
      <c r="Q22" s="26">
        <f>Rohan!D22</f>
        <v>0.6</v>
      </c>
      <c r="R22" s="22">
        <f t="shared" si="27"/>
        <v>0.2630344058</v>
      </c>
      <c r="S22" s="22">
        <f t="shared" ref="S22:AC22" si="82">IF($E22=1,(LOG(G22,2)+1),IF($E22=0,(LOG(1-G22,2)+1),""))</f>
        <v>0.4854268272</v>
      </c>
      <c r="T22" s="22">
        <f t="shared" si="82"/>
        <v>0.4854268272</v>
      </c>
      <c r="U22" s="22">
        <f t="shared" si="82"/>
        <v>0.6780719051</v>
      </c>
      <c r="V22" s="22">
        <f t="shared" si="82"/>
        <v>-0.3219280949</v>
      </c>
      <c r="W22" s="22">
        <f t="shared" si="82"/>
        <v>-0.7369655942</v>
      </c>
      <c r="X22" s="22">
        <f t="shared" si="82"/>
        <v>0.6780719051</v>
      </c>
      <c r="Y22" s="22">
        <f t="shared" si="82"/>
        <v>0.4854268272</v>
      </c>
      <c r="Z22" s="22">
        <f t="shared" si="82"/>
        <v>-1.321928095</v>
      </c>
      <c r="AA22" s="22">
        <f t="shared" si="82"/>
        <v>-0.5145731728</v>
      </c>
      <c r="AB22" s="22">
        <f t="shared" si="82"/>
        <v>0.8479969066</v>
      </c>
      <c r="AC22" s="22">
        <f t="shared" si="82"/>
        <v>-0.3219280949</v>
      </c>
      <c r="AD22" s="41"/>
      <c r="AE22" s="31">
        <f t="shared" si="6"/>
        <v>15.53754198</v>
      </c>
      <c r="AF22" s="31">
        <f t="shared" si="7"/>
        <v>0.4291666667</v>
      </c>
      <c r="AG22" s="31">
        <f t="shared" si="8"/>
        <v>0.05293560606</v>
      </c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2" t="str">
        <f t="shared" ref="AT22:BE22" si="83">IF(F22=MIN($F22:$Q22),"Yes","")</f>
        <v/>
      </c>
      <c r="AU22" s="32" t="str">
        <f t="shared" si="83"/>
        <v/>
      </c>
      <c r="AV22" s="32" t="str">
        <f t="shared" si="83"/>
        <v/>
      </c>
      <c r="AW22" s="32" t="str">
        <f t="shared" si="83"/>
        <v/>
      </c>
      <c r="AX22" s="32" t="str">
        <f t="shared" si="83"/>
        <v/>
      </c>
      <c r="AY22" s="32" t="str">
        <f t="shared" si="83"/>
        <v/>
      </c>
      <c r="AZ22" s="32" t="str">
        <f t="shared" si="83"/>
        <v/>
      </c>
      <c r="BA22" s="32" t="str">
        <f t="shared" si="83"/>
        <v/>
      </c>
      <c r="BB22" s="32" t="str">
        <f t="shared" si="83"/>
        <v/>
      </c>
      <c r="BC22" s="32" t="str">
        <f t="shared" si="83"/>
        <v/>
      </c>
      <c r="BD22" s="32" t="str">
        <f t="shared" si="83"/>
        <v>Yes</v>
      </c>
      <c r="BE22" s="32" t="str">
        <f t="shared" si="83"/>
        <v/>
      </c>
      <c r="BF22" s="32" t="str">
        <f t="shared" ref="BF22:BQ22" si="84">IF(F22=MAX($F22:$Q22),"Yes","")</f>
        <v/>
      </c>
      <c r="BG22" s="32" t="str">
        <f t="shared" si="84"/>
        <v/>
      </c>
      <c r="BH22" s="32" t="str">
        <f t="shared" si="84"/>
        <v/>
      </c>
      <c r="BI22" s="32" t="str">
        <f t="shared" si="84"/>
        <v/>
      </c>
      <c r="BJ22" s="32" t="str">
        <f t="shared" si="84"/>
        <v/>
      </c>
      <c r="BK22" s="32" t="str">
        <f t="shared" si="84"/>
        <v/>
      </c>
      <c r="BL22" s="32" t="str">
        <f t="shared" si="84"/>
        <v/>
      </c>
      <c r="BM22" s="32" t="str">
        <f t="shared" si="84"/>
        <v/>
      </c>
      <c r="BN22" s="32" t="str">
        <f t="shared" si="84"/>
        <v>Yes</v>
      </c>
      <c r="BO22" s="32" t="str">
        <f t="shared" si="84"/>
        <v/>
      </c>
      <c r="BP22" s="32" t="str">
        <f t="shared" si="84"/>
        <v/>
      </c>
      <c r="BQ22" s="32" t="str">
        <f t="shared" si="84"/>
        <v/>
      </c>
      <c r="BR22" s="32" t="str">
        <f t="shared" si="11"/>
        <v/>
      </c>
      <c r="BS22" s="32" t="str">
        <f t="shared" si="12"/>
        <v/>
      </c>
      <c r="BT22" s="32"/>
      <c r="BU22" s="32"/>
      <c r="BV22" s="32"/>
      <c r="BW22" s="33">
        <f t="shared" si="13"/>
        <v>0</v>
      </c>
      <c r="BX22" s="33">
        <f t="shared" si="14"/>
        <v>0</v>
      </c>
      <c r="BY22" s="34" t="str">
        <f t="shared" si="15"/>
        <v/>
      </c>
      <c r="BZ22" s="33">
        <f t="shared" si="16"/>
        <v>0</v>
      </c>
      <c r="CA22" s="33">
        <f t="shared" si="17"/>
        <v>0</v>
      </c>
      <c r="CB22" s="34" t="str">
        <f t="shared" si="18"/>
        <v/>
      </c>
      <c r="CC22" s="35" t="s">
        <v>63</v>
      </c>
      <c r="CD22" s="33"/>
      <c r="CE22" s="34"/>
      <c r="CF22" s="33"/>
      <c r="CG22" s="33"/>
      <c r="CH22" s="34"/>
      <c r="CI22" s="33"/>
      <c r="CJ22" s="33"/>
      <c r="CK22" s="34"/>
    </row>
    <row r="23" ht="12.75" customHeight="1">
      <c r="A23" s="36">
        <v>22.0</v>
      </c>
      <c r="B23" s="36" t="s">
        <v>73</v>
      </c>
      <c r="C23" s="44" t="s">
        <v>81</v>
      </c>
      <c r="D23" s="45">
        <v>44812.0</v>
      </c>
      <c r="E23" s="39">
        <v>1.0</v>
      </c>
      <c r="F23" s="46">
        <f>Andrew!D23</f>
        <v>0.4</v>
      </c>
      <c r="G23" s="46">
        <f>Bruce!D23</f>
        <v>0.2</v>
      </c>
      <c r="H23" s="46">
        <f>Christine!D23</f>
        <v>0.9</v>
      </c>
      <c r="I23" s="46">
        <f>Eileen!D23</f>
        <v>0.3</v>
      </c>
      <c r="J23" s="46">
        <f>Iain!D23</f>
        <v>0.7</v>
      </c>
      <c r="K23" s="46">
        <f>Gael!D23</f>
        <v>0.7</v>
      </c>
      <c r="L23" s="46">
        <f>Jac!D23</f>
        <v>0.05</v>
      </c>
      <c r="M23" s="46">
        <f>James!D23</f>
        <v>0.9</v>
      </c>
      <c r="N23" s="46">
        <f>Kate!D23</f>
        <v>0.9</v>
      </c>
      <c r="O23" s="46">
        <f>Lachy!D23</f>
        <v>0.35</v>
      </c>
      <c r="P23" s="46">
        <f>Pete!D23</f>
        <v>0.1</v>
      </c>
      <c r="Q23" s="46">
        <f>Rohan!D23</f>
        <v>0.3</v>
      </c>
      <c r="R23" s="31">
        <f t="shared" si="27"/>
        <v>-0.3219280949</v>
      </c>
      <c r="S23" s="31">
        <f t="shared" ref="S23:AC23" si="85">IF($E23=1,(LOG(G23,2)+1),IF($E23=0,(LOG(1-G23,2)+1),""))</f>
        <v>-1.321928095</v>
      </c>
      <c r="T23" s="31">
        <f t="shared" si="85"/>
        <v>0.8479969066</v>
      </c>
      <c r="U23" s="31">
        <f t="shared" si="85"/>
        <v>-0.7369655942</v>
      </c>
      <c r="V23" s="31">
        <f t="shared" si="85"/>
        <v>0.4854268272</v>
      </c>
      <c r="W23" s="31">
        <f t="shared" si="85"/>
        <v>0.4854268272</v>
      </c>
      <c r="X23" s="31">
        <f t="shared" si="85"/>
        <v>-3.321928095</v>
      </c>
      <c r="Y23" s="31">
        <f t="shared" si="85"/>
        <v>0.8479969066</v>
      </c>
      <c r="Z23" s="31">
        <f t="shared" si="85"/>
        <v>0.8479969066</v>
      </c>
      <c r="AA23" s="31">
        <f t="shared" si="85"/>
        <v>-0.5145731728</v>
      </c>
      <c r="AB23" s="31">
        <f t="shared" si="85"/>
        <v>-2.321928095</v>
      </c>
      <c r="AC23" s="31">
        <f t="shared" si="85"/>
        <v>-0.7369655942</v>
      </c>
      <c r="AD23" s="41"/>
      <c r="AE23" s="31">
        <f t="shared" si="6"/>
        <v>24.1253195</v>
      </c>
      <c r="AF23" s="31">
        <f t="shared" si="7"/>
        <v>0.4833333333</v>
      </c>
      <c r="AG23" s="31">
        <f t="shared" si="8"/>
        <v>0.101969697</v>
      </c>
      <c r="AH23" s="46" t="str">
        <f t="shared" ref="AH23:AS23" si="86">IF(F23=MIN($F23:$Q23),LOG(1-F23,2)+1,IF(F23=MAX($F23:$Q23),LOG(F23,2)+1,""))</f>
        <v/>
      </c>
      <c r="AI23" s="46" t="str">
        <f t="shared" si="86"/>
        <v/>
      </c>
      <c r="AJ23" s="46">
        <f t="shared" si="86"/>
        <v>0.8479969066</v>
      </c>
      <c r="AK23" s="46" t="str">
        <f t="shared" si="86"/>
        <v/>
      </c>
      <c r="AL23" s="46" t="str">
        <f t="shared" si="86"/>
        <v/>
      </c>
      <c r="AM23" s="46" t="str">
        <f t="shared" si="86"/>
        <v/>
      </c>
      <c r="AN23" s="46">
        <f t="shared" si="86"/>
        <v>0.9259994186</v>
      </c>
      <c r="AO23" s="46">
        <f t="shared" si="86"/>
        <v>0.8479969066</v>
      </c>
      <c r="AP23" s="46">
        <f t="shared" si="86"/>
        <v>0.8479969066</v>
      </c>
      <c r="AQ23" s="46" t="str">
        <f t="shared" si="86"/>
        <v/>
      </c>
      <c r="AR23" s="46" t="str">
        <f t="shared" si="86"/>
        <v/>
      </c>
      <c r="AS23" s="46" t="str">
        <f t="shared" si="86"/>
        <v/>
      </c>
      <c r="AT23" s="32" t="str">
        <f t="shared" ref="AT23:BE23" si="87">IF(F23=MIN($F23:$Q23),"Yes","")</f>
        <v/>
      </c>
      <c r="AU23" s="32" t="str">
        <f t="shared" si="87"/>
        <v/>
      </c>
      <c r="AV23" s="32" t="str">
        <f t="shared" si="87"/>
        <v/>
      </c>
      <c r="AW23" s="32" t="str">
        <f t="shared" si="87"/>
        <v/>
      </c>
      <c r="AX23" s="32" t="str">
        <f t="shared" si="87"/>
        <v/>
      </c>
      <c r="AY23" s="32" t="str">
        <f t="shared" si="87"/>
        <v/>
      </c>
      <c r="AZ23" s="32" t="str">
        <f t="shared" si="87"/>
        <v>Yes</v>
      </c>
      <c r="BA23" s="32" t="str">
        <f t="shared" si="87"/>
        <v/>
      </c>
      <c r="BB23" s="32" t="str">
        <f t="shared" si="87"/>
        <v/>
      </c>
      <c r="BC23" s="32" t="str">
        <f t="shared" si="87"/>
        <v/>
      </c>
      <c r="BD23" s="32" t="str">
        <f t="shared" si="87"/>
        <v/>
      </c>
      <c r="BE23" s="32" t="str">
        <f t="shared" si="87"/>
        <v/>
      </c>
      <c r="BF23" s="32" t="str">
        <f t="shared" ref="BF23:BQ23" si="88">IF(F23=MAX($F23:$Q23),"Yes","")</f>
        <v/>
      </c>
      <c r="BG23" s="32" t="str">
        <f t="shared" si="88"/>
        <v/>
      </c>
      <c r="BH23" s="32" t="str">
        <f t="shared" si="88"/>
        <v>Yes</v>
      </c>
      <c r="BI23" s="32" t="str">
        <f t="shared" si="88"/>
        <v/>
      </c>
      <c r="BJ23" s="32" t="str">
        <f t="shared" si="88"/>
        <v/>
      </c>
      <c r="BK23" s="32" t="str">
        <f t="shared" si="88"/>
        <v/>
      </c>
      <c r="BL23" s="32" t="str">
        <f t="shared" si="88"/>
        <v/>
      </c>
      <c r="BM23" s="32" t="str">
        <f t="shared" si="88"/>
        <v>Yes</v>
      </c>
      <c r="BN23" s="32" t="str">
        <f t="shared" si="88"/>
        <v>Yes</v>
      </c>
      <c r="BO23" s="32" t="str">
        <f t="shared" si="88"/>
        <v/>
      </c>
      <c r="BP23" s="32" t="str">
        <f t="shared" si="88"/>
        <v/>
      </c>
      <c r="BQ23" s="32" t="str">
        <f t="shared" si="88"/>
        <v/>
      </c>
      <c r="BR23" s="32" t="str">
        <f t="shared" si="11"/>
        <v/>
      </c>
      <c r="BS23" s="32" t="str">
        <f t="shared" si="12"/>
        <v>Yes</v>
      </c>
      <c r="BT23" s="32"/>
      <c r="BU23" s="32"/>
      <c r="BV23" s="32"/>
      <c r="BW23" s="33">
        <f t="shared" si="13"/>
        <v>0</v>
      </c>
      <c r="BX23" s="33">
        <f t="shared" si="14"/>
        <v>0</v>
      </c>
      <c r="BY23" s="34" t="str">
        <f t="shared" si="15"/>
        <v/>
      </c>
      <c r="BZ23" s="33">
        <f t="shared" si="16"/>
        <v>-0.05</v>
      </c>
      <c r="CA23" s="33">
        <f t="shared" si="17"/>
        <v>0.9</v>
      </c>
      <c r="CB23" s="34">
        <f t="shared" si="18"/>
        <v>0.95</v>
      </c>
      <c r="CC23" s="35"/>
      <c r="CD23" s="33"/>
      <c r="CE23" s="34"/>
      <c r="CF23" s="33"/>
      <c r="CG23" s="33"/>
      <c r="CH23" s="34"/>
      <c r="CI23" s="33"/>
      <c r="CJ23" s="33"/>
      <c r="CK23" s="34"/>
    </row>
    <row r="24" ht="12.75" customHeight="1">
      <c r="A24" s="18">
        <v>23.0</v>
      </c>
      <c r="B24" s="18" t="s">
        <v>73</v>
      </c>
      <c r="C24" s="19" t="s">
        <v>82</v>
      </c>
      <c r="D24" s="20">
        <v>44741.0</v>
      </c>
      <c r="E24" s="21">
        <v>0.0</v>
      </c>
      <c r="F24" s="22">
        <f>Andrew!D24</f>
        <v>0.45</v>
      </c>
      <c r="G24" s="26">
        <f>Bruce!D24</f>
        <v>0.7</v>
      </c>
      <c r="H24" s="27">
        <f>Christine!D24</f>
        <v>0.7</v>
      </c>
      <c r="I24" s="72">
        <f>Eileen!D24</f>
        <v>0.1</v>
      </c>
      <c r="J24" s="29">
        <f>Iain!D24</f>
        <v>0.9</v>
      </c>
      <c r="K24" s="23">
        <f>Gael!D24</f>
        <v>0.65</v>
      </c>
      <c r="L24" s="73">
        <f>Jac!D24</f>
        <v>0.2</v>
      </c>
      <c r="M24" s="42">
        <f>James!D24</f>
        <v>0.7</v>
      </c>
      <c r="N24" s="73">
        <f>Kate!D24</f>
        <v>0.1</v>
      </c>
      <c r="O24" s="25">
        <f>Lachy!D24</f>
        <v>0.65</v>
      </c>
      <c r="P24" s="22">
        <f>Pete!D24</f>
        <v>0.7</v>
      </c>
      <c r="Q24" s="26">
        <f>Rohan!D24</f>
        <v>0.5</v>
      </c>
      <c r="R24" s="22">
        <f t="shared" si="27"/>
        <v>0.1375035237</v>
      </c>
      <c r="S24" s="22">
        <f t="shared" ref="S24:AC24" si="89">IF($E24=1,(LOG(G24,2)+1),IF($E24=0,(LOG(1-G24,2)+1),""))</f>
        <v>-0.7369655942</v>
      </c>
      <c r="T24" s="22">
        <f t="shared" si="89"/>
        <v>-0.7369655942</v>
      </c>
      <c r="U24" s="22">
        <f t="shared" si="89"/>
        <v>0.8479969066</v>
      </c>
      <c r="V24" s="22">
        <f t="shared" si="89"/>
        <v>-2.321928095</v>
      </c>
      <c r="W24" s="22">
        <f t="shared" si="89"/>
        <v>-0.5145731728</v>
      </c>
      <c r="X24" s="22">
        <f t="shared" si="89"/>
        <v>0.6780719051</v>
      </c>
      <c r="Y24" s="22">
        <f t="shared" si="89"/>
        <v>-0.7369655942</v>
      </c>
      <c r="Z24" s="22">
        <f t="shared" si="89"/>
        <v>0.8479969066</v>
      </c>
      <c r="AA24" s="22">
        <f t="shared" si="89"/>
        <v>-0.5145731728</v>
      </c>
      <c r="AB24" s="22">
        <f t="shared" si="89"/>
        <v>-0.7369655942</v>
      </c>
      <c r="AC24" s="22">
        <f t="shared" si="89"/>
        <v>0</v>
      </c>
      <c r="AD24" s="41"/>
      <c r="AE24" s="31">
        <f t="shared" si="6"/>
        <v>17.89600766</v>
      </c>
      <c r="AF24" s="31">
        <f t="shared" si="7"/>
        <v>0.5291666667</v>
      </c>
      <c r="AG24" s="31">
        <f t="shared" si="8"/>
        <v>0.06975378788</v>
      </c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2" t="str">
        <f t="shared" ref="AT24:BE24" si="90">IF(F24=MIN($F24:$Q24),"Yes","")</f>
        <v/>
      </c>
      <c r="AU24" s="32" t="str">
        <f t="shared" si="90"/>
        <v/>
      </c>
      <c r="AV24" s="32" t="str">
        <f t="shared" si="90"/>
        <v/>
      </c>
      <c r="AW24" s="32" t="str">
        <f t="shared" si="90"/>
        <v>Yes</v>
      </c>
      <c r="AX24" s="32" t="str">
        <f t="shared" si="90"/>
        <v/>
      </c>
      <c r="AY24" s="32" t="str">
        <f t="shared" si="90"/>
        <v/>
      </c>
      <c r="AZ24" s="32" t="str">
        <f t="shared" si="90"/>
        <v/>
      </c>
      <c r="BA24" s="32" t="str">
        <f t="shared" si="90"/>
        <v/>
      </c>
      <c r="BB24" s="32" t="str">
        <f t="shared" si="90"/>
        <v>Yes</v>
      </c>
      <c r="BC24" s="32" t="str">
        <f t="shared" si="90"/>
        <v/>
      </c>
      <c r="BD24" s="32" t="str">
        <f t="shared" si="90"/>
        <v/>
      </c>
      <c r="BE24" s="32" t="str">
        <f t="shared" si="90"/>
        <v/>
      </c>
      <c r="BF24" s="32" t="str">
        <f t="shared" ref="BF24:BQ24" si="91">IF(F24=MAX($F24:$Q24),"Yes","")</f>
        <v/>
      </c>
      <c r="BG24" s="32" t="str">
        <f t="shared" si="91"/>
        <v/>
      </c>
      <c r="BH24" s="32" t="str">
        <f t="shared" si="91"/>
        <v/>
      </c>
      <c r="BI24" s="32" t="str">
        <f t="shared" si="91"/>
        <v/>
      </c>
      <c r="BJ24" s="32" t="str">
        <f t="shared" si="91"/>
        <v>Yes</v>
      </c>
      <c r="BK24" s="32" t="str">
        <f t="shared" si="91"/>
        <v/>
      </c>
      <c r="BL24" s="32" t="str">
        <f t="shared" si="91"/>
        <v/>
      </c>
      <c r="BM24" s="32" t="str">
        <f t="shared" si="91"/>
        <v/>
      </c>
      <c r="BN24" s="32" t="str">
        <f t="shared" si="91"/>
        <v/>
      </c>
      <c r="BO24" s="32" t="str">
        <f t="shared" si="91"/>
        <v/>
      </c>
      <c r="BP24" s="32" t="str">
        <f t="shared" si="91"/>
        <v/>
      </c>
      <c r="BQ24" s="32" t="str">
        <f t="shared" si="91"/>
        <v/>
      </c>
      <c r="BR24" s="32" t="str">
        <f t="shared" si="11"/>
        <v/>
      </c>
      <c r="BS24" s="32" t="str">
        <f t="shared" si="12"/>
        <v>Yes</v>
      </c>
      <c r="BT24" s="32"/>
      <c r="BU24" s="32"/>
      <c r="BV24" s="32"/>
      <c r="BW24" s="33">
        <f t="shared" si="13"/>
        <v>0</v>
      </c>
      <c r="BX24" s="33">
        <f t="shared" si="14"/>
        <v>0</v>
      </c>
      <c r="BY24" s="34" t="str">
        <f t="shared" si="15"/>
        <v/>
      </c>
      <c r="BZ24" s="33">
        <f t="shared" si="16"/>
        <v>-0.2</v>
      </c>
      <c r="CA24" s="33">
        <f t="shared" si="17"/>
        <v>0.7</v>
      </c>
      <c r="CB24" s="34">
        <f t="shared" si="18"/>
        <v>0.9</v>
      </c>
      <c r="CC24" s="35"/>
      <c r="CD24" s="33"/>
      <c r="CE24" s="34"/>
      <c r="CF24" s="33"/>
      <c r="CG24" s="33"/>
      <c r="CH24" s="34"/>
      <c r="CI24" s="33"/>
      <c r="CJ24" s="33"/>
      <c r="CK24" s="34"/>
    </row>
    <row r="25" ht="12.75" customHeight="1">
      <c r="A25" s="36">
        <v>24.0</v>
      </c>
      <c r="B25" s="36" t="s">
        <v>73</v>
      </c>
      <c r="C25" s="44" t="s">
        <v>83</v>
      </c>
      <c r="D25" s="38"/>
      <c r="E25" s="39">
        <v>0.0</v>
      </c>
      <c r="F25" s="46">
        <f>Andrew!D25</f>
        <v>0.6</v>
      </c>
      <c r="G25" s="46">
        <f>Bruce!D25</f>
        <v>0.2</v>
      </c>
      <c r="H25" s="46">
        <f>Christine!D25</f>
        <v>0.7</v>
      </c>
      <c r="I25" s="46">
        <f>Eileen!D25</f>
        <v>0.9</v>
      </c>
      <c r="J25" s="46">
        <f>Iain!D25</f>
        <v>0.1</v>
      </c>
      <c r="K25" s="46">
        <f>Gael!D25</f>
        <v>0.65</v>
      </c>
      <c r="L25" s="46">
        <f>Jac!D25</f>
        <v>0.15</v>
      </c>
      <c r="M25" s="46">
        <f>James!D25</f>
        <v>0.7</v>
      </c>
      <c r="N25" s="46">
        <f>Kate!D25</f>
        <v>0.2</v>
      </c>
      <c r="O25" s="46">
        <f>Lachy!D25</f>
        <v>0.15</v>
      </c>
      <c r="P25" s="46">
        <f>Pete!D25</f>
        <v>0.5</v>
      </c>
      <c r="Q25" s="46">
        <f>Rohan!D25</f>
        <v>0.5</v>
      </c>
      <c r="R25" s="31">
        <f t="shared" si="27"/>
        <v>-0.3219280949</v>
      </c>
      <c r="S25" s="31">
        <f t="shared" ref="S25:AC25" si="92">IF($E25=1,(LOG(G25,2)+1),IF($E25=0,(LOG(1-G25,2)+1),""))</f>
        <v>0.6780719051</v>
      </c>
      <c r="T25" s="31">
        <f t="shared" si="92"/>
        <v>-0.7369655942</v>
      </c>
      <c r="U25" s="31">
        <f t="shared" si="92"/>
        <v>-2.321928095</v>
      </c>
      <c r="V25" s="31">
        <f t="shared" si="92"/>
        <v>0.8479969066</v>
      </c>
      <c r="W25" s="31">
        <f t="shared" si="92"/>
        <v>-0.5145731728</v>
      </c>
      <c r="X25" s="31">
        <f t="shared" si="92"/>
        <v>0.7655347464</v>
      </c>
      <c r="Y25" s="31">
        <f t="shared" si="92"/>
        <v>-0.7369655942</v>
      </c>
      <c r="Z25" s="31">
        <f t="shared" si="92"/>
        <v>0.6780719051</v>
      </c>
      <c r="AA25" s="31">
        <f t="shared" si="92"/>
        <v>0.7655347464</v>
      </c>
      <c r="AB25" s="31">
        <f t="shared" si="92"/>
        <v>0</v>
      </c>
      <c r="AC25" s="31">
        <f t="shared" si="92"/>
        <v>0</v>
      </c>
      <c r="AD25" s="41"/>
      <c r="AE25" s="31">
        <f t="shared" si="6"/>
        <v>19.26768282</v>
      </c>
      <c r="AF25" s="31">
        <f t="shared" si="7"/>
        <v>0.4458333333</v>
      </c>
      <c r="AG25" s="31">
        <f t="shared" si="8"/>
        <v>0.07475378788</v>
      </c>
      <c r="AH25" s="46" t="str">
        <f t="shared" ref="AH25:AS25" si="93">IF(F25=MIN($F25:$Q25),LOG(1-F25,2)+1,IF(F25=MAX($F25:$Q25),LOG(F25,2)+1,""))</f>
        <v/>
      </c>
      <c r="AI25" s="46" t="str">
        <f t="shared" si="93"/>
        <v/>
      </c>
      <c r="AJ25" s="46" t="str">
        <f t="shared" si="93"/>
        <v/>
      </c>
      <c r="AK25" s="46">
        <f t="shared" si="93"/>
        <v>0.8479969066</v>
      </c>
      <c r="AL25" s="46">
        <f t="shared" si="93"/>
        <v>0.8479969066</v>
      </c>
      <c r="AM25" s="46" t="str">
        <f t="shared" si="93"/>
        <v/>
      </c>
      <c r="AN25" s="46" t="str">
        <f t="shared" si="93"/>
        <v/>
      </c>
      <c r="AO25" s="46" t="str">
        <f t="shared" si="93"/>
        <v/>
      </c>
      <c r="AP25" s="46" t="str">
        <f t="shared" si="93"/>
        <v/>
      </c>
      <c r="AQ25" s="46" t="str">
        <f t="shared" si="93"/>
        <v/>
      </c>
      <c r="AR25" s="46" t="str">
        <f t="shared" si="93"/>
        <v/>
      </c>
      <c r="AS25" s="46" t="str">
        <f t="shared" si="93"/>
        <v/>
      </c>
      <c r="AT25" s="32" t="str">
        <f t="shared" ref="AT25:BE25" si="94">IF(F25=MIN($F25:$Q25),"Yes","")</f>
        <v/>
      </c>
      <c r="AU25" s="32" t="str">
        <f t="shared" si="94"/>
        <v/>
      </c>
      <c r="AV25" s="32" t="str">
        <f t="shared" si="94"/>
        <v/>
      </c>
      <c r="AW25" s="32" t="str">
        <f t="shared" si="94"/>
        <v/>
      </c>
      <c r="AX25" s="32" t="str">
        <f t="shared" si="94"/>
        <v>Yes</v>
      </c>
      <c r="AY25" s="32" t="str">
        <f t="shared" si="94"/>
        <v/>
      </c>
      <c r="AZ25" s="32" t="str">
        <f t="shared" si="94"/>
        <v/>
      </c>
      <c r="BA25" s="32" t="str">
        <f t="shared" si="94"/>
        <v/>
      </c>
      <c r="BB25" s="32" t="str">
        <f t="shared" si="94"/>
        <v/>
      </c>
      <c r="BC25" s="32" t="str">
        <f t="shared" si="94"/>
        <v/>
      </c>
      <c r="BD25" s="32" t="str">
        <f t="shared" si="94"/>
        <v/>
      </c>
      <c r="BE25" s="32" t="str">
        <f t="shared" si="94"/>
        <v/>
      </c>
      <c r="BF25" s="32" t="str">
        <f t="shared" ref="BF25:BQ25" si="95">IF(F25=MAX($F25:$Q25),"Yes","")</f>
        <v/>
      </c>
      <c r="BG25" s="32" t="str">
        <f t="shared" si="95"/>
        <v/>
      </c>
      <c r="BH25" s="32" t="str">
        <f t="shared" si="95"/>
        <v/>
      </c>
      <c r="BI25" s="32" t="str">
        <f t="shared" si="95"/>
        <v>Yes</v>
      </c>
      <c r="BJ25" s="32" t="str">
        <f t="shared" si="95"/>
        <v/>
      </c>
      <c r="BK25" s="32" t="str">
        <f t="shared" si="95"/>
        <v/>
      </c>
      <c r="BL25" s="32" t="str">
        <f t="shared" si="95"/>
        <v/>
      </c>
      <c r="BM25" s="32" t="str">
        <f t="shared" si="95"/>
        <v/>
      </c>
      <c r="BN25" s="32" t="str">
        <f t="shared" si="95"/>
        <v/>
      </c>
      <c r="BO25" s="32" t="str">
        <f t="shared" si="95"/>
        <v/>
      </c>
      <c r="BP25" s="32" t="str">
        <f t="shared" si="95"/>
        <v/>
      </c>
      <c r="BQ25" s="32" t="str">
        <f t="shared" si="95"/>
        <v/>
      </c>
      <c r="BR25" s="32" t="str">
        <f t="shared" si="11"/>
        <v/>
      </c>
      <c r="BS25" s="32" t="str">
        <f t="shared" si="12"/>
        <v>Yes</v>
      </c>
      <c r="BT25" s="32"/>
      <c r="BU25" s="32"/>
      <c r="BV25" s="32"/>
      <c r="BW25" s="33">
        <f t="shared" si="13"/>
        <v>0</v>
      </c>
      <c r="BX25" s="33">
        <f t="shared" si="14"/>
        <v>0</v>
      </c>
      <c r="BY25" s="34" t="str">
        <f t="shared" si="15"/>
        <v/>
      </c>
      <c r="BZ25" s="33">
        <f t="shared" si="16"/>
        <v>-0.15</v>
      </c>
      <c r="CA25" s="33">
        <f t="shared" si="17"/>
        <v>0.7</v>
      </c>
      <c r="CB25" s="34">
        <f t="shared" si="18"/>
        <v>0.85</v>
      </c>
      <c r="CC25" s="35" t="s">
        <v>59</v>
      </c>
      <c r="CD25" s="33"/>
      <c r="CE25" s="34"/>
      <c r="CF25" s="33"/>
      <c r="CG25" s="33"/>
      <c r="CH25" s="34"/>
      <c r="CI25" s="33"/>
      <c r="CJ25" s="33"/>
      <c r="CK25" s="34"/>
    </row>
    <row r="26" ht="12.75" customHeight="1">
      <c r="A26" s="18">
        <v>25.0</v>
      </c>
      <c r="B26" s="18" t="s">
        <v>73</v>
      </c>
      <c r="C26" s="19" t="s">
        <v>84</v>
      </c>
      <c r="D26" s="20">
        <v>44884.0</v>
      </c>
      <c r="E26" s="21">
        <v>1.0</v>
      </c>
      <c r="F26" s="22">
        <f>Andrew!D26</f>
        <v>0.6</v>
      </c>
      <c r="G26" s="26">
        <f>Bruce!D26</f>
        <v>0.9</v>
      </c>
      <c r="H26" s="22">
        <f>Christine!D26</f>
        <v>0.8</v>
      </c>
      <c r="I26" s="26">
        <f>Eileen!D26</f>
        <v>0.5</v>
      </c>
      <c r="J26" s="22">
        <f>Iain!D26</f>
        <v>0.9</v>
      </c>
      <c r="K26" s="26">
        <f>Gael!D26</f>
        <v>0.7</v>
      </c>
      <c r="L26" s="22">
        <f>Jac!D26</f>
        <v>0.7</v>
      </c>
      <c r="M26" s="26">
        <f>James!D26</f>
        <v>0.8</v>
      </c>
      <c r="N26" s="22">
        <f>Kate!D26</f>
        <v>0.9</v>
      </c>
      <c r="O26" s="26">
        <f>Lachy!D26</f>
        <v>0.85</v>
      </c>
      <c r="P26" s="22">
        <f>Pete!D26</f>
        <v>0.5</v>
      </c>
      <c r="Q26" s="26">
        <f>Rohan!D26</f>
        <v>0.7</v>
      </c>
      <c r="R26" s="22">
        <f t="shared" si="27"/>
        <v>0.2630344058</v>
      </c>
      <c r="S26" s="22">
        <f t="shared" ref="S26:AC26" si="96">IF($E26=1,(LOG(G26,2)+1),IF($E26=0,(LOG(1-G26,2)+1),""))</f>
        <v>0.8479969066</v>
      </c>
      <c r="T26" s="22">
        <f t="shared" si="96"/>
        <v>0.6780719051</v>
      </c>
      <c r="U26" s="22">
        <f t="shared" si="96"/>
        <v>0</v>
      </c>
      <c r="V26" s="22">
        <f t="shared" si="96"/>
        <v>0.8479969066</v>
      </c>
      <c r="W26" s="22">
        <f t="shared" si="96"/>
        <v>0.4854268272</v>
      </c>
      <c r="X26" s="22">
        <f t="shared" si="96"/>
        <v>0.4854268272</v>
      </c>
      <c r="Y26" s="22">
        <f t="shared" si="96"/>
        <v>0.6780719051</v>
      </c>
      <c r="Z26" s="22">
        <f t="shared" si="96"/>
        <v>0.8479969066</v>
      </c>
      <c r="AA26" s="22">
        <f t="shared" si="96"/>
        <v>0.7655347464</v>
      </c>
      <c r="AB26" s="22">
        <f t="shared" si="96"/>
        <v>0</v>
      </c>
      <c r="AC26" s="22">
        <f t="shared" si="96"/>
        <v>0.4854268272</v>
      </c>
      <c r="AD26" s="41"/>
      <c r="AE26" s="31">
        <f t="shared" si="6"/>
        <v>20.26441511</v>
      </c>
      <c r="AF26" s="31">
        <f t="shared" si="7"/>
        <v>0.7375</v>
      </c>
      <c r="AG26" s="31">
        <f t="shared" si="8"/>
        <v>0.02142045455</v>
      </c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2" t="str">
        <f t="shared" ref="AT26:BE26" si="97">IF(F26=MIN($F26:$Q26),"Yes","")</f>
        <v/>
      </c>
      <c r="AU26" s="32" t="str">
        <f t="shared" si="97"/>
        <v/>
      </c>
      <c r="AV26" s="32" t="str">
        <f t="shared" si="97"/>
        <v/>
      </c>
      <c r="AW26" s="32" t="str">
        <f t="shared" si="97"/>
        <v>Yes</v>
      </c>
      <c r="AX26" s="32" t="str">
        <f t="shared" si="97"/>
        <v/>
      </c>
      <c r="AY26" s="32" t="str">
        <f t="shared" si="97"/>
        <v/>
      </c>
      <c r="AZ26" s="32" t="str">
        <f t="shared" si="97"/>
        <v/>
      </c>
      <c r="BA26" s="32" t="str">
        <f t="shared" si="97"/>
        <v/>
      </c>
      <c r="BB26" s="32" t="str">
        <f t="shared" si="97"/>
        <v/>
      </c>
      <c r="BC26" s="32" t="str">
        <f t="shared" si="97"/>
        <v/>
      </c>
      <c r="BD26" s="32" t="str">
        <f t="shared" si="97"/>
        <v>Yes</v>
      </c>
      <c r="BE26" s="32" t="str">
        <f t="shared" si="97"/>
        <v/>
      </c>
      <c r="BF26" s="32" t="str">
        <f t="shared" ref="BF26:BQ26" si="98">IF(F26=MAX($F26:$Q26),"Yes","")</f>
        <v/>
      </c>
      <c r="BG26" s="32" t="str">
        <f t="shared" si="98"/>
        <v>Yes</v>
      </c>
      <c r="BH26" s="32" t="str">
        <f t="shared" si="98"/>
        <v/>
      </c>
      <c r="BI26" s="32" t="str">
        <f t="shared" si="98"/>
        <v/>
      </c>
      <c r="BJ26" s="32" t="str">
        <f t="shared" si="98"/>
        <v>Yes</v>
      </c>
      <c r="BK26" s="32" t="str">
        <f t="shared" si="98"/>
        <v/>
      </c>
      <c r="BL26" s="32" t="str">
        <f t="shared" si="98"/>
        <v/>
      </c>
      <c r="BM26" s="32" t="str">
        <f t="shared" si="98"/>
        <v/>
      </c>
      <c r="BN26" s="32" t="str">
        <f t="shared" si="98"/>
        <v>Yes</v>
      </c>
      <c r="BO26" s="32" t="str">
        <f t="shared" si="98"/>
        <v/>
      </c>
      <c r="BP26" s="32" t="str">
        <f t="shared" si="98"/>
        <v/>
      </c>
      <c r="BQ26" s="32" t="str">
        <f t="shared" si="98"/>
        <v/>
      </c>
      <c r="BR26" s="32" t="str">
        <f t="shared" si="11"/>
        <v/>
      </c>
      <c r="BS26" s="32" t="str">
        <f t="shared" si="12"/>
        <v/>
      </c>
      <c r="BT26" s="32"/>
      <c r="BU26" s="32"/>
      <c r="BV26" s="32"/>
      <c r="BW26" s="33">
        <f t="shared" si="13"/>
        <v>0</v>
      </c>
      <c r="BX26" s="33">
        <f t="shared" si="14"/>
        <v>0</v>
      </c>
      <c r="BY26" s="34" t="str">
        <f t="shared" si="15"/>
        <v/>
      </c>
      <c r="BZ26" s="33">
        <f t="shared" si="16"/>
        <v>0</v>
      </c>
      <c r="CA26" s="33">
        <f t="shared" si="17"/>
        <v>0</v>
      </c>
      <c r="CB26" s="34" t="str">
        <f t="shared" si="18"/>
        <v/>
      </c>
      <c r="CC26" s="35"/>
      <c r="CD26" s="33"/>
      <c r="CE26" s="34"/>
      <c r="CF26" s="33"/>
      <c r="CG26" s="33"/>
      <c r="CH26" s="34"/>
      <c r="CI26" s="33"/>
      <c r="CJ26" s="33"/>
      <c r="CK26" s="34"/>
    </row>
    <row r="27" ht="12.75" customHeight="1">
      <c r="A27" s="36">
        <v>26.0</v>
      </c>
      <c r="B27" s="36" t="s">
        <v>73</v>
      </c>
      <c r="C27" s="37" t="s">
        <v>85</v>
      </c>
      <c r="D27" s="38"/>
      <c r="E27" s="39">
        <v>0.0</v>
      </c>
      <c r="F27" s="31">
        <f>Andrew!D27</f>
        <v>0.2</v>
      </c>
      <c r="G27" s="31">
        <f>Bruce!D27</f>
        <v>0.1</v>
      </c>
      <c r="H27" s="31">
        <f>Christine!D27</f>
        <v>0.2</v>
      </c>
      <c r="I27" s="31">
        <f>Eileen!D27</f>
        <v>0.1</v>
      </c>
      <c r="J27" s="31">
        <f>Iain!D27</f>
        <v>0.5</v>
      </c>
      <c r="K27" s="31">
        <f>Gael!D27</f>
        <v>0.2</v>
      </c>
      <c r="L27" s="31">
        <f>Jac!D27</f>
        <v>0.05</v>
      </c>
      <c r="M27" s="31">
        <f>James!D27</f>
        <v>0.2</v>
      </c>
      <c r="N27" s="31">
        <f>Kate!D27</f>
        <v>0.8</v>
      </c>
      <c r="O27" s="31">
        <f>Lachy!D27</f>
        <v>0.15</v>
      </c>
      <c r="P27" s="31">
        <f>Pete!D27</f>
        <v>0.1</v>
      </c>
      <c r="Q27" s="31">
        <f>Rohan!D27</f>
        <v>0.3</v>
      </c>
      <c r="R27" s="31">
        <f t="shared" si="27"/>
        <v>0.6780719051</v>
      </c>
      <c r="S27" s="31">
        <f t="shared" ref="S27:AC27" si="99">IF($E27=1,(LOG(G27,2)+1),IF($E27=0,(LOG(1-G27,2)+1),""))</f>
        <v>0.8479969066</v>
      </c>
      <c r="T27" s="31">
        <f t="shared" si="99"/>
        <v>0.6780719051</v>
      </c>
      <c r="U27" s="31">
        <f t="shared" si="99"/>
        <v>0.8479969066</v>
      </c>
      <c r="V27" s="31">
        <f t="shared" si="99"/>
        <v>0</v>
      </c>
      <c r="W27" s="31">
        <f t="shared" si="99"/>
        <v>0.6780719051</v>
      </c>
      <c r="X27" s="31">
        <f t="shared" si="99"/>
        <v>0.9259994186</v>
      </c>
      <c r="Y27" s="31">
        <f t="shared" si="99"/>
        <v>0.6780719051</v>
      </c>
      <c r="Z27" s="31">
        <f t="shared" si="99"/>
        <v>-1.321928095</v>
      </c>
      <c r="AA27" s="31">
        <f t="shared" si="99"/>
        <v>0.7655347464</v>
      </c>
      <c r="AB27" s="31">
        <f t="shared" si="99"/>
        <v>0.8479969066</v>
      </c>
      <c r="AC27" s="31">
        <f t="shared" si="99"/>
        <v>0.4854268272</v>
      </c>
      <c r="AD27" s="41"/>
      <c r="AE27" s="31">
        <f t="shared" si="6"/>
        <v>23.48259528</v>
      </c>
      <c r="AF27" s="31">
        <f t="shared" si="7"/>
        <v>0.2416666667</v>
      </c>
      <c r="AG27" s="31">
        <f t="shared" si="8"/>
        <v>0.04492424242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2" t="str">
        <f t="shared" ref="AT27:BE27" si="100">IF(F27=MIN($F27:$Q27),"Yes","")</f>
        <v/>
      </c>
      <c r="AU27" s="32" t="str">
        <f t="shared" si="100"/>
        <v/>
      </c>
      <c r="AV27" s="32" t="str">
        <f t="shared" si="100"/>
        <v/>
      </c>
      <c r="AW27" s="32" t="str">
        <f t="shared" si="100"/>
        <v/>
      </c>
      <c r="AX27" s="32" t="str">
        <f t="shared" si="100"/>
        <v/>
      </c>
      <c r="AY27" s="32" t="str">
        <f t="shared" si="100"/>
        <v/>
      </c>
      <c r="AZ27" s="32" t="str">
        <f t="shared" si="100"/>
        <v>Yes</v>
      </c>
      <c r="BA27" s="32" t="str">
        <f t="shared" si="100"/>
        <v/>
      </c>
      <c r="BB27" s="32" t="str">
        <f t="shared" si="100"/>
        <v/>
      </c>
      <c r="BC27" s="32" t="str">
        <f t="shared" si="100"/>
        <v/>
      </c>
      <c r="BD27" s="32" t="str">
        <f t="shared" si="100"/>
        <v/>
      </c>
      <c r="BE27" s="32" t="str">
        <f t="shared" si="100"/>
        <v/>
      </c>
      <c r="BF27" s="32" t="str">
        <f t="shared" ref="BF27:BQ27" si="101">IF(F27=MAX($F27:$Q27),"Yes","")</f>
        <v/>
      </c>
      <c r="BG27" s="32" t="str">
        <f t="shared" si="101"/>
        <v/>
      </c>
      <c r="BH27" s="32" t="str">
        <f t="shared" si="101"/>
        <v/>
      </c>
      <c r="BI27" s="32" t="str">
        <f t="shared" si="101"/>
        <v/>
      </c>
      <c r="BJ27" s="32" t="str">
        <f t="shared" si="101"/>
        <v/>
      </c>
      <c r="BK27" s="32" t="str">
        <f t="shared" si="101"/>
        <v/>
      </c>
      <c r="BL27" s="32" t="str">
        <f t="shared" si="101"/>
        <v/>
      </c>
      <c r="BM27" s="32" t="str">
        <f t="shared" si="101"/>
        <v/>
      </c>
      <c r="BN27" s="32" t="str">
        <f t="shared" si="101"/>
        <v>Yes</v>
      </c>
      <c r="BO27" s="32" t="str">
        <f t="shared" si="101"/>
        <v/>
      </c>
      <c r="BP27" s="32" t="str">
        <f t="shared" si="101"/>
        <v/>
      </c>
      <c r="BQ27" s="32" t="str">
        <f t="shared" si="101"/>
        <v/>
      </c>
      <c r="BR27" s="32" t="str">
        <f t="shared" si="11"/>
        <v/>
      </c>
      <c r="BS27" s="32" t="str">
        <f t="shared" si="12"/>
        <v/>
      </c>
      <c r="BT27" s="32"/>
      <c r="BU27" s="32"/>
      <c r="BV27" s="32"/>
      <c r="BW27" s="33">
        <f t="shared" si="13"/>
        <v>0</v>
      </c>
      <c r="BX27" s="33">
        <f t="shared" si="14"/>
        <v>0</v>
      </c>
      <c r="BY27" s="34" t="str">
        <f t="shared" si="15"/>
        <v/>
      </c>
      <c r="BZ27" s="33">
        <f t="shared" si="16"/>
        <v>0</v>
      </c>
      <c r="CA27" s="33">
        <f t="shared" si="17"/>
        <v>0</v>
      </c>
      <c r="CB27" s="34" t="str">
        <f t="shared" si="18"/>
        <v/>
      </c>
      <c r="CC27" s="35"/>
      <c r="CD27" s="33"/>
      <c r="CE27" s="34"/>
      <c r="CF27" s="33"/>
      <c r="CG27" s="33"/>
      <c r="CH27" s="34"/>
      <c r="CI27" s="33"/>
      <c r="CJ27" s="33"/>
      <c r="CK27" s="34"/>
    </row>
    <row r="28" ht="12.75" customHeight="1">
      <c r="A28" s="18">
        <v>27.0</v>
      </c>
      <c r="B28" s="18" t="s">
        <v>73</v>
      </c>
      <c r="C28" s="19" t="s">
        <v>86</v>
      </c>
      <c r="D28" s="49"/>
      <c r="E28" s="21">
        <v>0.0</v>
      </c>
      <c r="F28" s="22">
        <f>Andrew!D28</f>
        <v>0.6</v>
      </c>
      <c r="G28" s="26">
        <f>Bruce!D28</f>
        <v>0.6</v>
      </c>
      <c r="H28" s="22">
        <f>Christine!D28</f>
        <v>0.2</v>
      </c>
      <c r="I28" s="26">
        <f>Eileen!D28</f>
        <v>0.5</v>
      </c>
      <c r="J28" s="22">
        <f>Iain!D28</f>
        <v>0.4</v>
      </c>
      <c r="K28" s="26">
        <f>Gael!D28</f>
        <v>0.65</v>
      </c>
      <c r="L28" s="22">
        <f>Jac!D28</f>
        <v>0.2</v>
      </c>
      <c r="M28" s="26">
        <f>James!D28</f>
        <v>0.2</v>
      </c>
      <c r="N28" s="22">
        <f>Kate!D28</f>
        <v>0.9</v>
      </c>
      <c r="O28" s="26">
        <f>Lachy!D28</f>
        <v>0.5</v>
      </c>
      <c r="P28" s="22">
        <f>Pete!D28</f>
        <v>0.5</v>
      </c>
      <c r="Q28" s="26">
        <f>Rohan!D28</f>
        <v>0.4</v>
      </c>
      <c r="R28" s="22">
        <f t="shared" si="27"/>
        <v>-0.3219280949</v>
      </c>
      <c r="S28" s="22">
        <f t="shared" ref="S28:AC28" si="102">IF($E28=1,(LOG(G28,2)+1),IF($E28=0,(LOG(1-G28,2)+1),""))</f>
        <v>-0.3219280949</v>
      </c>
      <c r="T28" s="22">
        <f t="shared" si="102"/>
        <v>0.6780719051</v>
      </c>
      <c r="U28" s="22">
        <f t="shared" si="102"/>
        <v>0</v>
      </c>
      <c r="V28" s="22">
        <f t="shared" si="102"/>
        <v>0.2630344058</v>
      </c>
      <c r="W28" s="22">
        <f t="shared" si="102"/>
        <v>-0.5145731728</v>
      </c>
      <c r="X28" s="22">
        <f t="shared" si="102"/>
        <v>0.6780719051</v>
      </c>
      <c r="Y28" s="22">
        <f t="shared" si="102"/>
        <v>0.6780719051</v>
      </c>
      <c r="Z28" s="22">
        <f t="shared" si="102"/>
        <v>-2.321928095</v>
      </c>
      <c r="AA28" s="22">
        <f t="shared" si="102"/>
        <v>0</v>
      </c>
      <c r="AB28" s="22">
        <f t="shared" si="102"/>
        <v>0</v>
      </c>
      <c r="AC28" s="22">
        <f t="shared" si="102"/>
        <v>0.2630344058</v>
      </c>
      <c r="AD28" s="41"/>
      <c r="AE28" s="31">
        <f t="shared" si="6"/>
        <v>12.4028598</v>
      </c>
      <c r="AF28" s="31">
        <f t="shared" si="7"/>
        <v>0.4708333333</v>
      </c>
      <c r="AG28" s="31">
        <f t="shared" si="8"/>
        <v>0.04384469697</v>
      </c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2" t="str">
        <f t="shared" ref="AT28:BE28" si="103">IF(F28=MIN($F28:$Q28),"Yes","")</f>
        <v/>
      </c>
      <c r="AU28" s="32" t="str">
        <f t="shared" si="103"/>
        <v/>
      </c>
      <c r="AV28" s="32" t="str">
        <f t="shared" si="103"/>
        <v>Yes</v>
      </c>
      <c r="AW28" s="32" t="str">
        <f t="shared" si="103"/>
        <v/>
      </c>
      <c r="AX28" s="32" t="str">
        <f t="shared" si="103"/>
        <v/>
      </c>
      <c r="AY28" s="32" t="str">
        <f t="shared" si="103"/>
        <v/>
      </c>
      <c r="AZ28" s="32" t="str">
        <f t="shared" si="103"/>
        <v>Yes</v>
      </c>
      <c r="BA28" s="32" t="str">
        <f t="shared" si="103"/>
        <v>Yes</v>
      </c>
      <c r="BB28" s="32" t="str">
        <f t="shared" si="103"/>
        <v/>
      </c>
      <c r="BC28" s="32" t="str">
        <f t="shared" si="103"/>
        <v/>
      </c>
      <c r="BD28" s="32" t="str">
        <f t="shared" si="103"/>
        <v/>
      </c>
      <c r="BE28" s="32" t="str">
        <f t="shared" si="103"/>
        <v/>
      </c>
      <c r="BF28" s="32" t="str">
        <f t="shared" ref="BF28:BQ28" si="104">IF(F28=MAX($F28:$Q28),"Yes","")</f>
        <v/>
      </c>
      <c r="BG28" s="32" t="str">
        <f t="shared" si="104"/>
        <v/>
      </c>
      <c r="BH28" s="32" t="str">
        <f t="shared" si="104"/>
        <v/>
      </c>
      <c r="BI28" s="32" t="str">
        <f t="shared" si="104"/>
        <v/>
      </c>
      <c r="BJ28" s="32" t="str">
        <f t="shared" si="104"/>
        <v/>
      </c>
      <c r="BK28" s="32" t="str">
        <f t="shared" si="104"/>
        <v/>
      </c>
      <c r="BL28" s="32" t="str">
        <f t="shared" si="104"/>
        <v/>
      </c>
      <c r="BM28" s="32" t="str">
        <f t="shared" si="104"/>
        <v/>
      </c>
      <c r="BN28" s="32" t="str">
        <f t="shared" si="104"/>
        <v>Yes</v>
      </c>
      <c r="BO28" s="32" t="str">
        <f t="shared" si="104"/>
        <v/>
      </c>
      <c r="BP28" s="32" t="str">
        <f t="shared" si="104"/>
        <v/>
      </c>
      <c r="BQ28" s="32" t="str">
        <f t="shared" si="104"/>
        <v/>
      </c>
      <c r="BR28" s="32" t="str">
        <f t="shared" si="11"/>
        <v/>
      </c>
      <c r="BS28" s="32" t="str">
        <f t="shared" si="12"/>
        <v/>
      </c>
      <c r="BT28" s="32"/>
      <c r="BU28" s="32"/>
      <c r="BV28" s="32"/>
      <c r="BW28" s="33">
        <f t="shared" si="13"/>
        <v>0</v>
      </c>
      <c r="BX28" s="33">
        <f t="shared" si="14"/>
        <v>0</v>
      </c>
      <c r="BY28" s="34" t="str">
        <f t="shared" si="15"/>
        <v/>
      </c>
      <c r="BZ28" s="33">
        <f t="shared" si="16"/>
        <v>0</v>
      </c>
      <c r="CA28" s="33">
        <f t="shared" si="17"/>
        <v>0</v>
      </c>
      <c r="CB28" s="34" t="str">
        <f t="shared" si="18"/>
        <v/>
      </c>
      <c r="CC28" s="35" t="s">
        <v>63</v>
      </c>
      <c r="CD28" s="33"/>
      <c r="CE28" s="34"/>
      <c r="CF28" s="33"/>
      <c r="CG28" s="33"/>
      <c r="CH28" s="34"/>
      <c r="CI28" s="33"/>
      <c r="CJ28" s="33"/>
      <c r="CK28" s="34"/>
    </row>
    <row r="29" ht="12.75" customHeight="1">
      <c r="A29" s="36">
        <v>28.0</v>
      </c>
      <c r="B29" s="36" t="s">
        <v>73</v>
      </c>
      <c r="C29" s="44" t="s">
        <v>87</v>
      </c>
      <c r="D29" s="38"/>
      <c r="E29" s="39">
        <v>0.0</v>
      </c>
      <c r="F29" s="46">
        <f>Andrew!D29</f>
        <v>0.3</v>
      </c>
      <c r="G29" s="46">
        <f>Bruce!D29</f>
        <v>0.3</v>
      </c>
      <c r="H29" s="46">
        <f>Christine!D29</f>
        <v>0.8</v>
      </c>
      <c r="I29" s="46">
        <f>Eileen!D29</f>
        <v>0.1</v>
      </c>
      <c r="J29" s="46">
        <f>Iain!D29</f>
        <v>0.9</v>
      </c>
      <c r="K29" s="46">
        <f>Gael!D29</f>
        <v>0.45</v>
      </c>
      <c r="L29" s="48">
        <f>Jac!D29</f>
        <v>0.001</v>
      </c>
      <c r="M29" s="46">
        <f>James!D29</f>
        <v>0.8</v>
      </c>
      <c r="N29" s="46">
        <f>Kate!D29</f>
        <v>0.9</v>
      </c>
      <c r="O29" s="48">
        <f>Lachy!D29</f>
        <v>0.001</v>
      </c>
      <c r="P29" s="46">
        <f>Pete!D29</f>
        <v>0.1</v>
      </c>
      <c r="Q29" s="46">
        <f>Rohan!D29</f>
        <v>0.55</v>
      </c>
      <c r="R29" s="31">
        <f t="shared" si="27"/>
        <v>0.4854268272</v>
      </c>
      <c r="S29" s="31">
        <f t="shared" ref="S29:AC29" si="105">IF($E29=1,(LOG(G29,2)+1),IF($E29=0,(LOG(1-G29,2)+1),""))</f>
        <v>0.4854268272</v>
      </c>
      <c r="T29" s="31">
        <f t="shared" si="105"/>
        <v>-1.321928095</v>
      </c>
      <c r="U29" s="31">
        <f t="shared" si="105"/>
        <v>0.8479969066</v>
      </c>
      <c r="V29" s="31">
        <f t="shared" si="105"/>
        <v>-2.321928095</v>
      </c>
      <c r="W29" s="31">
        <f t="shared" si="105"/>
        <v>0.1375035237</v>
      </c>
      <c r="X29" s="31">
        <f t="shared" si="105"/>
        <v>0.9985565831</v>
      </c>
      <c r="Y29" s="31">
        <f t="shared" si="105"/>
        <v>-1.321928095</v>
      </c>
      <c r="Z29" s="31">
        <f t="shared" si="105"/>
        <v>-2.321928095</v>
      </c>
      <c r="AA29" s="31">
        <f t="shared" si="105"/>
        <v>0.9985565831</v>
      </c>
      <c r="AB29" s="31">
        <f t="shared" si="105"/>
        <v>0.8479969066</v>
      </c>
      <c r="AC29" s="31">
        <f t="shared" si="105"/>
        <v>-0.1520030934</v>
      </c>
      <c r="AD29" s="41"/>
      <c r="AE29" s="31">
        <f t="shared" si="6"/>
        <v>37.18739498</v>
      </c>
      <c r="AF29" s="31">
        <f t="shared" si="7"/>
        <v>0.4335</v>
      </c>
      <c r="AG29" s="31">
        <f t="shared" si="8"/>
        <v>0.1227213636</v>
      </c>
      <c r="AH29" s="46" t="str">
        <f t="shared" ref="AH29:AS29" si="106">IF(F29=MIN($F29:$Q29),LOG(1-F29,2)+1,IF(F29=MAX($F29:$Q29),LOG(F29,2)+1,""))</f>
        <v/>
      </c>
      <c r="AI29" s="46" t="str">
        <f t="shared" si="106"/>
        <v/>
      </c>
      <c r="AJ29" s="46" t="str">
        <f t="shared" si="106"/>
        <v/>
      </c>
      <c r="AK29" s="46" t="str">
        <f t="shared" si="106"/>
        <v/>
      </c>
      <c r="AL29" s="46">
        <f t="shared" si="106"/>
        <v>0.8479969066</v>
      </c>
      <c r="AM29" s="46" t="str">
        <f t="shared" si="106"/>
        <v/>
      </c>
      <c r="AN29" s="46">
        <f t="shared" si="106"/>
        <v>0.9985565831</v>
      </c>
      <c r="AO29" s="46" t="str">
        <f t="shared" si="106"/>
        <v/>
      </c>
      <c r="AP29" s="46">
        <f t="shared" si="106"/>
        <v>0.8479969066</v>
      </c>
      <c r="AQ29" s="46">
        <f t="shared" si="106"/>
        <v>0.9985565831</v>
      </c>
      <c r="AR29" s="46" t="str">
        <f t="shared" si="106"/>
        <v/>
      </c>
      <c r="AS29" s="46" t="str">
        <f t="shared" si="106"/>
        <v/>
      </c>
      <c r="AT29" s="32" t="str">
        <f t="shared" ref="AT29:BE29" si="107">IF(F29=MIN($F29:$Q29),"Yes","")</f>
        <v/>
      </c>
      <c r="AU29" s="32" t="str">
        <f t="shared" si="107"/>
        <v/>
      </c>
      <c r="AV29" s="32" t="str">
        <f t="shared" si="107"/>
        <v/>
      </c>
      <c r="AW29" s="32" t="str">
        <f t="shared" si="107"/>
        <v/>
      </c>
      <c r="AX29" s="32" t="str">
        <f t="shared" si="107"/>
        <v/>
      </c>
      <c r="AY29" s="32" t="str">
        <f t="shared" si="107"/>
        <v/>
      </c>
      <c r="AZ29" s="32" t="str">
        <f t="shared" si="107"/>
        <v>Yes</v>
      </c>
      <c r="BA29" s="32" t="str">
        <f t="shared" si="107"/>
        <v/>
      </c>
      <c r="BB29" s="32" t="str">
        <f t="shared" si="107"/>
        <v/>
      </c>
      <c r="BC29" s="32" t="str">
        <f t="shared" si="107"/>
        <v>Yes</v>
      </c>
      <c r="BD29" s="32" t="str">
        <f t="shared" si="107"/>
        <v/>
      </c>
      <c r="BE29" s="32" t="str">
        <f t="shared" si="107"/>
        <v/>
      </c>
      <c r="BF29" s="32" t="str">
        <f t="shared" ref="BF29:BQ29" si="108">IF(F29=MAX($F29:$Q29),"Yes","")</f>
        <v/>
      </c>
      <c r="BG29" s="32" t="str">
        <f t="shared" si="108"/>
        <v/>
      </c>
      <c r="BH29" s="32" t="str">
        <f t="shared" si="108"/>
        <v/>
      </c>
      <c r="BI29" s="32" t="str">
        <f t="shared" si="108"/>
        <v/>
      </c>
      <c r="BJ29" s="32" t="str">
        <f t="shared" si="108"/>
        <v>Yes</v>
      </c>
      <c r="BK29" s="32" t="str">
        <f t="shared" si="108"/>
        <v/>
      </c>
      <c r="BL29" s="32" t="str">
        <f t="shared" si="108"/>
        <v/>
      </c>
      <c r="BM29" s="32" t="str">
        <f t="shared" si="108"/>
        <v/>
      </c>
      <c r="BN29" s="32" t="str">
        <f t="shared" si="108"/>
        <v>Yes</v>
      </c>
      <c r="BO29" s="32" t="str">
        <f t="shared" si="108"/>
        <v/>
      </c>
      <c r="BP29" s="32" t="str">
        <f t="shared" si="108"/>
        <v/>
      </c>
      <c r="BQ29" s="32" t="str">
        <f t="shared" si="108"/>
        <v/>
      </c>
      <c r="BR29" s="32" t="str">
        <f t="shared" si="11"/>
        <v/>
      </c>
      <c r="BS29" s="32" t="str">
        <f t="shared" si="12"/>
        <v>Yes</v>
      </c>
      <c r="BT29" s="32"/>
      <c r="BU29" s="32"/>
      <c r="BV29" s="32"/>
      <c r="BW29" s="33">
        <f t="shared" si="13"/>
        <v>0</v>
      </c>
      <c r="BX29" s="33">
        <f t="shared" si="14"/>
        <v>0</v>
      </c>
      <c r="BY29" s="34" t="str">
        <f t="shared" si="15"/>
        <v/>
      </c>
      <c r="BZ29" s="33">
        <f t="shared" si="16"/>
        <v>-0.001</v>
      </c>
      <c r="CA29" s="33">
        <f t="shared" si="17"/>
        <v>0.8</v>
      </c>
      <c r="CB29" s="34">
        <f t="shared" si="18"/>
        <v>0.801</v>
      </c>
      <c r="CC29" s="35"/>
      <c r="CD29" s="33"/>
      <c r="CE29" s="34"/>
      <c r="CF29" s="33"/>
      <c r="CG29" s="33"/>
      <c r="CH29" s="34"/>
      <c r="CI29" s="33"/>
      <c r="CJ29" s="33"/>
      <c r="CK29" s="34"/>
    </row>
    <row r="30" ht="12.75" customHeight="1">
      <c r="A30" s="18">
        <v>29.0</v>
      </c>
      <c r="B30" s="18" t="s">
        <v>73</v>
      </c>
      <c r="C30" s="19" t="s">
        <v>88</v>
      </c>
      <c r="D30" s="49"/>
      <c r="E30" s="21">
        <v>0.0</v>
      </c>
      <c r="F30" s="22">
        <f>Andrew!D30</f>
        <v>0.1</v>
      </c>
      <c r="G30" s="26">
        <f>Bruce!D30</f>
        <v>0.1</v>
      </c>
      <c r="H30" s="22">
        <f>Christine!D30</f>
        <v>0.05</v>
      </c>
      <c r="I30" s="26">
        <f>Eileen!D30</f>
        <v>0.05</v>
      </c>
      <c r="J30" s="22">
        <f>Iain!D30</f>
        <v>0.1</v>
      </c>
      <c r="K30" s="26">
        <f>Gael!D30</f>
        <v>0</v>
      </c>
      <c r="L30" s="22">
        <f>Jac!D30</f>
        <v>0.05</v>
      </c>
      <c r="M30" s="26">
        <f>James!D30</f>
        <v>0.05</v>
      </c>
      <c r="N30" s="22">
        <f>Kate!D30</f>
        <v>0.1</v>
      </c>
      <c r="O30" s="74">
        <f>Lachy!D30</f>
        <v>0.001</v>
      </c>
      <c r="P30" s="22">
        <f>Pete!D30</f>
        <v>0.1</v>
      </c>
      <c r="Q30" s="26">
        <f>Rohan!D30</f>
        <v>0.5</v>
      </c>
      <c r="R30" s="22">
        <f t="shared" si="27"/>
        <v>0.8479969066</v>
      </c>
      <c r="S30" s="22">
        <f t="shared" ref="S30:AC30" si="109">IF($E30=1,(LOG(G30,2)+1),IF($E30=0,(LOG(1-G30,2)+1),""))</f>
        <v>0.8479969066</v>
      </c>
      <c r="T30" s="22">
        <f t="shared" si="109"/>
        <v>0.9259994186</v>
      </c>
      <c r="U30" s="22">
        <f t="shared" si="109"/>
        <v>0.9259994186</v>
      </c>
      <c r="V30" s="22">
        <f t="shared" si="109"/>
        <v>0.8479969066</v>
      </c>
      <c r="W30" s="22">
        <f t="shared" si="109"/>
        <v>1</v>
      </c>
      <c r="X30" s="22">
        <f t="shared" si="109"/>
        <v>0.9259994186</v>
      </c>
      <c r="Y30" s="22">
        <f t="shared" si="109"/>
        <v>0.9259994186</v>
      </c>
      <c r="Z30" s="22">
        <f t="shared" si="109"/>
        <v>0.8479969066</v>
      </c>
      <c r="AA30" s="22">
        <f t="shared" si="109"/>
        <v>0.9985565831</v>
      </c>
      <c r="AB30" s="22">
        <f t="shared" si="109"/>
        <v>0.8479969066</v>
      </c>
      <c r="AC30" s="22">
        <f t="shared" si="109"/>
        <v>0</v>
      </c>
      <c r="AD30" s="41"/>
      <c r="AE30" s="31" t="str">
        <f t="shared" si="6"/>
        <v>#NUM!</v>
      </c>
      <c r="AF30" s="31">
        <f t="shared" si="7"/>
        <v>0.1000833333</v>
      </c>
      <c r="AG30" s="31">
        <f t="shared" si="8"/>
        <v>0.01725462879</v>
      </c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2" t="str">
        <f t="shared" ref="AT30:BE30" si="110">IF(F30=MIN($F30:$Q30),"Yes","")</f>
        <v/>
      </c>
      <c r="AU30" s="32" t="str">
        <f t="shared" si="110"/>
        <v/>
      </c>
      <c r="AV30" s="32" t="str">
        <f t="shared" si="110"/>
        <v/>
      </c>
      <c r="AW30" s="32" t="str">
        <f t="shared" si="110"/>
        <v/>
      </c>
      <c r="AX30" s="32" t="str">
        <f t="shared" si="110"/>
        <v/>
      </c>
      <c r="AY30" s="32" t="str">
        <f t="shared" si="110"/>
        <v>Yes</v>
      </c>
      <c r="AZ30" s="32" t="str">
        <f t="shared" si="110"/>
        <v/>
      </c>
      <c r="BA30" s="32" t="str">
        <f t="shared" si="110"/>
        <v/>
      </c>
      <c r="BB30" s="32" t="str">
        <f t="shared" si="110"/>
        <v/>
      </c>
      <c r="BC30" s="32" t="str">
        <f t="shared" si="110"/>
        <v/>
      </c>
      <c r="BD30" s="32" t="str">
        <f t="shared" si="110"/>
        <v/>
      </c>
      <c r="BE30" s="32" t="str">
        <f t="shared" si="110"/>
        <v/>
      </c>
      <c r="BF30" s="32" t="str">
        <f t="shared" ref="BF30:BQ30" si="111">IF(F30=MAX($F30:$Q30),"Yes","")</f>
        <v/>
      </c>
      <c r="BG30" s="32" t="str">
        <f t="shared" si="111"/>
        <v/>
      </c>
      <c r="BH30" s="32" t="str">
        <f t="shared" si="111"/>
        <v/>
      </c>
      <c r="BI30" s="32" t="str">
        <f t="shared" si="111"/>
        <v/>
      </c>
      <c r="BJ30" s="32" t="str">
        <f t="shared" si="111"/>
        <v/>
      </c>
      <c r="BK30" s="32" t="str">
        <f t="shared" si="111"/>
        <v/>
      </c>
      <c r="BL30" s="32" t="str">
        <f t="shared" si="111"/>
        <v/>
      </c>
      <c r="BM30" s="32" t="str">
        <f t="shared" si="111"/>
        <v/>
      </c>
      <c r="BN30" s="32" t="str">
        <f t="shared" si="111"/>
        <v/>
      </c>
      <c r="BO30" s="32" t="str">
        <f t="shared" si="111"/>
        <v/>
      </c>
      <c r="BP30" s="32" t="str">
        <f t="shared" si="111"/>
        <v/>
      </c>
      <c r="BQ30" s="32" t="str">
        <f t="shared" si="111"/>
        <v>Yes</v>
      </c>
      <c r="BR30" s="32" t="str">
        <f t="shared" si="11"/>
        <v/>
      </c>
      <c r="BS30" s="32" t="str">
        <f t="shared" si="12"/>
        <v/>
      </c>
      <c r="BT30" s="32"/>
      <c r="BU30" s="32"/>
      <c r="BV30" s="32"/>
      <c r="BW30" s="33">
        <f t="shared" si="13"/>
        <v>0</v>
      </c>
      <c r="BX30" s="33">
        <f t="shared" si="14"/>
        <v>0</v>
      </c>
      <c r="BY30" s="34" t="str">
        <f t="shared" si="15"/>
        <v/>
      </c>
      <c r="BZ30" s="33">
        <f t="shared" si="16"/>
        <v>0</v>
      </c>
      <c r="CA30" s="33">
        <f t="shared" si="17"/>
        <v>0</v>
      </c>
      <c r="CB30" s="34" t="str">
        <f t="shared" si="18"/>
        <v/>
      </c>
      <c r="CC30" s="35"/>
      <c r="CD30" s="33"/>
      <c r="CE30" s="34"/>
      <c r="CF30" s="33"/>
      <c r="CG30" s="33"/>
      <c r="CH30" s="34"/>
      <c r="CI30" s="33"/>
      <c r="CJ30" s="33"/>
      <c r="CK30" s="34"/>
    </row>
    <row r="31" ht="12.75" customHeight="1">
      <c r="A31" s="36">
        <v>30.0</v>
      </c>
      <c r="B31" s="36" t="s">
        <v>73</v>
      </c>
      <c r="C31" s="37" t="s">
        <v>89</v>
      </c>
      <c r="D31" s="38"/>
      <c r="E31" s="39">
        <v>0.0</v>
      </c>
      <c r="F31" s="31">
        <f>Andrew!D31</f>
        <v>0.4</v>
      </c>
      <c r="G31" s="31">
        <f>Bruce!D31</f>
        <v>0.3</v>
      </c>
      <c r="H31" s="31">
        <f>Christine!D31</f>
        <v>0.7</v>
      </c>
      <c r="I31" s="31">
        <f>Eileen!D31</f>
        <v>0.1</v>
      </c>
      <c r="J31" s="31">
        <f>Iain!D31</f>
        <v>0.7</v>
      </c>
      <c r="K31" s="31">
        <f>Gael!D31</f>
        <v>0.6</v>
      </c>
      <c r="L31" s="31">
        <f>Jac!D31</f>
        <v>0.1</v>
      </c>
      <c r="M31" s="31">
        <f>James!D31</f>
        <v>0.7</v>
      </c>
      <c r="N31" s="31">
        <f>Kate!D31</f>
        <v>0.9</v>
      </c>
      <c r="O31" s="31">
        <f>Lachy!D31</f>
        <v>0.15</v>
      </c>
      <c r="P31" s="31">
        <f>Pete!D31</f>
        <v>0.5</v>
      </c>
      <c r="Q31" s="31">
        <f>Rohan!D31</f>
        <v>0.2</v>
      </c>
      <c r="R31" s="31">
        <f t="shared" si="27"/>
        <v>0.2630344058</v>
      </c>
      <c r="S31" s="31">
        <f t="shared" ref="S31:AC31" si="112">IF($E31=1,(LOG(G31,2)+1),IF($E31=0,(LOG(1-G31,2)+1),""))</f>
        <v>0.4854268272</v>
      </c>
      <c r="T31" s="31">
        <f t="shared" si="112"/>
        <v>-0.7369655942</v>
      </c>
      <c r="U31" s="31">
        <f t="shared" si="112"/>
        <v>0.8479969066</v>
      </c>
      <c r="V31" s="31">
        <f t="shared" si="112"/>
        <v>-0.7369655942</v>
      </c>
      <c r="W31" s="31">
        <f t="shared" si="112"/>
        <v>-0.3219280949</v>
      </c>
      <c r="X31" s="31">
        <f t="shared" si="112"/>
        <v>0.8479969066</v>
      </c>
      <c r="Y31" s="31">
        <f t="shared" si="112"/>
        <v>-0.7369655942</v>
      </c>
      <c r="Z31" s="31">
        <f t="shared" si="112"/>
        <v>-2.321928095</v>
      </c>
      <c r="AA31" s="31">
        <f t="shared" si="112"/>
        <v>0.7655347464</v>
      </c>
      <c r="AB31" s="31">
        <f t="shared" si="112"/>
        <v>0</v>
      </c>
      <c r="AC31" s="31">
        <f t="shared" si="112"/>
        <v>0.6780719051</v>
      </c>
      <c r="AD31" s="41"/>
      <c r="AE31" s="31">
        <f t="shared" si="6"/>
        <v>18.90184503</v>
      </c>
      <c r="AF31" s="31">
        <f t="shared" si="7"/>
        <v>0.4458333333</v>
      </c>
      <c r="AG31" s="31">
        <f t="shared" si="8"/>
        <v>0.07611742424</v>
      </c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2" t="str">
        <f t="shared" ref="AT31:BE31" si="113">IF(F31=MIN($F31:$Q31),"Yes","")</f>
        <v/>
      </c>
      <c r="AU31" s="32" t="str">
        <f t="shared" si="113"/>
        <v/>
      </c>
      <c r="AV31" s="32" t="str">
        <f t="shared" si="113"/>
        <v/>
      </c>
      <c r="AW31" s="32" t="str">
        <f t="shared" si="113"/>
        <v>Yes</v>
      </c>
      <c r="AX31" s="32" t="str">
        <f t="shared" si="113"/>
        <v/>
      </c>
      <c r="AY31" s="32" t="str">
        <f t="shared" si="113"/>
        <v/>
      </c>
      <c r="AZ31" s="32" t="str">
        <f t="shared" si="113"/>
        <v>Yes</v>
      </c>
      <c r="BA31" s="32" t="str">
        <f t="shared" si="113"/>
        <v/>
      </c>
      <c r="BB31" s="32" t="str">
        <f t="shared" si="113"/>
        <v/>
      </c>
      <c r="BC31" s="32" t="str">
        <f t="shared" si="113"/>
        <v/>
      </c>
      <c r="BD31" s="32" t="str">
        <f t="shared" si="113"/>
        <v/>
      </c>
      <c r="BE31" s="32" t="str">
        <f t="shared" si="113"/>
        <v/>
      </c>
      <c r="BF31" s="32" t="str">
        <f t="shared" ref="BF31:BQ31" si="114">IF(F31=MAX($F31:$Q31),"Yes","")</f>
        <v/>
      </c>
      <c r="BG31" s="32" t="str">
        <f t="shared" si="114"/>
        <v/>
      </c>
      <c r="BH31" s="32" t="str">
        <f t="shared" si="114"/>
        <v/>
      </c>
      <c r="BI31" s="32" t="str">
        <f t="shared" si="114"/>
        <v/>
      </c>
      <c r="BJ31" s="32" t="str">
        <f t="shared" si="114"/>
        <v/>
      </c>
      <c r="BK31" s="32" t="str">
        <f t="shared" si="114"/>
        <v/>
      </c>
      <c r="BL31" s="32" t="str">
        <f t="shared" si="114"/>
        <v/>
      </c>
      <c r="BM31" s="32" t="str">
        <f t="shared" si="114"/>
        <v/>
      </c>
      <c r="BN31" s="32" t="str">
        <f t="shared" si="114"/>
        <v>Yes</v>
      </c>
      <c r="BO31" s="32" t="str">
        <f t="shared" si="114"/>
        <v/>
      </c>
      <c r="BP31" s="32" t="str">
        <f t="shared" si="114"/>
        <v/>
      </c>
      <c r="BQ31" s="32" t="str">
        <f t="shared" si="114"/>
        <v/>
      </c>
      <c r="BR31" s="32" t="str">
        <f t="shared" si="11"/>
        <v/>
      </c>
      <c r="BS31" s="32" t="str">
        <f t="shared" si="12"/>
        <v>Yes</v>
      </c>
      <c r="BT31" s="32"/>
      <c r="BU31" s="32"/>
      <c r="BV31" s="32"/>
      <c r="BW31" s="33">
        <f t="shared" si="13"/>
        <v>0</v>
      </c>
      <c r="BX31" s="33">
        <f t="shared" si="14"/>
        <v>0</v>
      </c>
      <c r="BY31" s="34" t="str">
        <f t="shared" si="15"/>
        <v/>
      </c>
      <c r="BZ31" s="33">
        <f t="shared" si="16"/>
        <v>-0.1</v>
      </c>
      <c r="CA31" s="33">
        <f t="shared" si="17"/>
        <v>0.7</v>
      </c>
      <c r="CB31" s="34">
        <f t="shared" si="18"/>
        <v>0.8</v>
      </c>
      <c r="CC31" s="35"/>
      <c r="CD31" s="33"/>
      <c r="CE31" s="34"/>
      <c r="CF31" s="33"/>
      <c r="CG31" s="33"/>
      <c r="CH31" s="34"/>
      <c r="CI31" s="33"/>
      <c r="CJ31" s="33"/>
      <c r="CK31" s="34"/>
    </row>
    <row r="32" ht="12.75" customHeight="1">
      <c r="A32" s="18">
        <v>31.0</v>
      </c>
      <c r="B32" s="18" t="s">
        <v>73</v>
      </c>
      <c r="C32" s="19" t="s">
        <v>90</v>
      </c>
      <c r="D32" s="49"/>
      <c r="E32" s="21">
        <v>0.0</v>
      </c>
      <c r="F32" s="22">
        <f>Andrew!D32</f>
        <v>0.5</v>
      </c>
      <c r="G32" s="26">
        <f>Bruce!D32</f>
        <v>0.4</v>
      </c>
      <c r="H32" s="22">
        <f>Christine!D32</f>
        <v>0.5</v>
      </c>
      <c r="I32" s="26">
        <f>Eileen!D32</f>
        <v>0.2</v>
      </c>
      <c r="J32" s="22">
        <f>Iain!D32</f>
        <v>0.3</v>
      </c>
      <c r="K32" s="26">
        <f>Gael!D32</f>
        <v>0.45</v>
      </c>
      <c r="L32" s="22">
        <f>Jac!D32</f>
        <v>0.2</v>
      </c>
      <c r="M32" s="26">
        <f>James!D32</f>
        <v>0.5</v>
      </c>
      <c r="N32" s="22">
        <f>Kate!D32</f>
        <v>0.1</v>
      </c>
      <c r="O32" s="26">
        <f>Lachy!D32</f>
        <v>0.35</v>
      </c>
      <c r="P32" s="22">
        <f>Pete!D32</f>
        <v>0.1</v>
      </c>
      <c r="Q32" s="26">
        <f>Rohan!D32</f>
        <v>0.5</v>
      </c>
      <c r="R32" s="22">
        <f t="shared" si="27"/>
        <v>0</v>
      </c>
      <c r="S32" s="22">
        <f t="shared" ref="S32:AC32" si="115">IF($E32=1,(LOG(G32,2)+1),IF($E32=0,(LOG(1-G32,2)+1),""))</f>
        <v>0.2630344058</v>
      </c>
      <c r="T32" s="22">
        <f t="shared" si="115"/>
        <v>0</v>
      </c>
      <c r="U32" s="22">
        <f t="shared" si="115"/>
        <v>0.6780719051</v>
      </c>
      <c r="V32" s="22">
        <f t="shared" si="115"/>
        <v>0.4854268272</v>
      </c>
      <c r="W32" s="22">
        <f t="shared" si="115"/>
        <v>0.1375035237</v>
      </c>
      <c r="X32" s="22">
        <f t="shared" si="115"/>
        <v>0.6780719051</v>
      </c>
      <c r="Y32" s="22">
        <f t="shared" si="115"/>
        <v>0</v>
      </c>
      <c r="Z32" s="22">
        <f t="shared" si="115"/>
        <v>0.8479969066</v>
      </c>
      <c r="AA32" s="22">
        <f t="shared" si="115"/>
        <v>0.3785116233</v>
      </c>
      <c r="AB32" s="22">
        <f t="shared" si="115"/>
        <v>0.8479969066</v>
      </c>
      <c r="AC32" s="22">
        <f t="shared" si="115"/>
        <v>0</v>
      </c>
      <c r="AD32" s="41"/>
      <c r="AE32" s="31">
        <f t="shared" si="6"/>
        <v>13.32979634</v>
      </c>
      <c r="AF32" s="31">
        <f t="shared" si="7"/>
        <v>0.3416666667</v>
      </c>
      <c r="AG32" s="31">
        <f t="shared" si="8"/>
        <v>0.02492424242</v>
      </c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2" t="str">
        <f t="shared" ref="AT32:BE32" si="116">IF(F32=MIN($F32:$Q32),"Yes","")</f>
        <v/>
      </c>
      <c r="AU32" s="32" t="str">
        <f t="shared" si="116"/>
        <v/>
      </c>
      <c r="AV32" s="32" t="str">
        <f t="shared" si="116"/>
        <v/>
      </c>
      <c r="AW32" s="32" t="str">
        <f t="shared" si="116"/>
        <v/>
      </c>
      <c r="AX32" s="32" t="str">
        <f t="shared" si="116"/>
        <v/>
      </c>
      <c r="AY32" s="32" t="str">
        <f t="shared" si="116"/>
        <v/>
      </c>
      <c r="AZ32" s="32" t="str">
        <f t="shared" si="116"/>
        <v/>
      </c>
      <c r="BA32" s="32" t="str">
        <f t="shared" si="116"/>
        <v/>
      </c>
      <c r="BB32" s="32" t="str">
        <f t="shared" si="116"/>
        <v>Yes</v>
      </c>
      <c r="BC32" s="32" t="str">
        <f t="shared" si="116"/>
        <v/>
      </c>
      <c r="BD32" s="32" t="str">
        <f t="shared" si="116"/>
        <v>Yes</v>
      </c>
      <c r="BE32" s="32" t="str">
        <f t="shared" si="116"/>
        <v/>
      </c>
      <c r="BF32" s="32" t="str">
        <f t="shared" ref="BF32:BQ32" si="117">IF(F32=MAX($F32:$Q32),"Yes","")</f>
        <v>Yes</v>
      </c>
      <c r="BG32" s="32" t="str">
        <f t="shared" si="117"/>
        <v/>
      </c>
      <c r="BH32" s="32" t="str">
        <f t="shared" si="117"/>
        <v>Yes</v>
      </c>
      <c r="BI32" s="32" t="str">
        <f t="shared" si="117"/>
        <v/>
      </c>
      <c r="BJ32" s="32" t="str">
        <f t="shared" si="117"/>
        <v/>
      </c>
      <c r="BK32" s="32" t="str">
        <f t="shared" si="117"/>
        <v/>
      </c>
      <c r="BL32" s="32" t="str">
        <f t="shared" si="117"/>
        <v/>
      </c>
      <c r="BM32" s="32" t="str">
        <f t="shared" si="117"/>
        <v>Yes</v>
      </c>
      <c r="BN32" s="32" t="str">
        <f t="shared" si="117"/>
        <v/>
      </c>
      <c r="BO32" s="32" t="str">
        <f t="shared" si="117"/>
        <v/>
      </c>
      <c r="BP32" s="32" t="str">
        <f t="shared" si="117"/>
        <v/>
      </c>
      <c r="BQ32" s="32" t="str">
        <f t="shared" si="117"/>
        <v>Yes</v>
      </c>
      <c r="BR32" s="32" t="str">
        <f t="shared" si="11"/>
        <v/>
      </c>
      <c r="BS32" s="32" t="str">
        <f t="shared" si="12"/>
        <v/>
      </c>
      <c r="BT32" s="32"/>
      <c r="BU32" s="32"/>
      <c r="BV32" s="32"/>
      <c r="BW32" s="33">
        <f t="shared" si="13"/>
        <v>0</v>
      </c>
      <c r="BX32" s="33">
        <f t="shared" si="14"/>
        <v>0</v>
      </c>
      <c r="BY32" s="34" t="str">
        <f t="shared" si="15"/>
        <v/>
      </c>
      <c r="BZ32" s="33">
        <f t="shared" si="16"/>
        <v>0</v>
      </c>
      <c r="CA32" s="33">
        <f t="shared" si="17"/>
        <v>0</v>
      </c>
      <c r="CB32" s="34" t="str">
        <f t="shared" si="18"/>
        <v/>
      </c>
      <c r="CC32" s="35"/>
      <c r="CD32" s="33"/>
      <c r="CE32" s="34"/>
      <c r="CF32" s="33"/>
      <c r="CG32" s="33"/>
      <c r="CH32" s="34"/>
      <c r="CI32" s="33"/>
      <c r="CJ32" s="33"/>
      <c r="CK32" s="34"/>
    </row>
    <row r="33" ht="12.75" customHeight="1">
      <c r="A33" s="36">
        <v>32.0</v>
      </c>
      <c r="B33" s="36" t="s">
        <v>73</v>
      </c>
      <c r="C33" s="37" t="s">
        <v>91</v>
      </c>
      <c r="D33" s="38"/>
      <c r="E33" s="39">
        <v>0.0</v>
      </c>
      <c r="F33" s="31">
        <f>Andrew!D33</f>
        <v>0.55</v>
      </c>
      <c r="G33" s="31">
        <f>Bruce!D33</f>
        <v>0.6</v>
      </c>
      <c r="H33" s="31">
        <f>Christine!D33</f>
        <v>0.1</v>
      </c>
      <c r="I33" s="31">
        <f>Eileen!D33</f>
        <v>0.2</v>
      </c>
      <c r="J33" s="31">
        <f>Iain!D33</f>
        <v>0.4</v>
      </c>
      <c r="K33" s="31">
        <f>Gael!D33</f>
        <v>0.5</v>
      </c>
      <c r="L33" s="31">
        <f>Jac!D33</f>
        <v>0.2</v>
      </c>
      <c r="M33" s="31">
        <f>James!D33</f>
        <v>0.1</v>
      </c>
      <c r="N33" s="31">
        <f>Kate!D33</f>
        <v>0.5</v>
      </c>
      <c r="O33" s="31">
        <f>Lachy!D33</f>
        <v>0.15</v>
      </c>
      <c r="P33" s="31">
        <f>Pete!D33</f>
        <v>0.5</v>
      </c>
      <c r="Q33" s="31">
        <f>Rohan!D33</f>
        <v>0.4</v>
      </c>
      <c r="R33" s="31">
        <f t="shared" si="27"/>
        <v>-0.1520030934</v>
      </c>
      <c r="S33" s="31">
        <f t="shared" ref="S33:AC33" si="118">IF($E33=1,(LOG(G33,2)+1),IF($E33=0,(LOG(1-G33,2)+1),""))</f>
        <v>-0.3219280949</v>
      </c>
      <c r="T33" s="31">
        <f t="shared" si="118"/>
        <v>0.8479969066</v>
      </c>
      <c r="U33" s="31">
        <f t="shared" si="118"/>
        <v>0.6780719051</v>
      </c>
      <c r="V33" s="31">
        <f t="shared" si="118"/>
        <v>0.2630344058</v>
      </c>
      <c r="W33" s="31">
        <f t="shared" si="118"/>
        <v>0</v>
      </c>
      <c r="X33" s="31">
        <f t="shared" si="118"/>
        <v>0.6780719051</v>
      </c>
      <c r="Y33" s="31">
        <f t="shared" si="118"/>
        <v>0.8479969066</v>
      </c>
      <c r="Z33" s="31">
        <f t="shared" si="118"/>
        <v>0</v>
      </c>
      <c r="AA33" s="31">
        <f t="shared" si="118"/>
        <v>0.7655347464</v>
      </c>
      <c r="AB33" s="31">
        <f t="shared" si="118"/>
        <v>0</v>
      </c>
      <c r="AC33" s="31">
        <f t="shared" si="118"/>
        <v>0.2630344058</v>
      </c>
      <c r="AD33" s="41"/>
      <c r="AE33" s="31">
        <f t="shared" si="6"/>
        <v>14.88674446</v>
      </c>
      <c r="AF33" s="31">
        <f t="shared" si="7"/>
        <v>0.35</v>
      </c>
      <c r="AG33" s="31">
        <f t="shared" si="8"/>
        <v>0.035</v>
      </c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2" t="str">
        <f t="shared" ref="AT33:BE33" si="119">IF(F33=MIN($F33:$Q33),"Yes","")</f>
        <v/>
      </c>
      <c r="AU33" s="32" t="str">
        <f t="shared" si="119"/>
        <v/>
      </c>
      <c r="AV33" s="32" t="str">
        <f t="shared" si="119"/>
        <v>Yes</v>
      </c>
      <c r="AW33" s="32" t="str">
        <f t="shared" si="119"/>
        <v/>
      </c>
      <c r="AX33" s="32" t="str">
        <f t="shared" si="119"/>
        <v/>
      </c>
      <c r="AY33" s="32" t="str">
        <f t="shared" si="119"/>
        <v/>
      </c>
      <c r="AZ33" s="32" t="str">
        <f t="shared" si="119"/>
        <v/>
      </c>
      <c r="BA33" s="32" t="str">
        <f t="shared" si="119"/>
        <v>Yes</v>
      </c>
      <c r="BB33" s="32" t="str">
        <f t="shared" si="119"/>
        <v/>
      </c>
      <c r="BC33" s="32" t="str">
        <f t="shared" si="119"/>
        <v/>
      </c>
      <c r="BD33" s="32" t="str">
        <f t="shared" si="119"/>
        <v/>
      </c>
      <c r="BE33" s="32" t="str">
        <f t="shared" si="119"/>
        <v/>
      </c>
      <c r="BF33" s="32" t="str">
        <f t="shared" ref="BF33:BQ33" si="120">IF(F33=MAX($F33:$Q33),"Yes","")</f>
        <v/>
      </c>
      <c r="BG33" s="32" t="str">
        <f t="shared" si="120"/>
        <v>Yes</v>
      </c>
      <c r="BH33" s="32" t="str">
        <f t="shared" si="120"/>
        <v/>
      </c>
      <c r="BI33" s="32" t="str">
        <f t="shared" si="120"/>
        <v/>
      </c>
      <c r="BJ33" s="32" t="str">
        <f t="shared" si="120"/>
        <v/>
      </c>
      <c r="BK33" s="32" t="str">
        <f t="shared" si="120"/>
        <v/>
      </c>
      <c r="BL33" s="32" t="str">
        <f t="shared" si="120"/>
        <v/>
      </c>
      <c r="BM33" s="32" t="str">
        <f t="shared" si="120"/>
        <v/>
      </c>
      <c r="BN33" s="32" t="str">
        <f t="shared" si="120"/>
        <v/>
      </c>
      <c r="BO33" s="32" t="str">
        <f t="shared" si="120"/>
        <v/>
      </c>
      <c r="BP33" s="32" t="str">
        <f t="shared" si="120"/>
        <v/>
      </c>
      <c r="BQ33" s="32" t="str">
        <f t="shared" si="120"/>
        <v/>
      </c>
      <c r="BR33" s="32" t="str">
        <f t="shared" si="11"/>
        <v/>
      </c>
      <c r="BS33" s="32" t="str">
        <f t="shared" si="12"/>
        <v/>
      </c>
      <c r="BT33" s="32"/>
      <c r="BU33" s="32"/>
      <c r="BV33" s="32"/>
      <c r="BW33" s="33">
        <f t="shared" si="13"/>
        <v>0</v>
      </c>
      <c r="BX33" s="33">
        <f t="shared" si="14"/>
        <v>0</v>
      </c>
      <c r="BY33" s="34" t="str">
        <f t="shared" si="15"/>
        <v/>
      </c>
      <c r="BZ33" s="33">
        <f t="shared" si="16"/>
        <v>0</v>
      </c>
      <c r="CA33" s="33">
        <f t="shared" si="17"/>
        <v>0</v>
      </c>
      <c r="CB33" s="34" t="str">
        <f t="shared" si="18"/>
        <v/>
      </c>
      <c r="CC33" s="35"/>
      <c r="CD33" s="33"/>
      <c r="CE33" s="34"/>
      <c r="CF33" s="33"/>
      <c r="CG33" s="33"/>
      <c r="CH33" s="34"/>
      <c r="CI33" s="33"/>
      <c r="CJ33" s="33"/>
      <c r="CK33" s="34"/>
    </row>
    <row r="34" ht="12.75" customHeight="1">
      <c r="A34" s="18">
        <v>33.0</v>
      </c>
      <c r="B34" s="18" t="s">
        <v>92</v>
      </c>
      <c r="C34" s="55" t="s">
        <v>93</v>
      </c>
      <c r="D34" s="49"/>
      <c r="E34" s="21">
        <v>0.0</v>
      </c>
      <c r="F34" s="56">
        <f>Andrew!D34</f>
        <v>0.1</v>
      </c>
      <c r="G34" s="58">
        <f>Bruce!D34</f>
        <v>0.2</v>
      </c>
      <c r="H34" s="56">
        <f>Christine!D34</f>
        <v>0.01</v>
      </c>
      <c r="I34" s="58">
        <f>Eileen!D34</f>
        <v>0.1</v>
      </c>
      <c r="J34" s="56">
        <f>Iain!D34</f>
        <v>0.9</v>
      </c>
      <c r="K34" s="58">
        <f>Gael!D34</f>
        <v>0.6</v>
      </c>
      <c r="L34" s="56">
        <f>Jac!D34</f>
        <v>0.05</v>
      </c>
      <c r="M34" s="58">
        <f>James!D34</f>
        <v>0.01</v>
      </c>
      <c r="N34" s="56">
        <f>Kate!D34</f>
        <v>0.4</v>
      </c>
      <c r="O34" s="58">
        <f>Lachy!D34</f>
        <v>0.15</v>
      </c>
      <c r="P34" s="56">
        <f>Pete!D34</f>
        <v>0.9</v>
      </c>
      <c r="Q34" s="58">
        <f>Rohan!D34</f>
        <v>0.9</v>
      </c>
      <c r="R34" s="22">
        <f t="shared" si="27"/>
        <v>0.8479969066</v>
      </c>
      <c r="S34" s="22">
        <f t="shared" ref="S34:AC34" si="121">IF($E34=1,(LOG(G34,2)+1),IF($E34=0,(LOG(1-G34,2)+1),""))</f>
        <v>0.6780719051</v>
      </c>
      <c r="T34" s="22">
        <f t="shared" si="121"/>
        <v>0.9855004303</v>
      </c>
      <c r="U34" s="22">
        <f t="shared" si="121"/>
        <v>0.8479969066</v>
      </c>
      <c r="V34" s="22">
        <f t="shared" si="121"/>
        <v>-2.321928095</v>
      </c>
      <c r="W34" s="22">
        <f t="shared" si="121"/>
        <v>-0.3219280949</v>
      </c>
      <c r="X34" s="22">
        <f t="shared" si="121"/>
        <v>0.9259994186</v>
      </c>
      <c r="Y34" s="22">
        <f t="shared" si="121"/>
        <v>0.9855004303</v>
      </c>
      <c r="Z34" s="22">
        <f t="shared" si="121"/>
        <v>0.2630344058</v>
      </c>
      <c r="AA34" s="22">
        <f t="shared" si="121"/>
        <v>0.7655347464</v>
      </c>
      <c r="AB34" s="22">
        <f t="shared" si="121"/>
        <v>-2.321928095</v>
      </c>
      <c r="AC34" s="22">
        <f t="shared" si="121"/>
        <v>-2.321928095</v>
      </c>
      <c r="AD34" s="41"/>
      <c r="AE34" s="31">
        <f t="shared" si="6"/>
        <v>32.6888411</v>
      </c>
      <c r="AF34" s="31">
        <f t="shared" si="7"/>
        <v>0.36</v>
      </c>
      <c r="AG34" s="31">
        <f t="shared" si="8"/>
        <v>0.1345454545</v>
      </c>
      <c r="AH34" s="46" t="str">
        <f t="shared" ref="AH34:AS34" si="122">IF(F34=MIN($F34:$Q34),LOG(1-F34,2)+1,IF(F34=MAX($F34:$Q34),LOG(F34,2)+1,""))</f>
        <v/>
      </c>
      <c r="AI34" s="46" t="str">
        <f t="shared" si="122"/>
        <v/>
      </c>
      <c r="AJ34" s="46">
        <f t="shared" si="122"/>
        <v>0.9855004303</v>
      </c>
      <c r="AK34" s="46" t="str">
        <f t="shared" si="122"/>
        <v/>
      </c>
      <c r="AL34" s="46">
        <f t="shared" si="122"/>
        <v>0.8479969066</v>
      </c>
      <c r="AM34" s="46" t="str">
        <f t="shared" si="122"/>
        <v/>
      </c>
      <c r="AN34" s="46" t="str">
        <f t="shared" si="122"/>
        <v/>
      </c>
      <c r="AO34" s="46">
        <f t="shared" si="122"/>
        <v>0.9855004303</v>
      </c>
      <c r="AP34" s="46" t="str">
        <f t="shared" si="122"/>
        <v/>
      </c>
      <c r="AQ34" s="46" t="str">
        <f t="shared" si="122"/>
        <v/>
      </c>
      <c r="AR34" s="46">
        <f t="shared" si="122"/>
        <v>0.8479969066</v>
      </c>
      <c r="AS34" s="46">
        <f t="shared" si="122"/>
        <v>0.8479969066</v>
      </c>
      <c r="AT34" s="32" t="str">
        <f t="shared" ref="AT34:BE34" si="123">IF(F34=MIN($F34:$Q34),"Yes","")</f>
        <v/>
      </c>
      <c r="AU34" s="32" t="str">
        <f t="shared" si="123"/>
        <v/>
      </c>
      <c r="AV34" s="32" t="str">
        <f t="shared" si="123"/>
        <v>Yes</v>
      </c>
      <c r="AW34" s="32" t="str">
        <f t="shared" si="123"/>
        <v/>
      </c>
      <c r="AX34" s="32" t="str">
        <f t="shared" si="123"/>
        <v/>
      </c>
      <c r="AY34" s="32" t="str">
        <f t="shared" si="123"/>
        <v/>
      </c>
      <c r="AZ34" s="32" t="str">
        <f t="shared" si="123"/>
        <v/>
      </c>
      <c r="BA34" s="32" t="str">
        <f t="shared" si="123"/>
        <v>Yes</v>
      </c>
      <c r="BB34" s="32" t="str">
        <f t="shared" si="123"/>
        <v/>
      </c>
      <c r="BC34" s="32" t="str">
        <f t="shared" si="123"/>
        <v/>
      </c>
      <c r="BD34" s="32" t="str">
        <f t="shared" si="123"/>
        <v/>
      </c>
      <c r="BE34" s="32" t="str">
        <f t="shared" si="123"/>
        <v/>
      </c>
      <c r="BF34" s="32" t="str">
        <f t="shared" ref="BF34:BQ34" si="124">IF(F34=MAX($F34:$Q34),"Yes","")</f>
        <v/>
      </c>
      <c r="BG34" s="32" t="str">
        <f t="shared" si="124"/>
        <v/>
      </c>
      <c r="BH34" s="32" t="str">
        <f t="shared" si="124"/>
        <v/>
      </c>
      <c r="BI34" s="32" t="str">
        <f t="shared" si="124"/>
        <v/>
      </c>
      <c r="BJ34" s="32" t="str">
        <f t="shared" si="124"/>
        <v>Yes</v>
      </c>
      <c r="BK34" s="32" t="str">
        <f t="shared" si="124"/>
        <v/>
      </c>
      <c r="BL34" s="32" t="str">
        <f t="shared" si="124"/>
        <v/>
      </c>
      <c r="BM34" s="32" t="str">
        <f t="shared" si="124"/>
        <v/>
      </c>
      <c r="BN34" s="32" t="str">
        <f t="shared" si="124"/>
        <v/>
      </c>
      <c r="BO34" s="32" t="str">
        <f t="shared" si="124"/>
        <v/>
      </c>
      <c r="BP34" s="32" t="str">
        <f t="shared" si="124"/>
        <v>Yes</v>
      </c>
      <c r="BQ34" s="32" t="str">
        <f t="shared" si="124"/>
        <v>Yes</v>
      </c>
      <c r="BR34" s="32" t="str">
        <f t="shared" si="11"/>
        <v/>
      </c>
      <c r="BS34" s="32" t="str">
        <f t="shared" si="12"/>
        <v/>
      </c>
      <c r="BT34" s="32"/>
      <c r="BU34" s="32"/>
      <c r="BV34" s="32"/>
      <c r="BW34" s="33">
        <f t="shared" si="13"/>
        <v>0</v>
      </c>
      <c r="BX34" s="33">
        <f t="shared" si="14"/>
        <v>0</v>
      </c>
      <c r="BY34" s="34" t="str">
        <f t="shared" si="15"/>
        <v/>
      </c>
      <c r="BZ34" s="33">
        <f t="shared" si="16"/>
        <v>0</v>
      </c>
      <c r="CA34" s="33">
        <f t="shared" si="17"/>
        <v>0</v>
      </c>
      <c r="CB34" s="34" t="str">
        <f t="shared" si="18"/>
        <v/>
      </c>
      <c r="CC34" s="35" t="s">
        <v>63</v>
      </c>
      <c r="CD34" s="33"/>
      <c r="CE34" s="34"/>
      <c r="CF34" s="33"/>
      <c r="CG34" s="33"/>
      <c r="CH34" s="34"/>
      <c r="CI34" s="33"/>
      <c r="CJ34" s="33"/>
      <c r="CK34" s="34"/>
    </row>
    <row r="35" ht="12.75" customHeight="1">
      <c r="A35" s="36">
        <v>34.0</v>
      </c>
      <c r="B35" s="36" t="s">
        <v>92</v>
      </c>
      <c r="C35" s="44" t="s">
        <v>94</v>
      </c>
      <c r="D35" s="38"/>
      <c r="E35" s="39">
        <v>0.0</v>
      </c>
      <c r="F35" s="46">
        <f>Andrew!D35</f>
        <v>0.3</v>
      </c>
      <c r="G35" s="46">
        <f>Bruce!D35</f>
        <v>0.1</v>
      </c>
      <c r="H35" s="46">
        <f>Christine!D35</f>
        <v>0.8</v>
      </c>
      <c r="I35" s="46">
        <f>Eileen!D35</f>
        <v>0.1</v>
      </c>
      <c r="J35" s="46">
        <f>Iain!D35</f>
        <v>0.4</v>
      </c>
      <c r="K35" s="46">
        <f>Gael!D35</f>
        <v>0.75</v>
      </c>
      <c r="L35" s="48">
        <f>Jac!D35</f>
        <v>0.001</v>
      </c>
      <c r="M35" s="46">
        <f>James!D35</f>
        <v>0.8</v>
      </c>
      <c r="N35" s="46">
        <f>Kate!D35</f>
        <v>0.3</v>
      </c>
      <c r="O35" s="46">
        <f>Lachy!D35</f>
        <v>0.85</v>
      </c>
      <c r="P35" s="46">
        <f>Pete!D35</f>
        <v>0.5</v>
      </c>
      <c r="Q35" s="46">
        <f>Rohan!D35</f>
        <v>0.7</v>
      </c>
      <c r="R35" s="31">
        <f t="shared" si="27"/>
        <v>0.4854268272</v>
      </c>
      <c r="S35" s="31">
        <f t="shared" ref="S35:AC35" si="125">IF($E35=1,(LOG(G35,2)+1),IF($E35=0,(LOG(1-G35,2)+1),""))</f>
        <v>0.8479969066</v>
      </c>
      <c r="T35" s="31">
        <f t="shared" si="125"/>
        <v>-1.321928095</v>
      </c>
      <c r="U35" s="31">
        <f t="shared" si="125"/>
        <v>0.8479969066</v>
      </c>
      <c r="V35" s="31">
        <f t="shared" si="125"/>
        <v>0.2630344058</v>
      </c>
      <c r="W35" s="31">
        <f t="shared" si="125"/>
        <v>-1</v>
      </c>
      <c r="X35" s="31">
        <f t="shared" si="125"/>
        <v>0.9985565831</v>
      </c>
      <c r="Y35" s="31">
        <f t="shared" si="125"/>
        <v>-1.321928095</v>
      </c>
      <c r="Z35" s="31">
        <f t="shared" si="125"/>
        <v>0.4854268272</v>
      </c>
      <c r="AA35" s="31">
        <f t="shared" si="125"/>
        <v>-1.736965594</v>
      </c>
      <c r="AB35" s="31">
        <f t="shared" si="125"/>
        <v>0</v>
      </c>
      <c r="AC35" s="31">
        <f t="shared" si="125"/>
        <v>-0.7369655942</v>
      </c>
      <c r="AD35" s="41"/>
      <c r="AE35" s="31">
        <f t="shared" si="6"/>
        <v>26.19900863</v>
      </c>
      <c r="AF35" s="31">
        <f t="shared" si="7"/>
        <v>0.46675</v>
      </c>
      <c r="AG35" s="31">
        <f t="shared" si="8"/>
        <v>0.09552129545</v>
      </c>
      <c r="AH35" s="46" t="str">
        <f t="shared" ref="AH35:AS35" si="126">IF(F35=MIN($F35:$Q35),LOG(1-F35,2)+1,IF(F35=MAX($F35:$Q35),LOG(F35,2)+1,""))</f>
        <v/>
      </c>
      <c r="AI35" s="46" t="str">
        <f t="shared" si="126"/>
        <v/>
      </c>
      <c r="AJ35" s="46" t="str">
        <f t="shared" si="126"/>
        <v/>
      </c>
      <c r="AK35" s="46" t="str">
        <f t="shared" si="126"/>
        <v/>
      </c>
      <c r="AL35" s="46" t="str">
        <f t="shared" si="126"/>
        <v/>
      </c>
      <c r="AM35" s="46" t="str">
        <f t="shared" si="126"/>
        <v/>
      </c>
      <c r="AN35" s="46">
        <f t="shared" si="126"/>
        <v>0.9985565831</v>
      </c>
      <c r="AO35" s="46" t="str">
        <f t="shared" si="126"/>
        <v/>
      </c>
      <c r="AP35" s="46" t="str">
        <f t="shared" si="126"/>
        <v/>
      </c>
      <c r="AQ35" s="46">
        <f t="shared" si="126"/>
        <v>0.7655347464</v>
      </c>
      <c r="AR35" s="46" t="str">
        <f t="shared" si="126"/>
        <v/>
      </c>
      <c r="AS35" s="46" t="str">
        <f t="shared" si="126"/>
        <v/>
      </c>
      <c r="AT35" s="32" t="str">
        <f t="shared" ref="AT35:BE35" si="127">IF(F35=MIN($F35:$Q35),"Yes","")</f>
        <v/>
      </c>
      <c r="AU35" s="32" t="str">
        <f t="shared" si="127"/>
        <v/>
      </c>
      <c r="AV35" s="32" t="str">
        <f t="shared" si="127"/>
        <v/>
      </c>
      <c r="AW35" s="32" t="str">
        <f t="shared" si="127"/>
        <v/>
      </c>
      <c r="AX35" s="32" t="str">
        <f t="shared" si="127"/>
        <v/>
      </c>
      <c r="AY35" s="32" t="str">
        <f t="shared" si="127"/>
        <v/>
      </c>
      <c r="AZ35" s="32" t="str">
        <f t="shared" si="127"/>
        <v>Yes</v>
      </c>
      <c r="BA35" s="32" t="str">
        <f t="shared" si="127"/>
        <v/>
      </c>
      <c r="BB35" s="32" t="str">
        <f t="shared" si="127"/>
        <v/>
      </c>
      <c r="BC35" s="32" t="str">
        <f t="shared" si="127"/>
        <v/>
      </c>
      <c r="BD35" s="32" t="str">
        <f t="shared" si="127"/>
        <v/>
      </c>
      <c r="BE35" s="32" t="str">
        <f t="shared" si="127"/>
        <v/>
      </c>
      <c r="BF35" s="32" t="str">
        <f t="shared" ref="BF35:BQ35" si="128">IF(F35=MAX($F35:$Q35),"Yes","")</f>
        <v/>
      </c>
      <c r="BG35" s="32" t="str">
        <f t="shared" si="128"/>
        <v/>
      </c>
      <c r="BH35" s="32" t="str">
        <f t="shared" si="128"/>
        <v/>
      </c>
      <c r="BI35" s="32" t="str">
        <f t="shared" si="128"/>
        <v/>
      </c>
      <c r="BJ35" s="32" t="str">
        <f t="shared" si="128"/>
        <v/>
      </c>
      <c r="BK35" s="32" t="str">
        <f t="shared" si="128"/>
        <v/>
      </c>
      <c r="BL35" s="32" t="str">
        <f t="shared" si="128"/>
        <v/>
      </c>
      <c r="BM35" s="32" t="str">
        <f t="shared" si="128"/>
        <v/>
      </c>
      <c r="BN35" s="32" t="str">
        <f t="shared" si="128"/>
        <v/>
      </c>
      <c r="BO35" s="32" t="str">
        <f t="shared" si="128"/>
        <v>Yes</v>
      </c>
      <c r="BP35" s="32" t="str">
        <f t="shared" si="128"/>
        <v/>
      </c>
      <c r="BQ35" s="32" t="str">
        <f t="shared" si="128"/>
        <v/>
      </c>
      <c r="BR35" s="32" t="str">
        <f t="shared" si="11"/>
        <v/>
      </c>
      <c r="BS35" s="32" t="str">
        <f t="shared" si="12"/>
        <v>Yes</v>
      </c>
      <c r="BT35" s="32"/>
      <c r="BU35" s="32"/>
      <c r="BV35" s="32"/>
      <c r="BW35" s="33">
        <f t="shared" si="13"/>
        <v>0</v>
      </c>
      <c r="BX35" s="33">
        <f t="shared" si="14"/>
        <v>0</v>
      </c>
      <c r="BY35" s="34" t="str">
        <f t="shared" si="15"/>
        <v/>
      </c>
      <c r="BZ35" s="33">
        <f t="shared" si="16"/>
        <v>-0.001</v>
      </c>
      <c r="CA35" s="33">
        <f t="shared" si="17"/>
        <v>0.8</v>
      </c>
      <c r="CB35" s="34">
        <f t="shared" si="18"/>
        <v>0.801</v>
      </c>
      <c r="CC35" s="35"/>
      <c r="CD35" s="33"/>
      <c r="CE35" s="34"/>
      <c r="CF35" s="33"/>
      <c r="CG35" s="33"/>
      <c r="CH35" s="34"/>
      <c r="CI35" s="33"/>
      <c r="CJ35" s="33"/>
      <c r="CK35" s="34"/>
    </row>
    <row r="36" ht="12.75" customHeight="1">
      <c r="A36" s="18">
        <v>35.0</v>
      </c>
      <c r="B36" s="18" t="s">
        <v>92</v>
      </c>
      <c r="C36" s="19" t="s">
        <v>95</v>
      </c>
      <c r="D36" s="49"/>
      <c r="E36" s="21">
        <v>1.0</v>
      </c>
      <c r="F36" s="22">
        <f>Andrew!D36</f>
        <v>0.8</v>
      </c>
      <c r="G36" s="26">
        <f>Bruce!D36</f>
        <v>0.9</v>
      </c>
      <c r="H36" s="22">
        <f>Christine!D36</f>
        <v>0.9</v>
      </c>
      <c r="I36" s="26">
        <f>Eileen!D36</f>
        <v>0.5</v>
      </c>
      <c r="J36" s="22">
        <f>Iain!D36</f>
        <v>0.4</v>
      </c>
      <c r="K36" s="26">
        <f>Gael!D36</f>
        <v>0.8</v>
      </c>
      <c r="L36" s="75">
        <f>Jac!D36</f>
        <v>0.999</v>
      </c>
      <c r="M36" s="26">
        <f>James!D36</f>
        <v>0.9</v>
      </c>
      <c r="N36" s="22">
        <f>Kate!D36</f>
        <v>0.9</v>
      </c>
      <c r="O36" s="26">
        <f>Lachy!D36</f>
        <v>0.85</v>
      </c>
      <c r="P36" s="22">
        <f>Pete!D36</f>
        <v>0.9</v>
      </c>
      <c r="Q36" s="26">
        <f>Rohan!D36</f>
        <v>0.4</v>
      </c>
      <c r="R36" s="22">
        <f t="shared" si="27"/>
        <v>0.6780719051</v>
      </c>
      <c r="S36" s="22">
        <f t="shared" ref="S36:AC36" si="129">IF($E36=1,(LOG(G36,2)+1),IF($E36=0,(LOG(1-G36,2)+1),""))</f>
        <v>0.8479969066</v>
      </c>
      <c r="T36" s="22">
        <f t="shared" si="129"/>
        <v>0.8479969066</v>
      </c>
      <c r="U36" s="22">
        <f t="shared" si="129"/>
        <v>0</v>
      </c>
      <c r="V36" s="22">
        <f t="shared" si="129"/>
        <v>-0.3219280949</v>
      </c>
      <c r="W36" s="22">
        <f t="shared" si="129"/>
        <v>0.6780719051</v>
      </c>
      <c r="X36" s="22">
        <f t="shared" si="129"/>
        <v>0.9985565831</v>
      </c>
      <c r="Y36" s="22">
        <f t="shared" si="129"/>
        <v>0.8479969066</v>
      </c>
      <c r="Z36" s="22">
        <f t="shared" si="129"/>
        <v>0.8479969066</v>
      </c>
      <c r="AA36" s="22">
        <f t="shared" si="129"/>
        <v>0.7655347464</v>
      </c>
      <c r="AB36" s="22">
        <f t="shared" si="129"/>
        <v>0.8479969066</v>
      </c>
      <c r="AC36" s="22">
        <f t="shared" si="129"/>
        <v>-0.3219280949</v>
      </c>
      <c r="AD36" s="41"/>
      <c r="AE36" s="31">
        <f t="shared" si="6"/>
        <v>33.48639122</v>
      </c>
      <c r="AF36" s="31">
        <f t="shared" si="7"/>
        <v>0.77075</v>
      </c>
      <c r="AG36" s="31">
        <f t="shared" si="8"/>
        <v>0.04471220455</v>
      </c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2" t="str">
        <f t="shared" ref="AT36:BE36" si="130">IF(F36=MIN($F36:$Q36),"Yes","")</f>
        <v/>
      </c>
      <c r="AU36" s="32" t="str">
        <f t="shared" si="130"/>
        <v/>
      </c>
      <c r="AV36" s="32" t="str">
        <f t="shared" si="130"/>
        <v/>
      </c>
      <c r="AW36" s="32" t="str">
        <f t="shared" si="130"/>
        <v/>
      </c>
      <c r="AX36" s="32" t="str">
        <f t="shared" si="130"/>
        <v>Yes</v>
      </c>
      <c r="AY36" s="32" t="str">
        <f t="shared" si="130"/>
        <v/>
      </c>
      <c r="AZ36" s="32" t="str">
        <f t="shared" si="130"/>
        <v/>
      </c>
      <c r="BA36" s="32" t="str">
        <f t="shared" si="130"/>
        <v/>
      </c>
      <c r="BB36" s="32" t="str">
        <f t="shared" si="130"/>
        <v/>
      </c>
      <c r="BC36" s="32" t="str">
        <f t="shared" si="130"/>
        <v/>
      </c>
      <c r="BD36" s="32" t="str">
        <f t="shared" si="130"/>
        <v/>
      </c>
      <c r="BE36" s="32" t="str">
        <f t="shared" si="130"/>
        <v>Yes</v>
      </c>
      <c r="BF36" s="32" t="str">
        <f t="shared" ref="BF36:BQ36" si="131">IF(F36=MAX($F36:$Q36),"Yes","")</f>
        <v/>
      </c>
      <c r="BG36" s="32" t="str">
        <f t="shared" si="131"/>
        <v/>
      </c>
      <c r="BH36" s="32" t="str">
        <f t="shared" si="131"/>
        <v/>
      </c>
      <c r="BI36" s="32" t="str">
        <f t="shared" si="131"/>
        <v/>
      </c>
      <c r="BJ36" s="32" t="str">
        <f t="shared" si="131"/>
        <v/>
      </c>
      <c r="BK36" s="32" t="str">
        <f t="shared" si="131"/>
        <v/>
      </c>
      <c r="BL36" s="32" t="str">
        <f t="shared" si="131"/>
        <v>Yes</v>
      </c>
      <c r="BM36" s="32" t="str">
        <f t="shared" si="131"/>
        <v/>
      </c>
      <c r="BN36" s="32" t="str">
        <f t="shared" si="131"/>
        <v/>
      </c>
      <c r="BO36" s="32" t="str">
        <f t="shared" si="131"/>
        <v/>
      </c>
      <c r="BP36" s="32" t="str">
        <f t="shared" si="131"/>
        <v/>
      </c>
      <c r="BQ36" s="32" t="str">
        <f t="shared" si="131"/>
        <v/>
      </c>
      <c r="BR36" s="32" t="str">
        <f t="shared" si="11"/>
        <v/>
      </c>
      <c r="BS36" s="32" t="str">
        <f t="shared" si="12"/>
        <v/>
      </c>
      <c r="BT36" s="32"/>
      <c r="BU36" s="32"/>
      <c r="BV36" s="32"/>
      <c r="BW36" s="33">
        <f t="shared" si="13"/>
        <v>0</v>
      </c>
      <c r="BX36" s="33">
        <f t="shared" si="14"/>
        <v>0</v>
      </c>
      <c r="BY36" s="34" t="str">
        <f t="shared" si="15"/>
        <v/>
      </c>
      <c r="BZ36" s="33">
        <f t="shared" si="16"/>
        <v>0</v>
      </c>
      <c r="CA36" s="33">
        <f t="shared" si="17"/>
        <v>0</v>
      </c>
      <c r="CB36" s="34" t="str">
        <f t="shared" si="18"/>
        <v/>
      </c>
      <c r="CC36" s="35"/>
      <c r="CD36" s="33"/>
      <c r="CE36" s="34"/>
      <c r="CF36" s="33"/>
      <c r="CG36" s="33"/>
      <c r="CH36" s="34"/>
      <c r="CI36" s="33"/>
      <c r="CJ36" s="33"/>
      <c r="CK36" s="34"/>
    </row>
    <row r="37" ht="12.75" customHeight="1">
      <c r="A37" s="36">
        <v>36.0</v>
      </c>
      <c r="B37" s="36" t="s">
        <v>92</v>
      </c>
      <c r="C37" s="44" t="s">
        <v>96</v>
      </c>
      <c r="D37" s="38"/>
      <c r="E37" s="39">
        <v>0.0</v>
      </c>
      <c r="F37" s="46">
        <f>Andrew!D37</f>
        <v>0.3</v>
      </c>
      <c r="G37" s="46">
        <f>Bruce!D37</f>
        <v>0.3</v>
      </c>
      <c r="H37" s="46">
        <f>Christine!D37</f>
        <v>0.8</v>
      </c>
      <c r="I37" s="46">
        <f>Eileen!D37</f>
        <v>0.3</v>
      </c>
      <c r="J37" s="46">
        <f>Iain!D37</f>
        <v>0.9</v>
      </c>
      <c r="K37" s="46">
        <f>Gael!D37</f>
        <v>0.85</v>
      </c>
      <c r="L37" s="48">
        <f>Jac!D37</f>
        <v>0.001</v>
      </c>
      <c r="M37" s="46">
        <f>James!D37</f>
        <v>0.8</v>
      </c>
      <c r="N37" s="46">
        <f>Kate!D37</f>
        <v>0.9</v>
      </c>
      <c r="O37" s="46">
        <f>Lachy!D37</f>
        <v>0.35</v>
      </c>
      <c r="P37" s="46">
        <f>Pete!D37</f>
        <v>0.9</v>
      </c>
      <c r="Q37" s="46">
        <f>Rohan!D37</f>
        <v>0.4</v>
      </c>
      <c r="R37" s="31">
        <f t="shared" si="27"/>
        <v>0.4854268272</v>
      </c>
      <c r="S37" s="31">
        <f t="shared" ref="S37:AC37" si="132">IF($E37=1,(LOG(G37,2)+1),IF($E37=0,(LOG(1-G37,2)+1),""))</f>
        <v>0.4854268272</v>
      </c>
      <c r="T37" s="31">
        <f t="shared" si="132"/>
        <v>-1.321928095</v>
      </c>
      <c r="U37" s="31">
        <f t="shared" si="132"/>
        <v>0.4854268272</v>
      </c>
      <c r="V37" s="31">
        <f t="shared" si="132"/>
        <v>-2.321928095</v>
      </c>
      <c r="W37" s="31">
        <f t="shared" si="132"/>
        <v>-1.736965594</v>
      </c>
      <c r="X37" s="31">
        <f t="shared" si="132"/>
        <v>0.9985565831</v>
      </c>
      <c r="Y37" s="31">
        <f t="shared" si="132"/>
        <v>-1.321928095</v>
      </c>
      <c r="Z37" s="31">
        <f t="shared" si="132"/>
        <v>-2.321928095</v>
      </c>
      <c r="AA37" s="31">
        <f t="shared" si="132"/>
        <v>0.3785116233</v>
      </c>
      <c r="AB37" s="31">
        <f t="shared" si="132"/>
        <v>-2.321928095</v>
      </c>
      <c r="AC37" s="31">
        <f t="shared" si="132"/>
        <v>0.2630344058</v>
      </c>
      <c r="AD37" s="41"/>
      <c r="AE37" s="31">
        <f t="shared" si="6"/>
        <v>28.67705593</v>
      </c>
      <c r="AF37" s="31">
        <f t="shared" si="7"/>
        <v>0.56675</v>
      </c>
      <c r="AG37" s="31">
        <f t="shared" si="8"/>
        <v>0.1027758409</v>
      </c>
      <c r="AH37" s="46" t="str">
        <f t="shared" ref="AH37:AS37" si="133">IF(F37=MIN($F37:$Q37),LOG(1-F37,2)+1,IF(F37=MAX($F37:$Q37),LOG(F37,2)+1,""))</f>
        <v/>
      </c>
      <c r="AI37" s="46" t="str">
        <f t="shared" si="133"/>
        <v/>
      </c>
      <c r="AJ37" s="46" t="str">
        <f t="shared" si="133"/>
        <v/>
      </c>
      <c r="AK37" s="46" t="str">
        <f t="shared" si="133"/>
        <v/>
      </c>
      <c r="AL37" s="46">
        <f t="shared" si="133"/>
        <v>0.8479969066</v>
      </c>
      <c r="AM37" s="46" t="str">
        <f t="shared" si="133"/>
        <v/>
      </c>
      <c r="AN37" s="46">
        <f t="shared" si="133"/>
        <v>0.9985565831</v>
      </c>
      <c r="AO37" s="46" t="str">
        <f t="shared" si="133"/>
        <v/>
      </c>
      <c r="AP37" s="46">
        <f t="shared" si="133"/>
        <v>0.8479969066</v>
      </c>
      <c r="AQ37" s="46" t="str">
        <f t="shared" si="133"/>
        <v/>
      </c>
      <c r="AR37" s="46">
        <f t="shared" si="133"/>
        <v>0.8479969066</v>
      </c>
      <c r="AS37" s="46" t="str">
        <f t="shared" si="133"/>
        <v/>
      </c>
      <c r="AT37" s="32" t="str">
        <f t="shared" ref="AT37:BE37" si="134">IF(F37=MIN($F37:$Q37),"Yes","")</f>
        <v/>
      </c>
      <c r="AU37" s="32" t="str">
        <f t="shared" si="134"/>
        <v/>
      </c>
      <c r="AV37" s="32" t="str">
        <f t="shared" si="134"/>
        <v/>
      </c>
      <c r="AW37" s="32" t="str">
        <f t="shared" si="134"/>
        <v/>
      </c>
      <c r="AX37" s="32" t="str">
        <f t="shared" si="134"/>
        <v/>
      </c>
      <c r="AY37" s="32" t="str">
        <f t="shared" si="134"/>
        <v/>
      </c>
      <c r="AZ37" s="32" t="str">
        <f t="shared" si="134"/>
        <v>Yes</v>
      </c>
      <c r="BA37" s="32" t="str">
        <f t="shared" si="134"/>
        <v/>
      </c>
      <c r="BB37" s="32" t="str">
        <f t="shared" si="134"/>
        <v/>
      </c>
      <c r="BC37" s="32" t="str">
        <f t="shared" si="134"/>
        <v/>
      </c>
      <c r="BD37" s="32" t="str">
        <f t="shared" si="134"/>
        <v/>
      </c>
      <c r="BE37" s="32" t="str">
        <f t="shared" si="134"/>
        <v/>
      </c>
      <c r="BF37" s="32" t="str">
        <f t="shared" ref="BF37:BQ37" si="135">IF(F37=MAX($F37:$Q37),"Yes","")</f>
        <v/>
      </c>
      <c r="BG37" s="32" t="str">
        <f t="shared" si="135"/>
        <v/>
      </c>
      <c r="BH37" s="32" t="str">
        <f t="shared" si="135"/>
        <v/>
      </c>
      <c r="BI37" s="32" t="str">
        <f t="shared" si="135"/>
        <v/>
      </c>
      <c r="BJ37" s="32" t="str">
        <f t="shared" si="135"/>
        <v>Yes</v>
      </c>
      <c r="BK37" s="32" t="str">
        <f t="shared" si="135"/>
        <v/>
      </c>
      <c r="BL37" s="32" t="str">
        <f t="shared" si="135"/>
        <v/>
      </c>
      <c r="BM37" s="32" t="str">
        <f t="shared" si="135"/>
        <v/>
      </c>
      <c r="BN37" s="32" t="str">
        <f t="shared" si="135"/>
        <v>Yes</v>
      </c>
      <c r="BO37" s="32" t="str">
        <f t="shared" si="135"/>
        <v/>
      </c>
      <c r="BP37" s="32" t="str">
        <f t="shared" si="135"/>
        <v>Yes</v>
      </c>
      <c r="BQ37" s="32" t="str">
        <f t="shared" si="135"/>
        <v/>
      </c>
      <c r="BR37" s="32" t="str">
        <f t="shared" si="11"/>
        <v/>
      </c>
      <c r="BS37" s="32" t="str">
        <f t="shared" si="12"/>
        <v>Yes</v>
      </c>
      <c r="BT37" s="32"/>
      <c r="BU37" s="32"/>
      <c r="BV37" s="32"/>
      <c r="BW37" s="33">
        <f t="shared" si="13"/>
        <v>0</v>
      </c>
      <c r="BX37" s="33">
        <f t="shared" si="14"/>
        <v>0</v>
      </c>
      <c r="BY37" s="34" t="str">
        <f t="shared" si="15"/>
        <v/>
      </c>
      <c r="BZ37" s="33">
        <f t="shared" si="16"/>
        <v>-0.001</v>
      </c>
      <c r="CA37" s="33">
        <f t="shared" si="17"/>
        <v>0.8</v>
      </c>
      <c r="CB37" s="34">
        <f t="shared" si="18"/>
        <v>0.801</v>
      </c>
      <c r="CC37" s="35"/>
      <c r="CD37" s="33"/>
      <c r="CE37" s="34"/>
      <c r="CF37" s="33"/>
      <c r="CG37" s="33"/>
      <c r="CH37" s="34"/>
      <c r="CI37" s="33"/>
      <c r="CJ37" s="33"/>
      <c r="CK37" s="34"/>
    </row>
    <row r="38" ht="12.75" customHeight="1">
      <c r="A38" s="18">
        <v>37.0</v>
      </c>
      <c r="B38" s="18" t="s">
        <v>92</v>
      </c>
      <c r="C38" s="19" t="s">
        <v>97</v>
      </c>
      <c r="D38" s="49"/>
      <c r="E38" s="21">
        <v>0.0</v>
      </c>
      <c r="F38" s="22">
        <f>Andrew!D38</f>
        <v>0.15</v>
      </c>
      <c r="G38" s="26">
        <f>Bruce!D38</f>
        <v>0.1</v>
      </c>
      <c r="H38" s="22">
        <f>Christine!D38</f>
        <v>0.05</v>
      </c>
      <c r="I38" s="26">
        <f>Eileen!D38</f>
        <v>0.1</v>
      </c>
      <c r="J38" s="22">
        <f>Iain!D38</f>
        <v>0.3</v>
      </c>
      <c r="K38" s="26">
        <f>Gael!D38</f>
        <v>0.45</v>
      </c>
      <c r="L38" s="75">
        <f>Jac!D38</f>
        <v>0.001</v>
      </c>
      <c r="M38" s="26">
        <f>James!D38</f>
        <v>0.02</v>
      </c>
      <c r="N38" s="22">
        <f>Kate!D38</f>
        <v>0.1</v>
      </c>
      <c r="O38" s="74">
        <f>Lachy!D38</f>
        <v>0.001</v>
      </c>
      <c r="P38" s="22">
        <f>Pete!D38</f>
        <v>0.5</v>
      </c>
      <c r="Q38" s="26">
        <f>Rohan!D38</f>
        <v>0.55</v>
      </c>
      <c r="R38" s="22">
        <f t="shared" si="27"/>
        <v>0.7655347464</v>
      </c>
      <c r="S38" s="22">
        <f t="shared" ref="S38:AC38" si="136">IF($E38=1,(LOG(G38,2)+1),IF($E38=0,(LOG(1-G38,2)+1),""))</f>
        <v>0.8479969066</v>
      </c>
      <c r="T38" s="22">
        <f t="shared" si="136"/>
        <v>0.9259994186</v>
      </c>
      <c r="U38" s="22">
        <f t="shared" si="136"/>
        <v>0.8479969066</v>
      </c>
      <c r="V38" s="22">
        <f t="shared" si="136"/>
        <v>0.4854268272</v>
      </c>
      <c r="W38" s="22">
        <f t="shared" si="136"/>
        <v>0.1375035237</v>
      </c>
      <c r="X38" s="22">
        <f t="shared" si="136"/>
        <v>0.9985565831</v>
      </c>
      <c r="Y38" s="22">
        <f t="shared" si="136"/>
        <v>0.9708536543</v>
      </c>
      <c r="Z38" s="22">
        <f t="shared" si="136"/>
        <v>0.8479969066</v>
      </c>
      <c r="AA38" s="22">
        <f t="shared" si="136"/>
        <v>0.9985565831</v>
      </c>
      <c r="AB38" s="22">
        <f t="shared" si="136"/>
        <v>0</v>
      </c>
      <c r="AC38" s="22">
        <f t="shared" si="136"/>
        <v>-0.1520030934</v>
      </c>
      <c r="AD38" s="41"/>
      <c r="AE38" s="31">
        <f t="shared" si="6"/>
        <v>38.59999941</v>
      </c>
      <c r="AF38" s="31">
        <f t="shared" si="7"/>
        <v>0.1935</v>
      </c>
      <c r="AG38" s="31">
        <f t="shared" si="8"/>
        <v>0.04100863636</v>
      </c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2" t="str">
        <f t="shared" ref="AT38:BE38" si="137">IF(F38=MIN($F38:$Q38),"Yes","")</f>
        <v/>
      </c>
      <c r="AU38" s="32" t="str">
        <f t="shared" si="137"/>
        <v/>
      </c>
      <c r="AV38" s="32" t="str">
        <f t="shared" si="137"/>
        <v/>
      </c>
      <c r="AW38" s="32" t="str">
        <f t="shared" si="137"/>
        <v/>
      </c>
      <c r="AX38" s="32" t="str">
        <f t="shared" si="137"/>
        <v/>
      </c>
      <c r="AY38" s="32" t="str">
        <f t="shared" si="137"/>
        <v/>
      </c>
      <c r="AZ38" s="32" t="str">
        <f t="shared" si="137"/>
        <v>Yes</v>
      </c>
      <c r="BA38" s="32" t="str">
        <f t="shared" si="137"/>
        <v/>
      </c>
      <c r="BB38" s="32" t="str">
        <f t="shared" si="137"/>
        <v/>
      </c>
      <c r="BC38" s="32" t="str">
        <f t="shared" si="137"/>
        <v>Yes</v>
      </c>
      <c r="BD38" s="32" t="str">
        <f t="shared" si="137"/>
        <v/>
      </c>
      <c r="BE38" s="32" t="str">
        <f t="shared" si="137"/>
        <v/>
      </c>
      <c r="BF38" s="32" t="str">
        <f t="shared" ref="BF38:BQ38" si="138">IF(F38=MAX($F38:$Q38),"Yes","")</f>
        <v/>
      </c>
      <c r="BG38" s="32" t="str">
        <f t="shared" si="138"/>
        <v/>
      </c>
      <c r="BH38" s="32" t="str">
        <f t="shared" si="138"/>
        <v/>
      </c>
      <c r="BI38" s="32" t="str">
        <f t="shared" si="138"/>
        <v/>
      </c>
      <c r="BJ38" s="32" t="str">
        <f t="shared" si="138"/>
        <v/>
      </c>
      <c r="BK38" s="32" t="str">
        <f t="shared" si="138"/>
        <v/>
      </c>
      <c r="BL38" s="32" t="str">
        <f t="shared" si="138"/>
        <v/>
      </c>
      <c r="BM38" s="32" t="str">
        <f t="shared" si="138"/>
        <v/>
      </c>
      <c r="BN38" s="32" t="str">
        <f t="shared" si="138"/>
        <v/>
      </c>
      <c r="BO38" s="32" t="str">
        <f t="shared" si="138"/>
        <v/>
      </c>
      <c r="BP38" s="32" t="str">
        <f t="shared" si="138"/>
        <v/>
      </c>
      <c r="BQ38" s="32" t="str">
        <f t="shared" si="138"/>
        <v>Yes</v>
      </c>
      <c r="BR38" s="32" t="str">
        <f t="shared" si="11"/>
        <v/>
      </c>
      <c r="BS38" s="32" t="str">
        <f t="shared" si="12"/>
        <v/>
      </c>
      <c r="BT38" s="32"/>
      <c r="BU38" s="32"/>
      <c r="BV38" s="32"/>
      <c r="BW38" s="33">
        <f t="shared" si="13"/>
        <v>0</v>
      </c>
      <c r="BX38" s="33">
        <f t="shared" si="14"/>
        <v>0</v>
      </c>
      <c r="BY38" s="34" t="str">
        <f t="shared" si="15"/>
        <v/>
      </c>
      <c r="BZ38" s="33">
        <f t="shared" si="16"/>
        <v>0</v>
      </c>
      <c r="CA38" s="33">
        <f t="shared" si="17"/>
        <v>0</v>
      </c>
      <c r="CB38" s="34" t="str">
        <f t="shared" si="18"/>
        <v/>
      </c>
      <c r="CC38" s="35" t="s">
        <v>63</v>
      </c>
      <c r="CD38" s="33"/>
      <c r="CE38" s="34"/>
      <c r="CF38" s="33"/>
      <c r="CG38" s="33"/>
      <c r="CH38" s="34"/>
      <c r="CI38" s="33"/>
      <c r="CJ38" s="33"/>
      <c r="CK38" s="34"/>
    </row>
    <row r="39" ht="12.75" customHeight="1">
      <c r="A39" s="36">
        <v>38.0</v>
      </c>
      <c r="B39" s="36" t="s">
        <v>92</v>
      </c>
      <c r="C39" s="44" t="s">
        <v>98</v>
      </c>
      <c r="D39" s="38"/>
      <c r="E39" s="39">
        <v>0.0</v>
      </c>
      <c r="F39" s="46">
        <f>Andrew!D39</f>
        <v>0.45</v>
      </c>
      <c r="G39" s="46">
        <f>Bruce!D39</f>
        <v>0.8</v>
      </c>
      <c r="H39" s="46">
        <f>Christine!D39</f>
        <v>0.2</v>
      </c>
      <c r="I39" s="46">
        <f>Eileen!D39</f>
        <v>0.1</v>
      </c>
      <c r="J39" s="46">
        <f>Iain!D39</f>
        <v>0.5</v>
      </c>
      <c r="K39" s="46">
        <f>Gael!D39</f>
        <v>0.9</v>
      </c>
      <c r="L39" s="46">
        <f>Jac!D39</f>
        <v>0.5</v>
      </c>
      <c r="M39" s="46">
        <f>James!D39</f>
        <v>0.2</v>
      </c>
      <c r="N39" s="46">
        <f>Kate!D39</f>
        <v>0.9</v>
      </c>
      <c r="O39" s="46">
        <f>Lachy!D39</f>
        <v>0.15</v>
      </c>
      <c r="P39" s="46">
        <f>Pete!D39</f>
        <v>0.1</v>
      </c>
      <c r="Q39" s="46">
        <f>Rohan!D39</f>
        <v>0.35</v>
      </c>
      <c r="R39" s="31">
        <f t="shared" si="27"/>
        <v>0.1375035237</v>
      </c>
      <c r="S39" s="31">
        <f t="shared" ref="S39:AC39" si="139">IF($E39=1,(LOG(G39,2)+1),IF($E39=0,(LOG(1-G39,2)+1),""))</f>
        <v>-1.321928095</v>
      </c>
      <c r="T39" s="31">
        <f t="shared" si="139"/>
        <v>0.6780719051</v>
      </c>
      <c r="U39" s="31">
        <f t="shared" si="139"/>
        <v>0.8479969066</v>
      </c>
      <c r="V39" s="31">
        <f t="shared" si="139"/>
        <v>0</v>
      </c>
      <c r="W39" s="31">
        <f t="shared" si="139"/>
        <v>-2.321928095</v>
      </c>
      <c r="X39" s="31">
        <f t="shared" si="139"/>
        <v>0</v>
      </c>
      <c r="Y39" s="31">
        <f t="shared" si="139"/>
        <v>0.6780719051</v>
      </c>
      <c r="Z39" s="31">
        <f t="shared" si="139"/>
        <v>-2.321928095</v>
      </c>
      <c r="AA39" s="31">
        <f t="shared" si="139"/>
        <v>0.7655347464</v>
      </c>
      <c r="AB39" s="31">
        <f t="shared" si="139"/>
        <v>0.8479969066</v>
      </c>
      <c r="AC39" s="31">
        <f t="shared" si="139"/>
        <v>0.3785116233</v>
      </c>
      <c r="AD39" s="41"/>
      <c r="AE39" s="31">
        <f t="shared" si="6"/>
        <v>21.78577853</v>
      </c>
      <c r="AF39" s="31">
        <f t="shared" si="7"/>
        <v>0.4291666667</v>
      </c>
      <c r="AG39" s="31">
        <f t="shared" si="8"/>
        <v>0.09066287879</v>
      </c>
      <c r="AH39" s="46" t="str">
        <f t="shared" ref="AH39:AS39" si="140">IF(F39=MIN($F39:$Q39),LOG(1-F39,2)+1,IF(F39=MAX($F39:$Q39),LOG(F39,2)+1,""))</f>
        <v/>
      </c>
      <c r="AI39" s="46" t="str">
        <f t="shared" si="140"/>
        <v/>
      </c>
      <c r="AJ39" s="46" t="str">
        <f t="shared" si="140"/>
        <v/>
      </c>
      <c r="AK39" s="46">
        <f t="shared" si="140"/>
        <v>0.8479969066</v>
      </c>
      <c r="AL39" s="46" t="str">
        <f t="shared" si="140"/>
        <v/>
      </c>
      <c r="AM39" s="46">
        <f t="shared" si="140"/>
        <v>0.8479969066</v>
      </c>
      <c r="AN39" s="46" t="str">
        <f t="shared" si="140"/>
        <v/>
      </c>
      <c r="AO39" s="46" t="str">
        <f t="shared" si="140"/>
        <v/>
      </c>
      <c r="AP39" s="46">
        <f t="shared" si="140"/>
        <v>0.8479969066</v>
      </c>
      <c r="AQ39" s="46" t="str">
        <f t="shared" si="140"/>
        <v/>
      </c>
      <c r="AR39" s="46">
        <f t="shared" si="140"/>
        <v>0.8479969066</v>
      </c>
      <c r="AS39" s="46" t="str">
        <f t="shared" si="140"/>
        <v/>
      </c>
      <c r="AT39" s="32" t="str">
        <f t="shared" ref="AT39:BE39" si="141">IF(F39=MIN($F39:$Q39),"Yes","")</f>
        <v/>
      </c>
      <c r="AU39" s="32" t="str">
        <f t="shared" si="141"/>
        <v/>
      </c>
      <c r="AV39" s="32" t="str">
        <f t="shared" si="141"/>
        <v/>
      </c>
      <c r="AW39" s="32" t="str">
        <f t="shared" si="141"/>
        <v>Yes</v>
      </c>
      <c r="AX39" s="32" t="str">
        <f t="shared" si="141"/>
        <v/>
      </c>
      <c r="AY39" s="32" t="str">
        <f t="shared" si="141"/>
        <v/>
      </c>
      <c r="AZ39" s="32" t="str">
        <f t="shared" si="141"/>
        <v/>
      </c>
      <c r="BA39" s="32" t="str">
        <f t="shared" si="141"/>
        <v/>
      </c>
      <c r="BB39" s="32" t="str">
        <f t="shared" si="141"/>
        <v/>
      </c>
      <c r="BC39" s="32" t="str">
        <f t="shared" si="141"/>
        <v/>
      </c>
      <c r="BD39" s="32" t="str">
        <f t="shared" si="141"/>
        <v>Yes</v>
      </c>
      <c r="BE39" s="32" t="str">
        <f t="shared" si="141"/>
        <v/>
      </c>
      <c r="BF39" s="32" t="str">
        <f t="shared" ref="BF39:BQ39" si="142">IF(F39=MAX($F39:$Q39),"Yes","")</f>
        <v/>
      </c>
      <c r="BG39" s="32" t="str">
        <f t="shared" si="142"/>
        <v/>
      </c>
      <c r="BH39" s="32" t="str">
        <f t="shared" si="142"/>
        <v/>
      </c>
      <c r="BI39" s="32" t="str">
        <f t="shared" si="142"/>
        <v/>
      </c>
      <c r="BJ39" s="32" t="str">
        <f t="shared" si="142"/>
        <v/>
      </c>
      <c r="BK39" s="32" t="str">
        <f t="shared" si="142"/>
        <v>Yes</v>
      </c>
      <c r="BL39" s="32" t="str">
        <f t="shared" si="142"/>
        <v/>
      </c>
      <c r="BM39" s="32" t="str">
        <f t="shared" si="142"/>
        <v/>
      </c>
      <c r="BN39" s="32" t="str">
        <f t="shared" si="142"/>
        <v>Yes</v>
      </c>
      <c r="BO39" s="32" t="str">
        <f t="shared" si="142"/>
        <v/>
      </c>
      <c r="BP39" s="32" t="str">
        <f t="shared" si="142"/>
        <v/>
      </c>
      <c r="BQ39" s="32" t="str">
        <f t="shared" si="142"/>
        <v/>
      </c>
      <c r="BR39" s="32" t="str">
        <f t="shared" si="11"/>
        <v/>
      </c>
      <c r="BS39" s="32" t="str">
        <f t="shared" si="12"/>
        <v/>
      </c>
      <c r="BT39" s="32"/>
      <c r="BU39" s="32"/>
      <c r="BV39" s="32"/>
      <c r="BW39" s="33">
        <f t="shared" si="13"/>
        <v>0</v>
      </c>
      <c r="BX39" s="33">
        <f t="shared" si="14"/>
        <v>0</v>
      </c>
      <c r="BY39" s="34" t="str">
        <f t="shared" si="15"/>
        <v/>
      </c>
      <c r="BZ39" s="33">
        <f t="shared" si="16"/>
        <v>0</v>
      </c>
      <c r="CA39" s="33">
        <f t="shared" si="17"/>
        <v>0</v>
      </c>
      <c r="CB39" s="34" t="str">
        <f t="shared" si="18"/>
        <v/>
      </c>
      <c r="CC39" s="35"/>
      <c r="CD39" s="33"/>
      <c r="CE39" s="34"/>
      <c r="CF39" s="33"/>
      <c r="CG39" s="33"/>
      <c r="CH39" s="34"/>
      <c r="CI39" s="33"/>
      <c r="CJ39" s="33"/>
      <c r="CK39" s="34"/>
    </row>
    <row r="40" ht="12.75" customHeight="1">
      <c r="A40" s="18">
        <v>39.0</v>
      </c>
      <c r="B40" s="18" t="s">
        <v>99</v>
      </c>
      <c r="C40" s="55" t="s">
        <v>100</v>
      </c>
      <c r="D40" s="49"/>
      <c r="E40" s="21">
        <v>0.0</v>
      </c>
      <c r="F40" s="56">
        <f>Andrew!D40</f>
        <v>0.7</v>
      </c>
      <c r="G40" s="58">
        <f>Bruce!D40</f>
        <v>0.8</v>
      </c>
      <c r="H40" s="56">
        <f>Christine!D40</f>
        <v>0.1</v>
      </c>
      <c r="I40" s="58">
        <f>Eileen!D40</f>
        <v>0.5</v>
      </c>
      <c r="J40" s="56">
        <f>Iain!D40</f>
        <v>0.8</v>
      </c>
      <c r="K40" s="58">
        <f>Gael!D40</f>
        <v>0.4</v>
      </c>
      <c r="L40" s="56">
        <f>Jac!D40</f>
        <v>0.5</v>
      </c>
      <c r="M40" s="58">
        <f>James!D40</f>
        <v>0</v>
      </c>
      <c r="N40" s="56">
        <f>Kate!D40</f>
        <v>0.9</v>
      </c>
      <c r="O40" s="58">
        <f>Lachy!D40</f>
        <v>0.85</v>
      </c>
      <c r="P40" s="56">
        <f>Pete!D40</f>
        <v>0.5</v>
      </c>
      <c r="Q40" s="58">
        <f>Rohan!D40</f>
        <v>0.15</v>
      </c>
      <c r="R40" s="22">
        <f t="shared" si="27"/>
        <v>-0.7369655942</v>
      </c>
      <c r="S40" s="22">
        <f t="shared" ref="S40:AC40" si="143">IF($E40=1,(LOG(G40,2)+1),IF($E40=0,(LOG(1-G40,2)+1),""))</f>
        <v>-1.321928095</v>
      </c>
      <c r="T40" s="22">
        <f t="shared" si="143"/>
        <v>0.8479969066</v>
      </c>
      <c r="U40" s="22">
        <f t="shared" si="143"/>
        <v>0</v>
      </c>
      <c r="V40" s="22">
        <f t="shared" si="143"/>
        <v>-1.321928095</v>
      </c>
      <c r="W40" s="22">
        <f t="shared" si="143"/>
        <v>0.2630344058</v>
      </c>
      <c r="X40" s="22">
        <f t="shared" si="143"/>
        <v>0</v>
      </c>
      <c r="Y40" s="22">
        <f t="shared" si="143"/>
        <v>1</v>
      </c>
      <c r="Z40" s="22">
        <f t="shared" si="143"/>
        <v>-2.321928095</v>
      </c>
      <c r="AA40" s="22">
        <f t="shared" si="143"/>
        <v>-1.736965594</v>
      </c>
      <c r="AB40" s="22">
        <f t="shared" si="143"/>
        <v>0</v>
      </c>
      <c r="AC40" s="22">
        <f t="shared" si="143"/>
        <v>0.7655347464</v>
      </c>
      <c r="AD40" s="41"/>
      <c r="AE40" s="31" t="str">
        <f t="shared" si="6"/>
        <v>#NUM!</v>
      </c>
      <c r="AF40" s="31">
        <f t="shared" si="7"/>
        <v>0.5166666667</v>
      </c>
      <c r="AG40" s="31">
        <f t="shared" si="8"/>
        <v>0.0946969697</v>
      </c>
      <c r="AH40" s="46" t="str">
        <f t="shared" ref="AH40:AS40" si="144">IF(F40=MIN($F40:$Q40),LOG(1-F40,2)+1,IF(F40=MAX($F40:$Q40),LOG(F40,2)+1,""))</f>
        <v/>
      </c>
      <c r="AI40" s="46" t="str">
        <f t="shared" si="144"/>
        <v/>
      </c>
      <c r="AJ40" s="46" t="str">
        <f t="shared" si="144"/>
        <v/>
      </c>
      <c r="AK40" s="46" t="str">
        <f t="shared" si="144"/>
        <v/>
      </c>
      <c r="AL40" s="46" t="str">
        <f t="shared" si="144"/>
        <v/>
      </c>
      <c r="AM40" s="46" t="str">
        <f t="shared" si="144"/>
        <v/>
      </c>
      <c r="AN40" s="46" t="str">
        <f t="shared" si="144"/>
        <v/>
      </c>
      <c r="AO40" s="46">
        <f t="shared" si="144"/>
        <v>1</v>
      </c>
      <c r="AP40" s="46">
        <f t="shared" si="144"/>
        <v>0.8479969066</v>
      </c>
      <c r="AQ40" s="46" t="str">
        <f t="shared" si="144"/>
        <v/>
      </c>
      <c r="AR40" s="46" t="str">
        <f t="shared" si="144"/>
        <v/>
      </c>
      <c r="AS40" s="46" t="str">
        <f t="shared" si="144"/>
        <v/>
      </c>
      <c r="AT40" s="32" t="str">
        <f t="shared" ref="AT40:BE40" si="145">IF(F40=MIN($F40:$Q40),"Yes","")</f>
        <v/>
      </c>
      <c r="AU40" s="32" t="str">
        <f t="shared" si="145"/>
        <v/>
      </c>
      <c r="AV40" s="32" t="str">
        <f t="shared" si="145"/>
        <v/>
      </c>
      <c r="AW40" s="32" t="str">
        <f t="shared" si="145"/>
        <v/>
      </c>
      <c r="AX40" s="32" t="str">
        <f t="shared" si="145"/>
        <v/>
      </c>
      <c r="AY40" s="32" t="str">
        <f t="shared" si="145"/>
        <v/>
      </c>
      <c r="AZ40" s="32" t="str">
        <f t="shared" si="145"/>
        <v/>
      </c>
      <c r="BA40" s="32" t="str">
        <f t="shared" si="145"/>
        <v>Yes</v>
      </c>
      <c r="BB40" s="32" t="str">
        <f t="shared" si="145"/>
        <v/>
      </c>
      <c r="BC40" s="32" t="str">
        <f t="shared" si="145"/>
        <v/>
      </c>
      <c r="BD40" s="32" t="str">
        <f t="shared" si="145"/>
        <v/>
      </c>
      <c r="BE40" s="32" t="str">
        <f t="shared" si="145"/>
        <v/>
      </c>
      <c r="BF40" s="32" t="str">
        <f t="shared" ref="BF40:BQ40" si="146">IF(F40=MAX($F40:$Q40),"Yes","")</f>
        <v/>
      </c>
      <c r="BG40" s="32" t="str">
        <f t="shared" si="146"/>
        <v/>
      </c>
      <c r="BH40" s="32" t="str">
        <f t="shared" si="146"/>
        <v/>
      </c>
      <c r="BI40" s="32" t="str">
        <f t="shared" si="146"/>
        <v/>
      </c>
      <c r="BJ40" s="32" t="str">
        <f t="shared" si="146"/>
        <v/>
      </c>
      <c r="BK40" s="32" t="str">
        <f t="shared" si="146"/>
        <v/>
      </c>
      <c r="BL40" s="32" t="str">
        <f t="shared" si="146"/>
        <v/>
      </c>
      <c r="BM40" s="32" t="str">
        <f t="shared" si="146"/>
        <v/>
      </c>
      <c r="BN40" s="32" t="str">
        <f t="shared" si="146"/>
        <v>Yes</v>
      </c>
      <c r="BO40" s="32" t="str">
        <f t="shared" si="146"/>
        <v/>
      </c>
      <c r="BP40" s="32" t="str">
        <f t="shared" si="146"/>
        <v/>
      </c>
      <c r="BQ40" s="32" t="str">
        <f t="shared" si="146"/>
        <v/>
      </c>
      <c r="BR40" s="32" t="str">
        <f t="shared" si="11"/>
        <v/>
      </c>
      <c r="BS40" s="32" t="str">
        <f t="shared" si="12"/>
        <v>Yes</v>
      </c>
      <c r="BT40" s="32"/>
      <c r="BU40" s="32"/>
      <c r="BV40" s="32"/>
      <c r="BW40" s="33">
        <f t="shared" si="13"/>
        <v>0</v>
      </c>
      <c r="BX40" s="33">
        <f t="shared" si="14"/>
        <v>0</v>
      </c>
      <c r="BY40" s="34" t="str">
        <f t="shared" si="15"/>
        <v/>
      </c>
      <c r="BZ40" s="33">
        <f t="shared" si="16"/>
        <v>-0.5</v>
      </c>
      <c r="CA40" s="33">
        <f t="shared" si="17"/>
        <v>0</v>
      </c>
      <c r="CB40" s="34">
        <f t="shared" si="18"/>
        <v>0.5</v>
      </c>
      <c r="CC40" s="35" t="s">
        <v>59</v>
      </c>
      <c r="CD40" s="33"/>
      <c r="CE40" s="34"/>
      <c r="CF40" s="33"/>
      <c r="CG40" s="33"/>
      <c r="CH40" s="34"/>
      <c r="CI40" s="33"/>
      <c r="CJ40" s="33"/>
      <c r="CK40" s="34"/>
    </row>
    <row r="41" ht="12.75" customHeight="1">
      <c r="A41" s="36">
        <v>40.0</v>
      </c>
      <c r="B41" s="36" t="s">
        <v>99</v>
      </c>
      <c r="C41" s="37" t="s">
        <v>101</v>
      </c>
      <c r="D41" s="38"/>
      <c r="E41" s="39">
        <v>0.0</v>
      </c>
      <c r="F41" s="31">
        <f>Andrew!D41</f>
        <v>0.4</v>
      </c>
      <c r="G41" s="31">
        <f>Bruce!D41</f>
        <v>0.6</v>
      </c>
      <c r="H41" s="31">
        <f>Christine!D41</f>
        <v>0.1</v>
      </c>
      <c r="I41" s="31">
        <f>Eileen!D41</f>
        <v>0.3</v>
      </c>
      <c r="J41" s="31">
        <f>Iain!D41</f>
        <v>0.5</v>
      </c>
      <c r="K41" s="31">
        <f>Gael!D41</f>
        <v>0.3</v>
      </c>
      <c r="L41" s="31">
        <f>Jac!D41</f>
        <v>0.3</v>
      </c>
      <c r="M41" s="31">
        <f>James!D41</f>
        <v>0.1</v>
      </c>
      <c r="N41" s="31">
        <f>Kate!D41</f>
        <v>0.6</v>
      </c>
      <c r="O41" s="31">
        <f>Lachy!D41</f>
        <v>0.15</v>
      </c>
      <c r="P41" s="31">
        <f>Pete!D41</f>
        <v>0.5</v>
      </c>
      <c r="Q41" s="31">
        <f>Rohan!D41</f>
        <v>0.3</v>
      </c>
      <c r="R41" s="31">
        <f t="shared" si="27"/>
        <v>0.2630344058</v>
      </c>
      <c r="S41" s="31">
        <f t="shared" ref="S41:AC41" si="147">IF($E41=1,(LOG(G41,2)+1),IF($E41=0,(LOG(1-G41,2)+1),""))</f>
        <v>-0.3219280949</v>
      </c>
      <c r="T41" s="31">
        <f t="shared" si="147"/>
        <v>0.8479969066</v>
      </c>
      <c r="U41" s="31">
        <f t="shared" si="147"/>
        <v>0.4854268272</v>
      </c>
      <c r="V41" s="31">
        <f t="shared" si="147"/>
        <v>0</v>
      </c>
      <c r="W41" s="31">
        <f t="shared" si="147"/>
        <v>0.4854268272</v>
      </c>
      <c r="X41" s="31">
        <f t="shared" si="147"/>
        <v>0.4854268272</v>
      </c>
      <c r="Y41" s="31">
        <f t="shared" si="147"/>
        <v>0.8479969066</v>
      </c>
      <c r="Z41" s="31">
        <f t="shared" si="147"/>
        <v>-0.3219280949</v>
      </c>
      <c r="AA41" s="31">
        <f t="shared" si="147"/>
        <v>0.7655347464</v>
      </c>
      <c r="AB41" s="31">
        <f t="shared" si="147"/>
        <v>0</v>
      </c>
      <c r="AC41" s="31">
        <f t="shared" si="147"/>
        <v>0.4854268272</v>
      </c>
      <c r="AD41" s="41"/>
      <c r="AE41" s="31">
        <f t="shared" si="6"/>
        <v>14.31688253</v>
      </c>
      <c r="AF41" s="31">
        <f t="shared" si="7"/>
        <v>0.3458333333</v>
      </c>
      <c r="AG41" s="31">
        <f t="shared" si="8"/>
        <v>0.0315719697</v>
      </c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2" t="str">
        <f t="shared" ref="AT41:BE41" si="148">IF(F41=MIN($F41:$Q41),"Yes","")</f>
        <v/>
      </c>
      <c r="AU41" s="32" t="str">
        <f t="shared" si="148"/>
        <v/>
      </c>
      <c r="AV41" s="32" t="str">
        <f t="shared" si="148"/>
        <v>Yes</v>
      </c>
      <c r="AW41" s="32" t="str">
        <f t="shared" si="148"/>
        <v/>
      </c>
      <c r="AX41" s="32" t="str">
        <f t="shared" si="148"/>
        <v/>
      </c>
      <c r="AY41" s="32" t="str">
        <f t="shared" si="148"/>
        <v/>
      </c>
      <c r="AZ41" s="32" t="str">
        <f t="shared" si="148"/>
        <v/>
      </c>
      <c r="BA41" s="32" t="str">
        <f t="shared" si="148"/>
        <v>Yes</v>
      </c>
      <c r="BB41" s="32" t="str">
        <f t="shared" si="148"/>
        <v/>
      </c>
      <c r="BC41" s="32" t="str">
        <f t="shared" si="148"/>
        <v/>
      </c>
      <c r="BD41" s="32" t="str">
        <f t="shared" si="148"/>
        <v/>
      </c>
      <c r="BE41" s="32" t="str">
        <f t="shared" si="148"/>
        <v/>
      </c>
      <c r="BF41" s="32" t="str">
        <f t="shared" ref="BF41:BQ41" si="149">IF(F41=MAX($F41:$Q41),"Yes","")</f>
        <v/>
      </c>
      <c r="BG41" s="32" t="str">
        <f t="shared" si="149"/>
        <v>Yes</v>
      </c>
      <c r="BH41" s="32" t="str">
        <f t="shared" si="149"/>
        <v/>
      </c>
      <c r="BI41" s="32" t="str">
        <f t="shared" si="149"/>
        <v/>
      </c>
      <c r="BJ41" s="32" t="str">
        <f t="shared" si="149"/>
        <v/>
      </c>
      <c r="BK41" s="32" t="str">
        <f t="shared" si="149"/>
        <v/>
      </c>
      <c r="BL41" s="32" t="str">
        <f t="shared" si="149"/>
        <v/>
      </c>
      <c r="BM41" s="32" t="str">
        <f t="shared" si="149"/>
        <v/>
      </c>
      <c r="BN41" s="32" t="str">
        <f t="shared" si="149"/>
        <v>Yes</v>
      </c>
      <c r="BO41" s="32" t="str">
        <f t="shared" si="149"/>
        <v/>
      </c>
      <c r="BP41" s="32" t="str">
        <f t="shared" si="149"/>
        <v/>
      </c>
      <c r="BQ41" s="32" t="str">
        <f t="shared" si="149"/>
        <v/>
      </c>
      <c r="BR41" s="32" t="str">
        <f t="shared" si="11"/>
        <v/>
      </c>
      <c r="BS41" s="32" t="str">
        <f t="shared" si="12"/>
        <v/>
      </c>
      <c r="BT41" s="32"/>
      <c r="BU41" s="32"/>
      <c r="BV41" s="32"/>
      <c r="BW41" s="33">
        <f t="shared" si="13"/>
        <v>0</v>
      </c>
      <c r="BX41" s="33">
        <f t="shared" si="14"/>
        <v>0</v>
      </c>
      <c r="BY41" s="34" t="str">
        <f t="shared" si="15"/>
        <v/>
      </c>
      <c r="BZ41" s="33">
        <f t="shared" si="16"/>
        <v>0</v>
      </c>
      <c r="CA41" s="33">
        <f t="shared" si="17"/>
        <v>0</v>
      </c>
      <c r="CB41" s="34" t="str">
        <f t="shared" si="18"/>
        <v/>
      </c>
      <c r="CC41" s="35"/>
      <c r="CD41" s="33"/>
      <c r="CE41" s="34"/>
      <c r="CF41" s="33"/>
      <c r="CG41" s="33"/>
      <c r="CH41" s="34"/>
      <c r="CI41" s="33"/>
      <c r="CJ41" s="33"/>
      <c r="CK41" s="34"/>
    </row>
    <row r="42" ht="12.75" customHeight="1">
      <c r="A42" s="18">
        <v>41.0</v>
      </c>
      <c r="B42" s="18" t="s">
        <v>99</v>
      </c>
      <c r="C42" s="19" t="s">
        <v>102</v>
      </c>
      <c r="D42" s="49">
        <v>44633.0</v>
      </c>
      <c r="E42" s="76">
        <v>1.0</v>
      </c>
      <c r="F42" s="22">
        <f>Andrew!D42</f>
        <v>0.6</v>
      </c>
      <c r="G42" s="26">
        <f>Bruce!D42</f>
        <v>0.8</v>
      </c>
      <c r="H42" s="22">
        <f>Christine!D42</f>
        <v>0.9</v>
      </c>
      <c r="I42" s="26">
        <f>Eileen!D42</f>
        <v>0.5</v>
      </c>
      <c r="J42" s="73">
        <f>Iain!D42</f>
        <v>0.9</v>
      </c>
      <c r="K42" s="26">
        <f>Gael!D42</f>
        <v>0.7</v>
      </c>
      <c r="L42" s="22">
        <f>Jac!D42</f>
        <v>0.6</v>
      </c>
      <c r="M42" s="72">
        <f>James!D42</f>
        <v>0.9</v>
      </c>
      <c r="N42" s="22">
        <f>Kate!D42</f>
        <v>0.2</v>
      </c>
      <c r="O42" s="26">
        <f>Lachy!D42</f>
        <v>0.85</v>
      </c>
      <c r="P42" s="73">
        <f>Pete!D42</f>
        <v>0.9</v>
      </c>
      <c r="Q42" s="26">
        <f>Rohan!D42</f>
        <v>0.5</v>
      </c>
      <c r="R42" s="22">
        <f t="shared" si="27"/>
        <v>0.2630344058</v>
      </c>
      <c r="S42" s="22">
        <f t="shared" ref="S42:AC42" si="150">IF($E42=1,(LOG(G42,2)+1),IF($E42=0,(LOG(1-G42,2)+1),""))</f>
        <v>0.6780719051</v>
      </c>
      <c r="T42" s="22">
        <f t="shared" si="150"/>
        <v>0.8479969066</v>
      </c>
      <c r="U42" s="22">
        <f t="shared" si="150"/>
        <v>0</v>
      </c>
      <c r="V42" s="22">
        <f t="shared" si="150"/>
        <v>0.8479969066</v>
      </c>
      <c r="W42" s="22">
        <f t="shared" si="150"/>
        <v>0.4854268272</v>
      </c>
      <c r="X42" s="22">
        <f t="shared" si="150"/>
        <v>0.2630344058</v>
      </c>
      <c r="Y42" s="22">
        <f t="shared" si="150"/>
        <v>0.8479969066</v>
      </c>
      <c r="Z42" s="22">
        <f t="shared" si="150"/>
        <v>-1.321928095</v>
      </c>
      <c r="AA42" s="22">
        <f t="shared" si="150"/>
        <v>0.7655347464</v>
      </c>
      <c r="AB42" s="22">
        <f t="shared" si="150"/>
        <v>0.8479969066</v>
      </c>
      <c r="AC42" s="22">
        <f t="shared" si="150"/>
        <v>0</v>
      </c>
      <c r="AD42" s="41"/>
      <c r="AE42" s="31">
        <f t="shared" si="6"/>
        <v>21.57451777</v>
      </c>
      <c r="AF42" s="31">
        <f t="shared" si="7"/>
        <v>0.6958333333</v>
      </c>
      <c r="AG42" s="31">
        <f t="shared" si="8"/>
        <v>0.04929924242</v>
      </c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2" t="str">
        <f t="shared" ref="AT42:BE42" si="151">IF(F42=MIN($F42:$Q42),"Yes","")</f>
        <v/>
      </c>
      <c r="AU42" s="32" t="str">
        <f t="shared" si="151"/>
        <v/>
      </c>
      <c r="AV42" s="32" t="str">
        <f t="shared" si="151"/>
        <v/>
      </c>
      <c r="AW42" s="32" t="str">
        <f t="shared" si="151"/>
        <v/>
      </c>
      <c r="AX42" s="32" t="str">
        <f t="shared" si="151"/>
        <v/>
      </c>
      <c r="AY42" s="32" t="str">
        <f t="shared" si="151"/>
        <v/>
      </c>
      <c r="AZ42" s="32" t="str">
        <f t="shared" si="151"/>
        <v/>
      </c>
      <c r="BA42" s="32" t="str">
        <f t="shared" si="151"/>
        <v/>
      </c>
      <c r="BB42" s="32" t="str">
        <f t="shared" si="151"/>
        <v>Yes</v>
      </c>
      <c r="BC42" s="32" t="str">
        <f t="shared" si="151"/>
        <v/>
      </c>
      <c r="BD42" s="32" t="str">
        <f t="shared" si="151"/>
        <v/>
      </c>
      <c r="BE42" s="32" t="str">
        <f t="shared" si="151"/>
        <v/>
      </c>
      <c r="BF42" s="32" t="str">
        <f t="shared" ref="BF42:BQ42" si="152">IF(F42=MAX($F42:$Q42),"Yes","")</f>
        <v/>
      </c>
      <c r="BG42" s="32" t="str">
        <f t="shared" si="152"/>
        <v/>
      </c>
      <c r="BH42" s="32" t="str">
        <f t="shared" si="152"/>
        <v>Yes</v>
      </c>
      <c r="BI42" s="32" t="str">
        <f t="shared" si="152"/>
        <v/>
      </c>
      <c r="BJ42" s="32" t="str">
        <f t="shared" si="152"/>
        <v>Yes</v>
      </c>
      <c r="BK42" s="32" t="str">
        <f t="shared" si="152"/>
        <v/>
      </c>
      <c r="BL42" s="32" t="str">
        <f t="shared" si="152"/>
        <v/>
      </c>
      <c r="BM42" s="32" t="str">
        <f t="shared" si="152"/>
        <v>Yes</v>
      </c>
      <c r="BN42" s="32" t="str">
        <f t="shared" si="152"/>
        <v/>
      </c>
      <c r="BO42" s="32" t="str">
        <f t="shared" si="152"/>
        <v/>
      </c>
      <c r="BP42" s="32" t="str">
        <f t="shared" si="152"/>
        <v>Yes</v>
      </c>
      <c r="BQ42" s="32" t="str">
        <f t="shared" si="152"/>
        <v/>
      </c>
      <c r="BR42" s="32" t="str">
        <f t="shared" si="11"/>
        <v/>
      </c>
      <c r="BS42" s="32" t="str">
        <f t="shared" si="12"/>
        <v/>
      </c>
      <c r="BT42" s="32"/>
      <c r="BU42" s="32"/>
      <c r="BV42" s="32"/>
      <c r="BW42" s="33">
        <f t="shared" si="13"/>
        <v>0</v>
      </c>
      <c r="BX42" s="33">
        <f t="shared" si="14"/>
        <v>0</v>
      </c>
      <c r="BY42" s="34" t="str">
        <f t="shared" si="15"/>
        <v/>
      </c>
      <c r="BZ42" s="33">
        <f t="shared" si="16"/>
        <v>0</v>
      </c>
      <c r="CA42" s="33">
        <f t="shared" si="17"/>
        <v>0</v>
      </c>
      <c r="CB42" s="34" t="str">
        <f t="shared" si="18"/>
        <v/>
      </c>
      <c r="CC42" s="35" t="s">
        <v>59</v>
      </c>
      <c r="CD42" s="33"/>
      <c r="CE42" s="34"/>
      <c r="CF42" s="33"/>
      <c r="CG42" s="33"/>
      <c r="CH42" s="34"/>
      <c r="CI42" s="33"/>
      <c r="CJ42" s="33"/>
      <c r="CK42" s="34"/>
    </row>
    <row r="43" ht="12.75" customHeight="1">
      <c r="A43" s="36">
        <v>42.0</v>
      </c>
      <c r="B43" s="36" t="s">
        <v>99</v>
      </c>
      <c r="C43" s="44" t="s">
        <v>103</v>
      </c>
      <c r="D43" s="38"/>
      <c r="E43" s="39">
        <v>1.0</v>
      </c>
      <c r="F43" s="46">
        <f>Andrew!D43</f>
        <v>0.5</v>
      </c>
      <c r="G43" s="46">
        <f>Bruce!D43</f>
        <v>0.9</v>
      </c>
      <c r="H43" s="46">
        <f>Christine!D43</f>
        <v>0.9</v>
      </c>
      <c r="I43" s="46">
        <f>Eileen!D43</f>
        <v>0.4</v>
      </c>
      <c r="J43" s="46">
        <f>Iain!D43</f>
        <v>0.9</v>
      </c>
      <c r="K43" s="46">
        <f>Gael!D43</f>
        <v>0.001</v>
      </c>
      <c r="L43" s="46">
        <f>Jac!D43</f>
        <v>0.99999</v>
      </c>
      <c r="M43" s="46">
        <f>James!D43</f>
        <v>0.9</v>
      </c>
      <c r="N43" s="46">
        <f>Kate!D43</f>
        <v>0.9</v>
      </c>
      <c r="O43" s="48">
        <f>Lachy!D43</f>
        <v>0.999</v>
      </c>
      <c r="P43" s="46">
        <f>Pete!D43</f>
        <v>0.9</v>
      </c>
      <c r="Q43" s="46">
        <f>Rohan!D43</f>
        <v>0.99</v>
      </c>
      <c r="R43" s="31">
        <f t="shared" si="27"/>
        <v>0</v>
      </c>
      <c r="S43" s="31">
        <f t="shared" ref="S43:AC43" si="153">IF($E43=1,(LOG(G43,2)+1),IF($E43=0,(LOG(1-G43,2)+1),""))</f>
        <v>0.8479969066</v>
      </c>
      <c r="T43" s="31">
        <f t="shared" si="153"/>
        <v>0.8479969066</v>
      </c>
      <c r="U43" s="31">
        <f t="shared" si="153"/>
        <v>-0.3219280949</v>
      </c>
      <c r="V43" s="31">
        <f t="shared" si="153"/>
        <v>0.8479969066</v>
      </c>
      <c r="W43" s="31">
        <f t="shared" si="153"/>
        <v>-8.965784285</v>
      </c>
      <c r="X43" s="31">
        <f t="shared" si="153"/>
        <v>0.999985573</v>
      </c>
      <c r="Y43" s="31">
        <f t="shared" si="153"/>
        <v>0.8479969066</v>
      </c>
      <c r="Z43" s="31">
        <f t="shared" si="153"/>
        <v>0.8479969066</v>
      </c>
      <c r="AA43" s="31">
        <f t="shared" si="153"/>
        <v>0.9985565831</v>
      </c>
      <c r="AB43" s="31">
        <f t="shared" si="153"/>
        <v>0.8479969066</v>
      </c>
      <c r="AC43" s="31">
        <f t="shared" si="153"/>
        <v>0.9855004303</v>
      </c>
      <c r="AD43" s="41"/>
      <c r="AE43" s="31">
        <f t="shared" si="6"/>
        <v>62.77217691</v>
      </c>
      <c r="AF43" s="31">
        <f t="shared" si="7"/>
        <v>0.7741658333</v>
      </c>
      <c r="AG43" s="31">
        <f t="shared" si="8"/>
        <v>0.09600810455</v>
      </c>
      <c r="AH43" s="46" t="str">
        <f t="shared" ref="AH43:AS43" si="154">IF(F43=MIN($F43:$Q43),LOG(1-F43,2)+1,IF(F43=MAX($F43:$Q43),LOG(F43,2)+1,""))</f>
        <v/>
      </c>
      <c r="AI43" s="46" t="str">
        <f t="shared" si="154"/>
        <v/>
      </c>
      <c r="AJ43" s="46" t="str">
        <f t="shared" si="154"/>
        <v/>
      </c>
      <c r="AK43" s="46" t="str">
        <f t="shared" si="154"/>
        <v/>
      </c>
      <c r="AL43" s="46" t="str">
        <f t="shared" si="154"/>
        <v/>
      </c>
      <c r="AM43" s="46">
        <f t="shared" si="154"/>
        <v>0.9985565831</v>
      </c>
      <c r="AN43" s="46">
        <f t="shared" si="154"/>
        <v>0.999985573</v>
      </c>
      <c r="AO43" s="46" t="str">
        <f t="shared" si="154"/>
        <v/>
      </c>
      <c r="AP43" s="46" t="str">
        <f t="shared" si="154"/>
        <v/>
      </c>
      <c r="AQ43" s="46" t="str">
        <f t="shared" si="154"/>
        <v/>
      </c>
      <c r="AR43" s="46" t="str">
        <f t="shared" si="154"/>
        <v/>
      </c>
      <c r="AS43" s="46" t="str">
        <f t="shared" si="154"/>
        <v/>
      </c>
      <c r="AT43" s="32" t="str">
        <f t="shared" ref="AT43:BE43" si="155">IF(F43=MIN($F43:$Q43),"Yes","")</f>
        <v/>
      </c>
      <c r="AU43" s="32" t="str">
        <f t="shared" si="155"/>
        <v/>
      </c>
      <c r="AV43" s="32" t="str">
        <f t="shared" si="155"/>
        <v/>
      </c>
      <c r="AW43" s="32" t="str">
        <f t="shared" si="155"/>
        <v/>
      </c>
      <c r="AX43" s="32" t="str">
        <f t="shared" si="155"/>
        <v/>
      </c>
      <c r="AY43" s="32" t="str">
        <f t="shared" si="155"/>
        <v>Yes</v>
      </c>
      <c r="AZ43" s="32" t="str">
        <f t="shared" si="155"/>
        <v/>
      </c>
      <c r="BA43" s="32" t="str">
        <f t="shared" si="155"/>
        <v/>
      </c>
      <c r="BB43" s="32" t="str">
        <f t="shared" si="155"/>
        <v/>
      </c>
      <c r="BC43" s="32" t="str">
        <f t="shared" si="155"/>
        <v/>
      </c>
      <c r="BD43" s="32" t="str">
        <f t="shared" si="155"/>
        <v/>
      </c>
      <c r="BE43" s="32" t="str">
        <f t="shared" si="155"/>
        <v/>
      </c>
      <c r="BF43" s="32" t="str">
        <f t="shared" ref="BF43:BQ43" si="156">IF(F43=MAX($F43:$Q43),"Yes","")</f>
        <v/>
      </c>
      <c r="BG43" s="32" t="str">
        <f t="shared" si="156"/>
        <v/>
      </c>
      <c r="BH43" s="32" t="str">
        <f t="shared" si="156"/>
        <v/>
      </c>
      <c r="BI43" s="32" t="str">
        <f t="shared" si="156"/>
        <v/>
      </c>
      <c r="BJ43" s="32" t="str">
        <f t="shared" si="156"/>
        <v/>
      </c>
      <c r="BK43" s="32" t="str">
        <f t="shared" si="156"/>
        <v/>
      </c>
      <c r="BL43" s="32" t="str">
        <f t="shared" si="156"/>
        <v>Yes</v>
      </c>
      <c r="BM43" s="32" t="str">
        <f t="shared" si="156"/>
        <v/>
      </c>
      <c r="BN43" s="32" t="str">
        <f t="shared" si="156"/>
        <v/>
      </c>
      <c r="BO43" s="32" t="str">
        <f t="shared" si="156"/>
        <v/>
      </c>
      <c r="BP43" s="32" t="str">
        <f t="shared" si="156"/>
        <v/>
      </c>
      <c r="BQ43" s="32" t="str">
        <f t="shared" si="156"/>
        <v/>
      </c>
      <c r="BR43" s="32" t="str">
        <f t="shared" si="11"/>
        <v/>
      </c>
      <c r="BS43" s="32" t="str">
        <f t="shared" si="12"/>
        <v/>
      </c>
      <c r="BT43" s="32"/>
      <c r="BU43" s="32"/>
      <c r="BV43" s="32"/>
      <c r="BW43" s="33">
        <f t="shared" si="13"/>
        <v>0</v>
      </c>
      <c r="BX43" s="33">
        <f t="shared" si="14"/>
        <v>0</v>
      </c>
      <c r="BY43" s="34" t="str">
        <f t="shared" si="15"/>
        <v/>
      </c>
      <c r="BZ43" s="33">
        <f t="shared" si="16"/>
        <v>0</v>
      </c>
      <c r="CA43" s="33">
        <f t="shared" si="17"/>
        <v>0</v>
      </c>
      <c r="CB43" s="34" t="str">
        <f t="shared" si="18"/>
        <v/>
      </c>
      <c r="CC43" s="35"/>
      <c r="CD43" s="33"/>
      <c r="CE43" s="34"/>
      <c r="CF43" s="33"/>
      <c r="CG43" s="33"/>
      <c r="CH43" s="34"/>
      <c r="CI43" s="33"/>
      <c r="CJ43" s="33"/>
      <c r="CK43" s="34"/>
    </row>
    <row r="44" ht="12.75" customHeight="1">
      <c r="A44" s="18">
        <v>43.0</v>
      </c>
      <c r="B44" s="18" t="s">
        <v>99</v>
      </c>
      <c r="C44" s="55" t="s">
        <v>104</v>
      </c>
      <c r="D44" s="49"/>
      <c r="E44" s="21">
        <v>0.0</v>
      </c>
      <c r="F44" s="56">
        <f>Andrew!D44</f>
        <v>0.5</v>
      </c>
      <c r="G44" s="58">
        <f>Bruce!D44</f>
        <v>0.95</v>
      </c>
      <c r="H44" s="56">
        <f>Christine!D44</f>
        <v>0.1</v>
      </c>
      <c r="I44" s="58">
        <f>Eileen!D44</f>
        <v>0.1</v>
      </c>
      <c r="J44" s="56">
        <f>Iain!D44</f>
        <v>0.9</v>
      </c>
      <c r="K44" s="58">
        <f>Gael!D44</f>
        <v>0.75</v>
      </c>
      <c r="L44" s="56">
        <f>Jac!D44</f>
        <v>0.2</v>
      </c>
      <c r="M44" s="58">
        <f>James!D44</f>
        <v>0.1</v>
      </c>
      <c r="N44" s="56">
        <f>Kate!D44</f>
        <v>0.1</v>
      </c>
      <c r="O44" s="71">
        <f>Lachy!D44</f>
        <v>0.001</v>
      </c>
      <c r="P44" s="56">
        <f>Pete!D44</f>
        <v>0.5</v>
      </c>
      <c r="Q44" s="58">
        <f>Rohan!D44</f>
        <v>0.25</v>
      </c>
      <c r="R44" s="22">
        <f t="shared" si="27"/>
        <v>0</v>
      </c>
      <c r="S44" s="22">
        <f t="shared" ref="S44:AC44" si="157">IF($E44=1,(LOG(G44,2)+1),IF($E44=0,(LOG(1-G44,2)+1),""))</f>
        <v>-3.321928095</v>
      </c>
      <c r="T44" s="22">
        <f t="shared" si="157"/>
        <v>0.8479969066</v>
      </c>
      <c r="U44" s="22">
        <f t="shared" si="157"/>
        <v>0.8479969066</v>
      </c>
      <c r="V44" s="22">
        <f t="shared" si="157"/>
        <v>-2.321928095</v>
      </c>
      <c r="W44" s="22">
        <f t="shared" si="157"/>
        <v>-1</v>
      </c>
      <c r="X44" s="22">
        <f t="shared" si="157"/>
        <v>0.6780719051</v>
      </c>
      <c r="Y44" s="22">
        <f t="shared" si="157"/>
        <v>0.8479969066</v>
      </c>
      <c r="Z44" s="22">
        <f t="shared" si="157"/>
        <v>0.8479969066</v>
      </c>
      <c r="AA44" s="22">
        <f t="shared" si="157"/>
        <v>0.9985565831</v>
      </c>
      <c r="AB44" s="22">
        <f t="shared" si="157"/>
        <v>0</v>
      </c>
      <c r="AC44" s="22">
        <f t="shared" si="157"/>
        <v>0.5849625007</v>
      </c>
      <c r="AD44" s="41"/>
      <c r="AE44" s="31">
        <f t="shared" si="6"/>
        <v>35.23181839</v>
      </c>
      <c r="AF44" s="31">
        <f t="shared" si="7"/>
        <v>0.3709166667</v>
      </c>
      <c r="AG44" s="31">
        <f t="shared" si="8"/>
        <v>0.1151409924</v>
      </c>
      <c r="AH44" s="46" t="str">
        <f t="shared" ref="AH44:AS44" si="158">IF(F44=MIN($F44:$Q44),LOG(1-F44,2)+1,IF(F44=MAX($F44:$Q44),LOG(F44,2)+1,""))</f>
        <v/>
      </c>
      <c r="AI44" s="46">
        <f t="shared" si="158"/>
        <v>0.9259994186</v>
      </c>
      <c r="AJ44" s="46" t="str">
        <f t="shared" si="158"/>
        <v/>
      </c>
      <c r="AK44" s="46" t="str">
        <f t="shared" si="158"/>
        <v/>
      </c>
      <c r="AL44" s="46" t="str">
        <f t="shared" si="158"/>
        <v/>
      </c>
      <c r="AM44" s="46" t="str">
        <f t="shared" si="158"/>
        <v/>
      </c>
      <c r="AN44" s="46" t="str">
        <f t="shared" si="158"/>
        <v/>
      </c>
      <c r="AO44" s="46" t="str">
        <f t="shared" si="158"/>
        <v/>
      </c>
      <c r="AP44" s="46" t="str">
        <f t="shared" si="158"/>
        <v/>
      </c>
      <c r="AQ44" s="46">
        <f t="shared" si="158"/>
        <v>0.9985565831</v>
      </c>
      <c r="AR44" s="46" t="str">
        <f t="shared" si="158"/>
        <v/>
      </c>
      <c r="AS44" s="46" t="str">
        <f t="shared" si="158"/>
        <v/>
      </c>
      <c r="AT44" s="32" t="str">
        <f t="shared" ref="AT44:BE44" si="159">IF(F44=MIN($F44:$Q44),"Yes","")</f>
        <v/>
      </c>
      <c r="AU44" s="32" t="str">
        <f t="shared" si="159"/>
        <v/>
      </c>
      <c r="AV44" s="32" t="str">
        <f t="shared" si="159"/>
        <v/>
      </c>
      <c r="AW44" s="32" t="str">
        <f t="shared" si="159"/>
        <v/>
      </c>
      <c r="AX44" s="32" t="str">
        <f t="shared" si="159"/>
        <v/>
      </c>
      <c r="AY44" s="32" t="str">
        <f t="shared" si="159"/>
        <v/>
      </c>
      <c r="AZ44" s="32" t="str">
        <f t="shared" si="159"/>
        <v/>
      </c>
      <c r="BA44" s="32" t="str">
        <f t="shared" si="159"/>
        <v/>
      </c>
      <c r="BB44" s="32" t="str">
        <f t="shared" si="159"/>
        <v/>
      </c>
      <c r="BC44" s="32" t="str">
        <f t="shared" si="159"/>
        <v>Yes</v>
      </c>
      <c r="BD44" s="32" t="str">
        <f t="shared" si="159"/>
        <v/>
      </c>
      <c r="BE44" s="32" t="str">
        <f t="shared" si="159"/>
        <v/>
      </c>
      <c r="BF44" s="32" t="str">
        <f t="shared" ref="BF44:BQ44" si="160">IF(F44=MAX($F44:$Q44),"Yes","")</f>
        <v/>
      </c>
      <c r="BG44" s="32" t="str">
        <f t="shared" si="160"/>
        <v>Yes</v>
      </c>
      <c r="BH44" s="32" t="str">
        <f t="shared" si="160"/>
        <v/>
      </c>
      <c r="BI44" s="32" t="str">
        <f t="shared" si="160"/>
        <v/>
      </c>
      <c r="BJ44" s="32" t="str">
        <f t="shared" si="160"/>
        <v/>
      </c>
      <c r="BK44" s="32" t="str">
        <f t="shared" si="160"/>
        <v/>
      </c>
      <c r="BL44" s="32" t="str">
        <f t="shared" si="160"/>
        <v/>
      </c>
      <c r="BM44" s="32" t="str">
        <f t="shared" si="160"/>
        <v/>
      </c>
      <c r="BN44" s="32" t="str">
        <f t="shared" si="160"/>
        <v/>
      </c>
      <c r="BO44" s="32" t="str">
        <f t="shared" si="160"/>
        <v/>
      </c>
      <c r="BP44" s="32" t="str">
        <f t="shared" si="160"/>
        <v/>
      </c>
      <c r="BQ44" s="32" t="str">
        <f t="shared" si="160"/>
        <v/>
      </c>
      <c r="BR44" s="32" t="str">
        <f t="shared" si="11"/>
        <v/>
      </c>
      <c r="BS44" s="32" t="str">
        <f t="shared" si="12"/>
        <v/>
      </c>
      <c r="BT44" s="32"/>
      <c r="BU44" s="32"/>
      <c r="BV44" s="32"/>
      <c r="BW44" s="33">
        <f t="shared" si="13"/>
        <v>0</v>
      </c>
      <c r="BX44" s="33">
        <f t="shared" si="14"/>
        <v>0</v>
      </c>
      <c r="BY44" s="34" t="str">
        <f t="shared" si="15"/>
        <v/>
      </c>
      <c r="BZ44" s="33">
        <f t="shared" si="16"/>
        <v>0</v>
      </c>
      <c r="CA44" s="33">
        <f t="shared" si="17"/>
        <v>0</v>
      </c>
      <c r="CB44" s="34" t="str">
        <f t="shared" si="18"/>
        <v/>
      </c>
      <c r="CC44" s="35" t="s">
        <v>59</v>
      </c>
      <c r="CD44" s="33"/>
      <c r="CE44" s="34"/>
      <c r="CF44" s="33"/>
      <c r="CG44" s="33"/>
      <c r="CH44" s="34"/>
      <c r="CI44" s="33"/>
      <c r="CJ44" s="33"/>
      <c r="CK44" s="34"/>
    </row>
    <row r="45" ht="12.75" customHeight="1">
      <c r="A45" s="36">
        <v>44.0</v>
      </c>
      <c r="B45" s="36" t="s">
        <v>105</v>
      </c>
      <c r="C45" s="37" t="s">
        <v>106</v>
      </c>
      <c r="D45" s="38">
        <v>44642.0</v>
      </c>
      <c r="E45" s="69">
        <v>1.0</v>
      </c>
      <c r="F45" s="31">
        <f>Andrew!D45</f>
        <v>0.75</v>
      </c>
      <c r="G45" s="77">
        <f>Bruce!D45</f>
        <v>0.8</v>
      </c>
      <c r="H45" s="31">
        <f>Christine!D45</f>
        <v>0.5</v>
      </c>
      <c r="I45" s="31">
        <f>Eileen!D45</f>
        <v>0.5</v>
      </c>
      <c r="J45" s="31">
        <f>Iain!D45</f>
        <v>0.3</v>
      </c>
      <c r="K45" s="31">
        <f>Gael!D45</f>
        <v>0.7</v>
      </c>
      <c r="L45" s="77">
        <f>Jac!D45</f>
        <v>0.8</v>
      </c>
      <c r="M45" s="31">
        <f>James!D45</f>
        <v>0.5</v>
      </c>
      <c r="N45" s="31">
        <f>Kate!D45</f>
        <v>0.6</v>
      </c>
      <c r="O45" s="31">
        <f>Lachy!D45</f>
        <v>0.65</v>
      </c>
      <c r="P45" s="77">
        <f>Pete!D45</f>
        <v>0.9</v>
      </c>
      <c r="Q45" s="31">
        <f>Rohan!D45</f>
        <v>0.5</v>
      </c>
      <c r="R45" s="31">
        <f t="shared" si="27"/>
        <v>0.5849625007</v>
      </c>
      <c r="S45" s="31">
        <f t="shared" ref="S45:AC45" si="161">IF($E45=1,(LOG(G45,2)+1),IF($E45=0,(LOG(1-G45,2)+1),""))</f>
        <v>0.6780719051</v>
      </c>
      <c r="T45" s="31">
        <f t="shared" si="161"/>
        <v>0</v>
      </c>
      <c r="U45" s="31">
        <f t="shared" si="161"/>
        <v>0</v>
      </c>
      <c r="V45" s="31">
        <f t="shared" si="161"/>
        <v>-0.7369655942</v>
      </c>
      <c r="W45" s="31">
        <f t="shared" si="161"/>
        <v>0.4854268272</v>
      </c>
      <c r="X45" s="31">
        <f t="shared" si="161"/>
        <v>0.6780719051</v>
      </c>
      <c r="Y45" s="31">
        <f t="shared" si="161"/>
        <v>0</v>
      </c>
      <c r="Z45" s="31">
        <f t="shared" si="161"/>
        <v>0.2630344058</v>
      </c>
      <c r="AA45" s="31">
        <f t="shared" si="161"/>
        <v>0.3785116233</v>
      </c>
      <c r="AB45" s="31">
        <f t="shared" si="161"/>
        <v>0.8479969066</v>
      </c>
      <c r="AC45" s="31">
        <f t="shared" si="161"/>
        <v>0</v>
      </c>
      <c r="AD45" s="41"/>
      <c r="AE45" s="31">
        <f t="shared" si="6"/>
        <v>12.67771964</v>
      </c>
      <c r="AF45" s="31">
        <f t="shared" si="7"/>
        <v>0.625</v>
      </c>
      <c r="AG45" s="31">
        <f t="shared" si="8"/>
        <v>0.02977272727</v>
      </c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2" t="str">
        <f t="shared" ref="AT45:BE45" si="162">IF(F45=MIN($F45:$Q45),"Yes","")</f>
        <v/>
      </c>
      <c r="AU45" s="32" t="str">
        <f t="shared" si="162"/>
        <v/>
      </c>
      <c r="AV45" s="32" t="str">
        <f t="shared" si="162"/>
        <v/>
      </c>
      <c r="AW45" s="32" t="str">
        <f t="shared" si="162"/>
        <v/>
      </c>
      <c r="AX45" s="32" t="str">
        <f t="shared" si="162"/>
        <v>Yes</v>
      </c>
      <c r="AY45" s="32" t="str">
        <f t="shared" si="162"/>
        <v/>
      </c>
      <c r="AZ45" s="32" t="str">
        <f t="shared" si="162"/>
        <v/>
      </c>
      <c r="BA45" s="32" t="str">
        <f t="shared" si="162"/>
        <v/>
      </c>
      <c r="BB45" s="32" t="str">
        <f t="shared" si="162"/>
        <v/>
      </c>
      <c r="BC45" s="32" t="str">
        <f t="shared" si="162"/>
        <v/>
      </c>
      <c r="BD45" s="32" t="str">
        <f t="shared" si="162"/>
        <v/>
      </c>
      <c r="BE45" s="32" t="str">
        <f t="shared" si="162"/>
        <v/>
      </c>
      <c r="BF45" s="32" t="str">
        <f t="shared" ref="BF45:BQ45" si="163">IF(F45=MAX($F45:$Q45),"Yes","")</f>
        <v/>
      </c>
      <c r="BG45" s="32" t="str">
        <f t="shared" si="163"/>
        <v/>
      </c>
      <c r="BH45" s="32" t="str">
        <f t="shared" si="163"/>
        <v/>
      </c>
      <c r="BI45" s="32" t="str">
        <f t="shared" si="163"/>
        <v/>
      </c>
      <c r="BJ45" s="32" t="str">
        <f t="shared" si="163"/>
        <v/>
      </c>
      <c r="BK45" s="32" t="str">
        <f t="shared" si="163"/>
        <v/>
      </c>
      <c r="BL45" s="32" t="str">
        <f t="shared" si="163"/>
        <v/>
      </c>
      <c r="BM45" s="32" t="str">
        <f t="shared" si="163"/>
        <v/>
      </c>
      <c r="BN45" s="32" t="str">
        <f t="shared" si="163"/>
        <v/>
      </c>
      <c r="BO45" s="32" t="str">
        <f t="shared" si="163"/>
        <v/>
      </c>
      <c r="BP45" s="32" t="str">
        <f t="shared" si="163"/>
        <v>Yes</v>
      </c>
      <c r="BQ45" s="32" t="str">
        <f t="shared" si="163"/>
        <v/>
      </c>
      <c r="BR45" s="32" t="str">
        <f t="shared" si="11"/>
        <v/>
      </c>
      <c r="BS45" s="32" t="str">
        <f t="shared" si="12"/>
        <v/>
      </c>
      <c r="BT45" s="32"/>
      <c r="BU45" s="32"/>
      <c r="BV45" s="32"/>
      <c r="BW45" s="33">
        <f t="shared" si="13"/>
        <v>0</v>
      </c>
      <c r="BX45" s="33">
        <f t="shared" si="14"/>
        <v>0</v>
      </c>
      <c r="BY45" s="34" t="str">
        <f t="shared" si="15"/>
        <v/>
      </c>
      <c r="BZ45" s="33">
        <f t="shared" si="16"/>
        <v>0</v>
      </c>
      <c r="CA45" s="33">
        <f t="shared" si="17"/>
        <v>0</v>
      </c>
      <c r="CB45" s="34" t="str">
        <f t="shared" si="18"/>
        <v/>
      </c>
      <c r="CC45" s="35"/>
      <c r="CD45" s="33"/>
      <c r="CE45" s="34"/>
      <c r="CF45" s="33"/>
      <c r="CG45" s="33"/>
      <c r="CH45" s="34"/>
      <c r="CI45" s="33"/>
      <c r="CJ45" s="33"/>
      <c r="CK45" s="34"/>
    </row>
    <row r="46" ht="12.75" customHeight="1">
      <c r="A46" s="18">
        <v>45.0</v>
      </c>
      <c r="B46" s="18" t="s">
        <v>105</v>
      </c>
      <c r="C46" s="19" t="s">
        <v>107</v>
      </c>
      <c r="D46" s="49"/>
      <c r="E46" s="21">
        <v>1.0</v>
      </c>
      <c r="F46" s="22">
        <f>Andrew!D46</f>
        <v>0.5</v>
      </c>
      <c r="G46" s="26">
        <f>Bruce!D46</f>
        <v>0.7</v>
      </c>
      <c r="H46" s="22">
        <f>Christine!D46</f>
        <v>0.5</v>
      </c>
      <c r="I46" s="26">
        <f>Eileen!D46</f>
        <v>0.5</v>
      </c>
      <c r="J46" s="22">
        <f>Iain!D46</f>
        <v>0.6</v>
      </c>
      <c r="K46" s="26">
        <f>Gael!D46</f>
        <v>0.6</v>
      </c>
      <c r="L46" s="22">
        <f>Jac!D46</f>
        <v>0.8</v>
      </c>
      <c r="M46" s="26">
        <f>James!D46</f>
        <v>0.5</v>
      </c>
      <c r="N46" s="22">
        <f>Kate!D46</f>
        <v>0.6</v>
      </c>
      <c r="O46" s="26">
        <f>Lachy!D46</f>
        <v>0.5</v>
      </c>
      <c r="P46" s="22">
        <f>Pete!D46</f>
        <v>0.1</v>
      </c>
      <c r="Q46" s="26">
        <f>Rohan!D46</f>
        <v>0.5</v>
      </c>
      <c r="R46" s="22">
        <f t="shared" si="27"/>
        <v>0</v>
      </c>
      <c r="S46" s="22">
        <f t="shared" ref="S46:AC46" si="164">IF($E46=1,(LOG(G46,2)+1),IF($E46=0,(LOG(1-G46,2)+1),""))</f>
        <v>0.4854268272</v>
      </c>
      <c r="T46" s="22">
        <f t="shared" si="164"/>
        <v>0</v>
      </c>
      <c r="U46" s="22">
        <f t="shared" si="164"/>
        <v>0</v>
      </c>
      <c r="V46" s="22">
        <f t="shared" si="164"/>
        <v>0.2630344058</v>
      </c>
      <c r="W46" s="22">
        <f t="shared" si="164"/>
        <v>0.2630344058</v>
      </c>
      <c r="X46" s="22">
        <f t="shared" si="164"/>
        <v>0.6780719051</v>
      </c>
      <c r="Y46" s="22">
        <f t="shared" si="164"/>
        <v>0</v>
      </c>
      <c r="Z46" s="22">
        <f t="shared" si="164"/>
        <v>0.2630344058</v>
      </c>
      <c r="AA46" s="22">
        <f t="shared" si="164"/>
        <v>0</v>
      </c>
      <c r="AB46" s="22">
        <f t="shared" si="164"/>
        <v>-2.321928095</v>
      </c>
      <c r="AC46" s="22">
        <f t="shared" si="164"/>
        <v>0</v>
      </c>
      <c r="AD46" s="41"/>
      <c r="AE46" s="31">
        <f t="shared" si="6"/>
        <v>8.147204925</v>
      </c>
      <c r="AF46" s="31">
        <f t="shared" si="7"/>
        <v>0.5333333333</v>
      </c>
      <c r="AG46" s="31">
        <f t="shared" si="8"/>
        <v>0.02787878788</v>
      </c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2" t="str">
        <f t="shared" ref="AT46:BE46" si="165">IF(F46=MIN($F46:$Q46),"Yes","")</f>
        <v/>
      </c>
      <c r="AU46" s="32" t="str">
        <f t="shared" si="165"/>
        <v/>
      </c>
      <c r="AV46" s="32" t="str">
        <f t="shared" si="165"/>
        <v/>
      </c>
      <c r="AW46" s="32" t="str">
        <f t="shared" si="165"/>
        <v/>
      </c>
      <c r="AX46" s="32" t="str">
        <f t="shared" si="165"/>
        <v/>
      </c>
      <c r="AY46" s="32" t="str">
        <f t="shared" si="165"/>
        <v/>
      </c>
      <c r="AZ46" s="32" t="str">
        <f t="shared" si="165"/>
        <v/>
      </c>
      <c r="BA46" s="32" t="str">
        <f t="shared" si="165"/>
        <v/>
      </c>
      <c r="BB46" s="32" t="str">
        <f t="shared" si="165"/>
        <v/>
      </c>
      <c r="BC46" s="32" t="str">
        <f t="shared" si="165"/>
        <v/>
      </c>
      <c r="BD46" s="32" t="str">
        <f t="shared" si="165"/>
        <v>Yes</v>
      </c>
      <c r="BE46" s="32" t="str">
        <f t="shared" si="165"/>
        <v/>
      </c>
      <c r="BF46" s="32" t="str">
        <f t="shared" ref="BF46:BQ46" si="166">IF(F46=MAX($F46:$Q46),"Yes","")</f>
        <v/>
      </c>
      <c r="BG46" s="32" t="str">
        <f t="shared" si="166"/>
        <v/>
      </c>
      <c r="BH46" s="32" t="str">
        <f t="shared" si="166"/>
        <v/>
      </c>
      <c r="BI46" s="32" t="str">
        <f t="shared" si="166"/>
        <v/>
      </c>
      <c r="BJ46" s="32" t="str">
        <f t="shared" si="166"/>
        <v/>
      </c>
      <c r="BK46" s="32" t="str">
        <f t="shared" si="166"/>
        <v/>
      </c>
      <c r="BL46" s="32" t="str">
        <f t="shared" si="166"/>
        <v>Yes</v>
      </c>
      <c r="BM46" s="32" t="str">
        <f t="shared" si="166"/>
        <v/>
      </c>
      <c r="BN46" s="32" t="str">
        <f t="shared" si="166"/>
        <v/>
      </c>
      <c r="BO46" s="32" t="str">
        <f t="shared" si="166"/>
        <v/>
      </c>
      <c r="BP46" s="32" t="str">
        <f t="shared" si="166"/>
        <v/>
      </c>
      <c r="BQ46" s="32" t="str">
        <f t="shared" si="166"/>
        <v/>
      </c>
      <c r="BR46" s="32" t="str">
        <f t="shared" si="11"/>
        <v/>
      </c>
      <c r="BS46" s="32" t="str">
        <f t="shared" si="12"/>
        <v/>
      </c>
      <c r="BT46" s="32"/>
      <c r="BU46" s="32"/>
      <c r="BV46" s="32"/>
      <c r="BW46" s="33">
        <f t="shared" si="13"/>
        <v>0</v>
      </c>
      <c r="BX46" s="33">
        <f t="shared" si="14"/>
        <v>0</v>
      </c>
      <c r="BY46" s="34" t="str">
        <f t="shared" si="15"/>
        <v/>
      </c>
      <c r="BZ46" s="33">
        <f t="shared" si="16"/>
        <v>0</v>
      </c>
      <c r="CA46" s="33">
        <f t="shared" si="17"/>
        <v>0</v>
      </c>
      <c r="CB46" s="34" t="str">
        <f t="shared" si="18"/>
        <v/>
      </c>
      <c r="CC46" s="35"/>
      <c r="CD46" s="33"/>
      <c r="CE46" s="34"/>
      <c r="CF46" s="33"/>
      <c r="CG46" s="33"/>
      <c r="CH46" s="34"/>
      <c r="CI46" s="33"/>
      <c r="CJ46" s="33"/>
      <c r="CK46" s="34"/>
    </row>
    <row r="47" ht="12.75" customHeight="1">
      <c r="A47" s="36">
        <v>46.0</v>
      </c>
      <c r="B47" s="36" t="s">
        <v>105</v>
      </c>
      <c r="C47" s="37" t="s">
        <v>108</v>
      </c>
      <c r="D47" s="38"/>
      <c r="E47" s="39">
        <v>0.0</v>
      </c>
      <c r="F47" s="31">
        <f>Andrew!D47</f>
        <v>0.5</v>
      </c>
      <c r="G47" s="31">
        <f>Bruce!D47</f>
        <v>0.25</v>
      </c>
      <c r="H47" s="31">
        <f>Christine!D47</f>
        <v>0.7</v>
      </c>
      <c r="I47" s="31">
        <f>Eileen!D47</f>
        <v>0.5</v>
      </c>
      <c r="J47" s="31">
        <f>Iain!D47</f>
        <v>0.7</v>
      </c>
      <c r="K47" s="31">
        <f>Gael!D47</f>
        <v>0.7</v>
      </c>
      <c r="L47" s="31">
        <f>Jac!D47</f>
        <v>0.1</v>
      </c>
      <c r="M47" s="31">
        <f>James!D47</f>
        <v>0.7</v>
      </c>
      <c r="N47" s="31">
        <f>Kate!D47</f>
        <v>0.2</v>
      </c>
      <c r="O47" s="31">
        <f>Lachy!D47</f>
        <v>0.35</v>
      </c>
      <c r="P47" s="31">
        <f>Pete!D47</f>
        <v>0.5</v>
      </c>
      <c r="Q47" s="31">
        <f>Rohan!D47</f>
        <v>0.5</v>
      </c>
      <c r="R47" s="31">
        <f t="shared" si="27"/>
        <v>0</v>
      </c>
      <c r="S47" s="31">
        <f t="shared" ref="S47:AC47" si="167">IF($E47=1,(LOG(G47,2)+1),IF($E47=0,(LOG(1-G47,2)+1),""))</f>
        <v>0.5849625007</v>
      </c>
      <c r="T47" s="31">
        <f t="shared" si="167"/>
        <v>-0.7369655942</v>
      </c>
      <c r="U47" s="31">
        <f t="shared" si="167"/>
        <v>0</v>
      </c>
      <c r="V47" s="31">
        <f t="shared" si="167"/>
        <v>-0.7369655942</v>
      </c>
      <c r="W47" s="31">
        <f t="shared" si="167"/>
        <v>-0.7369655942</v>
      </c>
      <c r="X47" s="31">
        <f t="shared" si="167"/>
        <v>0.8479969066</v>
      </c>
      <c r="Y47" s="31">
        <f t="shared" si="167"/>
        <v>-0.7369655942</v>
      </c>
      <c r="Z47" s="31">
        <f t="shared" si="167"/>
        <v>0.6780719051</v>
      </c>
      <c r="AA47" s="31">
        <f t="shared" si="167"/>
        <v>0.3785116233</v>
      </c>
      <c r="AB47" s="31">
        <f t="shared" si="167"/>
        <v>0</v>
      </c>
      <c r="AC47" s="31">
        <f t="shared" si="167"/>
        <v>0</v>
      </c>
      <c r="AD47" s="41"/>
      <c r="AE47" s="31">
        <f t="shared" si="6"/>
        <v>12.53754198</v>
      </c>
      <c r="AF47" s="31">
        <f t="shared" si="7"/>
        <v>0.475</v>
      </c>
      <c r="AG47" s="31">
        <f t="shared" si="8"/>
        <v>0.04431818182</v>
      </c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2" t="str">
        <f t="shared" ref="AT47:BE47" si="168">IF(F47=MIN($F47:$Q47),"Yes","")</f>
        <v/>
      </c>
      <c r="AU47" s="32" t="str">
        <f t="shared" si="168"/>
        <v/>
      </c>
      <c r="AV47" s="32" t="str">
        <f t="shared" si="168"/>
        <v/>
      </c>
      <c r="AW47" s="32" t="str">
        <f t="shared" si="168"/>
        <v/>
      </c>
      <c r="AX47" s="32" t="str">
        <f t="shared" si="168"/>
        <v/>
      </c>
      <c r="AY47" s="32" t="str">
        <f t="shared" si="168"/>
        <v/>
      </c>
      <c r="AZ47" s="32" t="str">
        <f t="shared" si="168"/>
        <v>Yes</v>
      </c>
      <c r="BA47" s="32" t="str">
        <f t="shared" si="168"/>
        <v/>
      </c>
      <c r="BB47" s="32" t="str">
        <f t="shared" si="168"/>
        <v/>
      </c>
      <c r="BC47" s="32" t="str">
        <f t="shared" si="168"/>
        <v/>
      </c>
      <c r="BD47" s="32" t="str">
        <f t="shared" si="168"/>
        <v/>
      </c>
      <c r="BE47" s="32" t="str">
        <f t="shared" si="168"/>
        <v/>
      </c>
      <c r="BF47" s="32" t="str">
        <f t="shared" ref="BF47:BQ47" si="169">IF(F47=MAX($F47:$Q47),"Yes","")</f>
        <v/>
      </c>
      <c r="BG47" s="32" t="str">
        <f t="shared" si="169"/>
        <v/>
      </c>
      <c r="BH47" s="32" t="str">
        <f t="shared" si="169"/>
        <v>Yes</v>
      </c>
      <c r="BI47" s="32" t="str">
        <f t="shared" si="169"/>
        <v/>
      </c>
      <c r="BJ47" s="32" t="str">
        <f t="shared" si="169"/>
        <v>Yes</v>
      </c>
      <c r="BK47" s="32" t="str">
        <f t="shared" si="169"/>
        <v>Yes</v>
      </c>
      <c r="BL47" s="32" t="str">
        <f t="shared" si="169"/>
        <v/>
      </c>
      <c r="BM47" s="32" t="str">
        <f t="shared" si="169"/>
        <v>Yes</v>
      </c>
      <c r="BN47" s="32" t="str">
        <f t="shared" si="169"/>
        <v/>
      </c>
      <c r="BO47" s="32" t="str">
        <f t="shared" si="169"/>
        <v/>
      </c>
      <c r="BP47" s="32" t="str">
        <f t="shared" si="169"/>
        <v/>
      </c>
      <c r="BQ47" s="32" t="str">
        <f t="shared" si="169"/>
        <v/>
      </c>
      <c r="BR47" s="32" t="str">
        <f t="shared" si="11"/>
        <v/>
      </c>
      <c r="BS47" s="32" t="str">
        <f t="shared" si="12"/>
        <v>Yes</v>
      </c>
      <c r="BT47" s="32"/>
      <c r="BU47" s="32"/>
      <c r="BV47" s="32"/>
      <c r="BW47" s="33">
        <f t="shared" si="13"/>
        <v>0</v>
      </c>
      <c r="BX47" s="33">
        <f t="shared" si="14"/>
        <v>0</v>
      </c>
      <c r="BY47" s="34" t="str">
        <f t="shared" si="15"/>
        <v/>
      </c>
      <c r="BZ47" s="33">
        <f t="shared" si="16"/>
        <v>-0.1</v>
      </c>
      <c r="CA47" s="33">
        <f t="shared" si="17"/>
        <v>0.7</v>
      </c>
      <c r="CB47" s="34">
        <f t="shared" si="18"/>
        <v>0.8</v>
      </c>
      <c r="CC47" s="35" t="s">
        <v>63</v>
      </c>
      <c r="CD47" s="33"/>
      <c r="CE47" s="34"/>
      <c r="CF47" s="33"/>
      <c r="CG47" s="33"/>
      <c r="CH47" s="34"/>
      <c r="CI47" s="33"/>
      <c r="CJ47" s="33"/>
      <c r="CK47" s="34"/>
    </row>
    <row r="48" ht="12.75" customHeight="1">
      <c r="A48" s="18">
        <v>47.0</v>
      </c>
      <c r="B48" s="18" t="s">
        <v>105</v>
      </c>
      <c r="C48" s="19" t="s">
        <v>109</v>
      </c>
      <c r="D48" s="49"/>
      <c r="E48" s="21">
        <v>0.0</v>
      </c>
      <c r="F48" s="22">
        <f>Andrew!D48</f>
        <v>0.5</v>
      </c>
      <c r="G48" s="26">
        <f>Bruce!D48</f>
        <v>0.8</v>
      </c>
      <c r="H48" s="22">
        <f>Christine!D48</f>
        <v>0.7</v>
      </c>
      <c r="I48" s="26">
        <f>Eileen!D48</f>
        <v>0.5</v>
      </c>
      <c r="J48" s="22">
        <f>Iain!D48</f>
        <v>0.8</v>
      </c>
      <c r="K48" s="26">
        <f>Gael!D48</f>
        <v>0.85</v>
      </c>
      <c r="L48" s="22">
        <f>Jac!D48</f>
        <v>0.5</v>
      </c>
      <c r="M48" s="26">
        <f>James!D48</f>
        <v>0.7</v>
      </c>
      <c r="N48" s="22">
        <f>Kate!D48</f>
        <v>0.7</v>
      </c>
      <c r="O48" s="26">
        <f>Lachy!D48</f>
        <v>0.35</v>
      </c>
      <c r="P48" s="22">
        <f>Pete!D48</f>
        <v>0.5</v>
      </c>
      <c r="Q48" s="26">
        <f>Rohan!D48</f>
        <v>0.4</v>
      </c>
      <c r="R48" s="22">
        <f t="shared" si="27"/>
        <v>0</v>
      </c>
      <c r="S48" s="22">
        <f t="shared" ref="S48:AC48" si="170">IF($E48=1,(LOG(G48,2)+1),IF($E48=0,(LOG(1-G48,2)+1),""))</f>
        <v>-1.321928095</v>
      </c>
      <c r="T48" s="22">
        <f t="shared" si="170"/>
        <v>-0.7369655942</v>
      </c>
      <c r="U48" s="22">
        <f t="shared" si="170"/>
        <v>0</v>
      </c>
      <c r="V48" s="22">
        <f t="shared" si="170"/>
        <v>-1.321928095</v>
      </c>
      <c r="W48" s="22">
        <f t="shared" si="170"/>
        <v>-1.736965594</v>
      </c>
      <c r="X48" s="22">
        <f t="shared" si="170"/>
        <v>0</v>
      </c>
      <c r="Y48" s="22">
        <f t="shared" si="170"/>
        <v>-0.7369655942</v>
      </c>
      <c r="Z48" s="22">
        <f t="shared" si="170"/>
        <v>-0.7369655942</v>
      </c>
      <c r="AA48" s="22">
        <f t="shared" si="170"/>
        <v>0.3785116233</v>
      </c>
      <c r="AB48" s="22">
        <f t="shared" si="170"/>
        <v>0</v>
      </c>
      <c r="AC48" s="22">
        <f t="shared" si="170"/>
        <v>0.2630344058</v>
      </c>
      <c r="AD48" s="41"/>
      <c r="AE48" s="31">
        <f t="shared" si="6"/>
        <v>11.6477249</v>
      </c>
      <c r="AF48" s="31">
        <f t="shared" si="7"/>
        <v>0.6083333333</v>
      </c>
      <c r="AG48" s="31">
        <f t="shared" si="8"/>
        <v>0.02856060606</v>
      </c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2" t="str">
        <f t="shared" ref="AT48:BE48" si="171">IF(F48=MIN($F48:$Q48),"Yes","")</f>
        <v/>
      </c>
      <c r="AU48" s="32" t="str">
        <f t="shared" si="171"/>
        <v/>
      </c>
      <c r="AV48" s="32" t="str">
        <f t="shared" si="171"/>
        <v/>
      </c>
      <c r="AW48" s="32" t="str">
        <f t="shared" si="171"/>
        <v/>
      </c>
      <c r="AX48" s="32" t="str">
        <f t="shared" si="171"/>
        <v/>
      </c>
      <c r="AY48" s="32" t="str">
        <f t="shared" si="171"/>
        <v/>
      </c>
      <c r="AZ48" s="32" t="str">
        <f t="shared" si="171"/>
        <v/>
      </c>
      <c r="BA48" s="32" t="str">
        <f t="shared" si="171"/>
        <v/>
      </c>
      <c r="BB48" s="32" t="str">
        <f t="shared" si="171"/>
        <v/>
      </c>
      <c r="BC48" s="32" t="str">
        <f t="shared" si="171"/>
        <v>Yes</v>
      </c>
      <c r="BD48" s="32" t="str">
        <f t="shared" si="171"/>
        <v/>
      </c>
      <c r="BE48" s="32" t="str">
        <f t="shared" si="171"/>
        <v/>
      </c>
      <c r="BF48" s="32" t="str">
        <f t="shared" ref="BF48:BQ48" si="172">IF(F48=MAX($F48:$Q48),"Yes","")</f>
        <v/>
      </c>
      <c r="BG48" s="32" t="str">
        <f t="shared" si="172"/>
        <v/>
      </c>
      <c r="BH48" s="32" t="str">
        <f t="shared" si="172"/>
        <v/>
      </c>
      <c r="BI48" s="32" t="str">
        <f t="shared" si="172"/>
        <v/>
      </c>
      <c r="BJ48" s="32" t="str">
        <f t="shared" si="172"/>
        <v/>
      </c>
      <c r="BK48" s="32" t="str">
        <f t="shared" si="172"/>
        <v>Yes</v>
      </c>
      <c r="BL48" s="32" t="str">
        <f t="shared" si="172"/>
        <v/>
      </c>
      <c r="BM48" s="32" t="str">
        <f t="shared" si="172"/>
        <v/>
      </c>
      <c r="BN48" s="32" t="str">
        <f t="shared" si="172"/>
        <v/>
      </c>
      <c r="BO48" s="32" t="str">
        <f t="shared" si="172"/>
        <v/>
      </c>
      <c r="BP48" s="32" t="str">
        <f t="shared" si="172"/>
        <v/>
      </c>
      <c r="BQ48" s="32" t="str">
        <f t="shared" si="172"/>
        <v/>
      </c>
      <c r="BR48" s="32" t="str">
        <f t="shared" si="11"/>
        <v/>
      </c>
      <c r="BS48" s="32" t="str">
        <f t="shared" si="12"/>
        <v/>
      </c>
      <c r="BT48" s="32"/>
      <c r="BU48" s="32"/>
      <c r="BV48" s="32"/>
      <c r="BW48" s="33">
        <f t="shared" si="13"/>
        <v>0</v>
      </c>
      <c r="BX48" s="33">
        <f t="shared" si="14"/>
        <v>0</v>
      </c>
      <c r="BY48" s="34" t="str">
        <f t="shared" si="15"/>
        <v/>
      </c>
      <c r="BZ48" s="33">
        <f t="shared" si="16"/>
        <v>0</v>
      </c>
      <c r="CA48" s="33">
        <f t="shared" si="17"/>
        <v>0</v>
      </c>
      <c r="CB48" s="34" t="str">
        <f t="shared" si="18"/>
        <v/>
      </c>
      <c r="CC48" s="35" t="s">
        <v>63</v>
      </c>
      <c r="CD48" s="33"/>
      <c r="CE48" s="34"/>
      <c r="CF48" s="33"/>
      <c r="CG48" s="33"/>
      <c r="CH48" s="34"/>
      <c r="CI48" s="33"/>
      <c r="CJ48" s="33"/>
      <c r="CK48" s="34"/>
    </row>
    <row r="49" ht="12.75" customHeight="1">
      <c r="A49" s="36">
        <v>48.0</v>
      </c>
      <c r="B49" s="36" t="s">
        <v>105</v>
      </c>
      <c r="C49" s="37" t="s">
        <v>110</v>
      </c>
      <c r="D49" s="38"/>
      <c r="E49" s="39">
        <v>0.0</v>
      </c>
      <c r="F49" s="31">
        <f>Andrew!D49</f>
        <v>0.5</v>
      </c>
      <c r="G49" s="31">
        <f>Bruce!D49</f>
        <v>0.25</v>
      </c>
      <c r="H49" s="31">
        <f>Christine!D49</f>
        <v>0.1</v>
      </c>
      <c r="I49" s="31">
        <f>Eileen!D49</f>
        <v>0.5</v>
      </c>
      <c r="J49" s="31">
        <f>Iain!D49</f>
        <v>0.5</v>
      </c>
      <c r="K49" s="31">
        <f>Gael!D49</f>
        <v>0.65</v>
      </c>
      <c r="L49" s="31">
        <f>Jac!D49</f>
        <v>0.6</v>
      </c>
      <c r="M49" s="31">
        <f>James!D49</f>
        <v>0.1</v>
      </c>
      <c r="N49" s="31">
        <f>Kate!D49</f>
        <v>0.5</v>
      </c>
      <c r="O49" s="40">
        <f>Lachy!D49</f>
        <v>0.001</v>
      </c>
      <c r="P49" s="31">
        <f>Pete!D49</f>
        <v>0.5</v>
      </c>
      <c r="Q49" s="31">
        <f>Rohan!D49</f>
        <v>0.5</v>
      </c>
      <c r="R49" s="31">
        <f t="shared" si="27"/>
        <v>0</v>
      </c>
      <c r="S49" s="31">
        <f t="shared" ref="S49:AC49" si="173">IF($E49=1,(LOG(G49,2)+1),IF($E49=0,(LOG(1-G49,2)+1),""))</f>
        <v>0.5849625007</v>
      </c>
      <c r="T49" s="31">
        <f t="shared" si="173"/>
        <v>0.8479969066</v>
      </c>
      <c r="U49" s="31">
        <f t="shared" si="173"/>
        <v>0</v>
      </c>
      <c r="V49" s="31">
        <f t="shared" si="173"/>
        <v>0</v>
      </c>
      <c r="W49" s="31">
        <f t="shared" si="173"/>
        <v>-0.5145731728</v>
      </c>
      <c r="X49" s="31">
        <f t="shared" si="173"/>
        <v>-0.3219280949</v>
      </c>
      <c r="Y49" s="31">
        <f t="shared" si="173"/>
        <v>0.8479969066</v>
      </c>
      <c r="Z49" s="31">
        <f t="shared" si="173"/>
        <v>0</v>
      </c>
      <c r="AA49" s="31">
        <f t="shared" si="173"/>
        <v>0.9985565831</v>
      </c>
      <c r="AB49" s="31">
        <f t="shared" si="173"/>
        <v>0</v>
      </c>
      <c r="AC49" s="31">
        <f t="shared" si="173"/>
        <v>0</v>
      </c>
      <c r="AD49" s="41"/>
      <c r="AE49" s="31">
        <f t="shared" si="6"/>
        <v>19.36720067</v>
      </c>
      <c r="AF49" s="31">
        <f t="shared" si="7"/>
        <v>0.39175</v>
      </c>
      <c r="AG49" s="31">
        <f t="shared" si="8"/>
        <v>0.04758038636</v>
      </c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2" t="str">
        <f t="shared" ref="AT49:BE49" si="174">IF(F49=MIN($F49:$Q49),"Yes","")</f>
        <v/>
      </c>
      <c r="AU49" s="32" t="str">
        <f t="shared" si="174"/>
        <v/>
      </c>
      <c r="AV49" s="32" t="str">
        <f t="shared" si="174"/>
        <v/>
      </c>
      <c r="AW49" s="32" t="str">
        <f t="shared" si="174"/>
        <v/>
      </c>
      <c r="AX49" s="32" t="str">
        <f t="shared" si="174"/>
        <v/>
      </c>
      <c r="AY49" s="32" t="str">
        <f t="shared" si="174"/>
        <v/>
      </c>
      <c r="AZ49" s="32" t="str">
        <f t="shared" si="174"/>
        <v/>
      </c>
      <c r="BA49" s="32" t="str">
        <f t="shared" si="174"/>
        <v/>
      </c>
      <c r="BB49" s="32" t="str">
        <f t="shared" si="174"/>
        <v/>
      </c>
      <c r="BC49" s="32" t="str">
        <f t="shared" si="174"/>
        <v>Yes</v>
      </c>
      <c r="BD49" s="32" t="str">
        <f t="shared" si="174"/>
        <v/>
      </c>
      <c r="BE49" s="32" t="str">
        <f t="shared" si="174"/>
        <v/>
      </c>
      <c r="BF49" s="32" t="str">
        <f t="shared" ref="BF49:BQ49" si="175">IF(F49=MAX($F49:$Q49),"Yes","")</f>
        <v/>
      </c>
      <c r="BG49" s="32" t="str">
        <f t="shared" si="175"/>
        <v/>
      </c>
      <c r="BH49" s="32" t="str">
        <f t="shared" si="175"/>
        <v/>
      </c>
      <c r="BI49" s="32" t="str">
        <f t="shared" si="175"/>
        <v/>
      </c>
      <c r="BJ49" s="32" t="str">
        <f t="shared" si="175"/>
        <v/>
      </c>
      <c r="BK49" s="32" t="str">
        <f t="shared" si="175"/>
        <v>Yes</v>
      </c>
      <c r="BL49" s="32" t="str">
        <f t="shared" si="175"/>
        <v/>
      </c>
      <c r="BM49" s="32" t="str">
        <f t="shared" si="175"/>
        <v/>
      </c>
      <c r="BN49" s="32" t="str">
        <f t="shared" si="175"/>
        <v/>
      </c>
      <c r="BO49" s="32" t="str">
        <f t="shared" si="175"/>
        <v/>
      </c>
      <c r="BP49" s="32" t="str">
        <f t="shared" si="175"/>
        <v/>
      </c>
      <c r="BQ49" s="32" t="str">
        <f t="shared" si="175"/>
        <v/>
      </c>
      <c r="BR49" s="32" t="str">
        <f t="shared" si="11"/>
        <v/>
      </c>
      <c r="BS49" s="32" t="str">
        <f t="shared" si="12"/>
        <v>Yes</v>
      </c>
      <c r="BT49" s="32"/>
      <c r="BU49" s="32"/>
      <c r="BV49" s="32"/>
      <c r="BW49" s="33">
        <f t="shared" si="13"/>
        <v>0</v>
      </c>
      <c r="BX49" s="33">
        <f t="shared" si="14"/>
        <v>0</v>
      </c>
      <c r="BY49" s="34" t="str">
        <f t="shared" si="15"/>
        <v/>
      </c>
      <c r="BZ49" s="33">
        <f t="shared" si="16"/>
        <v>-0.6</v>
      </c>
      <c r="CA49" s="33">
        <f t="shared" si="17"/>
        <v>0.1</v>
      </c>
      <c r="CB49" s="34">
        <f t="shared" si="18"/>
        <v>0.7</v>
      </c>
      <c r="CC49" s="35"/>
      <c r="CD49" s="33"/>
      <c r="CE49" s="34"/>
      <c r="CF49" s="33"/>
      <c r="CG49" s="33"/>
      <c r="CH49" s="34"/>
      <c r="CI49" s="33"/>
      <c r="CJ49" s="33"/>
      <c r="CK49" s="34"/>
    </row>
    <row r="50" ht="12.75" customHeight="1">
      <c r="A50" s="18">
        <v>49.0</v>
      </c>
      <c r="B50" s="18" t="s">
        <v>105</v>
      </c>
      <c r="C50" s="55" t="s">
        <v>111</v>
      </c>
      <c r="D50" s="49"/>
      <c r="E50" s="21">
        <v>0.0</v>
      </c>
      <c r="F50" s="56">
        <f>Andrew!D50</f>
        <v>0.3</v>
      </c>
      <c r="G50" s="58">
        <f>Bruce!D50</f>
        <v>0.45</v>
      </c>
      <c r="H50" s="56">
        <f>Christine!D50</f>
        <v>0.95</v>
      </c>
      <c r="I50" s="58">
        <f>Eileen!D50</f>
        <v>0.3</v>
      </c>
      <c r="J50" s="56">
        <f>Iain!D50</f>
        <v>0.8</v>
      </c>
      <c r="K50" s="58">
        <f>Gael!D50</f>
        <v>0.82</v>
      </c>
      <c r="L50" s="56">
        <f>Jac!D50</f>
        <v>0.2</v>
      </c>
      <c r="M50" s="58">
        <f>James!D50</f>
        <v>0.95</v>
      </c>
      <c r="N50" s="56">
        <f>Kate!D50</f>
        <v>0.3</v>
      </c>
      <c r="O50" s="58">
        <f>Lachy!D50</f>
        <v>0.15</v>
      </c>
      <c r="P50" s="56">
        <f>Pete!D50</f>
        <v>0.6</v>
      </c>
      <c r="Q50" s="58">
        <f>Rohan!D50</f>
        <v>0.4</v>
      </c>
      <c r="R50" s="22">
        <f t="shared" si="27"/>
        <v>0.4854268272</v>
      </c>
      <c r="S50" s="22">
        <f t="shared" ref="S50:AC50" si="176">IF($E50=1,(LOG(G50,2)+1),IF($E50=0,(LOG(1-G50,2)+1),""))</f>
        <v>0.1375035237</v>
      </c>
      <c r="T50" s="22">
        <f t="shared" si="176"/>
        <v>-3.321928095</v>
      </c>
      <c r="U50" s="22">
        <f t="shared" si="176"/>
        <v>0.4854268272</v>
      </c>
      <c r="V50" s="22">
        <f t="shared" si="176"/>
        <v>-1.321928095</v>
      </c>
      <c r="W50" s="22">
        <f t="shared" si="176"/>
        <v>-1.473931188</v>
      </c>
      <c r="X50" s="22">
        <f t="shared" si="176"/>
        <v>0.6780719051</v>
      </c>
      <c r="Y50" s="22">
        <f t="shared" si="176"/>
        <v>-3.321928095</v>
      </c>
      <c r="Z50" s="22">
        <f t="shared" si="176"/>
        <v>0.4854268272</v>
      </c>
      <c r="AA50" s="22">
        <f t="shared" si="176"/>
        <v>0.7655347464</v>
      </c>
      <c r="AB50" s="22">
        <f t="shared" si="176"/>
        <v>-0.3219280949</v>
      </c>
      <c r="AC50" s="22">
        <f t="shared" si="176"/>
        <v>0.2630344058</v>
      </c>
      <c r="AD50" s="41"/>
      <c r="AE50" s="31">
        <f t="shared" si="6"/>
        <v>19.86780641</v>
      </c>
      <c r="AF50" s="31">
        <f t="shared" si="7"/>
        <v>0.5183333333</v>
      </c>
      <c r="AG50" s="31">
        <f t="shared" si="8"/>
        <v>0.08621515152</v>
      </c>
      <c r="AH50" s="46" t="str">
        <f t="shared" ref="AH50:AS50" si="177">IF(F50=MIN($F50:$Q50),LOG(1-F50,2)+1,IF(F50=MAX($F50:$Q50),LOG(F50,2)+1,""))</f>
        <v/>
      </c>
      <c r="AI50" s="46" t="str">
        <f t="shared" si="177"/>
        <v/>
      </c>
      <c r="AJ50" s="46">
        <f t="shared" si="177"/>
        <v>0.9259994186</v>
      </c>
      <c r="AK50" s="46" t="str">
        <f t="shared" si="177"/>
        <v/>
      </c>
      <c r="AL50" s="46" t="str">
        <f t="shared" si="177"/>
        <v/>
      </c>
      <c r="AM50" s="46" t="str">
        <f t="shared" si="177"/>
        <v/>
      </c>
      <c r="AN50" s="46" t="str">
        <f t="shared" si="177"/>
        <v/>
      </c>
      <c r="AO50" s="46">
        <f t="shared" si="177"/>
        <v>0.9259994186</v>
      </c>
      <c r="AP50" s="46" t="str">
        <f t="shared" si="177"/>
        <v/>
      </c>
      <c r="AQ50" s="46">
        <f t="shared" si="177"/>
        <v>0.7655347464</v>
      </c>
      <c r="AR50" s="46" t="str">
        <f t="shared" si="177"/>
        <v/>
      </c>
      <c r="AS50" s="46" t="str">
        <f t="shared" si="177"/>
        <v/>
      </c>
      <c r="AT50" s="32" t="str">
        <f t="shared" ref="AT50:BE50" si="178">IF(F50=MIN($F50:$Q50),"Yes","")</f>
        <v/>
      </c>
      <c r="AU50" s="32" t="str">
        <f t="shared" si="178"/>
        <v/>
      </c>
      <c r="AV50" s="32" t="str">
        <f t="shared" si="178"/>
        <v/>
      </c>
      <c r="AW50" s="32" t="str">
        <f t="shared" si="178"/>
        <v/>
      </c>
      <c r="AX50" s="32" t="str">
        <f t="shared" si="178"/>
        <v/>
      </c>
      <c r="AY50" s="32" t="str">
        <f t="shared" si="178"/>
        <v/>
      </c>
      <c r="AZ50" s="32" t="str">
        <f t="shared" si="178"/>
        <v/>
      </c>
      <c r="BA50" s="32" t="str">
        <f t="shared" si="178"/>
        <v/>
      </c>
      <c r="BB50" s="32" t="str">
        <f t="shared" si="178"/>
        <v/>
      </c>
      <c r="BC50" s="32" t="str">
        <f t="shared" si="178"/>
        <v>Yes</v>
      </c>
      <c r="BD50" s="32" t="str">
        <f t="shared" si="178"/>
        <v/>
      </c>
      <c r="BE50" s="32" t="str">
        <f t="shared" si="178"/>
        <v/>
      </c>
      <c r="BF50" s="32" t="str">
        <f t="shared" ref="BF50:BQ50" si="179">IF(F50=MAX($F50:$Q50),"Yes","")</f>
        <v/>
      </c>
      <c r="BG50" s="32" t="str">
        <f t="shared" si="179"/>
        <v/>
      </c>
      <c r="BH50" s="32" t="str">
        <f t="shared" si="179"/>
        <v>Yes</v>
      </c>
      <c r="BI50" s="32" t="str">
        <f t="shared" si="179"/>
        <v/>
      </c>
      <c r="BJ50" s="32" t="str">
        <f t="shared" si="179"/>
        <v/>
      </c>
      <c r="BK50" s="32" t="str">
        <f t="shared" si="179"/>
        <v/>
      </c>
      <c r="BL50" s="32" t="str">
        <f t="shared" si="179"/>
        <v/>
      </c>
      <c r="BM50" s="32" t="str">
        <f t="shared" si="179"/>
        <v>Yes</v>
      </c>
      <c r="BN50" s="32" t="str">
        <f t="shared" si="179"/>
        <v/>
      </c>
      <c r="BO50" s="32" t="str">
        <f t="shared" si="179"/>
        <v/>
      </c>
      <c r="BP50" s="32" t="str">
        <f t="shared" si="179"/>
        <v/>
      </c>
      <c r="BQ50" s="32" t="str">
        <f t="shared" si="179"/>
        <v/>
      </c>
      <c r="BR50" s="32" t="str">
        <f t="shared" si="11"/>
        <v/>
      </c>
      <c r="BS50" s="32" t="str">
        <f t="shared" si="12"/>
        <v>Yes</v>
      </c>
      <c r="BT50" s="32"/>
      <c r="BU50" s="32"/>
      <c r="BV50" s="32"/>
      <c r="BW50" s="33">
        <f t="shared" si="13"/>
        <v>0</v>
      </c>
      <c r="BX50" s="33">
        <f t="shared" si="14"/>
        <v>0</v>
      </c>
      <c r="BY50" s="34" t="str">
        <f t="shared" si="15"/>
        <v/>
      </c>
      <c r="BZ50" s="33">
        <f t="shared" si="16"/>
        <v>-0.2</v>
      </c>
      <c r="CA50" s="33">
        <f t="shared" si="17"/>
        <v>0.95</v>
      </c>
      <c r="CB50" s="34">
        <f t="shared" si="18"/>
        <v>1.15</v>
      </c>
      <c r="CC50" s="35" t="s">
        <v>63</v>
      </c>
      <c r="CD50" s="33"/>
      <c r="CE50" s="34"/>
      <c r="CF50" s="33"/>
      <c r="CG50" s="33"/>
      <c r="CH50" s="34"/>
      <c r="CI50" s="33"/>
      <c r="CJ50" s="33"/>
      <c r="CK50" s="34"/>
    </row>
    <row r="51" ht="12.75" customHeight="1">
      <c r="A51" s="36">
        <v>50.0</v>
      </c>
      <c r="B51" s="36" t="s">
        <v>105</v>
      </c>
      <c r="C51" s="37" t="s">
        <v>112</v>
      </c>
      <c r="D51" s="38"/>
      <c r="E51" s="39">
        <v>0.0</v>
      </c>
      <c r="F51" s="31">
        <f>Andrew!D51</f>
        <v>0.6</v>
      </c>
      <c r="G51" s="31">
        <f>Bruce!D51</f>
        <v>0.51</v>
      </c>
      <c r="H51" s="31">
        <f>Christine!D51</f>
        <v>0.7</v>
      </c>
      <c r="I51" s="31">
        <f>Eileen!D51</f>
        <v>0.8</v>
      </c>
      <c r="J51" s="31">
        <f>Iain!D51</f>
        <v>0.2</v>
      </c>
      <c r="K51" s="31">
        <f>Gael!D51</f>
        <v>0.75</v>
      </c>
      <c r="L51" s="31">
        <f>Jac!D51</f>
        <v>0.5</v>
      </c>
      <c r="M51" s="31">
        <f>James!D51</f>
        <v>0.7</v>
      </c>
      <c r="N51" s="31">
        <f>Kate!D51</f>
        <v>0.8</v>
      </c>
      <c r="O51" s="31">
        <f>Lachy!D51</f>
        <v>0.65</v>
      </c>
      <c r="P51" s="31">
        <f>Pete!D51</f>
        <v>0.5</v>
      </c>
      <c r="Q51" s="31">
        <f>Rohan!D51</f>
        <v>0.8</v>
      </c>
      <c r="R51" s="31">
        <f t="shared" si="27"/>
        <v>-0.3219280949</v>
      </c>
      <c r="S51" s="31">
        <f t="shared" ref="S51:AC51" si="180">IF($E51=1,(LOG(G51,2)+1),IF($E51=0,(LOG(1-G51,2)+1),""))</f>
        <v>-0.02914634566</v>
      </c>
      <c r="T51" s="31">
        <f t="shared" si="180"/>
        <v>-0.7369655942</v>
      </c>
      <c r="U51" s="31">
        <f t="shared" si="180"/>
        <v>-1.321928095</v>
      </c>
      <c r="V51" s="31">
        <f t="shared" si="180"/>
        <v>0.6780719051</v>
      </c>
      <c r="W51" s="31">
        <f t="shared" si="180"/>
        <v>-1</v>
      </c>
      <c r="X51" s="31">
        <f t="shared" si="180"/>
        <v>0</v>
      </c>
      <c r="Y51" s="31">
        <f t="shared" si="180"/>
        <v>-0.7369655942</v>
      </c>
      <c r="Z51" s="31">
        <f t="shared" si="180"/>
        <v>-1.321928095</v>
      </c>
      <c r="AA51" s="31">
        <f t="shared" si="180"/>
        <v>-0.5145731728</v>
      </c>
      <c r="AB51" s="31">
        <f t="shared" si="180"/>
        <v>0</v>
      </c>
      <c r="AC51" s="31">
        <f t="shared" si="180"/>
        <v>-1.321928095</v>
      </c>
      <c r="AD51" s="41"/>
      <c r="AE51" s="31">
        <f t="shared" si="6"/>
        <v>13.56551014</v>
      </c>
      <c r="AF51" s="31">
        <f t="shared" si="7"/>
        <v>0.6258333333</v>
      </c>
      <c r="AG51" s="31">
        <f t="shared" si="8"/>
        <v>0.0313719697</v>
      </c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2" t="str">
        <f t="shared" ref="AT51:BE51" si="181">IF(F51=MIN($F51:$Q51),"Yes","")</f>
        <v/>
      </c>
      <c r="AU51" s="32" t="str">
        <f t="shared" si="181"/>
        <v/>
      </c>
      <c r="AV51" s="32" t="str">
        <f t="shared" si="181"/>
        <v/>
      </c>
      <c r="AW51" s="32" t="str">
        <f t="shared" si="181"/>
        <v/>
      </c>
      <c r="AX51" s="32" t="str">
        <f t="shared" si="181"/>
        <v>Yes</v>
      </c>
      <c r="AY51" s="32" t="str">
        <f t="shared" si="181"/>
        <v/>
      </c>
      <c r="AZ51" s="32" t="str">
        <f t="shared" si="181"/>
        <v/>
      </c>
      <c r="BA51" s="32" t="str">
        <f t="shared" si="181"/>
        <v/>
      </c>
      <c r="BB51" s="32" t="str">
        <f t="shared" si="181"/>
        <v/>
      </c>
      <c r="BC51" s="32" t="str">
        <f t="shared" si="181"/>
        <v/>
      </c>
      <c r="BD51" s="32" t="str">
        <f t="shared" si="181"/>
        <v/>
      </c>
      <c r="BE51" s="32" t="str">
        <f t="shared" si="181"/>
        <v/>
      </c>
      <c r="BF51" s="32" t="str">
        <f t="shared" ref="BF51:BQ51" si="182">IF(F51=MAX($F51:$Q51),"Yes","")</f>
        <v/>
      </c>
      <c r="BG51" s="32" t="str">
        <f t="shared" si="182"/>
        <v/>
      </c>
      <c r="BH51" s="32" t="str">
        <f t="shared" si="182"/>
        <v/>
      </c>
      <c r="BI51" s="32" t="str">
        <f t="shared" si="182"/>
        <v>Yes</v>
      </c>
      <c r="BJ51" s="32" t="str">
        <f t="shared" si="182"/>
        <v/>
      </c>
      <c r="BK51" s="32" t="str">
        <f t="shared" si="182"/>
        <v/>
      </c>
      <c r="BL51" s="32" t="str">
        <f t="shared" si="182"/>
        <v/>
      </c>
      <c r="BM51" s="32" t="str">
        <f t="shared" si="182"/>
        <v/>
      </c>
      <c r="BN51" s="32" t="str">
        <f t="shared" si="182"/>
        <v>Yes</v>
      </c>
      <c r="BO51" s="32" t="str">
        <f t="shared" si="182"/>
        <v/>
      </c>
      <c r="BP51" s="32" t="str">
        <f t="shared" si="182"/>
        <v/>
      </c>
      <c r="BQ51" s="32" t="str">
        <f t="shared" si="182"/>
        <v>Yes</v>
      </c>
      <c r="BR51" s="32" t="str">
        <f t="shared" si="11"/>
        <v/>
      </c>
      <c r="BS51" s="32" t="str">
        <f t="shared" si="12"/>
        <v/>
      </c>
      <c r="BT51" s="32"/>
      <c r="BU51" s="32"/>
      <c r="BV51" s="32"/>
      <c r="BW51" s="33">
        <f t="shared" si="13"/>
        <v>0</v>
      </c>
      <c r="BX51" s="33">
        <f t="shared" si="14"/>
        <v>0</v>
      </c>
      <c r="BY51" s="34" t="str">
        <f t="shared" si="15"/>
        <v/>
      </c>
      <c r="BZ51" s="33">
        <f t="shared" si="16"/>
        <v>0</v>
      </c>
      <c r="CA51" s="33">
        <f t="shared" si="17"/>
        <v>0</v>
      </c>
      <c r="CB51" s="34" t="str">
        <f t="shared" si="18"/>
        <v/>
      </c>
      <c r="CC51" s="35"/>
      <c r="CD51" s="33"/>
      <c r="CE51" s="34"/>
      <c r="CF51" s="33"/>
      <c r="CG51" s="33"/>
      <c r="CH51" s="34"/>
      <c r="CI51" s="33"/>
      <c r="CJ51" s="33"/>
      <c r="CK51" s="34"/>
    </row>
    <row r="52" ht="12.75" customHeight="1">
      <c r="A52" s="18">
        <v>51.0</v>
      </c>
      <c r="B52" s="18" t="s">
        <v>105</v>
      </c>
      <c r="C52" s="19" t="s">
        <v>113</v>
      </c>
      <c r="D52" s="49"/>
      <c r="E52" s="21">
        <v>0.0</v>
      </c>
      <c r="F52" s="22">
        <f>Andrew!D52</f>
        <v>0.4</v>
      </c>
      <c r="G52" s="26">
        <f>Bruce!D52</f>
        <v>0.25</v>
      </c>
      <c r="H52" s="22">
        <f>Christine!D52</f>
        <v>0.7</v>
      </c>
      <c r="I52" s="26">
        <f>Eileen!D52</f>
        <v>0.7</v>
      </c>
      <c r="J52" s="22">
        <f>Iain!D52</f>
        <v>0.5</v>
      </c>
      <c r="K52" s="26">
        <f>Gael!D52</f>
        <v>0.65</v>
      </c>
      <c r="L52" s="22">
        <f>Jac!D52</f>
        <v>0.3</v>
      </c>
      <c r="M52" s="26">
        <f>James!D52</f>
        <v>0.7</v>
      </c>
      <c r="N52" s="22">
        <f>Kate!D52</f>
        <v>0.4</v>
      </c>
      <c r="O52" s="26">
        <f>Lachy!D52</f>
        <v>0.65</v>
      </c>
      <c r="P52" s="22">
        <f>Pete!D52</f>
        <v>0.1</v>
      </c>
      <c r="Q52" s="26">
        <f>Rohan!D52</f>
        <v>0.5</v>
      </c>
      <c r="R52" s="22">
        <f t="shared" si="27"/>
        <v>0.2630344058</v>
      </c>
      <c r="S52" s="22">
        <f t="shared" ref="S52:AC52" si="183">IF($E52=1,(LOG(G52,2)+1),IF($E52=0,(LOG(1-G52,2)+1),""))</f>
        <v>0.5849625007</v>
      </c>
      <c r="T52" s="22">
        <f t="shared" si="183"/>
        <v>-0.7369655942</v>
      </c>
      <c r="U52" s="22">
        <f t="shared" si="183"/>
        <v>-0.7369655942</v>
      </c>
      <c r="V52" s="22">
        <f t="shared" si="183"/>
        <v>0</v>
      </c>
      <c r="W52" s="22">
        <f t="shared" si="183"/>
        <v>-0.5145731728</v>
      </c>
      <c r="X52" s="22">
        <f t="shared" si="183"/>
        <v>0.4854268272</v>
      </c>
      <c r="Y52" s="22">
        <f t="shared" si="183"/>
        <v>-0.7369655942</v>
      </c>
      <c r="Z52" s="22">
        <f t="shared" si="183"/>
        <v>0.2630344058</v>
      </c>
      <c r="AA52" s="22">
        <f t="shared" si="183"/>
        <v>-0.5145731728</v>
      </c>
      <c r="AB52" s="22">
        <f t="shared" si="183"/>
        <v>0.8479969066</v>
      </c>
      <c r="AC52" s="22">
        <f t="shared" si="183"/>
        <v>0</v>
      </c>
      <c r="AD52" s="41"/>
      <c r="AE52" s="31">
        <f t="shared" si="6"/>
        <v>11.43062678</v>
      </c>
      <c r="AF52" s="31">
        <f t="shared" si="7"/>
        <v>0.4875</v>
      </c>
      <c r="AG52" s="31">
        <f t="shared" si="8"/>
        <v>0.04051136364</v>
      </c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2" t="str">
        <f t="shared" ref="AT52:BE52" si="184">IF(F52=MIN($F52:$Q52),"Yes","")</f>
        <v/>
      </c>
      <c r="AU52" s="32" t="str">
        <f t="shared" si="184"/>
        <v/>
      </c>
      <c r="AV52" s="32" t="str">
        <f t="shared" si="184"/>
        <v/>
      </c>
      <c r="AW52" s="32" t="str">
        <f t="shared" si="184"/>
        <v/>
      </c>
      <c r="AX52" s="32" t="str">
        <f t="shared" si="184"/>
        <v/>
      </c>
      <c r="AY52" s="32" t="str">
        <f t="shared" si="184"/>
        <v/>
      </c>
      <c r="AZ52" s="32" t="str">
        <f t="shared" si="184"/>
        <v/>
      </c>
      <c r="BA52" s="32" t="str">
        <f t="shared" si="184"/>
        <v/>
      </c>
      <c r="BB52" s="32" t="str">
        <f t="shared" si="184"/>
        <v/>
      </c>
      <c r="BC52" s="32" t="str">
        <f t="shared" si="184"/>
        <v/>
      </c>
      <c r="BD52" s="32" t="str">
        <f t="shared" si="184"/>
        <v>Yes</v>
      </c>
      <c r="BE52" s="32" t="str">
        <f t="shared" si="184"/>
        <v/>
      </c>
      <c r="BF52" s="32" t="str">
        <f t="shared" ref="BF52:BQ52" si="185">IF(F52=MAX($F52:$Q52),"Yes","")</f>
        <v/>
      </c>
      <c r="BG52" s="32" t="str">
        <f t="shared" si="185"/>
        <v/>
      </c>
      <c r="BH52" s="32" t="str">
        <f t="shared" si="185"/>
        <v>Yes</v>
      </c>
      <c r="BI52" s="32" t="str">
        <f t="shared" si="185"/>
        <v>Yes</v>
      </c>
      <c r="BJ52" s="32" t="str">
        <f t="shared" si="185"/>
        <v/>
      </c>
      <c r="BK52" s="32" t="str">
        <f t="shared" si="185"/>
        <v/>
      </c>
      <c r="BL52" s="32" t="str">
        <f t="shared" si="185"/>
        <v/>
      </c>
      <c r="BM52" s="32" t="str">
        <f t="shared" si="185"/>
        <v>Yes</v>
      </c>
      <c r="BN52" s="32" t="str">
        <f t="shared" si="185"/>
        <v/>
      </c>
      <c r="BO52" s="32" t="str">
        <f t="shared" si="185"/>
        <v/>
      </c>
      <c r="BP52" s="32" t="str">
        <f t="shared" si="185"/>
        <v/>
      </c>
      <c r="BQ52" s="32" t="str">
        <f t="shared" si="185"/>
        <v/>
      </c>
      <c r="BR52" s="32" t="str">
        <f t="shared" si="11"/>
        <v/>
      </c>
      <c r="BS52" s="32" t="str">
        <f t="shared" si="12"/>
        <v/>
      </c>
      <c r="BT52" s="32"/>
      <c r="BU52" s="32"/>
      <c r="BV52" s="32"/>
      <c r="BW52" s="33">
        <f t="shared" si="13"/>
        <v>0</v>
      </c>
      <c r="BX52" s="33">
        <f t="shared" si="14"/>
        <v>0</v>
      </c>
      <c r="BY52" s="34" t="str">
        <f t="shared" si="15"/>
        <v/>
      </c>
      <c r="BZ52" s="33">
        <f t="shared" si="16"/>
        <v>0</v>
      </c>
      <c r="CA52" s="33">
        <f t="shared" si="17"/>
        <v>0</v>
      </c>
      <c r="CB52" s="34" t="str">
        <f t="shared" si="18"/>
        <v/>
      </c>
      <c r="CC52" s="35" t="s">
        <v>63</v>
      </c>
      <c r="CD52" s="33"/>
      <c r="CE52" s="34"/>
      <c r="CF52" s="33"/>
      <c r="CG52" s="33"/>
      <c r="CH52" s="34"/>
      <c r="CI52" s="33"/>
      <c r="CJ52" s="33"/>
      <c r="CK52" s="34"/>
    </row>
    <row r="53" ht="12.75" customHeight="1">
      <c r="A53" s="36">
        <v>52.0</v>
      </c>
      <c r="B53" s="36" t="s">
        <v>114</v>
      </c>
      <c r="C53" s="37" t="s">
        <v>115</v>
      </c>
      <c r="D53" s="38"/>
      <c r="E53" s="39">
        <v>0.0</v>
      </c>
      <c r="F53" s="31">
        <f>Andrew!D53</f>
        <v>0.6</v>
      </c>
      <c r="G53" s="31">
        <f>Bruce!D53</f>
        <v>0.2</v>
      </c>
      <c r="H53" s="31">
        <f>Christine!D53</f>
        <v>0.3</v>
      </c>
      <c r="I53" s="31">
        <f>Eileen!D53</f>
        <v>0.5</v>
      </c>
      <c r="J53" s="31">
        <f>Iain!D53</f>
        <v>0.9</v>
      </c>
      <c r="K53" s="31">
        <f>Gael!D53</f>
        <v>0.8</v>
      </c>
      <c r="L53" s="31">
        <f>Jac!D53</f>
        <v>0.5</v>
      </c>
      <c r="M53" s="31">
        <f>James!D53</f>
        <v>0.3</v>
      </c>
      <c r="N53" s="31">
        <f>Kate!D53</f>
        <v>0.1</v>
      </c>
      <c r="O53" s="31">
        <f>Lachy!D53</f>
        <v>0.35</v>
      </c>
      <c r="P53" s="31">
        <f>Pete!D53</f>
        <v>0.5</v>
      </c>
      <c r="Q53" s="31">
        <f>Rohan!D53</f>
        <v>0.2</v>
      </c>
      <c r="R53" s="31">
        <f t="shared" si="27"/>
        <v>-0.3219280949</v>
      </c>
      <c r="S53" s="31">
        <f t="shared" ref="S53:AC53" si="186">IF($E53=1,(LOG(G53,2)+1),IF($E53=0,(LOG(1-G53,2)+1),""))</f>
        <v>0.6780719051</v>
      </c>
      <c r="T53" s="31">
        <f t="shared" si="186"/>
        <v>0.4854268272</v>
      </c>
      <c r="U53" s="31">
        <f t="shared" si="186"/>
        <v>0</v>
      </c>
      <c r="V53" s="31">
        <f t="shared" si="186"/>
        <v>-2.321928095</v>
      </c>
      <c r="W53" s="31">
        <f t="shared" si="186"/>
        <v>-1.321928095</v>
      </c>
      <c r="X53" s="31">
        <f t="shared" si="186"/>
        <v>0</v>
      </c>
      <c r="Y53" s="31">
        <f t="shared" si="186"/>
        <v>0.4854268272</v>
      </c>
      <c r="Z53" s="31">
        <f t="shared" si="186"/>
        <v>0.8479969066</v>
      </c>
      <c r="AA53" s="31">
        <f t="shared" si="186"/>
        <v>0.3785116233</v>
      </c>
      <c r="AB53" s="31">
        <f t="shared" si="186"/>
        <v>0</v>
      </c>
      <c r="AC53" s="31">
        <f t="shared" si="186"/>
        <v>0.6780719051</v>
      </c>
      <c r="AD53" s="41"/>
      <c r="AE53" s="31">
        <f t="shared" si="6"/>
        <v>16.26268214</v>
      </c>
      <c r="AF53" s="31">
        <f t="shared" si="7"/>
        <v>0.4375</v>
      </c>
      <c r="AG53" s="31">
        <f t="shared" si="8"/>
        <v>0.05960227273</v>
      </c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2" t="str">
        <f t="shared" ref="AT53:BE53" si="187">IF(F53=MIN($F53:$Q53),"Yes","")</f>
        <v/>
      </c>
      <c r="AU53" s="32" t="str">
        <f t="shared" si="187"/>
        <v/>
      </c>
      <c r="AV53" s="32" t="str">
        <f t="shared" si="187"/>
        <v/>
      </c>
      <c r="AW53" s="32" t="str">
        <f t="shared" si="187"/>
        <v/>
      </c>
      <c r="AX53" s="32" t="str">
        <f t="shared" si="187"/>
        <v/>
      </c>
      <c r="AY53" s="32" t="str">
        <f t="shared" si="187"/>
        <v/>
      </c>
      <c r="AZ53" s="32" t="str">
        <f t="shared" si="187"/>
        <v/>
      </c>
      <c r="BA53" s="32" t="str">
        <f t="shared" si="187"/>
        <v/>
      </c>
      <c r="BB53" s="32" t="str">
        <f t="shared" si="187"/>
        <v>Yes</v>
      </c>
      <c r="BC53" s="32" t="str">
        <f t="shared" si="187"/>
        <v/>
      </c>
      <c r="BD53" s="32" t="str">
        <f t="shared" si="187"/>
        <v/>
      </c>
      <c r="BE53" s="32" t="str">
        <f t="shared" si="187"/>
        <v/>
      </c>
      <c r="BF53" s="32" t="str">
        <f t="shared" ref="BF53:BQ53" si="188">IF(F53=MAX($F53:$Q53),"Yes","")</f>
        <v/>
      </c>
      <c r="BG53" s="32" t="str">
        <f t="shared" si="188"/>
        <v/>
      </c>
      <c r="BH53" s="32" t="str">
        <f t="shared" si="188"/>
        <v/>
      </c>
      <c r="BI53" s="32" t="str">
        <f t="shared" si="188"/>
        <v/>
      </c>
      <c r="BJ53" s="32" t="str">
        <f t="shared" si="188"/>
        <v>Yes</v>
      </c>
      <c r="BK53" s="32" t="str">
        <f t="shared" si="188"/>
        <v/>
      </c>
      <c r="BL53" s="32" t="str">
        <f t="shared" si="188"/>
        <v/>
      </c>
      <c r="BM53" s="32" t="str">
        <f t="shared" si="188"/>
        <v/>
      </c>
      <c r="BN53" s="32" t="str">
        <f t="shared" si="188"/>
        <v/>
      </c>
      <c r="BO53" s="32" t="str">
        <f t="shared" si="188"/>
        <v/>
      </c>
      <c r="BP53" s="32" t="str">
        <f t="shared" si="188"/>
        <v/>
      </c>
      <c r="BQ53" s="32" t="str">
        <f t="shared" si="188"/>
        <v/>
      </c>
      <c r="BR53" s="32" t="str">
        <f t="shared" si="11"/>
        <v/>
      </c>
      <c r="BS53" s="32" t="str">
        <f t="shared" si="12"/>
        <v/>
      </c>
      <c r="BT53" s="32"/>
      <c r="BU53" s="32"/>
      <c r="BV53" s="32"/>
      <c r="BW53" s="33">
        <f t="shared" si="13"/>
        <v>0</v>
      </c>
      <c r="BX53" s="33">
        <f t="shared" si="14"/>
        <v>0</v>
      </c>
      <c r="BY53" s="34" t="str">
        <f t="shared" si="15"/>
        <v/>
      </c>
      <c r="BZ53" s="33">
        <f t="shared" si="16"/>
        <v>0</v>
      </c>
      <c r="CA53" s="33">
        <f t="shared" si="17"/>
        <v>0</v>
      </c>
      <c r="CB53" s="34" t="str">
        <f t="shared" si="18"/>
        <v/>
      </c>
      <c r="CC53" s="35"/>
      <c r="CD53" s="33"/>
      <c r="CE53" s="34"/>
      <c r="CF53" s="33"/>
      <c r="CG53" s="33"/>
      <c r="CH53" s="34"/>
      <c r="CI53" s="33"/>
      <c r="CJ53" s="33"/>
      <c r="CK53" s="34"/>
    </row>
    <row r="54" ht="12.75" customHeight="1">
      <c r="A54" s="18">
        <v>53.0</v>
      </c>
      <c r="B54" s="18" t="s">
        <v>114</v>
      </c>
      <c r="C54" s="55" t="s">
        <v>116</v>
      </c>
      <c r="D54" s="49"/>
      <c r="E54" s="21">
        <v>1.0</v>
      </c>
      <c r="F54" s="56">
        <f>Andrew!D54</f>
        <v>0.35</v>
      </c>
      <c r="G54" s="58">
        <f>Bruce!D54</f>
        <v>0.4</v>
      </c>
      <c r="H54" s="56">
        <f>Christine!D54</f>
        <v>0.5</v>
      </c>
      <c r="I54" s="58">
        <f>Eileen!D54</f>
        <v>0.1</v>
      </c>
      <c r="J54" s="56">
        <f>Iain!D54</f>
        <v>0.8</v>
      </c>
      <c r="K54" s="58">
        <f>Gael!D54</f>
        <v>0.9</v>
      </c>
      <c r="L54" s="56">
        <f>Jac!D54</f>
        <v>0.2</v>
      </c>
      <c r="M54" s="58">
        <f>James!D54</f>
        <v>0.5</v>
      </c>
      <c r="N54" s="56">
        <f>Kate!D54</f>
        <v>0.9</v>
      </c>
      <c r="O54" s="58">
        <f>Lachy!D54</f>
        <v>0.35</v>
      </c>
      <c r="P54" s="56">
        <f>Pete!D54</f>
        <v>0.1</v>
      </c>
      <c r="Q54" s="58">
        <f>Rohan!D54</f>
        <v>0.8</v>
      </c>
      <c r="R54" s="22">
        <f t="shared" si="27"/>
        <v>-0.5145731728</v>
      </c>
      <c r="S54" s="22">
        <f t="shared" ref="S54:AC54" si="189">IF($E54=1,(LOG(G54,2)+1),IF($E54=0,(LOG(1-G54,2)+1),""))</f>
        <v>-0.3219280949</v>
      </c>
      <c r="T54" s="22">
        <f t="shared" si="189"/>
        <v>0</v>
      </c>
      <c r="U54" s="22">
        <f t="shared" si="189"/>
        <v>-2.321928095</v>
      </c>
      <c r="V54" s="22">
        <f t="shared" si="189"/>
        <v>0.6780719051</v>
      </c>
      <c r="W54" s="22">
        <f t="shared" si="189"/>
        <v>0.8479969066</v>
      </c>
      <c r="X54" s="22">
        <f t="shared" si="189"/>
        <v>-1.321928095</v>
      </c>
      <c r="Y54" s="22">
        <f t="shared" si="189"/>
        <v>0</v>
      </c>
      <c r="Z54" s="22">
        <f t="shared" si="189"/>
        <v>0.8479969066</v>
      </c>
      <c r="AA54" s="22">
        <f t="shared" si="189"/>
        <v>-0.5145731728</v>
      </c>
      <c r="AB54" s="22">
        <f t="shared" si="189"/>
        <v>-2.321928095</v>
      </c>
      <c r="AC54" s="22">
        <f t="shared" si="189"/>
        <v>0.6780719051</v>
      </c>
      <c r="AD54" s="41"/>
      <c r="AE54" s="31">
        <f t="shared" si="6"/>
        <v>19.26466251</v>
      </c>
      <c r="AF54" s="31">
        <f t="shared" si="7"/>
        <v>0.4916666667</v>
      </c>
      <c r="AG54" s="31">
        <f t="shared" si="8"/>
        <v>0.08765151515</v>
      </c>
      <c r="AH54" s="46" t="str">
        <f t="shared" ref="AH54:AS54" si="190">IF(F54=MIN($F54:$Q54),LOG(1-F54,2)+1,IF(F54=MAX($F54:$Q54),LOG(F54,2)+1,""))</f>
        <v/>
      </c>
      <c r="AI54" s="46" t="str">
        <f t="shared" si="190"/>
        <v/>
      </c>
      <c r="AJ54" s="46" t="str">
        <f t="shared" si="190"/>
        <v/>
      </c>
      <c r="AK54" s="46">
        <f t="shared" si="190"/>
        <v>0.8479969066</v>
      </c>
      <c r="AL54" s="46" t="str">
        <f t="shared" si="190"/>
        <v/>
      </c>
      <c r="AM54" s="46">
        <f t="shared" si="190"/>
        <v>0.8479969066</v>
      </c>
      <c r="AN54" s="46" t="str">
        <f t="shared" si="190"/>
        <v/>
      </c>
      <c r="AO54" s="46" t="str">
        <f t="shared" si="190"/>
        <v/>
      </c>
      <c r="AP54" s="46">
        <f t="shared" si="190"/>
        <v>0.8479969066</v>
      </c>
      <c r="AQ54" s="46" t="str">
        <f t="shared" si="190"/>
        <v/>
      </c>
      <c r="AR54" s="46">
        <f t="shared" si="190"/>
        <v>0.8479969066</v>
      </c>
      <c r="AS54" s="46" t="str">
        <f t="shared" si="190"/>
        <v/>
      </c>
      <c r="AT54" s="32" t="str">
        <f t="shared" ref="AT54:BE54" si="191">IF(F54=MIN($F54:$Q54),"Yes","")</f>
        <v/>
      </c>
      <c r="AU54" s="32" t="str">
        <f t="shared" si="191"/>
        <v/>
      </c>
      <c r="AV54" s="32" t="str">
        <f t="shared" si="191"/>
        <v/>
      </c>
      <c r="AW54" s="32" t="str">
        <f t="shared" si="191"/>
        <v>Yes</v>
      </c>
      <c r="AX54" s="32" t="str">
        <f t="shared" si="191"/>
        <v/>
      </c>
      <c r="AY54" s="32" t="str">
        <f t="shared" si="191"/>
        <v/>
      </c>
      <c r="AZ54" s="32" t="str">
        <f t="shared" si="191"/>
        <v/>
      </c>
      <c r="BA54" s="32" t="str">
        <f t="shared" si="191"/>
        <v/>
      </c>
      <c r="BB54" s="32" t="str">
        <f t="shared" si="191"/>
        <v/>
      </c>
      <c r="BC54" s="32" t="str">
        <f t="shared" si="191"/>
        <v/>
      </c>
      <c r="BD54" s="32" t="str">
        <f t="shared" si="191"/>
        <v>Yes</v>
      </c>
      <c r="BE54" s="32" t="str">
        <f t="shared" si="191"/>
        <v/>
      </c>
      <c r="BF54" s="32" t="str">
        <f t="shared" ref="BF54:BQ54" si="192">IF(F54=MAX($F54:$Q54),"Yes","")</f>
        <v/>
      </c>
      <c r="BG54" s="32" t="str">
        <f t="shared" si="192"/>
        <v/>
      </c>
      <c r="BH54" s="32" t="str">
        <f t="shared" si="192"/>
        <v/>
      </c>
      <c r="BI54" s="32" t="str">
        <f t="shared" si="192"/>
        <v/>
      </c>
      <c r="BJ54" s="32" t="str">
        <f t="shared" si="192"/>
        <v/>
      </c>
      <c r="BK54" s="32" t="str">
        <f t="shared" si="192"/>
        <v>Yes</v>
      </c>
      <c r="BL54" s="32" t="str">
        <f t="shared" si="192"/>
        <v/>
      </c>
      <c r="BM54" s="32" t="str">
        <f t="shared" si="192"/>
        <v/>
      </c>
      <c r="BN54" s="32" t="str">
        <f t="shared" si="192"/>
        <v>Yes</v>
      </c>
      <c r="BO54" s="32" t="str">
        <f t="shared" si="192"/>
        <v/>
      </c>
      <c r="BP54" s="32" t="str">
        <f t="shared" si="192"/>
        <v/>
      </c>
      <c r="BQ54" s="32" t="str">
        <f t="shared" si="192"/>
        <v/>
      </c>
      <c r="BR54" s="32" t="str">
        <f t="shared" si="11"/>
        <v/>
      </c>
      <c r="BS54" s="32" t="str">
        <f t="shared" si="12"/>
        <v/>
      </c>
      <c r="BT54" s="32"/>
      <c r="BU54" s="32"/>
      <c r="BV54" s="32"/>
      <c r="BW54" s="33">
        <f t="shared" si="13"/>
        <v>0</v>
      </c>
      <c r="BX54" s="33">
        <f t="shared" si="14"/>
        <v>0</v>
      </c>
      <c r="BY54" s="34" t="str">
        <f t="shared" si="15"/>
        <v/>
      </c>
      <c r="BZ54" s="33">
        <f t="shared" si="16"/>
        <v>0</v>
      </c>
      <c r="CA54" s="33">
        <f t="shared" si="17"/>
        <v>0</v>
      </c>
      <c r="CB54" s="34" t="str">
        <f t="shared" si="18"/>
        <v/>
      </c>
      <c r="CC54" s="35"/>
      <c r="CD54" s="33"/>
      <c r="CE54" s="34"/>
      <c r="CF54" s="33"/>
      <c r="CG54" s="33"/>
      <c r="CH54" s="34"/>
      <c r="CI54" s="33"/>
      <c r="CJ54" s="33"/>
      <c r="CK54" s="34"/>
    </row>
    <row r="55" ht="12.75" customHeight="1">
      <c r="A55" s="36">
        <v>54.0</v>
      </c>
      <c r="B55" s="36" t="s">
        <v>114</v>
      </c>
      <c r="C55" s="37" t="s">
        <v>117</v>
      </c>
      <c r="D55" s="38"/>
      <c r="E55" s="39">
        <v>0.0</v>
      </c>
      <c r="F55" s="31">
        <f>Andrew!D55</f>
        <v>0.35</v>
      </c>
      <c r="G55" s="31">
        <f>Bruce!D55</f>
        <v>0.4</v>
      </c>
      <c r="H55" s="31">
        <f>Christine!D55</f>
        <v>0.5</v>
      </c>
      <c r="I55" s="31">
        <f>Eileen!D55</f>
        <v>0.1</v>
      </c>
      <c r="J55" s="31">
        <f>Iain!D55</f>
        <v>0.7</v>
      </c>
      <c r="K55" s="31">
        <f>Gael!D55</f>
        <v>0.9</v>
      </c>
      <c r="L55" s="31">
        <f>Jac!D55</f>
        <v>0.2</v>
      </c>
      <c r="M55" s="31">
        <f>James!D55</f>
        <v>0.5</v>
      </c>
      <c r="N55" s="31">
        <f>Kate!D55</f>
        <v>0.2</v>
      </c>
      <c r="O55" s="31">
        <f>Lachy!D55</f>
        <v>0.35</v>
      </c>
      <c r="P55" s="31">
        <f>Pete!D55</f>
        <v>0.1</v>
      </c>
      <c r="Q55" s="31">
        <f>Rohan!D55</f>
        <v>0.2</v>
      </c>
      <c r="R55" s="31">
        <f t="shared" si="27"/>
        <v>0.3785116233</v>
      </c>
      <c r="S55" s="31">
        <f t="shared" ref="S55:AC55" si="193">IF($E55=1,(LOG(G55,2)+1),IF($E55=0,(LOG(1-G55,2)+1),""))</f>
        <v>0.2630344058</v>
      </c>
      <c r="T55" s="31">
        <f t="shared" si="193"/>
        <v>0</v>
      </c>
      <c r="U55" s="31">
        <f t="shared" si="193"/>
        <v>0.8479969066</v>
      </c>
      <c r="V55" s="31">
        <f t="shared" si="193"/>
        <v>-0.7369655942</v>
      </c>
      <c r="W55" s="31">
        <f t="shared" si="193"/>
        <v>-2.321928095</v>
      </c>
      <c r="X55" s="31">
        <f t="shared" si="193"/>
        <v>0.6780719051</v>
      </c>
      <c r="Y55" s="31">
        <f t="shared" si="193"/>
        <v>0</v>
      </c>
      <c r="Z55" s="31">
        <f t="shared" si="193"/>
        <v>0.6780719051</v>
      </c>
      <c r="AA55" s="31">
        <f t="shared" si="193"/>
        <v>0.3785116233</v>
      </c>
      <c r="AB55" s="31">
        <f t="shared" si="193"/>
        <v>0.8479969066</v>
      </c>
      <c r="AC55" s="31">
        <f t="shared" si="193"/>
        <v>0.6780719051</v>
      </c>
      <c r="AD55" s="41"/>
      <c r="AE55" s="31">
        <f t="shared" si="6"/>
        <v>17.31712993</v>
      </c>
      <c r="AF55" s="31">
        <f t="shared" si="7"/>
        <v>0.375</v>
      </c>
      <c r="AG55" s="31">
        <f t="shared" si="8"/>
        <v>0.05977272727</v>
      </c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2" t="str">
        <f t="shared" ref="AT55:BE55" si="194">IF(F55=MIN($F55:$Q55),"Yes","")</f>
        <v/>
      </c>
      <c r="AU55" s="32" t="str">
        <f t="shared" si="194"/>
        <v/>
      </c>
      <c r="AV55" s="32" t="str">
        <f t="shared" si="194"/>
        <v/>
      </c>
      <c r="AW55" s="32" t="str">
        <f t="shared" si="194"/>
        <v>Yes</v>
      </c>
      <c r="AX55" s="32" t="str">
        <f t="shared" si="194"/>
        <v/>
      </c>
      <c r="AY55" s="32" t="str">
        <f t="shared" si="194"/>
        <v/>
      </c>
      <c r="AZ55" s="32" t="str">
        <f t="shared" si="194"/>
        <v/>
      </c>
      <c r="BA55" s="32" t="str">
        <f t="shared" si="194"/>
        <v/>
      </c>
      <c r="BB55" s="32" t="str">
        <f t="shared" si="194"/>
        <v/>
      </c>
      <c r="BC55" s="32" t="str">
        <f t="shared" si="194"/>
        <v/>
      </c>
      <c r="BD55" s="32" t="str">
        <f t="shared" si="194"/>
        <v>Yes</v>
      </c>
      <c r="BE55" s="32" t="str">
        <f t="shared" si="194"/>
        <v/>
      </c>
      <c r="BF55" s="32" t="str">
        <f t="shared" ref="BF55:BQ55" si="195">IF(F55=MAX($F55:$Q55),"Yes","")</f>
        <v/>
      </c>
      <c r="BG55" s="32" t="str">
        <f t="shared" si="195"/>
        <v/>
      </c>
      <c r="BH55" s="32" t="str">
        <f t="shared" si="195"/>
        <v/>
      </c>
      <c r="BI55" s="32" t="str">
        <f t="shared" si="195"/>
        <v/>
      </c>
      <c r="BJ55" s="32" t="str">
        <f t="shared" si="195"/>
        <v/>
      </c>
      <c r="BK55" s="32" t="str">
        <f t="shared" si="195"/>
        <v>Yes</v>
      </c>
      <c r="BL55" s="32" t="str">
        <f t="shared" si="195"/>
        <v/>
      </c>
      <c r="BM55" s="32" t="str">
        <f t="shared" si="195"/>
        <v/>
      </c>
      <c r="BN55" s="32" t="str">
        <f t="shared" si="195"/>
        <v/>
      </c>
      <c r="BO55" s="32" t="str">
        <f t="shared" si="195"/>
        <v/>
      </c>
      <c r="BP55" s="32" t="str">
        <f t="shared" si="195"/>
        <v/>
      </c>
      <c r="BQ55" s="32" t="str">
        <f t="shared" si="195"/>
        <v/>
      </c>
      <c r="BR55" s="32" t="str">
        <f t="shared" si="11"/>
        <v/>
      </c>
      <c r="BS55" s="32" t="str">
        <f t="shared" si="12"/>
        <v/>
      </c>
      <c r="BT55" s="32"/>
      <c r="BU55" s="32"/>
      <c r="BV55" s="32"/>
      <c r="BW55" s="33">
        <f t="shared" si="13"/>
        <v>0</v>
      </c>
      <c r="BX55" s="33">
        <f t="shared" si="14"/>
        <v>0</v>
      </c>
      <c r="BY55" s="34" t="str">
        <f t="shared" si="15"/>
        <v/>
      </c>
      <c r="BZ55" s="33">
        <f t="shared" si="16"/>
        <v>0</v>
      </c>
      <c r="CA55" s="33">
        <f t="shared" si="17"/>
        <v>0</v>
      </c>
      <c r="CB55" s="34" t="str">
        <f t="shared" si="18"/>
        <v/>
      </c>
      <c r="CC55" s="35"/>
      <c r="CD55" s="33"/>
      <c r="CE55" s="34"/>
      <c r="CF55" s="33"/>
      <c r="CG55" s="33"/>
      <c r="CH55" s="34"/>
      <c r="CI55" s="33"/>
      <c r="CJ55" s="33"/>
      <c r="CK55" s="34"/>
    </row>
    <row r="56" ht="12.75" customHeight="1">
      <c r="A56" s="18">
        <v>55.0</v>
      </c>
      <c r="B56" s="18" t="s">
        <v>114</v>
      </c>
      <c r="C56" s="55" t="s">
        <v>118</v>
      </c>
      <c r="D56" s="20">
        <v>44792.0</v>
      </c>
      <c r="E56" s="21">
        <v>1.0</v>
      </c>
      <c r="F56" s="56">
        <f>Andrew!D56</f>
        <v>0.2</v>
      </c>
      <c r="G56" s="58">
        <f>Bruce!D56</f>
        <v>0.9</v>
      </c>
      <c r="H56" s="56">
        <f>Christine!D56</f>
        <v>0.8</v>
      </c>
      <c r="I56" s="58">
        <f>Eileen!D56</f>
        <v>0.2</v>
      </c>
      <c r="J56" s="56">
        <f>Iain!D56</f>
        <v>0.8</v>
      </c>
      <c r="K56" s="58">
        <f>Gael!D56</f>
        <v>0.6</v>
      </c>
      <c r="L56" s="56">
        <f>Jac!D56</f>
        <v>0.4</v>
      </c>
      <c r="M56" s="58">
        <f>James!D56</f>
        <v>0.8</v>
      </c>
      <c r="N56" s="56">
        <f>Kate!D56</f>
        <v>0.1</v>
      </c>
      <c r="O56" s="58">
        <f>Lachy!D56</f>
        <v>0.15</v>
      </c>
      <c r="P56" s="56">
        <f>Pete!D56</f>
        <v>0.7</v>
      </c>
      <c r="Q56" s="58">
        <f>Rohan!D56</f>
        <v>0.6</v>
      </c>
      <c r="R56" s="22">
        <f t="shared" si="27"/>
        <v>-1.321928095</v>
      </c>
      <c r="S56" s="22">
        <f t="shared" ref="S56:AC56" si="196">IF($E56=1,(LOG(G56,2)+1),IF($E56=0,(LOG(1-G56,2)+1),""))</f>
        <v>0.8479969066</v>
      </c>
      <c r="T56" s="22">
        <f t="shared" si="196"/>
        <v>0.6780719051</v>
      </c>
      <c r="U56" s="22">
        <f t="shared" si="196"/>
        <v>-1.321928095</v>
      </c>
      <c r="V56" s="22">
        <f t="shared" si="196"/>
        <v>0.6780719051</v>
      </c>
      <c r="W56" s="22">
        <f t="shared" si="196"/>
        <v>0.2630344058</v>
      </c>
      <c r="X56" s="22">
        <f t="shared" si="196"/>
        <v>-0.3219280949</v>
      </c>
      <c r="Y56" s="22">
        <f t="shared" si="196"/>
        <v>0.6780719051</v>
      </c>
      <c r="Z56" s="22">
        <f t="shared" si="196"/>
        <v>-2.321928095</v>
      </c>
      <c r="AA56" s="22">
        <f t="shared" si="196"/>
        <v>-1.736965594</v>
      </c>
      <c r="AB56" s="22">
        <f t="shared" si="196"/>
        <v>0.4854268272</v>
      </c>
      <c r="AC56" s="22">
        <f t="shared" si="196"/>
        <v>0.2630344058</v>
      </c>
      <c r="AD56" s="41"/>
      <c r="AE56" s="31">
        <f t="shared" si="6"/>
        <v>17.81963027</v>
      </c>
      <c r="AF56" s="31">
        <f t="shared" si="7"/>
        <v>0.5208333333</v>
      </c>
      <c r="AG56" s="31">
        <f t="shared" si="8"/>
        <v>0.08702651515</v>
      </c>
      <c r="AH56" s="46" t="str">
        <f t="shared" ref="AH56:AS56" si="197">IF(F56=MIN($F56:$Q56),LOG(1-F56,2)+1,IF(F56=MAX($F56:$Q56),LOG(F56,2)+1,""))</f>
        <v/>
      </c>
      <c r="AI56" s="46">
        <f t="shared" si="197"/>
        <v>0.8479969066</v>
      </c>
      <c r="AJ56" s="46" t="str">
        <f t="shared" si="197"/>
        <v/>
      </c>
      <c r="AK56" s="46" t="str">
        <f t="shared" si="197"/>
        <v/>
      </c>
      <c r="AL56" s="46" t="str">
        <f t="shared" si="197"/>
        <v/>
      </c>
      <c r="AM56" s="46" t="str">
        <f t="shared" si="197"/>
        <v/>
      </c>
      <c r="AN56" s="46" t="str">
        <f t="shared" si="197"/>
        <v/>
      </c>
      <c r="AO56" s="46" t="str">
        <f t="shared" si="197"/>
        <v/>
      </c>
      <c r="AP56" s="46">
        <f t="shared" si="197"/>
        <v>0.8479969066</v>
      </c>
      <c r="AQ56" s="46" t="str">
        <f t="shared" si="197"/>
        <v/>
      </c>
      <c r="AR56" s="46" t="str">
        <f t="shared" si="197"/>
        <v/>
      </c>
      <c r="AS56" s="46" t="str">
        <f t="shared" si="197"/>
        <v/>
      </c>
      <c r="AT56" s="32" t="str">
        <f t="shared" ref="AT56:BE56" si="198">IF(F56=MIN($F56:$Q56),"Yes","")</f>
        <v/>
      </c>
      <c r="AU56" s="32" t="str">
        <f t="shared" si="198"/>
        <v/>
      </c>
      <c r="AV56" s="32" t="str">
        <f t="shared" si="198"/>
        <v/>
      </c>
      <c r="AW56" s="32" t="str">
        <f t="shared" si="198"/>
        <v/>
      </c>
      <c r="AX56" s="32" t="str">
        <f t="shared" si="198"/>
        <v/>
      </c>
      <c r="AY56" s="32" t="str">
        <f t="shared" si="198"/>
        <v/>
      </c>
      <c r="AZ56" s="32" t="str">
        <f t="shared" si="198"/>
        <v/>
      </c>
      <c r="BA56" s="32" t="str">
        <f t="shared" si="198"/>
        <v/>
      </c>
      <c r="BB56" s="32" t="str">
        <f t="shared" si="198"/>
        <v>Yes</v>
      </c>
      <c r="BC56" s="32" t="str">
        <f t="shared" si="198"/>
        <v/>
      </c>
      <c r="BD56" s="32" t="str">
        <f t="shared" si="198"/>
        <v/>
      </c>
      <c r="BE56" s="32" t="str">
        <f t="shared" si="198"/>
        <v/>
      </c>
      <c r="BF56" s="32" t="str">
        <f t="shared" ref="BF56:BQ56" si="199">IF(F56=MAX($F56:$Q56),"Yes","")</f>
        <v/>
      </c>
      <c r="BG56" s="32" t="str">
        <f t="shared" si="199"/>
        <v>Yes</v>
      </c>
      <c r="BH56" s="32" t="str">
        <f t="shared" si="199"/>
        <v/>
      </c>
      <c r="BI56" s="32" t="str">
        <f t="shared" si="199"/>
        <v/>
      </c>
      <c r="BJ56" s="32" t="str">
        <f t="shared" si="199"/>
        <v/>
      </c>
      <c r="BK56" s="32" t="str">
        <f t="shared" si="199"/>
        <v/>
      </c>
      <c r="BL56" s="32" t="str">
        <f t="shared" si="199"/>
        <v/>
      </c>
      <c r="BM56" s="32" t="str">
        <f t="shared" si="199"/>
        <v/>
      </c>
      <c r="BN56" s="32" t="str">
        <f t="shared" si="199"/>
        <v/>
      </c>
      <c r="BO56" s="32" t="str">
        <f t="shared" si="199"/>
        <v/>
      </c>
      <c r="BP56" s="32" t="str">
        <f t="shared" si="199"/>
        <v/>
      </c>
      <c r="BQ56" s="32" t="str">
        <f t="shared" si="199"/>
        <v/>
      </c>
      <c r="BR56" s="32" t="str">
        <f t="shared" si="11"/>
        <v>Yes</v>
      </c>
      <c r="BS56" s="32" t="str">
        <f t="shared" si="12"/>
        <v/>
      </c>
      <c r="BT56" s="32"/>
      <c r="BU56" s="32"/>
      <c r="BV56" s="32"/>
      <c r="BW56" s="33">
        <f t="shared" si="13"/>
        <v>-0.9</v>
      </c>
      <c r="BX56" s="33">
        <f t="shared" si="14"/>
        <v>0.2</v>
      </c>
      <c r="BY56" s="34">
        <f t="shared" si="15"/>
        <v>1.1</v>
      </c>
      <c r="BZ56" s="33">
        <f t="shared" si="16"/>
        <v>0</v>
      </c>
      <c r="CA56" s="33">
        <f t="shared" si="17"/>
        <v>0</v>
      </c>
      <c r="CB56" s="34" t="str">
        <f t="shared" si="18"/>
        <v/>
      </c>
      <c r="CC56" s="35"/>
      <c r="CD56" s="33"/>
      <c r="CE56" s="34"/>
      <c r="CF56" s="33"/>
      <c r="CG56" s="33"/>
      <c r="CH56" s="34"/>
      <c r="CI56" s="33"/>
      <c r="CJ56" s="33"/>
      <c r="CK56" s="34"/>
    </row>
    <row r="57" ht="12.75" customHeight="1">
      <c r="A57" s="36">
        <v>56.0</v>
      </c>
      <c r="B57" s="36" t="s">
        <v>114</v>
      </c>
      <c r="C57" s="37" t="s">
        <v>119</v>
      </c>
      <c r="D57" s="38"/>
      <c r="E57" s="39">
        <v>1.0</v>
      </c>
      <c r="F57" s="31">
        <f>Andrew!D57</f>
        <v>0.8</v>
      </c>
      <c r="G57" s="31">
        <f>Bruce!D57</f>
        <v>0.6</v>
      </c>
      <c r="H57" s="31">
        <f>Christine!D57</f>
        <v>0.5</v>
      </c>
      <c r="I57" s="31">
        <f>Eileen!D57</f>
        <v>0.8</v>
      </c>
      <c r="J57" s="31">
        <f>Iain!D57</f>
        <v>0.6</v>
      </c>
      <c r="K57" s="31">
        <f>Gael!D57</f>
        <v>0.5</v>
      </c>
      <c r="L57" s="31">
        <f>Jac!D57</f>
        <v>0.6</v>
      </c>
      <c r="M57" s="31">
        <f>James!D57</f>
        <v>0.5</v>
      </c>
      <c r="N57" s="31">
        <f>Kate!D57</f>
        <v>0.2</v>
      </c>
      <c r="O57" s="40">
        <f>Lachy!D57</f>
        <v>0.999</v>
      </c>
      <c r="P57" s="31">
        <f>Pete!D57</f>
        <v>0.5</v>
      </c>
      <c r="Q57" s="31">
        <f>Rohan!D57</f>
        <v>0.5</v>
      </c>
      <c r="R57" s="31">
        <f t="shared" si="27"/>
        <v>0.6780719051</v>
      </c>
      <c r="S57" s="31">
        <f t="shared" ref="S57:AC57" si="200">IF($E57=1,(LOG(G57,2)+1),IF($E57=0,(LOG(1-G57,2)+1),""))</f>
        <v>0.2630344058</v>
      </c>
      <c r="T57" s="31">
        <f t="shared" si="200"/>
        <v>0</v>
      </c>
      <c r="U57" s="31">
        <f t="shared" si="200"/>
        <v>0.6780719051</v>
      </c>
      <c r="V57" s="31">
        <f t="shared" si="200"/>
        <v>0.2630344058</v>
      </c>
      <c r="W57" s="31">
        <f t="shared" si="200"/>
        <v>0</v>
      </c>
      <c r="X57" s="31">
        <f t="shared" si="200"/>
        <v>0.2630344058</v>
      </c>
      <c r="Y57" s="31">
        <f t="shared" si="200"/>
        <v>0</v>
      </c>
      <c r="Z57" s="31">
        <f t="shared" si="200"/>
        <v>-1.321928095</v>
      </c>
      <c r="AA57" s="31">
        <f t="shared" si="200"/>
        <v>0.9985565831</v>
      </c>
      <c r="AB57" s="31">
        <f t="shared" si="200"/>
        <v>0</v>
      </c>
      <c r="AC57" s="31">
        <f t="shared" si="200"/>
        <v>0</v>
      </c>
      <c r="AD57" s="41"/>
      <c r="AE57" s="31">
        <f t="shared" si="6"/>
        <v>17.71922837</v>
      </c>
      <c r="AF57" s="31">
        <f t="shared" si="7"/>
        <v>0.5915833333</v>
      </c>
      <c r="AG57" s="31">
        <f t="shared" si="8"/>
        <v>0.04075917424</v>
      </c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2" t="str">
        <f t="shared" ref="AT57:BE57" si="201">IF(F57=MIN($F57:$Q57),"Yes","")</f>
        <v/>
      </c>
      <c r="AU57" s="32" t="str">
        <f t="shared" si="201"/>
        <v/>
      </c>
      <c r="AV57" s="32" t="str">
        <f t="shared" si="201"/>
        <v/>
      </c>
      <c r="AW57" s="32" t="str">
        <f t="shared" si="201"/>
        <v/>
      </c>
      <c r="AX57" s="32" t="str">
        <f t="shared" si="201"/>
        <v/>
      </c>
      <c r="AY57" s="32" t="str">
        <f t="shared" si="201"/>
        <v/>
      </c>
      <c r="AZ57" s="32" t="str">
        <f t="shared" si="201"/>
        <v/>
      </c>
      <c r="BA57" s="32" t="str">
        <f t="shared" si="201"/>
        <v/>
      </c>
      <c r="BB57" s="32" t="str">
        <f t="shared" si="201"/>
        <v>Yes</v>
      </c>
      <c r="BC57" s="32" t="str">
        <f t="shared" si="201"/>
        <v/>
      </c>
      <c r="BD57" s="32" t="str">
        <f t="shared" si="201"/>
        <v/>
      </c>
      <c r="BE57" s="32" t="str">
        <f t="shared" si="201"/>
        <v/>
      </c>
      <c r="BF57" s="32" t="str">
        <f t="shared" ref="BF57:BQ57" si="202">IF(F57=MAX($F57:$Q57),"Yes","")</f>
        <v/>
      </c>
      <c r="BG57" s="32" t="str">
        <f t="shared" si="202"/>
        <v/>
      </c>
      <c r="BH57" s="32" t="str">
        <f t="shared" si="202"/>
        <v/>
      </c>
      <c r="BI57" s="32" t="str">
        <f t="shared" si="202"/>
        <v/>
      </c>
      <c r="BJ57" s="32" t="str">
        <f t="shared" si="202"/>
        <v/>
      </c>
      <c r="BK57" s="32" t="str">
        <f t="shared" si="202"/>
        <v/>
      </c>
      <c r="BL57" s="32" t="str">
        <f t="shared" si="202"/>
        <v/>
      </c>
      <c r="BM57" s="32" t="str">
        <f t="shared" si="202"/>
        <v/>
      </c>
      <c r="BN57" s="32" t="str">
        <f t="shared" si="202"/>
        <v/>
      </c>
      <c r="BO57" s="32" t="str">
        <f t="shared" si="202"/>
        <v>Yes</v>
      </c>
      <c r="BP57" s="32" t="str">
        <f t="shared" si="202"/>
        <v/>
      </c>
      <c r="BQ57" s="32" t="str">
        <f t="shared" si="202"/>
        <v/>
      </c>
      <c r="BR57" s="32" t="str">
        <f t="shared" si="11"/>
        <v/>
      </c>
      <c r="BS57" s="32" t="str">
        <f t="shared" si="12"/>
        <v/>
      </c>
      <c r="BT57" s="32"/>
      <c r="BU57" s="32"/>
      <c r="BV57" s="32"/>
      <c r="BW57" s="33">
        <f t="shared" si="13"/>
        <v>0</v>
      </c>
      <c r="BX57" s="33">
        <f t="shared" si="14"/>
        <v>0</v>
      </c>
      <c r="BY57" s="34" t="str">
        <f t="shared" si="15"/>
        <v/>
      </c>
      <c r="BZ57" s="33">
        <f t="shared" si="16"/>
        <v>0</v>
      </c>
      <c r="CA57" s="33">
        <f t="shared" si="17"/>
        <v>0</v>
      </c>
      <c r="CB57" s="34" t="str">
        <f t="shared" si="18"/>
        <v/>
      </c>
      <c r="CC57" s="35"/>
      <c r="CD57" s="33"/>
      <c r="CE57" s="34"/>
      <c r="CF57" s="33"/>
      <c r="CG57" s="33"/>
      <c r="CH57" s="34"/>
      <c r="CI57" s="33"/>
      <c r="CJ57" s="33"/>
      <c r="CK57" s="34"/>
    </row>
    <row r="58" ht="12.75" customHeight="1">
      <c r="A58" s="18">
        <v>57.0</v>
      </c>
      <c r="B58" s="18" t="s">
        <v>114</v>
      </c>
      <c r="C58" s="19" t="s">
        <v>120</v>
      </c>
      <c r="D58" s="49"/>
      <c r="E58" s="21">
        <v>0.0</v>
      </c>
      <c r="F58" s="22">
        <f>Andrew!D58</f>
        <v>0.7</v>
      </c>
      <c r="G58" s="26">
        <f>Bruce!D58</f>
        <v>0.4</v>
      </c>
      <c r="H58" s="22">
        <f>Christine!D58</f>
        <v>0.6</v>
      </c>
      <c r="I58" s="26">
        <f>Eileen!D58</f>
        <v>0.8</v>
      </c>
      <c r="J58" s="22">
        <f>Iain!D58</f>
        <v>0.8</v>
      </c>
      <c r="K58" s="26">
        <f>Gael!D58</f>
        <v>0.7</v>
      </c>
      <c r="L58" s="22">
        <f>Jac!D58</f>
        <v>0.5</v>
      </c>
      <c r="M58" s="26">
        <f>James!D58</f>
        <v>0.6</v>
      </c>
      <c r="N58" s="22">
        <f>Kate!D58</f>
        <v>0.8</v>
      </c>
      <c r="O58" s="26">
        <f>Lachy!D58</f>
        <v>0.65</v>
      </c>
      <c r="P58" s="22">
        <f>Pete!D58</f>
        <v>0.5</v>
      </c>
      <c r="Q58" s="26">
        <f>Rohan!D58</f>
        <v>0.4</v>
      </c>
      <c r="R58" s="22">
        <f t="shared" si="27"/>
        <v>-0.7369655942</v>
      </c>
      <c r="S58" s="22">
        <f t="shared" ref="S58:AC58" si="203">IF($E58=1,(LOG(G58,2)+1),IF($E58=0,(LOG(1-G58,2)+1),""))</f>
        <v>0.2630344058</v>
      </c>
      <c r="T58" s="22">
        <f t="shared" si="203"/>
        <v>-0.3219280949</v>
      </c>
      <c r="U58" s="22">
        <f t="shared" si="203"/>
        <v>-1.321928095</v>
      </c>
      <c r="V58" s="22">
        <f t="shared" si="203"/>
        <v>-1.321928095</v>
      </c>
      <c r="W58" s="22">
        <f t="shared" si="203"/>
        <v>-0.7369655942</v>
      </c>
      <c r="X58" s="22">
        <f t="shared" si="203"/>
        <v>0</v>
      </c>
      <c r="Y58" s="22">
        <f t="shared" si="203"/>
        <v>-0.3219280949</v>
      </c>
      <c r="Z58" s="22">
        <f t="shared" si="203"/>
        <v>-1.321928095</v>
      </c>
      <c r="AA58" s="22">
        <f t="shared" si="203"/>
        <v>-0.5145731728</v>
      </c>
      <c r="AB58" s="22">
        <f t="shared" si="203"/>
        <v>0</v>
      </c>
      <c r="AC58" s="22">
        <f t="shared" si="203"/>
        <v>0.2630344058</v>
      </c>
      <c r="AD58" s="41"/>
      <c r="AE58" s="31">
        <f t="shared" si="6"/>
        <v>11.67771964</v>
      </c>
      <c r="AF58" s="31">
        <f t="shared" si="7"/>
        <v>0.6208333333</v>
      </c>
      <c r="AG58" s="31">
        <f t="shared" si="8"/>
        <v>0.0215719697</v>
      </c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2" t="str">
        <f t="shared" ref="AT58:BE58" si="204">IF(F58=MIN($F58:$Q58),"Yes","")</f>
        <v/>
      </c>
      <c r="AU58" s="32" t="str">
        <f t="shared" si="204"/>
        <v>Yes</v>
      </c>
      <c r="AV58" s="32" t="str">
        <f t="shared" si="204"/>
        <v/>
      </c>
      <c r="AW58" s="32" t="str">
        <f t="shared" si="204"/>
        <v/>
      </c>
      <c r="AX58" s="32" t="str">
        <f t="shared" si="204"/>
        <v/>
      </c>
      <c r="AY58" s="32" t="str">
        <f t="shared" si="204"/>
        <v/>
      </c>
      <c r="AZ58" s="32" t="str">
        <f t="shared" si="204"/>
        <v/>
      </c>
      <c r="BA58" s="32" t="str">
        <f t="shared" si="204"/>
        <v/>
      </c>
      <c r="BB58" s="32" t="str">
        <f t="shared" si="204"/>
        <v/>
      </c>
      <c r="BC58" s="32" t="str">
        <f t="shared" si="204"/>
        <v/>
      </c>
      <c r="BD58" s="32" t="str">
        <f t="shared" si="204"/>
        <v/>
      </c>
      <c r="BE58" s="32" t="str">
        <f t="shared" si="204"/>
        <v>Yes</v>
      </c>
      <c r="BF58" s="32" t="str">
        <f t="shared" ref="BF58:BQ58" si="205">IF(F58=MAX($F58:$Q58),"Yes","")</f>
        <v/>
      </c>
      <c r="BG58" s="32" t="str">
        <f t="shared" si="205"/>
        <v/>
      </c>
      <c r="BH58" s="32" t="str">
        <f t="shared" si="205"/>
        <v/>
      </c>
      <c r="BI58" s="32" t="str">
        <f t="shared" si="205"/>
        <v>Yes</v>
      </c>
      <c r="BJ58" s="32" t="str">
        <f t="shared" si="205"/>
        <v>Yes</v>
      </c>
      <c r="BK58" s="32" t="str">
        <f t="shared" si="205"/>
        <v/>
      </c>
      <c r="BL58" s="32" t="str">
        <f t="shared" si="205"/>
        <v/>
      </c>
      <c r="BM58" s="32" t="str">
        <f t="shared" si="205"/>
        <v/>
      </c>
      <c r="BN58" s="32" t="str">
        <f t="shared" si="205"/>
        <v>Yes</v>
      </c>
      <c r="BO58" s="32" t="str">
        <f t="shared" si="205"/>
        <v/>
      </c>
      <c r="BP58" s="32" t="str">
        <f t="shared" si="205"/>
        <v/>
      </c>
      <c r="BQ58" s="32" t="str">
        <f t="shared" si="205"/>
        <v/>
      </c>
      <c r="BR58" s="32" t="str">
        <f t="shared" si="11"/>
        <v/>
      </c>
      <c r="BS58" s="32" t="str">
        <f t="shared" si="12"/>
        <v/>
      </c>
      <c r="BT58" s="32"/>
      <c r="BU58" s="32"/>
      <c r="BV58" s="32"/>
      <c r="BW58" s="33">
        <f t="shared" si="13"/>
        <v>0</v>
      </c>
      <c r="BX58" s="33">
        <f t="shared" si="14"/>
        <v>0</v>
      </c>
      <c r="BY58" s="34" t="str">
        <f t="shared" si="15"/>
        <v/>
      </c>
      <c r="BZ58" s="33">
        <f t="shared" si="16"/>
        <v>0</v>
      </c>
      <c r="CA58" s="33">
        <f t="shared" si="17"/>
        <v>0</v>
      </c>
      <c r="CB58" s="34" t="str">
        <f t="shared" si="18"/>
        <v/>
      </c>
      <c r="CC58" s="35"/>
      <c r="CD58" s="33"/>
      <c r="CE58" s="34"/>
      <c r="CF58" s="33"/>
      <c r="CG58" s="33"/>
      <c r="CH58" s="34"/>
      <c r="CI58" s="33"/>
      <c r="CJ58" s="33"/>
      <c r="CK58" s="34"/>
    </row>
    <row r="59" ht="12.75" customHeight="1">
      <c r="A59" s="36">
        <v>58.0</v>
      </c>
      <c r="B59" s="36" t="s">
        <v>114</v>
      </c>
      <c r="C59" s="37" t="s">
        <v>121</v>
      </c>
      <c r="D59" s="38"/>
      <c r="E59" s="39">
        <v>1.0</v>
      </c>
      <c r="F59" s="31">
        <f>Andrew!D59</f>
        <v>0.65</v>
      </c>
      <c r="G59" s="31">
        <f>Bruce!D59</f>
        <v>0.95</v>
      </c>
      <c r="H59" s="31">
        <f>Christine!D59</f>
        <v>0.6</v>
      </c>
      <c r="I59" s="31">
        <f>Eileen!D59</f>
        <v>0.8</v>
      </c>
      <c r="J59" s="31">
        <f>Iain!D59</f>
        <v>0.5</v>
      </c>
      <c r="K59" s="31">
        <f>Gael!D59</f>
        <v>0.75</v>
      </c>
      <c r="L59" s="31">
        <f>Jac!D59</f>
        <v>0.5</v>
      </c>
      <c r="M59" s="31">
        <f>James!D59</f>
        <v>0.6</v>
      </c>
      <c r="N59" s="31">
        <f>Kate!D59</f>
        <v>0.8</v>
      </c>
      <c r="O59" s="31">
        <f>Lachy!D59</f>
        <v>0.35</v>
      </c>
      <c r="P59" s="31">
        <f>Pete!D59</f>
        <v>0.5</v>
      </c>
      <c r="Q59" s="31">
        <f>Rohan!D59</f>
        <v>0.4</v>
      </c>
      <c r="R59" s="31">
        <f t="shared" si="27"/>
        <v>0.3785116233</v>
      </c>
      <c r="S59" s="31">
        <f t="shared" ref="S59:AC59" si="206">IF($E59=1,(LOG(G59,2)+1),IF($E59=0,(LOG(1-G59,2)+1),""))</f>
        <v>0.9259994186</v>
      </c>
      <c r="T59" s="31">
        <f t="shared" si="206"/>
        <v>0.2630344058</v>
      </c>
      <c r="U59" s="31">
        <f t="shared" si="206"/>
        <v>0.6780719051</v>
      </c>
      <c r="V59" s="31">
        <f t="shared" si="206"/>
        <v>0</v>
      </c>
      <c r="W59" s="31">
        <f t="shared" si="206"/>
        <v>0.5849625007</v>
      </c>
      <c r="X59" s="31">
        <f t="shared" si="206"/>
        <v>0</v>
      </c>
      <c r="Y59" s="31">
        <f t="shared" si="206"/>
        <v>0.2630344058</v>
      </c>
      <c r="Z59" s="31">
        <f t="shared" si="206"/>
        <v>0.6780719051</v>
      </c>
      <c r="AA59" s="31">
        <f t="shared" si="206"/>
        <v>-0.5145731728</v>
      </c>
      <c r="AB59" s="31">
        <f t="shared" si="206"/>
        <v>0</v>
      </c>
      <c r="AC59" s="31">
        <f t="shared" si="206"/>
        <v>-0.3219280949</v>
      </c>
      <c r="AD59" s="41"/>
      <c r="AE59" s="31">
        <f t="shared" si="6"/>
        <v>13.37394711</v>
      </c>
      <c r="AF59" s="31">
        <f t="shared" si="7"/>
        <v>0.6166666667</v>
      </c>
      <c r="AG59" s="31">
        <f t="shared" si="8"/>
        <v>0.03242424242</v>
      </c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2" t="str">
        <f t="shared" ref="AT59:BE59" si="207">IF(F59=MIN($F59:$Q59),"Yes","")</f>
        <v/>
      </c>
      <c r="AU59" s="32" t="str">
        <f t="shared" si="207"/>
        <v/>
      </c>
      <c r="AV59" s="32" t="str">
        <f t="shared" si="207"/>
        <v/>
      </c>
      <c r="AW59" s="32" t="str">
        <f t="shared" si="207"/>
        <v/>
      </c>
      <c r="AX59" s="32" t="str">
        <f t="shared" si="207"/>
        <v/>
      </c>
      <c r="AY59" s="32" t="str">
        <f t="shared" si="207"/>
        <v/>
      </c>
      <c r="AZ59" s="32" t="str">
        <f t="shared" si="207"/>
        <v/>
      </c>
      <c r="BA59" s="32" t="str">
        <f t="shared" si="207"/>
        <v/>
      </c>
      <c r="BB59" s="32" t="str">
        <f t="shared" si="207"/>
        <v/>
      </c>
      <c r="BC59" s="32" t="str">
        <f t="shared" si="207"/>
        <v>Yes</v>
      </c>
      <c r="BD59" s="32" t="str">
        <f t="shared" si="207"/>
        <v/>
      </c>
      <c r="BE59" s="32" t="str">
        <f t="shared" si="207"/>
        <v/>
      </c>
      <c r="BF59" s="32" t="str">
        <f t="shared" ref="BF59:BQ59" si="208">IF(F59=MAX($F59:$Q59),"Yes","")</f>
        <v/>
      </c>
      <c r="BG59" s="32" t="str">
        <f t="shared" si="208"/>
        <v>Yes</v>
      </c>
      <c r="BH59" s="32" t="str">
        <f t="shared" si="208"/>
        <v/>
      </c>
      <c r="BI59" s="32" t="str">
        <f t="shared" si="208"/>
        <v/>
      </c>
      <c r="BJ59" s="32" t="str">
        <f t="shared" si="208"/>
        <v/>
      </c>
      <c r="BK59" s="32" t="str">
        <f t="shared" si="208"/>
        <v/>
      </c>
      <c r="BL59" s="32" t="str">
        <f t="shared" si="208"/>
        <v/>
      </c>
      <c r="BM59" s="32" t="str">
        <f t="shared" si="208"/>
        <v/>
      </c>
      <c r="BN59" s="32" t="str">
        <f t="shared" si="208"/>
        <v/>
      </c>
      <c r="BO59" s="32" t="str">
        <f t="shared" si="208"/>
        <v/>
      </c>
      <c r="BP59" s="32" t="str">
        <f t="shared" si="208"/>
        <v/>
      </c>
      <c r="BQ59" s="32" t="str">
        <f t="shared" si="208"/>
        <v/>
      </c>
      <c r="BR59" s="32" t="str">
        <f t="shared" si="11"/>
        <v/>
      </c>
      <c r="BS59" s="32" t="str">
        <f t="shared" si="12"/>
        <v/>
      </c>
      <c r="BT59" s="32"/>
      <c r="BU59" s="32"/>
      <c r="BV59" s="32"/>
      <c r="BW59" s="33">
        <f t="shared" si="13"/>
        <v>0</v>
      </c>
      <c r="BX59" s="33">
        <f t="shared" si="14"/>
        <v>0</v>
      </c>
      <c r="BY59" s="34" t="str">
        <f t="shared" si="15"/>
        <v/>
      </c>
      <c r="BZ59" s="33">
        <f t="shared" si="16"/>
        <v>0</v>
      </c>
      <c r="CA59" s="33">
        <f t="shared" si="17"/>
        <v>0</v>
      </c>
      <c r="CB59" s="34" t="str">
        <f t="shared" si="18"/>
        <v/>
      </c>
      <c r="CC59" s="35"/>
      <c r="CD59" s="33"/>
      <c r="CE59" s="34"/>
      <c r="CF59" s="33"/>
      <c r="CG59" s="33"/>
      <c r="CH59" s="34"/>
      <c r="CI59" s="33"/>
      <c r="CJ59" s="33"/>
      <c r="CK59" s="34"/>
    </row>
    <row r="60" ht="12.75" customHeight="1">
      <c r="A60" s="18">
        <v>59.0</v>
      </c>
      <c r="B60" s="18" t="s">
        <v>114</v>
      </c>
      <c r="C60" s="55" t="s">
        <v>122</v>
      </c>
      <c r="D60" s="49"/>
      <c r="E60" s="21">
        <v>0.0</v>
      </c>
      <c r="F60" s="56">
        <f>Andrew!D60</f>
        <v>0.2</v>
      </c>
      <c r="G60" s="58">
        <f>Bruce!D60</f>
        <v>0.6</v>
      </c>
      <c r="H60" s="56">
        <f>Christine!D60</f>
        <v>0.1</v>
      </c>
      <c r="I60" s="58">
        <f>Eileen!D60</f>
        <v>0.6</v>
      </c>
      <c r="J60" s="56">
        <f>Iain!D60</f>
        <v>0.9</v>
      </c>
      <c r="K60" s="58">
        <f>Gael!D60</f>
        <v>0.9</v>
      </c>
      <c r="L60" s="56">
        <f>Jac!D60</f>
        <v>0.3</v>
      </c>
      <c r="M60" s="58">
        <f>James!D60</f>
        <v>0.1</v>
      </c>
      <c r="N60" s="56">
        <f>Kate!D60</f>
        <v>0.2</v>
      </c>
      <c r="O60" s="58">
        <f>Lachy!D60</f>
        <v>0.65</v>
      </c>
      <c r="P60" s="56">
        <f>Pete!D60</f>
        <v>0.1</v>
      </c>
      <c r="Q60" s="58">
        <f>Rohan!D60</f>
        <v>0.55</v>
      </c>
      <c r="R60" s="22">
        <f t="shared" si="27"/>
        <v>0.6780719051</v>
      </c>
      <c r="S60" s="22">
        <f t="shared" ref="S60:AC60" si="209">IF($E60=1,(LOG(G60,2)+1),IF($E60=0,(LOG(1-G60,2)+1),""))</f>
        <v>-0.3219280949</v>
      </c>
      <c r="T60" s="22">
        <f t="shared" si="209"/>
        <v>0.8479969066</v>
      </c>
      <c r="U60" s="22">
        <f t="shared" si="209"/>
        <v>-0.3219280949</v>
      </c>
      <c r="V60" s="22">
        <f t="shared" si="209"/>
        <v>-2.321928095</v>
      </c>
      <c r="W60" s="22">
        <f t="shared" si="209"/>
        <v>-2.321928095</v>
      </c>
      <c r="X60" s="22">
        <f t="shared" si="209"/>
        <v>0.4854268272</v>
      </c>
      <c r="Y60" s="22">
        <f t="shared" si="209"/>
        <v>0.8479969066</v>
      </c>
      <c r="Z60" s="22">
        <f t="shared" si="209"/>
        <v>0.6780719051</v>
      </c>
      <c r="AA60" s="22">
        <f t="shared" si="209"/>
        <v>-0.5145731728</v>
      </c>
      <c r="AB60" s="22">
        <f t="shared" si="209"/>
        <v>0.8479969066</v>
      </c>
      <c r="AC60" s="22">
        <f t="shared" si="209"/>
        <v>-0.1520030934</v>
      </c>
      <c r="AD60" s="41"/>
      <c r="AE60" s="31">
        <f t="shared" si="6"/>
        <v>19.42453384</v>
      </c>
      <c r="AF60" s="31">
        <f t="shared" si="7"/>
        <v>0.4333333333</v>
      </c>
      <c r="AG60" s="31">
        <f t="shared" si="8"/>
        <v>0.09196969697</v>
      </c>
      <c r="AH60" s="46" t="str">
        <f t="shared" ref="AH60:AS60" si="210">IF(F60=MIN($F60:$Q60),LOG(1-F60,2)+1,IF(F60=MAX($F60:$Q60),LOG(F60,2)+1,""))</f>
        <v/>
      </c>
      <c r="AI60" s="46" t="str">
        <f t="shared" si="210"/>
        <v/>
      </c>
      <c r="AJ60" s="46">
        <f t="shared" si="210"/>
        <v>0.8479969066</v>
      </c>
      <c r="AK60" s="46" t="str">
        <f t="shared" si="210"/>
        <v/>
      </c>
      <c r="AL60" s="46">
        <f t="shared" si="210"/>
        <v>0.8479969066</v>
      </c>
      <c r="AM60" s="46">
        <f t="shared" si="210"/>
        <v>0.8479969066</v>
      </c>
      <c r="AN60" s="46" t="str">
        <f t="shared" si="210"/>
        <v/>
      </c>
      <c r="AO60" s="46">
        <f t="shared" si="210"/>
        <v>0.8479969066</v>
      </c>
      <c r="AP60" s="46" t="str">
        <f t="shared" si="210"/>
        <v/>
      </c>
      <c r="AQ60" s="46" t="str">
        <f t="shared" si="210"/>
        <v/>
      </c>
      <c r="AR60" s="46">
        <f t="shared" si="210"/>
        <v>0.8479969066</v>
      </c>
      <c r="AS60" s="46" t="str">
        <f t="shared" si="210"/>
        <v/>
      </c>
      <c r="AT60" s="32" t="str">
        <f t="shared" ref="AT60:BE60" si="211">IF(F60=MIN($F60:$Q60),"Yes","")</f>
        <v/>
      </c>
      <c r="AU60" s="32" t="str">
        <f t="shared" si="211"/>
        <v/>
      </c>
      <c r="AV60" s="32" t="str">
        <f t="shared" si="211"/>
        <v>Yes</v>
      </c>
      <c r="AW60" s="32" t="str">
        <f t="shared" si="211"/>
        <v/>
      </c>
      <c r="AX60" s="32" t="str">
        <f t="shared" si="211"/>
        <v/>
      </c>
      <c r="AY60" s="32" t="str">
        <f t="shared" si="211"/>
        <v/>
      </c>
      <c r="AZ60" s="32" t="str">
        <f t="shared" si="211"/>
        <v/>
      </c>
      <c r="BA60" s="32" t="str">
        <f t="shared" si="211"/>
        <v>Yes</v>
      </c>
      <c r="BB60" s="32" t="str">
        <f t="shared" si="211"/>
        <v/>
      </c>
      <c r="BC60" s="32" t="str">
        <f t="shared" si="211"/>
        <v/>
      </c>
      <c r="BD60" s="32" t="str">
        <f t="shared" si="211"/>
        <v>Yes</v>
      </c>
      <c r="BE60" s="32" t="str">
        <f t="shared" si="211"/>
        <v/>
      </c>
      <c r="BF60" s="32" t="str">
        <f t="shared" ref="BF60:BQ60" si="212">IF(F60=MAX($F60:$Q60),"Yes","")</f>
        <v/>
      </c>
      <c r="BG60" s="32" t="str">
        <f t="shared" si="212"/>
        <v/>
      </c>
      <c r="BH60" s="32" t="str">
        <f t="shared" si="212"/>
        <v/>
      </c>
      <c r="BI60" s="32" t="str">
        <f t="shared" si="212"/>
        <v/>
      </c>
      <c r="BJ60" s="32" t="str">
        <f t="shared" si="212"/>
        <v>Yes</v>
      </c>
      <c r="BK60" s="32" t="str">
        <f t="shared" si="212"/>
        <v>Yes</v>
      </c>
      <c r="BL60" s="32" t="str">
        <f t="shared" si="212"/>
        <v/>
      </c>
      <c r="BM60" s="32" t="str">
        <f t="shared" si="212"/>
        <v/>
      </c>
      <c r="BN60" s="32" t="str">
        <f t="shared" si="212"/>
        <v/>
      </c>
      <c r="BO60" s="32" t="str">
        <f t="shared" si="212"/>
        <v/>
      </c>
      <c r="BP60" s="32" t="str">
        <f t="shared" si="212"/>
        <v/>
      </c>
      <c r="BQ60" s="32" t="str">
        <f t="shared" si="212"/>
        <v/>
      </c>
      <c r="BR60" s="32" t="str">
        <f t="shared" si="11"/>
        <v/>
      </c>
      <c r="BS60" s="32" t="str">
        <f t="shared" si="12"/>
        <v/>
      </c>
      <c r="BT60" s="32"/>
      <c r="BU60" s="32"/>
      <c r="BV60" s="32"/>
      <c r="BW60" s="33">
        <f t="shared" si="13"/>
        <v>0</v>
      </c>
      <c r="BX60" s="33">
        <f t="shared" si="14"/>
        <v>0</v>
      </c>
      <c r="BY60" s="34" t="str">
        <f t="shared" si="15"/>
        <v/>
      </c>
      <c r="BZ60" s="33">
        <f t="shared" si="16"/>
        <v>0</v>
      </c>
      <c r="CA60" s="33">
        <f t="shared" si="17"/>
        <v>0</v>
      </c>
      <c r="CB60" s="34" t="str">
        <f t="shared" si="18"/>
        <v/>
      </c>
      <c r="CC60" s="35"/>
      <c r="CD60" s="33"/>
      <c r="CE60" s="34"/>
      <c r="CF60" s="33"/>
      <c r="CG60" s="33"/>
      <c r="CH60" s="34"/>
      <c r="CI60" s="33"/>
      <c r="CJ60" s="33"/>
      <c r="CK60" s="34"/>
    </row>
    <row r="61" ht="12.75" customHeight="1">
      <c r="A61" s="36">
        <v>60.0</v>
      </c>
      <c r="B61" s="36" t="s">
        <v>114</v>
      </c>
      <c r="C61" s="37" t="s">
        <v>123</v>
      </c>
      <c r="D61" s="38"/>
      <c r="E61" s="39">
        <v>1.0</v>
      </c>
      <c r="F61" s="31">
        <f>Andrew!D61</f>
        <v>0.45</v>
      </c>
      <c r="G61" s="31">
        <f>Bruce!D61</f>
        <v>0.7</v>
      </c>
      <c r="H61" s="31">
        <f>Christine!D61</f>
        <v>0.5</v>
      </c>
      <c r="I61" s="31">
        <f>Eileen!D61</f>
        <v>0.7</v>
      </c>
      <c r="J61" s="31">
        <f>Iain!D61</f>
        <v>0.7</v>
      </c>
      <c r="K61" s="31">
        <f>Gael!D61</f>
        <v>0.75</v>
      </c>
      <c r="L61" s="31">
        <f>Jac!D61</f>
        <v>0.9</v>
      </c>
      <c r="M61" s="31">
        <f>James!D61</f>
        <v>0.5</v>
      </c>
      <c r="N61" s="31">
        <f>Kate!D61</f>
        <v>0.2</v>
      </c>
      <c r="O61" s="40">
        <f>Lachy!D61</f>
        <v>0.999</v>
      </c>
      <c r="P61" s="31">
        <f>Pete!D61</f>
        <v>0.5</v>
      </c>
      <c r="Q61" s="31">
        <f>Rohan!D61</f>
        <v>0.3</v>
      </c>
      <c r="R61" s="31">
        <f t="shared" si="27"/>
        <v>-0.1520030934</v>
      </c>
      <c r="S61" s="31">
        <f t="shared" ref="S61:AC61" si="213">IF($E61=1,(LOG(G61,2)+1),IF($E61=0,(LOG(1-G61,2)+1),""))</f>
        <v>0.4854268272</v>
      </c>
      <c r="T61" s="31">
        <f t="shared" si="213"/>
        <v>0</v>
      </c>
      <c r="U61" s="31">
        <f t="shared" si="213"/>
        <v>0.4854268272</v>
      </c>
      <c r="V61" s="31">
        <f t="shared" si="213"/>
        <v>0.4854268272</v>
      </c>
      <c r="W61" s="31">
        <f t="shared" si="213"/>
        <v>0.5849625007</v>
      </c>
      <c r="X61" s="31">
        <f t="shared" si="213"/>
        <v>0.8479969066</v>
      </c>
      <c r="Y61" s="31">
        <f t="shared" si="213"/>
        <v>0</v>
      </c>
      <c r="Z61" s="31">
        <f t="shared" si="213"/>
        <v>-1.321928095</v>
      </c>
      <c r="AA61" s="31">
        <f t="shared" si="213"/>
        <v>0.9985565831</v>
      </c>
      <c r="AB61" s="31">
        <f t="shared" si="213"/>
        <v>0</v>
      </c>
      <c r="AC61" s="31">
        <f t="shared" si="213"/>
        <v>-0.7369655942</v>
      </c>
      <c r="AD61" s="41"/>
      <c r="AE61" s="31">
        <f t="shared" si="6"/>
        <v>21.31929144</v>
      </c>
      <c r="AF61" s="31">
        <f t="shared" si="7"/>
        <v>0.5999166667</v>
      </c>
      <c r="AG61" s="31">
        <f t="shared" si="8"/>
        <v>0.05492735606</v>
      </c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2" t="str">
        <f t="shared" ref="AT61:BE61" si="214">IF(F61=MIN($F61:$Q61),"Yes","")</f>
        <v/>
      </c>
      <c r="AU61" s="32" t="str">
        <f t="shared" si="214"/>
        <v/>
      </c>
      <c r="AV61" s="32" t="str">
        <f t="shared" si="214"/>
        <v/>
      </c>
      <c r="AW61" s="32" t="str">
        <f t="shared" si="214"/>
        <v/>
      </c>
      <c r="AX61" s="32" t="str">
        <f t="shared" si="214"/>
        <v/>
      </c>
      <c r="AY61" s="32" t="str">
        <f t="shared" si="214"/>
        <v/>
      </c>
      <c r="AZ61" s="32" t="str">
        <f t="shared" si="214"/>
        <v/>
      </c>
      <c r="BA61" s="32" t="str">
        <f t="shared" si="214"/>
        <v/>
      </c>
      <c r="BB61" s="32" t="str">
        <f t="shared" si="214"/>
        <v>Yes</v>
      </c>
      <c r="BC61" s="32" t="str">
        <f t="shared" si="214"/>
        <v/>
      </c>
      <c r="BD61" s="32" t="str">
        <f t="shared" si="214"/>
        <v/>
      </c>
      <c r="BE61" s="32" t="str">
        <f t="shared" si="214"/>
        <v/>
      </c>
      <c r="BF61" s="32" t="str">
        <f t="shared" ref="BF61:BQ61" si="215">IF(F61=MAX($F61:$Q61),"Yes","")</f>
        <v/>
      </c>
      <c r="BG61" s="32" t="str">
        <f t="shared" si="215"/>
        <v/>
      </c>
      <c r="BH61" s="32" t="str">
        <f t="shared" si="215"/>
        <v/>
      </c>
      <c r="BI61" s="32" t="str">
        <f t="shared" si="215"/>
        <v/>
      </c>
      <c r="BJ61" s="32" t="str">
        <f t="shared" si="215"/>
        <v/>
      </c>
      <c r="BK61" s="32" t="str">
        <f t="shared" si="215"/>
        <v/>
      </c>
      <c r="BL61" s="32" t="str">
        <f t="shared" si="215"/>
        <v/>
      </c>
      <c r="BM61" s="32" t="str">
        <f t="shared" si="215"/>
        <v/>
      </c>
      <c r="BN61" s="32" t="str">
        <f t="shared" si="215"/>
        <v/>
      </c>
      <c r="BO61" s="32" t="str">
        <f t="shared" si="215"/>
        <v>Yes</v>
      </c>
      <c r="BP61" s="32" t="str">
        <f t="shared" si="215"/>
        <v/>
      </c>
      <c r="BQ61" s="32" t="str">
        <f t="shared" si="215"/>
        <v/>
      </c>
      <c r="BR61" s="32" t="str">
        <f t="shared" si="11"/>
        <v/>
      </c>
      <c r="BS61" s="32" t="str">
        <f t="shared" si="12"/>
        <v/>
      </c>
      <c r="BT61" s="32"/>
      <c r="BU61" s="32"/>
      <c r="BV61" s="32"/>
      <c r="BW61" s="33">
        <f t="shared" si="13"/>
        <v>0</v>
      </c>
      <c r="BX61" s="33">
        <f t="shared" si="14"/>
        <v>0</v>
      </c>
      <c r="BY61" s="34" t="str">
        <f t="shared" si="15"/>
        <v/>
      </c>
      <c r="BZ61" s="33">
        <f t="shared" si="16"/>
        <v>0</v>
      </c>
      <c r="CA61" s="33">
        <f t="shared" si="17"/>
        <v>0</v>
      </c>
      <c r="CB61" s="34" t="str">
        <f t="shared" si="18"/>
        <v/>
      </c>
      <c r="CC61" s="35"/>
      <c r="CD61" s="33"/>
      <c r="CE61" s="34"/>
      <c r="CF61" s="33"/>
      <c r="CG61" s="33"/>
      <c r="CH61" s="34"/>
      <c r="CI61" s="33"/>
      <c r="CJ61" s="33"/>
      <c r="CK61" s="34"/>
    </row>
    <row r="62" ht="12.75" customHeight="1">
      <c r="A62" s="18">
        <v>61.0</v>
      </c>
      <c r="B62" s="18" t="s">
        <v>114</v>
      </c>
      <c r="C62" s="55" t="s">
        <v>124</v>
      </c>
      <c r="D62" s="49"/>
      <c r="E62" s="21">
        <v>0.0</v>
      </c>
      <c r="F62" s="56">
        <f>Andrew!D62</f>
        <v>0.35</v>
      </c>
      <c r="G62" s="58">
        <f>Bruce!D62</f>
        <v>0.6</v>
      </c>
      <c r="H62" s="56">
        <f>Christine!D62</f>
        <v>0.2</v>
      </c>
      <c r="I62" s="58">
        <f>Eileen!D62</f>
        <v>0.6</v>
      </c>
      <c r="J62" s="56">
        <f>Iain!D62</f>
        <v>0.8</v>
      </c>
      <c r="K62" s="58">
        <f>Gael!D62</f>
        <v>0.74</v>
      </c>
      <c r="L62" s="56">
        <f>Jac!D62</f>
        <v>0.1</v>
      </c>
      <c r="M62" s="58">
        <f>James!D62</f>
        <v>0.2</v>
      </c>
      <c r="N62" s="56">
        <f>Kate!D62</f>
        <v>0.1</v>
      </c>
      <c r="O62" s="71">
        <f>Lachy!D62</f>
        <v>0.999</v>
      </c>
      <c r="P62" s="56">
        <f>Pete!D62</f>
        <v>0.8</v>
      </c>
      <c r="Q62" s="58">
        <f>Rohan!D62</f>
        <v>0.5</v>
      </c>
      <c r="R62" s="22">
        <f t="shared" si="27"/>
        <v>0.3785116233</v>
      </c>
      <c r="S62" s="22">
        <f t="shared" ref="S62:AC62" si="216">IF($E62=1,(LOG(G62,2)+1),IF($E62=0,(LOG(1-G62,2)+1),""))</f>
        <v>-0.3219280949</v>
      </c>
      <c r="T62" s="22">
        <f t="shared" si="216"/>
        <v>0.6780719051</v>
      </c>
      <c r="U62" s="22">
        <f t="shared" si="216"/>
        <v>-0.3219280949</v>
      </c>
      <c r="V62" s="22">
        <f t="shared" si="216"/>
        <v>-1.321928095</v>
      </c>
      <c r="W62" s="22">
        <f t="shared" si="216"/>
        <v>-0.9434164716</v>
      </c>
      <c r="X62" s="22">
        <f t="shared" si="216"/>
        <v>0.8479969066</v>
      </c>
      <c r="Y62" s="22">
        <f t="shared" si="216"/>
        <v>0.6780719051</v>
      </c>
      <c r="Z62" s="22">
        <f t="shared" si="216"/>
        <v>0.8479969066</v>
      </c>
      <c r="AA62" s="22">
        <f t="shared" si="216"/>
        <v>-8.965784285</v>
      </c>
      <c r="AB62" s="22">
        <f t="shared" si="216"/>
        <v>-1.321928095</v>
      </c>
      <c r="AC62" s="22">
        <f t="shared" si="216"/>
        <v>0</v>
      </c>
      <c r="AD62" s="41"/>
      <c r="AE62" s="31">
        <f t="shared" si="6"/>
        <v>26.09004472</v>
      </c>
      <c r="AF62" s="31">
        <f t="shared" si="7"/>
        <v>0.4990833333</v>
      </c>
      <c r="AG62" s="31">
        <f t="shared" si="8"/>
        <v>0.0935537197</v>
      </c>
      <c r="AH62" s="46" t="str">
        <f t="shared" ref="AH62:AS62" si="217">IF(F62=MIN($F62:$Q62),LOG(1-F62,2)+1,IF(F62=MAX($F62:$Q62),LOG(F62,2)+1,""))</f>
        <v/>
      </c>
      <c r="AI62" s="46" t="str">
        <f t="shared" si="217"/>
        <v/>
      </c>
      <c r="AJ62" s="46" t="str">
        <f t="shared" si="217"/>
        <v/>
      </c>
      <c r="AK62" s="46" t="str">
        <f t="shared" si="217"/>
        <v/>
      </c>
      <c r="AL62" s="46" t="str">
        <f t="shared" si="217"/>
        <v/>
      </c>
      <c r="AM62" s="46" t="str">
        <f t="shared" si="217"/>
        <v/>
      </c>
      <c r="AN62" s="46">
        <f t="shared" si="217"/>
        <v>0.8479969066</v>
      </c>
      <c r="AO62" s="46" t="str">
        <f t="shared" si="217"/>
        <v/>
      </c>
      <c r="AP62" s="46">
        <f t="shared" si="217"/>
        <v>0.8479969066</v>
      </c>
      <c r="AQ62" s="46">
        <f t="shared" si="217"/>
        <v>0.9985565831</v>
      </c>
      <c r="AR62" s="46" t="str">
        <f t="shared" si="217"/>
        <v/>
      </c>
      <c r="AS62" s="46" t="str">
        <f t="shared" si="217"/>
        <v/>
      </c>
      <c r="AT62" s="32" t="str">
        <f t="shared" ref="AT62:BE62" si="218">IF(F62=MIN($F62:$Q62),"Yes","")</f>
        <v/>
      </c>
      <c r="AU62" s="32" t="str">
        <f t="shared" si="218"/>
        <v/>
      </c>
      <c r="AV62" s="32" t="str">
        <f t="shared" si="218"/>
        <v/>
      </c>
      <c r="AW62" s="32" t="str">
        <f t="shared" si="218"/>
        <v/>
      </c>
      <c r="AX62" s="32" t="str">
        <f t="shared" si="218"/>
        <v/>
      </c>
      <c r="AY62" s="32" t="str">
        <f t="shared" si="218"/>
        <v/>
      </c>
      <c r="AZ62" s="32" t="str">
        <f t="shared" si="218"/>
        <v>Yes</v>
      </c>
      <c r="BA62" s="32" t="str">
        <f t="shared" si="218"/>
        <v/>
      </c>
      <c r="BB62" s="32" t="str">
        <f t="shared" si="218"/>
        <v>Yes</v>
      </c>
      <c r="BC62" s="32" t="str">
        <f t="shared" si="218"/>
        <v/>
      </c>
      <c r="BD62" s="32" t="str">
        <f t="shared" si="218"/>
        <v/>
      </c>
      <c r="BE62" s="32" t="str">
        <f t="shared" si="218"/>
        <v/>
      </c>
      <c r="BF62" s="32" t="str">
        <f t="shared" ref="BF62:BQ62" si="219">IF(F62=MAX($F62:$Q62),"Yes","")</f>
        <v/>
      </c>
      <c r="BG62" s="32" t="str">
        <f t="shared" si="219"/>
        <v/>
      </c>
      <c r="BH62" s="32" t="str">
        <f t="shared" si="219"/>
        <v/>
      </c>
      <c r="BI62" s="32" t="str">
        <f t="shared" si="219"/>
        <v/>
      </c>
      <c r="BJ62" s="32" t="str">
        <f t="shared" si="219"/>
        <v/>
      </c>
      <c r="BK62" s="32" t="str">
        <f t="shared" si="219"/>
        <v/>
      </c>
      <c r="BL62" s="32" t="str">
        <f t="shared" si="219"/>
        <v/>
      </c>
      <c r="BM62" s="32" t="str">
        <f t="shared" si="219"/>
        <v/>
      </c>
      <c r="BN62" s="32" t="str">
        <f t="shared" si="219"/>
        <v/>
      </c>
      <c r="BO62" s="32" t="str">
        <f t="shared" si="219"/>
        <v>Yes</v>
      </c>
      <c r="BP62" s="32" t="str">
        <f t="shared" si="219"/>
        <v/>
      </c>
      <c r="BQ62" s="32" t="str">
        <f t="shared" si="219"/>
        <v/>
      </c>
      <c r="BR62" s="32" t="str">
        <f t="shared" si="11"/>
        <v/>
      </c>
      <c r="BS62" s="32" t="str">
        <f t="shared" si="12"/>
        <v/>
      </c>
      <c r="BT62" s="32"/>
      <c r="BU62" s="32"/>
      <c r="BV62" s="32"/>
      <c r="BW62" s="33">
        <f t="shared" si="13"/>
        <v>0</v>
      </c>
      <c r="BX62" s="33">
        <f t="shared" si="14"/>
        <v>0</v>
      </c>
      <c r="BY62" s="34" t="str">
        <f t="shared" si="15"/>
        <v/>
      </c>
      <c r="BZ62" s="33">
        <f t="shared" si="16"/>
        <v>0</v>
      </c>
      <c r="CA62" s="33">
        <f t="shared" si="17"/>
        <v>0</v>
      </c>
      <c r="CB62" s="34" t="str">
        <f t="shared" si="18"/>
        <v/>
      </c>
      <c r="CC62" s="35" t="s">
        <v>63</v>
      </c>
      <c r="CD62" s="33"/>
      <c r="CE62" s="34"/>
      <c r="CF62" s="33"/>
      <c r="CG62" s="33"/>
      <c r="CH62" s="34"/>
      <c r="CI62" s="33"/>
      <c r="CJ62" s="33"/>
      <c r="CK62" s="34"/>
    </row>
    <row r="63" ht="12.75" customHeight="1">
      <c r="A63" s="36">
        <v>62.0</v>
      </c>
      <c r="B63" s="36" t="s">
        <v>114</v>
      </c>
      <c r="C63" s="44" t="s">
        <v>125</v>
      </c>
      <c r="D63" s="38"/>
      <c r="E63" s="39">
        <v>0.0</v>
      </c>
      <c r="F63" s="46">
        <f>Andrew!D63</f>
        <v>0.7</v>
      </c>
      <c r="G63" s="46">
        <f>Bruce!D63</f>
        <v>0.2</v>
      </c>
      <c r="H63" s="46">
        <f>Christine!D63</f>
        <v>0.2</v>
      </c>
      <c r="I63" s="46">
        <f>Eileen!D63</f>
        <v>0.8</v>
      </c>
      <c r="J63" s="46">
        <f>Iain!D63</f>
        <v>0.8</v>
      </c>
      <c r="K63" s="46">
        <f>Gael!D63</f>
        <v>0.8</v>
      </c>
      <c r="L63" s="46">
        <f>Jac!D63</f>
        <v>0.99999</v>
      </c>
      <c r="M63" s="46">
        <f>James!D63</f>
        <v>0.2</v>
      </c>
      <c r="N63" s="46">
        <f>Kate!D63</f>
        <v>0.9</v>
      </c>
      <c r="O63" s="46">
        <f>Lachy!D63</f>
        <v>0.15</v>
      </c>
      <c r="P63" s="46">
        <f>Pete!D63</f>
        <v>0.6</v>
      </c>
      <c r="Q63" s="46">
        <f>Rohan!D63</f>
        <v>0.45</v>
      </c>
      <c r="R63" s="31">
        <f t="shared" si="27"/>
        <v>-0.7369655942</v>
      </c>
      <c r="S63" s="31">
        <f t="shared" ref="S63:AC63" si="220">IF($E63=1,(LOG(G63,2)+1),IF($E63=0,(LOG(1-G63,2)+1),""))</f>
        <v>0.6780719051</v>
      </c>
      <c r="T63" s="31">
        <f t="shared" si="220"/>
        <v>0.6780719051</v>
      </c>
      <c r="U63" s="31">
        <f t="shared" si="220"/>
        <v>-1.321928095</v>
      </c>
      <c r="V63" s="31">
        <f t="shared" si="220"/>
        <v>-1.321928095</v>
      </c>
      <c r="W63" s="31">
        <f t="shared" si="220"/>
        <v>-1.321928095</v>
      </c>
      <c r="X63" s="31">
        <f t="shared" si="220"/>
        <v>-15.60964047</v>
      </c>
      <c r="Y63" s="31">
        <f t="shared" si="220"/>
        <v>0.6780719051</v>
      </c>
      <c r="Z63" s="31">
        <f t="shared" si="220"/>
        <v>-2.321928095</v>
      </c>
      <c r="AA63" s="31">
        <f t="shared" si="220"/>
        <v>0.7655347464</v>
      </c>
      <c r="AB63" s="31">
        <f t="shared" si="220"/>
        <v>-0.3219280949</v>
      </c>
      <c r="AC63" s="31">
        <f t="shared" si="220"/>
        <v>0.1375035237</v>
      </c>
      <c r="AD63" s="41"/>
      <c r="AE63" s="31">
        <f t="shared" si="6"/>
        <v>36.37891293</v>
      </c>
      <c r="AF63" s="31">
        <f t="shared" si="7"/>
        <v>0.5666658333</v>
      </c>
      <c r="AG63" s="31">
        <f t="shared" si="8"/>
        <v>0.09742345455</v>
      </c>
      <c r="AH63" s="46" t="str">
        <f t="shared" ref="AH63:AS63" si="221">IF(F63=MIN($F63:$Q63),LOG(1-F63,2)+1,IF(F63=MAX($F63:$Q63),LOG(F63,2)+1,""))</f>
        <v/>
      </c>
      <c r="AI63" s="46" t="str">
        <f t="shared" si="221"/>
        <v/>
      </c>
      <c r="AJ63" s="46" t="str">
        <f t="shared" si="221"/>
        <v/>
      </c>
      <c r="AK63" s="46" t="str">
        <f t="shared" si="221"/>
        <v/>
      </c>
      <c r="AL63" s="46" t="str">
        <f t="shared" si="221"/>
        <v/>
      </c>
      <c r="AM63" s="46" t="str">
        <f t="shared" si="221"/>
        <v/>
      </c>
      <c r="AN63" s="46">
        <f t="shared" si="221"/>
        <v>0.999985573</v>
      </c>
      <c r="AO63" s="46" t="str">
        <f t="shared" si="221"/>
        <v/>
      </c>
      <c r="AP63" s="46" t="str">
        <f t="shared" si="221"/>
        <v/>
      </c>
      <c r="AQ63" s="46">
        <f t="shared" si="221"/>
        <v>0.7655347464</v>
      </c>
      <c r="AR63" s="46" t="str">
        <f t="shared" si="221"/>
        <v/>
      </c>
      <c r="AS63" s="46" t="str">
        <f t="shared" si="221"/>
        <v/>
      </c>
      <c r="AT63" s="32" t="str">
        <f t="shared" ref="AT63:BE63" si="222">IF(F63=MIN($F63:$Q63),"Yes","")</f>
        <v/>
      </c>
      <c r="AU63" s="32" t="str">
        <f t="shared" si="222"/>
        <v/>
      </c>
      <c r="AV63" s="32" t="str">
        <f t="shared" si="222"/>
        <v/>
      </c>
      <c r="AW63" s="32" t="str">
        <f t="shared" si="222"/>
        <v/>
      </c>
      <c r="AX63" s="32" t="str">
        <f t="shared" si="222"/>
        <v/>
      </c>
      <c r="AY63" s="32" t="str">
        <f t="shared" si="222"/>
        <v/>
      </c>
      <c r="AZ63" s="32" t="str">
        <f t="shared" si="222"/>
        <v/>
      </c>
      <c r="BA63" s="32" t="str">
        <f t="shared" si="222"/>
        <v/>
      </c>
      <c r="BB63" s="32" t="str">
        <f t="shared" si="222"/>
        <v/>
      </c>
      <c r="BC63" s="32" t="str">
        <f t="shared" si="222"/>
        <v>Yes</v>
      </c>
      <c r="BD63" s="32" t="str">
        <f t="shared" si="222"/>
        <v/>
      </c>
      <c r="BE63" s="32" t="str">
        <f t="shared" si="222"/>
        <v/>
      </c>
      <c r="BF63" s="32" t="str">
        <f t="shared" ref="BF63:BQ63" si="223">IF(F63=MAX($F63:$Q63),"Yes","")</f>
        <v/>
      </c>
      <c r="BG63" s="32" t="str">
        <f t="shared" si="223"/>
        <v/>
      </c>
      <c r="BH63" s="32" t="str">
        <f t="shared" si="223"/>
        <v/>
      </c>
      <c r="BI63" s="32" t="str">
        <f t="shared" si="223"/>
        <v/>
      </c>
      <c r="BJ63" s="32" t="str">
        <f t="shared" si="223"/>
        <v/>
      </c>
      <c r="BK63" s="32" t="str">
        <f t="shared" si="223"/>
        <v/>
      </c>
      <c r="BL63" s="32" t="str">
        <f t="shared" si="223"/>
        <v>Yes</v>
      </c>
      <c r="BM63" s="32" t="str">
        <f t="shared" si="223"/>
        <v/>
      </c>
      <c r="BN63" s="32" t="str">
        <f t="shared" si="223"/>
        <v/>
      </c>
      <c r="BO63" s="32" t="str">
        <f t="shared" si="223"/>
        <v/>
      </c>
      <c r="BP63" s="32" t="str">
        <f t="shared" si="223"/>
        <v/>
      </c>
      <c r="BQ63" s="32" t="str">
        <f t="shared" si="223"/>
        <v/>
      </c>
      <c r="BR63" s="32" t="str">
        <f t="shared" si="11"/>
        <v>Yes</v>
      </c>
      <c r="BS63" s="32" t="str">
        <f t="shared" si="12"/>
        <v>Yes</v>
      </c>
      <c r="BT63" s="32"/>
      <c r="BU63" s="32"/>
      <c r="BV63" s="32"/>
      <c r="BW63" s="33">
        <f t="shared" si="13"/>
        <v>-0.2</v>
      </c>
      <c r="BX63" s="33">
        <f t="shared" si="14"/>
        <v>0.7</v>
      </c>
      <c r="BY63" s="34">
        <f t="shared" si="15"/>
        <v>0.9</v>
      </c>
      <c r="BZ63" s="33">
        <f t="shared" si="16"/>
        <v>-0.99999</v>
      </c>
      <c r="CA63" s="33">
        <f t="shared" si="17"/>
        <v>0.2</v>
      </c>
      <c r="CB63" s="34">
        <f t="shared" si="18"/>
        <v>1.19999</v>
      </c>
      <c r="CC63" s="35"/>
      <c r="CD63" s="33"/>
      <c r="CE63" s="34"/>
      <c r="CF63" s="33"/>
      <c r="CG63" s="33"/>
      <c r="CH63" s="34"/>
      <c r="CI63" s="33"/>
      <c r="CJ63" s="33"/>
      <c r="CK63" s="34"/>
    </row>
    <row r="64" ht="12.75" customHeight="1">
      <c r="A64" s="18">
        <v>63.0</v>
      </c>
      <c r="B64" s="18" t="s">
        <v>114</v>
      </c>
      <c r="C64" s="19" t="s">
        <v>126</v>
      </c>
      <c r="D64" s="49"/>
      <c r="E64" s="21">
        <v>0.0</v>
      </c>
      <c r="F64" s="22">
        <f>Andrew!D64</f>
        <v>0.4</v>
      </c>
      <c r="G64" s="26">
        <f>Bruce!D64</f>
        <v>0.6</v>
      </c>
      <c r="H64" s="22">
        <f>Christine!D64</f>
        <v>0.7</v>
      </c>
      <c r="I64" s="26">
        <f>Eileen!D64</f>
        <v>0.3</v>
      </c>
      <c r="J64" s="22">
        <f>Iain!D64</f>
        <v>0.5</v>
      </c>
      <c r="K64" s="26">
        <f>Gael!D64</f>
        <v>0.6</v>
      </c>
      <c r="L64" s="22">
        <f>Jac!D64</f>
        <v>0.6</v>
      </c>
      <c r="M64" s="26">
        <f>James!D64</f>
        <v>0.7</v>
      </c>
      <c r="N64" s="22">
        <f>Kate!D64</f>
        <v>0.2</v>
      </c>
      <c r="O64" s="26">
        <f>Lachy!D64</f>
        <v>0.15</v>
      </c>
      <c r="P64" s="22">
        <f>Pete!D64</f>
        <v>0.1</v>
      </c>
      <c r="Q64" s="26">
        <f>Rohan!D64</f>
        <v>0.5</v>
      </c>
      <c r="R64" s="22">
        <f t="shared" si="27"/>
        <v>0.2630344058</v>
      </c>
      <c r="S64" s="22">
        <f t="shared" ref="S64:AC64" si="224">IF($E64=1,(LOG(G64,2)+1),IF($E64=0,(LOG(1-G64,2)+1),""))</f>
        <v>-0.3219280949</v>
      </c>
      <c r="T64" s="22">
        <f t="shared" si="224"/>
        <v>-0.7369655942</v>
      </c>
      <c r="U64" s="22">
        <f t="shared" si="224"/>
        <v>0.4854268272</v>
      </c>
      <c r="V64" s="22">
        <f t="shared" si="224"/>
        <v>0</v>
      </c>
      <c r="W64" s="22">
        <f t="shared" si="224"/>
        <v>-0.3219280949</v>
      </c>
      <c r="X64" s="22">
        <f t="shared" si="224"/>
        <v>-0.3219280949</v>
      </c>
      <c r="Y64" s="22">
        <f t="shared" si="224"/>
        <v>-0.7369655942</v>
      </c>
      <c r="Z64" s="22">
        <f t="shared" si="224"/>
        <v>0.6780719051</v>
      </c>
      <c r="AA64" s="22">
        <f t="shared" si="224"/>
        <v>0.7655347464</v>
      </c>
      <c r="AB64" s="22">
        <f t="shared" si="224"/>
        <v>0.8479969066</v>
      </c>
      <c r="AC64" s="22">
        <f t="shared" si="224"/>
        <v>0</v>
      </c>
      <c r="AD64" s="41"/>
      <c r="AE64" s="31">
        <f t="shared" si="6"/>
        <v>12.50952761</v>
      </c>
      <c r="AF64" s="31">
        <f t="shared" si="7"/>
        <v>0.4458333333</v>
      </c>
      <c r="AG64" s="31">
        <f t="shared" si="8"/>
        <v>0.04520833333</v>
      </c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2" t="str">
        <f t="shared" ref="AT64:BE64" si="225">IF(F64=MIN($F64:$Q64),"Yes","")</f>
        <v/>
      </c>
      <c r="AU64" s="32" t="str">
        <f t="shared" si="225"/>
        <v/>
      </c>
      <c r="AV64" s="32" t="str">
        <f t="shared" si="225"/>
        <v/>
      </c>
      <c r="AW64" s="32" t="str">
        <f t="shared" si="225"/>
        <v/>
      </c>
      <c r="AX64" s="32" t="str">
        <f t="shared" si="225"/>
        <v/>
      </c>
      <c r="AY64" s="32" t="str">
        <f t="shared" si="225"/>
        <v/>
      </c>
      <c r="AZ64" s="32" t="str">
        <f t="shared" si="225"/>
        <v/>
      </c>
      <c r="BA64" s="32" t="str">
        <f t="shared" si="225"/>
        <v/>
      </c>
      <c r="BB64" s="32" t="str">
        <f t="shared" si="225"/>
        <v/>
      </c>
      <c r="BC64" s="32" t="str">
        <f t="shared" si="225"/>
        <v/>
      </c>
      <c r="BD64" s="32" t="str">
        <f t="shared" si="225"/>
        <v>Yes</v>
      </c>
      <c r="BE64" s="32" t="str">
        <f t="shared" si="225"/>
        <v/>
      </c>
      <c r="BF64" s="32" t="str">
        <f t="shared" ref="BF64:BQ64" si="226">IF(F64=MAX($F64:$Q64),"Yes","")</f>
        <v/>
      </c>
      <c r="BG64" s="32" t="str">
        <f t="shared" si="226"/>
        <v/>
      </c>
      <c r="BH64" s="32" t="str">
        <f t="shared" si="226"/>
        <v>Yes</v>
      </c>
      <c r="BI64" s="32" t="str">
        <f t="shared" si="226"/>
        <v/>
      </c>
      <c r="BJ64" s="32" t="str">
        <f t="shared" si="226"/>
        <v/>
      </c>
      <c r="BK64" s="32" t="str">
        <f t="shared" si="226"/>
        <v/>
      </c>
      <c r="BL64" s="32" t="str">
        <f t="shared" si="226"/>
        <v/>
      </c>
      <c r="BM64" s="32" t="str">
        <f t="shared" si="226"/>
        <v>Yes</v>
      </c>
      <c r="BN64" s="32" t="str">
        <f t="shared" si="226"/>
        <v/>
      </c>
      <c r="BO64" s="32" t="str">
        <f t="shared" si="226"/>
        <v/>
      </c>
      <c r="BP64" s="32" t="str">
        <f t="shared" si="226"/>
        <v/>
      </c>
      <c r="BQ64" s="32" t="str">
        <f t="shared" si="226"/>
        <v/>
      </c>
      <c r="BR64" s="32" t="str">
        <f t="shared" si="11"/>
        <v/>
      </c>
      <c r="BS64" s="32" t="str">
        <f t="shared" si="12"/>
        <v/>
      </c>
      <c r="BT64" s="32"/>
      <c r="BU64" s="32"/>
      <c r="BV64" s="32"/>
      <c r="BW64" s="33">
        <f t="shared" si="13"/>
        <v>0</v>
      </c>
      <c r="BX64" s="33">
        <f t="shared" si="14"/>
        <v>0</v>
      </c>
      <c r="BY64" s="34" t="str">
        <f t="shared" si="15"/>
        <v/>
      </c>
      <c r="BZ64" s="33">
        <f t="shared" si="16"/>
        <v>0</v>
      </c>
      <c r="CA64" s="33">
        <f t="shared" si="17"/>
        <v>0</v>
      </c>
      <c r="CB64" s="34" t="str">
        <f t="shared" si="18"/>
        <v/>
      </c>
      <c r="CC64" s="35"/>
      <c r="CD64" s="33"/>
      <c r="CE64" s="34"/>
      <c r="CF64" s="33"/>
      <c r="CG64" s="33"/>
      <c r="CH64" s="34"/>
      <c r="CI64" s="33"/>
      <c r="CJ64" s="33"/>
      <c r="CK64" s="34"/>
    </row>
    <row r="65" ht="12.75" customHeight="1">
      <c r="A65" s="36">
        <v>64.0</v>
      </c>
      <c r="B65" s="36" t="s">
        <v>127</v>
      </c>
      <c r="C65" s="37" t="s">
        <v>128</v>
      </c>
      <c r="D65" s="38"/>
      <c r="E65" s="39" t="s">
        <v>129</v>
      </c>
      <c r="F65" s="31">
        <f>Andrew!D65</f>
        <v>0</v>
      </c>
      <c r="G65" s="31">
        <f>Bruce!D65</f>
        <v>0</v>
      </c>
      <c r="H65" s="31">
        <f>Christine!D65</f>
        <v>0</v>
      </c>
      <c r="I65" s="31">
        <f>Eileen!D65</f>
        <v>0</v>
      </c>
      <c r="J65" s="31">
        <f>Iain!D65</f>
        <v>0.6</v>
      </c>
      <c r="K65" s="31">
        <f>Gael!D65</f>
        <v>0</v>
      </c>
      <c r="L65" s="31">
        <f>Jac!D65</f>
        <v>0</v>
      </c>
      <c r="M65" s="31">
        <f>James!D65</f>
        <v>0</v>
      </c>
      <c r="N65" s="31">
        <f>Kate!D65</f>
        <v>0.1</v>
      </c>
      <c r="O65" s="31">
        <f>Lachy!D65</f>
        <v>0</v>
      </c>
      <c r="P65" s="31">
        <f>Pete!D65</f>
        <v>0.5</v>
      </c>
      <c r="Q65" s="31">
        <f>Rohan!D65</f>
        <v>0.2</v>
      </c>
      <c r="R65" s="31" t="str">
        <f t="shared" si="27"/>
        <v/>
      </c>
      <c r="S65" s="31" t="str">
        <f t="shared" ref="S65:AC65" si="227">IF($E65=1,(LOG(G65,2)+1),IF($E65=0,(LOG(1-G65,2)+1),""))</f>
        <v/>
      </c>
      <c r="T65" s="31" t="str">
        <f t="shared" si="227"/>
        <v/>
      </c>
      <c r="U65" s="31" t="str">
        <f t="shared" si="227"/>
        <v/>
      </c>
      <c r="V65" s="31" t="str">
        <f t="shared" si="227"/>
        <v/>
      </c>
      <c r="W65" s="31" t="str">
        <f t="shared" si="227"/>
        <v/>
      </c>
      <c r="X65" s="31" t="str">
        <f t="shared" si="227"/>
        <v/>
      </c>
      <c r="Y65" s="31" t="str">
        <f t="shared" si="227"/>
        <v/>
      </c>
      <c r="Z65" s="31" t="str">
        <f t="shared" si="227"/>
        <v/>
      </c>
      <c r="AA65" s="31" t="str">
        <f t="shared" si="227"/>
        <v/>
      </c>
      <c r="AB65" s="31" t="str">
        <f t="shared" si="227"/>
        <v/>
      </c>
      <c r="AC65" s="31" t="str">
        <f t="shared" si="227"/>
        <v/>
      </c>
      <c r="AD65" s="41"/>
      <c r="AE65" s="31" t="str">
        <f t="shared" si="6"/>
        <v>#NUM!</v>
      </c>
      <c r="AF65" s="31">
        <f t="shared" si="7"/>
        <v>0.1166666667</v>
      </c>
      <c r="AG65" s="31">
        <f t="shared" si="8"/>
        <v>0.04515151515</v>
      </c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2" t="str">
        <f t="shared" ref="AT65:BE65" si="228">IF(F65=MIN($F65:$Q65),"Yes","")</f>
        <v>Yes</v>
      </c>
      <c r="AU65" s="32" t="str">
        <f t="shared" si="228"/>
        <v>Yes</v>
      </c>
      <c r="AV65" s="32" t="str">
        <f t="shared" si="228"/>
        <v>Yes</v>
      </c>
      <c r="AW65" s="32" t="str">
        <f t="shared" si="228"/>
        <v>Yes</v>
      </c>
      <c r="AX65" s="32" t="str">
        <f t="shared" si="228"/>
        <v/>
      </c>
      <c r="AY65" s="32" t="str">
        <f t="shared" si="228"/>
        <v>Yes</v>
      </c>
      <c r="AZ65" s="32" t="str">
        <f t="shared" si="228"/>
        <v>Yes</v>
      </c>
      <c r="BA65" s="32" t="str">
        <f t="shared" si="228"/>
        <v>Yes</v>
      </c>
      <c r="BB65" s="32" t="str">
        <f t="shared" si="228"/>
        <v/>
      </c>
      <c r="BC65" s="32" t="str">
        <f t="shared" si="228"/>
        <v>Yes</v>
      </c>
      <c r="BD65" s="32" t="str">
        <f t="shared" si="228"/>
        <v/>
      </c>
      <c r="BE65" s="32" t="str">
        <f t="shared" si="228"/>
        <v/>
      </c>
      <c r="BF65" s="32" t="str">
        <f t="shared" ref="BF65:BQ65" si="229">IF(F65=MAX($F65:$Q65),"Yes","")</f>
        <v/>
      </c>
      <c r="BG65" s="32" t="str">
        <f t="shared" si="229"/>
        <v/>
      </c>
      <c r="BH65" s="32" t="str">
        <f t="shared" si="229"/>
        <v/>
      </c>
      <c r="BI65" s="32" t="str">
        <f t="shared" si="229"/>
        <v/>
      </c>
      <c r="BJ65" s="32" t="str">
        <f t="shared" si="229"/>
        <v>Yes</v>
      </c>
      <c r="BK65" s="32" t="str">
        <f t="shared" si="229"/>
        <v/>
      </c>
      <c r="BL65" s="32" t="str">
        <f t="shared" si="229"/>
        <v/>
      </c>
      <c r="BM65" s="32" t="str">
        <f t="shared" si="229"/>
        <v/>
      </c>
      <c r="BN65" s="32" t="str">
        <f t="shared" si="229"/>
        <v/>
      </c>
      <c r="BO65" s="32" t="str">
        <f t="shared" si="229"/>
        <v/>
      </c>
      <c r="BP65" s="32" t="str">
        <f t="shared" si="229"/>
        <v/>
      </c>
      <c r="BQ65" s="32" t="str">
        <f t="shared" si="229"/>
        <v/>
      </c>
      <c r="BR65" s="32" t="str">
        <f t="shared" si="11"/>
        <v/>
      </c>
      <c r="BS65" s="32" t="str">
        <f t="shared" si="12"/>
        <v/>
      </c>
      <c r="BT65" s="32"/>
      <c r="BU65" s="32"/>
      <c r="BV65" s="32"/>
      <c r="BW65" s="33">
        <f t="shared" si="13"/>
        <v>0</v>
      </c>
      <c r="BX65" s="33">
        <f t="shared" si="14"/>
        <v>0</v>
      </c>
      <c r="BY65" s="34" t="str">
        <f t="shared" si="15"/>
        <v/>
      </c>
      <c r="BZ65" s="33">
        <f t="shared" si="16"/>
        <v>0</v>
      </c>
      <c r="CA65" s="33">
        <f t="shared" si="17"/>
        <v>0</v>
      </c>
      <c r="CB65" s="34" t="str">
        <f t="shared" si="18"/>
        <v/>
      </c>
      <c r="CC65" s="35"/>
      <c r="CD65" s="33"/>
      <c r="CE65" s="34"/>
      <c r="CF65" s="33"/>
      <c r="CG65" s="33"/>
      <c r="CH65" s="34"/>
      <c r="CI65" s="33"/>
      <c r="CJ65" s="33"/>
      <c r="CK65" s="34"/>
    </row>
    <row r="66" ht="12.75" customHeight="1">
      <c r="A66" s="18">
        <v>65.0</v>
      </c>
      <c r="B66" s="18" t="s">
        <v>127</v>
      </c>
      <c r="C66" s="19" t="s">
        <v>130</v>
      </c>
      <c r="D66" s="49"/>
      <c r="E66" s="21">
        <v>0.0</v>
      </c>
      <c r="F66" s="22">
        <f>Andrew!D66</f>
        <v>0.5</v>
      </c>
      <c r="G66" s="26">
        <f>Bruce!D66</f>
        <v>0.1</v>
      </c>
      <c r="H66" s="22">
        <f>Christine!D66</f>
        <v>0.5</v>
      </c>
      <c r="I66" s="26">
        <f>Eileen!D66</f>
        <v>0.5</v>
      </c>
      <c r="J66" s="22">
        <f>Iain!D66</f>
        <v>0.3</v>
      </c>
      <c r="K66" s="26">
        <f>Gael!D66</f>
        <v>0.6</v>
      </c>
      <c r="L66" s="22">
        <f>Jac!D66</f>
        <v>0.2</v>
      </c>
      <c r="M66" s="26">
        <f>James!D66</f>
        <v>0.5</v>
      </c>
      <c r="N66" s="22">
        <f>Kate!D66</f>
        <v>0.1</v>
      </c>
      <c r="O66" s="26">
        <f>Lachy!D66</f>
        <v>0.5</v>
      </c>
      <c r="P66" s="22">
        <f>Pete!D66</f>
        <v>0.1</v>
      </c>
      <c r="Q66" s="26">
        <f>Rohan!D66</f>
        <v>0.1</v>
      </c>
      <c r="R66" s="22">
        <f t="shared" si="27"/>
        <v>0</v>
      </c>
      <c r="S66" s="22">
        <f t="shared" ref="S66:AC66" si="230">IF($E66=1,(LOG(G66,2)+1),IF($E66=0,(LOG(1-G66,2)+1),""))</f>
        <v>0.8479969066</v>
      </c>
      <c r="T66" s="22">
        <f t="shared" si="230"/>
        <v>0</v>
      </c>
      <c r="U66" s="22">
        <f t="shared" si="230"/>
        <v>0</v>
      </c>
      <c r="V66" s="22">
        <f t="shared" si="230"/>
        <v>0.4854268272</v>
      </c>
      <c r="W66" s="22">
        <f t="shared" si="230"/>
        <v>-0.3219280949</v>
      </c>
      <c r="X66" s="22">
        <f t="shared" si="230"/>
        <v>0.6780719051</v>
      </c>
      <c r="Y66" s="22">
        <f t="shared" si="230"/>
        <v>0</v>
      </c>
      <c r="Z66" s="22">
        <f t="shared" si="230"/>
        <v>0.8479969066</v>
      </c>
      <c r="AA66" s="22">
        <f t="shared" si="230"/>
        <v>0</v>
      </c>
      <c r="AB66" s="22">
        <f t="shared" si="230"/>
        <v>0.8479969066</v>
      </c>
      <c r="AC66" s="22">
        <f t="shared" si="230"/>
        <v>0.8479969066</v>
      </c>
      <c r="AD66" s="41"/>
      <c r="AE66" s="31">
        <f t="shared" si="6"/>
        <v>16.48705493</v>
      </c>
      <c r="AF66" s="31">
        <f t="shared" si="7"/>
        <v>0.3333333333</v>
      </c>
      <c r="AG66" s="31">
        <f t="shared" si="8"/>
        <v>0.04060606061</v>
      </c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2" t="str">
        <f t="shared" ref="AT66:BE66" si="231">IF(F66=MIN($F66:$Q66),"Yes","")</f>
        <v/>
      </c>
      <c r="AU66" s="32" t="str">
        <f t="shared" si="231"/>
        <v>Yes</v>
      </c>
      <c r="AV66" s="32" t="str">
        <f t="shared" si="231"/>
        <v/>
      </c>
      <c r="AW66" s="32" t="str">
        <f t="shared" si="231"/>
        <v/>
      </c>
      <c r="AX66" s="32" t="str">
        <f t="shared" si="231"/>
        <v/>
      </c>
      <c r="AY66" s="32" t="str">
        <f t="shared" si="231"/>
        <v/>
      </c>
      <c r="AZ66" s="32" t="str">
        <f t="shared" si="231"/>
        <v/>
      </c>
      <c r="BA66" s="32" t="str">
        <f t="shared" si="231"/>
        <v/>
      </c>
      <c r="BB66" s="32" t="str">
        <f t="shared" si="231"/>
        <v>Yes</v>
      </c>
      <c r="BC66" s="32" t="str">
        <f t="shared" si="231"/>
        <v/>
      </c>
      <c r="BD66" s="32" t="str">
        <f t="shared" si="231"/>
        <v>Yes</v>
      </c>
      <c r="BE66" s="32" t="str">
        <f t="shared" si="231"/>
        <v>Yes</v>
      </c>
      <c r="BF66" s="32" t="str">
        <f t="shared" ref="BF66:BQ66" si="232">IF(F66=MAX($F66:$Q66),"Yes","")</f>
        <v/>
      </c>
      <c r="BG66" s="32" t="str">
        <f t="shared" si="232"/>
        <v/>
      </c>
      <c r="BH66" s="32" t="str">
        <f t="shared" si="232"/>
        <v/>
      </c>
      <c r="BI66" s="32" t="str">
        <f t="shared" si="232"/>
        <v/>
      </c>
      <c r="BJ66" s="32" t="str">
        <f t="shared" si="232"/>
        <v/>
      </c>
      <c r="BK66" s="32" t="str">
        <f t="shared" si="232"/>
        <v>Yes</v>
      </c>
      <c r="BL66" s="32" t="str">
        <f t="shared" si="232"/>
        <v/>
      </c>
      <c r="BM66" s="32" t="str">
        <f t="shared" si="232"/>
        <v/>
      </c>
      <c r="BN66" s="32" t="str">
        <f t="shared" si="232"/>
        <v/>
      </c>
      <c r="BO66" s="32" t="str">
        <f t="shared" si="232"/>
        <v/>
      </c>
      <c r="BP66" s="32" t="str">
        <f t="shared" si="232"/>
        <v/>
      </c>
      <c r="BQ66" s="32" t="str">
        <f t="shared" si="232"/>
        <v/>
      </c>
      <c r="BR66" s="32" t="str">
        <f t="shared" si="11"/>
        <v/>
      </c>
      <c r="BS66" s="32" t="str">
        <f t="shared" si="12"/>
        <v/>
      </c>
      <c r="BT66" s="32"/>
      <c r="BU66" s="32"/>
      <c r="BV66" s="32"/>
      <c r="BW66" s="33">
        <f t="shared" si="13"/>
        <v>0</v>
      </c>
      <c r="BX66" s="33">
        <f t="shared" si="14"/>
        <v>0</v>
      </c>
      <c r="BY66" s="34" t="str">
        <f t="shared" si="15"/>
        <v/>
      </c>
      <c r="BZ66" s="33">
        <f t="shared" si="16"/>
        <v>0</v>
      </c>
      <c r="CA66" s="33">
        <f t="shared" si="17"/>
        <v>0</v>
      </c>
      <c r="CB66" s="34" t="str">
        <f t="shared" si="18"/>
        <v/>
      </c>
      <c r="CC66" s="35"/>
      <c r="CD66" s="33"/>
      <c r="CE66" s="34"/>
      <c r="CF66" s="33"/>
      <c r="CG66" s="33"/>
      <c r="CH66" s="34"/>
      <c r="CI66" s="33"/>
      <c r="CJ66" s="33"/>
      <c r="CK66" s="34"/>
    </row>
    <row r="67" ht="12.75" customHeight="1">
      <c r="A67" s="36">
        <v>66.0</v>
      </c>
      <c r="B67" s="36" t="s">
        <v>127</v>
      </c>
      <c r="C67" s="37" t="s">
        <v>131</v>
      </c>
      <c r="D67" s="45">
        <v>44792.0</v>
      </c>
      <c r="E67" s="39">
        <v>1.0</v>
      </c>
      <c r="F67" s="31">
        <f>Andrew!D67</f>
        <v>0.5</v>
      </c>
      <c r="G67" s="31">
        <f>Bruce!D67</f>
        <v>0.1</v>
      </c>
      <c r="H67" s="31">
        <f>Christine!D67</f>
        <v>0.45</v>
      </c>
      <c r="I67" s="31">
        <f>Eileen!D67</f>
        <v>0.5</v>
      </c>
      <c r="J67" s="31">
        <f>Iain!D67</f>
        <v>0.6</v>
      </c>
      <c r="K67" s="31">
        <f>Gael!D67</f>
        <v>0.6</v>
      </c>
      <c r="L67" s="31">
        <f>Jac!D67</f>
        <v>0.5</v>
      </c>
      <c r="M67" s="31">
        <f>James!D67</f>
        <v>0.45</v>
      </c>
      <c r="N67" s="31">
        <f>Kate!D67</f>
        <v>0.7</v>
      </c>
      <c r="O67" s="31">
        <f>Lachy!D67</f>
        <v>0.5</v>
      </c>
      <c r="P67" s="31">
        <f>Pete!D67</f>
        <v>0.1</v>
      </c>
      <c r="Q67" s="31">
        <f>Rohan!D67</f>
        <v>0.6</v>
      </c>
      <c r="R67" s="31">
        <f t="shared" si="27"/>
        <v>0</v>
      </c>
      <c r="S67" s="31">
        <f t="shared" ref="S67:AC67" si="233">IF($E67=1,(LOG(G67,2)+1),IF($E67=0,(LOG(1-G67,2)+1),""))</f>
        <v>-2.321928095</v>
      </c>
      <c r="T67" s="31">
        <f t="shared" si="233"/>
        <v>-0.1520030934</v>
      </c>
      <c r="U67" s="31">
        <f t="shared" si="233"/>
        <v>0</v>
      </c>
      <c r="V67" s="31">
        <f t="shared" si="233"/>
        <v>0.2630344058</v>
      </c>
      <c r="W67" s="31">
        <f t="shared" si="233"/>
        <v>0.2630344058</v>
      </c>
      <c r="X67" s="31">
        <f t="shared" si="233"/>
        <v>0</v>
      </c>
      <c r="Y67" s="31">
        <f t="shared" si="233"/>
        <v>-0.1520030934</v>
      </c>
      <c r="Z67" s="31">
        <f t="shared" si="233"/>
        <v>0.4854268272</v>
      </c>
      <c r="AA67" s="31">
        <f t="shared" si="233"/>
        <v>0</v>
      </c>
      <c r="AB67" s="31">
        <f t="shared" si="233"/>
        <v>-2.321928095</v>
      </c>
      <c r="AC67" s="31">
        <f t="shared" si="233"/>
        <v>0.2630344058</v>
      </c>
      <c r="AD67" s="41"/>
      <c r="AE67" s="31">
        <f t="shared" si="6"/>
        <v>9.896143161</v>
      </c>
      <c r="AF67" s="31">
        <f t="shared" si="7"/>
        <v>0.4666666667</v>
      </c>
      <c r="AG67" s="31">
        <f t="shared" si="8"/>
        <v>0.0346969697</v>
      </c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2" t="str">
        <f t="shared" ref="AT67:BE67" si="234">IF(F67=MIN($F67:$Q67),"Yes","")</f>
        <v/>
      </c>
      <c r="AU67" s="32" t="str">
        <f t="shared" si="234"/>
        <v>Yes</v>
      </c>
      <c r="AV67" s="32" t="str">
        <f t="shared" si="234"/>
        <v/>
      </c>
      <c r="AW67" s="32" t="str">
        <f t="shared" si="234"/>
        <v/>
      </c>
      <c r="AX67" s="32" t="str">
        <f t="shared" si="234"/>
        <v/>
      </c>
      <c r="AY67" s="32" t="str">
        <f t="shared" si="234"/>
        <v/>
      </c>
      <c r="AZ67" s="32" t="str">
        <f t="shared" si="234"/>
        <v/>
      </c>
      <c r="BA67" s="32" t="str">
        <f t="shared" si="234"/>
        <v/>
      </c>
      <c r="BB67" s="32" t="str">
        <f t="shared" si="234"/>
        <v/>
      </c>
      <c r="BC67" s="32" t="str">
        <f t="shared" si="234"/>
        <v/>
      </c>
      <c r="BD67" s="32" t="str">
        <f t="shared" si="234"/>
        <v>Yes</v>
      </c>
      <c r="BE67" s="32" t="str">
        <f t="shared" si="234"/>
        <v/>
      </c>
      <c r="BF67" s="32" t="str">
        <f t="shared" ref="BF67:BQ67" si="235">IF(F67=MAX($F67:$Q67),"Yes","")</f>
        <v/>
      </c>
      <c r="BG67" s="32" t="str">
        <f t="shared" si="235"/>
        <v/>
      </c>
      <c r="BH67" s="32" t="str">
        <f t="shared" si="235"/>
        <v/>
      </c>
      <c r="BI67" s="32" t="str">
        <f t="shared" si="235"/>
        <v/>
      </c>
      <c r="BJ67" s="32" t="str">
        <f t="shared" si="235"/>
        <v/>
      </c>
      <c r="BK67" s="32" t="str">
        <f t="shared" si="235"/>
        <v/>
      </c>
      <c r="BL67" s="32" t="str">
        <f t="shared" si="235"/>
        <v/>
      </c>
      <c r="BM67" s="32" t="str">
        <f t="shared" si="235"/>
        <v/>
      </c>
      <c r="BN67" s="32" t="str">
        <f t="shared" si="235"/>
        <v>Yes</v>
      </c>
      <c r="BO67" s="32" t="str">
        <f t="shared" si="235"/>
        <v/>
      </c>
      <c r="BP67" s="32" t="str">
        <f t="shared" si="235"/>
        <v/>
      </c>
      <c r="BQ67" s="32" t="str">
        <f t="shared" si="235"/>
        <v/>
      </c>
      <c r="BR67" s="32" t="str">
        <f t="shared" si="11"/>
        <v/>
      </c>
      <c r="BS67" s="32" t="str">
        <f t="shared" si="12"/>
        <v/>
      </c>
      <c r="BT67" s="32"/>
      <c r="BU67" s="32"/>
      <c r="BV67" s="32"/>
      <c r="BW67" s="33">
        <f t="shared" si="13"/>
        <v>0</v>
      </c>
      <c r="BX67" s="33">
        <f t="shared" si="14"/>
        <v>0</v>
      </c>
      <c r="BY67" s="34" t="str">
        <f t="shared" si="15"/>
        <v/>
      </c>
      <c r="BZ67" s="33">
        <f t="shared" si="16"/>
        <v>0</v>
      </c>
      <c r="CA67" s="33">
        <f t="shared" si="17"/>
        <v>0</v>
      </c>
      <c r="CB67" s="34" t="str">
        <f t="shared" si="18"/>
        <v/>
      </c>
      <c r="CC67" s="35"/>
      <c r="CD67" s="33"/>
      <c r="CE67" s="34"/>
      <c r="CF67" s="33"/>
      <c r="CG67" s="33"/>
      <c r="CH67" s="34"/>
      <c r="CI67" s="33"/>
      <c r="CJ67" s="33"/>
      <c r="CK67" s="34"/>
    </row>
    <row r="68" ht="12.75" customHeight="1">
      <c r="A68" s="18">
        <v>67.0</v>
      </c>
      <c r="B68" s="18" t="s">
        <v>127</v>
      </c>
      <c r="C68" s="19" t="s">
        <v>132</v>
      </c>
      <c r="D68" s="49">
        <v>44644.0</v>
      </c>
      <c r="E68" s="76">
        <v>0.0</v>
      </c>
      <c r="F68" s="22">
        <f>Andrew!D68</f>
        <v>0.5</v>
      </c>
      <c r="G68" s="26">
        <f>Bruce!D68</f>
        <v>0.6</v>
      </c>
      <c r="H68" s="22">
        <f>Christine!D68</f>
        <v>0.7</v>
      </c>
      <c r="I68" s="26">
        <f>Eileen!D68</f>
        <v>0.5</v>
      </c>
      <c r="J68" s="22">
        <f>Iain!D68</f>
        <v>0.5</v>
      </c>
      <c r="K68" s="26">
        <f>Gael!D68</f>
        <v>0.85</v>
      </c>
      <c r="L68" s="73">
        <f>Jac!D68</f>
        <v>0.05</v>
      </c>
      <c r="M68" s="26">
        <f>James!D68</f>
        <v>0.7</v>
      </c>
      <c r="N68" s="22">
        <f>Kate!D68</f>
        <v>0.5</v>
      </c>
      <c r="O68" s="26">
        <f>Lachy!D68</f>
        <v>0.5</v>
      </c>
      <c r="P68" s="22">
        <f>Pete!D68</f>
        <v>0.9</v>
      </c>
      <c r="Q68" s="26">
        <f>Rohan!D68</f>
        <v>0.8</v>
      </c>
      <c r="R68" s="22">
        <f t="shared" si="27"/>
        <v>0</v>
      </c>
      <c r="S68" s="22">
        <f t="shared" ref="S68:AC68" si="236">IF($E68=1,(LOG(G68,2)+1),IF($E68=0,(LOG(1-G68,2)+1),""))</f>
        <v>-0.3219280949</v>
      </c>
      <c r="T68" s="22">
        <f t="shared" si="236"/>
        <v>-0.7369655942</v>
      </c>
      <c r="U68" s="22">
        <f t="shared" si="236"/>
        <v>0</v>
      </c>
      <c r="V68" s="22">
        <f t="shared" si="236"/>
        <v>0</v>
      </c>
      <c r="W68" s="22">
        <f t="shared" si="236"/>
        <v>-1.736965594</v>
      </c>
      <c r="X68" s="22">
        <f t="shared" si="236"/>
        <v>0.9259994186</v>
      </c>
      <c r="Y68" s="22">
        <f t="shared" si="236"/>
        <v>-0.7369655942</v>
      </c>
      <c r="Z68" s="22">
        <f t="shared" si="236"/>
        <v>0</v>
      </c>
      <c r="AA68" s="22">
        <f t="shared" si="236"/>
        <v>0</v>
      </c>
      <c r="AB68" s="22">
        <f t="shared" si="236"/>
        <v>-2.321928095</v>
      </c>
      <c r="AC68" s="22">
        <f t="shared" si="236"/>
        <v>-1.321928095</v>
      </c>
      <c r="AD68" s="41"/>
      <c r="AE68" s="31">
        <f t="shared" si="6"/>
        <v>14.9501002</v>
      </c>
      <c r="AF68" s="31">
        <f t="shared" si="7"/>
        <v>0.5916666667</v>
      </c>
      <c r="AG68" s="31">
        <f t="shared" si="8"/>
        <v>0.05128787879</v>
      </c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2" t="str">
        <f t="shared" ref="AT68:BE68" si="237">IF(F68=MIN($F68:$Q68),"Yes","")</f>
        <v/>
      </c>
      <c r="AU68" s="32" t="str">
        <f t="shared" si="237"/>
        <v/>
      </c>
      <c r="AV68" s="32" t="str">
        <f t="shared" si="237"/>
        <v/>
      </c>
      <c r="AW68" s="32" t="str">
        <f t="shared" si="237"/>
        <v/>
      </c>
      <c r="AX68" s="32" t="str">
        <f t="shared" si="237"/>
        <v/>
      </c>
      <c r="AY68" s="32" t="str">
        <f t="shared" si="237"/>
        <v/>
      </c>
      <c r="AZ68" s="32" t="str">
        <f t="shared" si="237"/>
        <v>Yes</v>
      </c>
      <c r="BA68" s="32" t="str">
        <f t="shared" si="237"/>
        <v/>
      </c>
      <c r="BB68" s="32" t="str">
        <f t="shared" si="237"/>
        <v/>
      </c>
      <c r="BC68" s="32" t="str">
        <f t="shared" si="237"/>
        <v/>
      </c>
      <c r="BD68" s="32" t="str">
        <f t="shared" si="237"/>
        <v/>
      </c>
      <c r="BE68" s="32" t="str">
        <f t="shared" si="237"/>
        <v/>
      </c>
      <c r="BF68" s="32" t="str">
        <f t="shared" ref="BF68:BQ68" si="238">IF(F68=MAX($F68:$Q68),"Yes","")</f>
        <v/>
      </c>
      <c r="BG68" s="32" t="str">
        <f t="shared" si="238"/>
        <v/>
      </c>
      <c r="BH68" s="32" t="str">
        <f t="shared" si="238"/>
        <v/>
      </c>
      <c r="BI68" s="32" t="str">
        <f t="shared" si="238"/>
        <v/>
      </c>
      <c r="BJ68" s="32" t="str">
        <f t="shared" si="238"/>
        <v/>
      </c>
      <c r="BK68" s="32" t="str">
        <f t="shared" si="238"/>
        <v/>
      </c>
      <c r="BL68" s="32" t="str">
        <f t="shared" si="238"/>
        <v/>
      </c>
      <c r="BM68" s="32" t="str">
        <f t="shared" si="238"/>
        <v/>
      </c>
      <c r="BN68" s="32" t="str">
        <f t="shared" si="238"/>
        <v/>
      </c>
      <c r="BO68" s="32" t="str">
        <f t="shared" si="238"/>
        <v/>
      </c>
      <c r="BP68" s="32" t="str">
        <f t="shared" si="238"/>
        <v>Yes</v>
      </c>
      <c r="BQ68" s="32" t="str">
        <f t="shared" si="238"/>
        <v/>
      </c>
      <c r="BR68" s="32" t="str">
        <f t="shared" si="11"/>
        <v/>
      </c>
      <c r="BS68" s="32" t="str">
        <f t="shared" si="12"/>
        <v>Yes</v>
      </c>
      <c r="BT68" s="32"/>
      <c r="BU68" s="32"/>
      <c r="BV68" s="32"/>
      <c r="BW68" s="33">
        <f t="shared" si="13"/>
        <v>0</v>
      </c>
      <c r="BX68" s="33">
        <f t="shared" si="14"/>
        <v>0</v>
      </c>
      <c r="BY68" s="34" t="str">
        <f t="shared" si="15"/>
        <v/>
      </c>
      <c r="BZ68" s="33">
        <f t="shared" si="16"/>
        <v>-0.05</v>
      </c>
      <c r="CA68" s="33">
        <f t="shared" si="17"/>
        <v>0.7</v>
      </c>
      <c r="CB68" s="34">
        <f t="shared" si="18"/>
        <v>0.75</v>
      </c>
      <c r="CC68" s="35"/>
      <c r="CD68" s="33"/>
      <c r="CE68" s="34"/>
      <c r="CF68" s="33"/>
      <c r="CG68" s="33"/>
      <c r="CH68" s="34"/>
      <c r="CI68" s="33"/>
      <c r="CJ68" s="33"/>
      <c r="CK68" s="34"/>
    </row>
    <row r="69" ht="12.75" customHeight="1">
      <c r="A69" s="36">
        <v>68.0</v>
      </c>
      <c r="B69" s="36" t="s">
        <v>127</v>
      </c>
      <c r="C69" s="37" t="s">
        <v>133</v>
      </c>
      <c r="D69" s="38"/>
      <c r="E69" s="39">
        <v>0.0</v>
      </c>
      <c r="F69" s="31">
        <f>Andrew!D69</f>
        <v>0.8</v>
      </c>
      <c r="G69" s="31">
        <f>Bruce!D69</f>
        <v>0.9</v>
      </c>
      <c r="H69" s="31">
        <f>Christine!D69</f>
        <v>0.8</v>
      </c>
      <c r="I69" s="31">
        <f>Eileen!D69</f>
        <v>0.8</v>
      </c>
      <c r="J69" s="31">
        <f>Iain!D69</f>
        <v>0.8</v>
      </c>
      <c r="K69" s="31">
        <f>Gael!D69</f>
        <v>0.98</v>
      </c>
      <c r="L69" s="40">
        <f>Jac!D69</f>
        <v>0.999</v>
      </c>
      <c r="M69" s="31">
        <f>James!D69</f>
        <v>0.8</v>
      </c>
      <c r="N69" s="31">
        <f>Kate!D69</f>
        <v>0.9</v>
      </c>
      <c r="O69" s="31">
        <f>Lachy!D69</f>
        <v>0.5</v>
      </c>
      <c r="P69" s="31">
        <f>Pete!D69</f>
        <v>0.9</v>
      </c>
      <c r="Q69" s="31">
        <f>Rohan!D69</f>
        <v>0.55</v>
      </c>
      <c r="R69" s="31">
        <f t="shared" si="27"/>
        <v>-1.321928095</v>
      </c>
      <c r="S69" s="31">
        <f t="shared" ref="S69:AC69" si="239">IF($E69=1,(LOG(G69,2)+1),IF($E69=0,(LOG(1-G69,2)+1),""))</f>
        <v>-2.321928095</v>
      </c>
      <c r="T69" s="31">
        <f t="shared" si="239"/>
        <v>-1.321928095</v>
      </c>
      <c r="U69" s="31">
        <f t="shared" si="239"/>
        <v>-1.321928095</v>
      </c>
      <c r="V69" s="31">
        <f t="shared" si="239"/>
        <v>-1.321928095</v>
      </c>
      <c r="W69" s="31">
        <f t="shared" si="239"/>
        <v>-4.64385619</v>
      </c>
      <c r="X69" s="31">
        <f t="shared" si="239"/>
        <v>-8.965784285</v>
      </c>
      <c r="Y69" s="31">
        <f t="shared" si="239"/>
        <v>-1.321928095</v>
      </c>
      <c r="Z69" s="31">
        <f t="shared" si="239"/>
        <v>-2.321928095</v>
      </c>
      <c r="AA69" s="31">
        <f t="shared" si="239"/>
        <v>0</v>
      </c>
      <c r="AB69" s="31">
        <f t="shared" si="239"/>
        <v>-2.321928095</v>
      </c>
      <c r="AC69" s="31">
        <f t="shared" si="239"/>
        <v>-0.1520030934</v>
      </c>
      <c r="AD69" s="41"/>
      <c r="AE69" s="31">
        <f t="shared" si="6"/>
        <v>35.37833233</v>
      </c>
      <c r="AF69" s="31">
        <f t="shared" si="7"/>
        <v>0.81075</v>
      </c>
      <c r="AG69" s="31">
        <f t="shared" si="8"/>
        <v>0.02301038636</v>
      </c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2" t="str">
        <f t="shared" ref="AT69:BE69" si="240">IF(F69=MIN($F69:$Q69),"Yes","")</f>
        <v/>
      </c>
      <c r="AU69" s="32" t="str">
        <f t="shared" si="240"/>
        <v/>
      </c>
      <c r="AV69" s="32" t="str">
        <f t="shared" si="240"/>
        <v/>
      </c>
      <c r="AW69" s="32" t="str">
        <f t="shared" si="240"/>
        <v/>
      </c>
      <c r="AX69" s="32" t="str">
        <f t="shared" si="240"/>
        <v/>
      </c>
      <c r="AY69" s="32" t="str">
        <f t="shared" si="240"/>
        <v/>
      </c>
      <c r="AZ69" s="32" t="str">
        <f t="shared" si="240"/>
        <v/>
      </c>
      <c r="BA69" s="32" t="str">
        <f t="shared" si="240"/>
        <v/>
      </c>
      <c r="BB69" s="32" t="str">
        <f t="shared" si="240"/>
        <v/>
      </c>
      <c r="BC69" s="32" t="str">
        <f t="shared" si="240"/>
        <v>Yes</v>
      </c>
      <c r="BD69" s="32" t="str">
        <f t="shared" si="240"/>
        <v/>
      </c>
      <c r="BE69" s="32" t="str">
        <f t="shared" si="240"/>
        <v/>
      </c>
      <c r="BF69" s="32" t="str">
        <f t="shared" ref="BF69:BQ69" si="241">IF(F69=MAX($F69:$Q69),"Yes","")</f>
        <v/>
      </c>
      <c r="BG69" s="32" t="str">
        <f t="shared" si="241"/>
        <v/>
      </c>
      <c r="BH69" s="32" t="str">
        <f t="shared" si="241"/>
        <v/>
      </c>
      <c r="BI69" s="32" t="str">
        <f t="shared" si="241"/>
        <v/>
      </c>
      <c r="BJ69" s="32" t="str">
        <f t="shared" si="241"/>
        <v/>
      </c>
      <c r="BK69" s="32" t="str">
        <f t="shared" si="241"/>
        <v/>
      </c>
      <c r="BL69" s="32" t="str">
        <f t="shared" si="241"/>
        <v>Yes</v>
      </c>
      <c r="BM69" s="32" t="str">
        <f t="shared" si="241"/>
        <v/>
      </c>
      <c r="BN69" s="32" t="str">
        <f t="shared" si="241"/>
        <v/>
      </c>
      <c r="BO69" s="32" t="str">
        <f t="shared" si="241"/>
        <v/>
      </c>
      <c r="BP69" s="32" t="str">
        <f t="shared" si="241"/>
        <v/>
      </c>
      <c r="BQ69" s="32" t="str">
        <f t="shared" si="241"/>
        <v/>
      </c>
      <c r="BR69" s="32" t="str">
        <f t="shared" si="11"/>
        <v/>
      </c>
      <c r="BS69" s="32" t="str">
        <f t="shared" si="12"/>
        <v/>
      </c>
      <c r="BT69" s="32"/>
      <c r="BU69" s="32"/>
      <c r="BV69" s="32"/>
      <c r="BW69" s="33">
        <f t="shared" si="13"/>
        <v>0</v>
      </c>
      <c r="BX69" s="33">
        <f t="shared" si="14"/>
        <v>0</v>
      </c>
      <c r="BY69" s="34" t="str">
        <f t="shared" si="15"/>
        <v/>
      </c>
      <c r="BZ69" s="33">
        <f t="shared" si="16"/>
        <v>0</v>
      </c>
      <c r="CA69" s="33">
        <f t="shared" si="17"/>
        <v>0</v>
      </c>
      <c r="CB69" s="34" t="str">
        <f t="shared" si="18"/>
        <v/>
      </c>
      <c r="CC69" s="35"/>
      <c r="CD69" s="33"/>
      <c r="CE69" s="34"/>
      <c r="CF69" s="33"/>
      <c r="CG69" s="33"/>
      <c r="CH69" s="34"/>
      <c r="CI69" s="33"/>
      <c r="CJ69" s="33"/>
      <c r="CK69" s="34"/>
    </row>
    <row r="70" ht="12.75" customHeight="1">
      <c r="A70" s="18">
        <v>69.0</v>
      </c>
      <c r="B70" s="18" t="s">
        <v>127</v>
      </c>
      <c r="C70" s="19" t="s">
        <v>134</v>
      </c>
      <c r="D70" s="49"/>
      <c r="E70" s="21">
        <v>1.0</v>
      </c>
      <c r="F70" s="22">
        <f>Andrew!D70</f>
        <v>0.65</v>
      </c>
      <c r="G70" s="26">
        <f>Bruce!D70</f>
        <v>0.8</v>
      </c>
      <c r="H70" s="22">
        <f>Christine!D70</f>
        <v>0.95</v>
      </c>
      <c r="I70" s="26">
        <f>Eileen!D70</f>
        <v>0.4</v>
      </c>
      <c r="J70" s="22">
        <f>Iain!D70</f>
        <v>0.8</v>
      </c>
      <c r="K70" s="26">
        <f>Gael!D70</f>
        <v>0.9</v>
      </c>
      <c r="L70" s="75">
        <f>Jac!D70</f>
        <v>0.999</v>
      </c>
      <c r="M70" s="26">
        <f>James!D70</f>
        <v>0.95</v>
      </c>
      <c r="N70" s="22">
        <f>Kate!D70</f>
        <v>0.8</v>
      </c>
      <c r="O70" s="26">
        <f>Lachy!D70</f>
        <v>0.85</v>
      </c>
      <c r="P70" s="22">
        <f>Pete!D70</f>
        <v>0.1</v>
      </c>
      <c r="Q70" s="26">
        <f>Rohan!D70</f>
        <v>0.5</v>
      </c>
      <c r="R70" s="22">
        <f t="shared" si="27"/>
        <v>0.3785116233</v>
      </c>
      <c r="S70" s="22">
        <f t="shared" ref="S70:AC70" si="242">IF($E70=1,(LOG(G70,2)+1),IF($E70=0,(LOG(1-G70,2)+1),""))</f>
        <v>0.6780719051</v>
      </c>
      <c r="T70" s="22">
        <f t="shared" si="242"/>
        <v>0.9259994186</v>
      </c>
      <c r="U70" s="22">
        <f t="shared" si="242"/>
        <v>-0.3219280949</v>
      </c>
      <c r="V70" s="22">
        <f t="shared" si="242"/>
        <v>0.6780719051</v>
      </c>
      <c r="W70" s="22">
        <f t="shared" si="242"/>
        <v>0.8479969066</v>
      </c>
      <c r="X70" s="22">
        <f t="shared" si="242"/>
        <v>0.9985565831</v>
      </c>
      <c r="Y70" s="22">
        <f t="shared" si="242"/>
        <v>0.9259994186</v>
      </c>
      <c r="Z70" s="22">
        <f t="shared" si="242"/>
        <v>0.6780719051</v>
      </c>
      <c r="AA70" s="22">
        <f t="shared" si="242"/>
        <v>0.7655347464</v>
      </c>
      <c r="AB70" s="22">
        <f t="shared" si="242"/>
        <v>-2.321928095</v>
      </c>
      <c r="AC70" s="22">
        <f t="shared" si="242"/>
        <v>0</v>
      </c>
      <c r="AD70" s="41"/>
      <c r="AE70" s="31">
        <f t="shared" si="6"/>
        <v>34.78059353</v>
      </c>
      <c r="AF70" s="31">
        <f t="shared" si="7"/>
        <v>0.7249166667</v>
      </c>
      <c r="AG70" s="31">
        <f t="shared" si="8"/>
        <v>0.07199553788</v>
      </c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2" t="str">
        <f t="shared" ref="AT70:BE70" si="243">IF(F70=MIN($F70:$Q70),"Yes","")</f>
        <v/>
      </c>
      <c r="AU70" s="32" t="str">
        <f t="shared" si="243"/>
        <v/>
      </c>
      <c r="AV70" s="32" t="str">
        <f t="shared" si="243"/>
        <v/>
      </c>
      <c r="AW70" s="32" t="str">
        <f t="shared" si="243"/>
        <v/>
      </c>
      <c r="AX70" s="32" t="str">
        <f t="shared" si="243"/>
        <v/>
      </c>
      <c r="AY70" s="32" t="str">
        <f t="shared" si="243"/>
        <v/>
      </c>
      <c r="AZ70" s="32" t="str">
        <f t="shared" si="243"/>
        <v/>
      </c>
      <c r="BA70" s="32" t="str">
        <f t="shared" si="243"/>
        <v/>
      </c>
      <c r="BB70" s="32" t="str">
        <f t="shared" si="243"/>
        <v/>
      </c>
      <c r="BC70" s="32" t="str">
        <f t="shared" si="243"/>
        <v/>
      </c>
      <c r="BD70" s="32" t="str">
        <f t="shared" si="243"/>
        <v>Yes</v>
      </c>
      <c r="BE70" s="32" t="str">
        <f t="shared" si="243"/>
        <v/>
      </c>
      <c r="BF70" s="32" t="str">
        <f t="shared" ref="BF70:BQ70" si="244">IF(F70=MAX($F70:$Q70),"Yes","")</f>
        <v/>
      </c>
      <c r="BG70" s="32" t="str">
        <f t="shared" si="244"/>
        <v/>
      </c>
      <c r="BH70" s="32" t="str">
        <f t="shared" si="244"/>
        <v/>
      </c>
      <c r="BI70" s="32" t="str">
        <f t="shared" si="244"/>
        <v/>
      </c>
      <c r="BJ70" s="32" t="str">
        <f t="shared" si="244"/>
        <v/>
      </c>
      <c r="BK70" s="32" t="str">
        <f t="shared" si="244"/>
        <v/>
      </c>
      <c r="BL70" s="32" t="str">
        <f t="shared" si="244"/>
        <v>Yes</v>
      </c>
      <c r="BM70" s="32" t="str">
        <f t="shared" si="244"/>
        <v/>
      </c>
      <c r="BN70" s="32" t="str">
        <f t="shared" si="244"/>
        <v/>
      </c>
      <c r="BO70" s="32" t="str">
        <f t="shared" si="244"/>
        <v/>
      </c>
      <c r="BP70" s="32" t="str">
        <f t="shared" si="244"/>
        <v/>
      </c>
      <c r="BQ70" s="32" t="str">
        <f t="shared" si="244"/>
        <v/>
      </c>
      <c r="BR70" s="32" t="str">
        <f t="shared" si="11"/>
        <v/>
      </c>
      <c r="BS70" s="32" t="str">
        <f t="shared" si="12"/>
        <v/>
      </c>
      <c r="BT70" s="32"/>
      <c r="BU70" s="32"/>
      <c r="BV70" s="32"/>
      <c r="BW70" s="33">
        <f t="shared" si="13"/>
        <v>0</v>
      </c>
      <c r="BX70" s="33">
        <f t="shared" si="14"/>
        <v>0</v>
      </c>
      <c r="BY70" s="34" t="str">
        <f t="shared" si="15"/>
        <v/>
      </c>
      <c r="BZ70" s="33">
        <f t="shared" si="16"/>
        <v>0</v>
      </c>
      <c r="CA70" s="33">
        <f t="shared" si="17"/>
        <v>0</v>
      </c>
      <c r="CB70" s="34" t="str">
        <f t="shared" si="18"/>
        <v/>
      </c>
      <c r="CC70" s="35"/>
      <c r="CD70" s="33"/>
      <c r="CE70" s="34"/>
      <c r="CF70" s="33"/>
      <c r="CG70" s="33"/>
      <c r="CH70" s="34"/>
      <c r="CI70" s="33"/>
      <c r="CJ70" s="33"/>
      <c r="CK70" s="34"/>
    </row>
    <row r="71" ht="12.75" customHeight="1">
      <c r="A71" s="36">
        <v>70.0</v>
      </c>
      <c r="B71" s="36" t="s">
        <v>127</v>
      </c>
      <c r="C71" s="37" t="s">
        <v>135</v>
      </c>
      <c r="D71" s="45">
        <v>44785.0</v>
      </c>
      <c r="E71" s="39">
        <v>1.0</v>
      </c>
      <c r="F71" s="31">
        <f>Andrew!D71</f>
        <v>0.4</v>
      </c>
      <c r="G71" s="31">
        <f>Bruce!D71</f>
        <v>0.25</v>
      </c>
      <c r="H71" s="31">
        <f>Christine!D71</f>
        <v>0.1</v>
      </c>
      <c r="I71" s="31">
        <f>Eileen!D71</f>
        <v>0.5</v>
      </c>
      <c r="J71" s="31">
        <f>Iain!D71</f>
        <v>0.5</v>
      </c>
      <c r="K71" s="31">
        <f>Gael!D71</f>
        <v>0.3</v>
      </c>
      <c r="L71" s="31">
        <f>Jac!D71</f>
        <v>0.55</v>
      </c>
      <c r="M71" s="31">
        <f>James!D71</f>
        <v>0.1</v>
      </c>
      <c r="N71" s="31">
        <f>Kate!D71</f>
        <v>0.1</v>
      </c>
      <c r="O71" s="40">
        <f>Lachy!D71</f>
        <v>0.65</v>
      </c>
      <c r="P71" s="31">
        <f>Pete!D71</f>
        <v>0.9</v>
      </c>
      <c r="Q71" s="31">
        <f>Rohan!D71</f>
        <v>0.2</v>
      </c>
      <c r="R71" s="31">
        <f t="shared" si="27"/>
        <v>-0.3219280949</v>
      </c>
      <c r="S71" s="31">
        <f t="shared" ref="S71:AC71" si="245">IF($E71=1,(LOG(G71,2)+1),IF($E71=0,(LOG(1-G71,2)+1),""))</f>
        <v>-1</v>
      </c>
      <c r="T71" s="31">
        <f t="shared" si="245"/>
        <v>-2.321928095</v>
      </c>
      <c r="U71" s="31">
        <f t="shared" si="245"/>
        <v>0</v>
      </c>
      <c r="V71" s="31">
        <f t="shared" si="245"/>
        <v>0</v>
      </c>
      <c r="W71" s="31">
        <f t="shared" si="245"/>
        <v>-0.7369655942</v>
      </c>
      <c r="X71" s="31">
        <f t="shared" si="245"/>
        <v>0.1375035237</v>
      </c>
      <c r="Y71" s="31">
        <f t="shared" si="245"/>
        <v>-2.321928095</v>
      </c>
      <c r="Z71" s="31">
        <f t="shared" si="245"/>
        <v>-2.321928095</v>
      </c>
      <c r="AA71" s="31">
        <f t="shared" si="245"/>
        <v>0.3785116233</v>
      </c>
      <c r="AB71" s="31">
        <f t="shared" si="245"/>
        <v>0.8479969066</v>
      </c>
      <c r="AC71" s="31">
        <f t="shared" si="245"/>
        <v>-1.321928095</v>
      </c>
      <c r="AD71" s="41"/>
      <c r="AE71" s="31">
        <f t="shared" si="6"/>
        <v>18.08468384</v>
      </c>
      <c r="AF71" s="31">
        <f t="shared" si="7"/>
        <v>0.3791666667</v>
      </c>
      <c r="AG71" s="31">
        <f t="shared" si="8"/>
        <v>0.06293560606</v>
      </c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2" t="str">
        <f t="shared" ref="AT71:BE71" si="246">IF(F71=MIN($F71:$Q71),"Yes","")</f>
        <v/>
      </c>
      <c r="AU71" s="32" t="str">
        <f t="shared" si="246"/>
        <v/>
      </c>
      <c r="AV71" s="32" t="str">
        <f t="shared" si="246"/>
        <v>Yes</v>
      </c>
      <c r="AW71" s="32" t="str">
        <f t="shared" si="246"/>
        <v/>
      </c>
      <c r="AX71" s="32" t="str">
        <f t="shared" si="246"/>
        <v/>
      </c>
      <c r="AY71" s="32" t="str">
        <f t="shared" si="246"/>
        <v/>
      </c>
      <c r="AZ71" s="32" t="str">
        <f t="shared" si="246"/>
        <v/>
      </c>
      <c r="BA71" s="32" t="str">
        <f t="shared" si="246"/>
        <v>Yes</v>
      </c>
      <c r="BB71" s="32" t="str">
        <f t="shared" si="246"/>
        <v>Yes</v>
      </c>
      <c r="BC71" s="32" t="str">
        <f t="shared" si="246"/>
        <v/>
      </c>
      <c r="BD71" s="32" t="str">
        <f t="shared" si="246"/>
        <v/>
      </c>
      <c r="BE71" s="32" t="str">
        <f t="shared" si="246"/>
        <v/>
      </c>
      <c r="BF71" s="32" t="str">
        <f t="shared" ref="BF71:BQ71" si="247">IF(F71=MAX($F71:$Q71),"Yes","")</f>
        <v/>
      </c>
      <c r="BG71" s="32" t="str">
        <f t="shared" si="247"/>
        <v/>
      </c>
      <c r="BH71" s="32" t="str">
        <f t="shared" si="247"/>
        <v/>
      </c>
      <c r="BI71" s="32" t="str">
        <f t="shared" si="247"/>
        <v/>
      </c>
      <c r="BJ71" s="32" t="str">
        <f t="shared" si="247"/>
        <v/>
      </c>
      <c r="BK71" s="32" t="str">
        <f t="shared" si="247"/>
        <v/>
      </c>
      <c r="BL71" s="32" t="str">
        <f t="shared" si="247"/>
        <v/>
      </c>
      <c r="BM71" s="32" t="str">
        <f t="shared" si="247"/>
        <v/>
      </c>
      <c r="BN71" s="32" t="str">
        <f t="shared" si="247"/>
        <v/>
      </c>
      <c r="BO71" s="32" t="str">
        <f t="shared" si="247"/>
        <v/>
      </c>
      <c r="BP71" s="32" t="str">
        <f t="shared" si="247"/>
        <v>Yes</v>
      </c>
      <c r="BQ71" s="32" t="str">
        <f t="shared" si="247"/>
        <v/>
      </c>
      <c r="BR71" s="32" t="str">
        <f t="shared" si="11"/>
        <v/>
      </c>
      <c r="BS71" s="32" t="str">
        <f t="shared" si="12"/>
        <v/>
      </c>
      <c r="BT71" s="32"/>
      <c r="BU71" s="32"/>
      <c r="BV71" s="32"/>
      <c r="BW71" s="33">
        <f t="shared" si="13"/>
        <v>0</v>
      </c>
      <c r="BX71" s="33">
        <f t="shared" si="14"/>
        <v>0</v>
      </c>
      <c r="BY71" s="34" t="str">
        <f t="shared" si="15"/>
        <v/>
      </c>
      <c r="BZ71" s="33">
        <f t="shared" si="16"/>
        <v>0</v>
      </c>
      <c r="CA71" s="33">
        <f t="shared" si="17"/>
        <v>0</v>
      </c>
      <c r="CB71" s="34" t="str">
        <f t="shared" si="18"/>
        <v/>
      </c>
      <c r="CC71" s="35"/>
      <c r="CD71" s="33"/>
      <c r="CE71" s="34"/>
      <c r="CF71" s="33"/>
      <c r="CG71" s="33"/>
      <c r="CH71" s="34"/>
      <c r="CI71" s="33"/>
      <c r="CJ71" s="33"/>
      <c r="CK71" s="34"/>
    </row>
    <row r="72" ht="12.75" customHeight="1">
      <c r="A72" s="18">
        <v>71.0</v>
      </c>
      <c r="B72" s="18" t="s">
        <v>127</v>
      </c>
      <c r="C72" s="19" t="s">
        <v>136</v>
      </c>
      <c r="D72" s="49"/>
      <c r="E72" s="21">
        <v>0.0</v>
      </c>
      <c r="F72" s="22">
        <f>Andrew!D72</f>
        <v>0.6</v>
      </c>
      <c r="G72" s="26">
        <f>Bruce!D72</f>
        <v>0.2</v>
      </c>
      <c r="H72" s="22">
        <f>Christine!D72</f>
        <v>0.6</v>
      </c>
      <c r="I72" s="26">
        <f>Eileen!D72</f>
        <v>0.5</v>
      </c>
      <c r="J72" s="22">
        <f>Iain!D72</f>
        <v>0.8</v>
      </c>
      <c r="K72" s="26">
        <f>Gael!D72</f>
        <v>0.8</v>
      </c>
      <c r="L72" s="22">
        <f>Jac!D72</f>
        <v>0.6</v>
      </c>
      <c r="M72" s="26">
        <f>James!D72</f>
        <v>0.6</v>
      </c>
      <c r="N72" s="22">
        <f>Kate!D72</f>
        <v>0.8</v>
      </c>
      <c r="O72" s="26">
        <f>Lachy!D72</f>
        <v>0.35</v>
      </c>
      <c r="P72" s="22">
        <f>Pete!D72</f>
        <v>0.9</v>
      </c>
      <c r="Q72" s="26">
        <f>Rohan!D72</f>
        <v>0.65</v>
      </c>
      <c r="R72" s="22">
        <f t="shared" si="27"/>
        <v>-0.3219280949</v>
      </c>
      <c r="S72" s="22">
        <f t="shared" ref="S72:AC72" si="248">IF($E72=1,(LOG(G72,2)+1),IF($E72=0,(LOG(1-G72,2)+1),""))</f>
        <v>0.6780719051</v>
      </c>
      <c r="T72" s="22">
        <f t="shared" si="248"/>
        <v>-0.3219280949</v>
      </c>
      <c r="U72" s="22">
        <f t="shared" si="248"/>
        <v>0</v>
      </c>
      <c r="V72" s="22">
        <f t="shared" si="248"/>
        <v>-1.321928095</v>
      </c>
      <c r="W72" s="22">
        <f t="shared" si="248"/>
        <v>-1.321928095</v>
      </c>
      <c r="X72" s="22">
        <f t="shared" si="248"/>
        <v>-0.3219280949</v>
      </c>
      <c r="Y72" s="22">
        <f t="shared" si="248"/>
        <v>-0.3219280949</v>
      </c>
      <c r="Z72" s="22">
        <f t="shared" si="248"/>
        <v>-1.321928095</v>
      </c>
      <c r="AA72" s="22">
        <f t="shared" si="248"/>
        <v>0.3785116233</v>
      </c>
      <c r="AB72" s="22">
        <f t="shared" si="248"/>
        <v>-2.321928095</v>
      </c>
      <c r="AC72" s="22">
        <f t="shared" si="248"/>
        <v>-0.5145731728</v>
      </c>
      <c r="AD72" s="41"/>
      <c r="AE72" s="31">
        <f t="shared" si="6"/>
        <v>15.2959446</v>
      </c>
      <c r="AF72" s="31">
        <f t="shared" si="7"/>
        <v>0.6166666667</v>
      </c>
      <c r="AG72" s="31">
        <f t="shared" si="8"/>
        <v>0.04015151515</v>
      </c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2" t="str">
        <f t="shared" ref="AT72:BE72" si="249">IF(F72=MIN($F72:$Q72),"Yes","")</f>
        <v/>
      </c>
      <c r="AU72" s="32" t="str">
        <f t="shared" si="249"/>
        <v>Yes</v>
      </c>
      <c r="AV72" s="32" t="str">
        <f t="shared" si="249"/>
        <v/>
      </c>
      <c r="AW72" s="32" t="str">
        <f t="shared" si="249"/>
        <v/>
      </c>
      <c r="AX72" s="32" t="str">
        <f t="shared" si="249"/>
        <v/>
      </c>
      <c r="AY72" s="32" t="str">
        <f t="shared" si="249"/>
        <v/>
      </c>
      <c r="AZ72" s="32" t="str">
        <f t="shared" si="249"/>
        <v/>
      </c>
      <c r="BA72" s="32" t="str">
        <f t="shared" si="249"/>
        <v/>
      </c>
      <c r="BB72" s="32" t="str">
        <f t="shared" si="249"/>
        <v/>
      </c>
      <c r="BC72" s="32" t="str">
        <f t="shared" si="249"/>
        <v/>
      </c>
      <c r="BD72" s="32" t="str">
        <f t="shared" si="249"/>
        <v/>
      </c>
      <c r="BE72" s="32" t="str">
        <f t="shared" si="249"/>
        <v/>
      </c>
      <c r="BF72" s="32" t="str">
        <f t="shared" ref="BF72:BQ72" si="250">IF(F72=MAX($F72:$Q72),"Yes","")</f>
        <v/>
      </c>
      <c r="BG72" s="32" t="str">
        <f t="shared" si="250"/>
        <v/>
      </c>
      <c r="BH72" s="32" t="str">
        <f t="shared" si="250"/>
        <v/>
      </c>
      <c r="BI72" s="32" t="str">
        <f t="shared" si="250"/>
        <v/>
      </c>
      <c r="BJ72" s="32" t="str">
        <f t="shared" si="250"/>
        <v/>
      </c>
      <c r="BK72" s="32" t="str">
        <f t="shared" si="250"/>
        <v/>
      </c>
      <c r="BL72" s="32" t="str">
        <f t="shared" si="250"/>
        <v/>
      </c>
      <c r="BM72" s="32" t="str">
        <f t="shared" si="250"/>
        <v/>
      </c>
      <c r="BN72" s="32" t="str">
        <f t="shared" si="250"/>
        <v/>
      </c>
      <c r="BO72" s="32" t="str">
        <f t="shared" si="250"/>
        <v/>
      </c>
      <c r="BP72" s="32" t="str">
        <f t="shared" si="250"/>
        <v>Yes</v>
      </c>
      <c r="BQ72" s="32" t="str">
        <f t="shared" si="250"/>
        <v/>
      </c>
      <c r="BR72" s="32" t="str">
        <f t="shared" si="11"/>
        <v/>
      </c>
      <c r="BS72" s="32" t="str">
        <f t="shared" si="12"/>
        <v/>
      </c>
      <c r="BT72" s="32"/>
      <c r="BU72" s="32"/>
      <c r="BV72" s="32"/>
      <c r="BW72" s="33">
        <f t="shared" si="13"/>
        <v>0</v>
      </c>
      <c r="BX72" s="33">
        <f t="shared" si="14"/>
        <v>0</v>
      </c>
      <c r="BY72" s="34" t="str">
        <f t="shared" si="15"/>
        <v/>
      </c>
      <c r="BZ72" s="33">
        <f t="shared" si="16"/>
        <v>0</v>
      </c>
      <c r="CA72" s="33">
        <f t="shared" si="17"/>
        <v>0</v>
      </c>
      <c r="CB72" s="34" t="str">
        <f t="shared" si="18"/>
        <v/>
      </c>
      <c r="CC72" s="35"/>
      <c r="CD72" s="33"/>
      <c r="CE72" s="34"/>
      <c r="CF72" s="33"/>
      <c r="CG72" s="33"/>
      <c r="CH72" s="34"/>
      <c r="CI72" s="33"/>
      <c r="CJ72" s="33"/>
      <c r="CK72" s="34"/>
    </row>
    <row r="73" ht="12.75" customHeight="1">
      <c r="A73" s="36">
        <v>72.0</v>
      </c>
      <c r="B73" s="36" t="s">
        <v>127</v>
      </c>
      <c r="C73" s="37" t="s">
        <v>137</v>
      </c>
      <c r="D73" s="38">
        <v>44641.0</v>
      </c>
      <c r="E73" s="69">
        <v>0.0</v>
      </c>
      <c r="F73" s="31">
        <f>Andrew!D73</f>
        <v>0.5</v>
      </c>
      <c r="G73" s="31">
        <f>Bruce!D73</f>
        <v>0.7</v>
      </c>
      <c r="H73" s="31">
        <f>Christine!D73</f>
        <v>0.5</v>
      </c>
      <c r="I73" s="31">
        <f>Eileen!D73</f>
        <v>0.5</v>
      </c>
      <c r="J73" s="77">
        <f>Iain!D73</f>
        <v>0.3</v>
      </c>
      <c r="K73" s="31">
        <f>Gael!D73</f>
        <v>0.5</v>
      </c>
      <c r="L73" s="31">
        <f>Jac!D73</f>
        <v>0.5</v>
      </c>
      <c r="M73" s="31">
        <f>James!D73</f>
        <v>0.5</v>
      </c>
      <c r="N73" s="31">
        <f>Kate!D73</f>
        <v>0.5</v>
      </c>
      <c r="O73" s="31">
        <f>Lachy!D73</f>
        <v>0.65</v>
      </c>
      <c r="P73" s="77">
        <f>Pete!D73</f>
        <v>0.1</v>
      </c>
      <c r="Q73" s="31">
        <f>Rohan!D73</f>
        <v>0.6</v>
      </c>
      <c r="R73" s="31">
        <f t="shared" si="27"/>
        <v>0</v>
      </c>
      <c r="S73" s="31">
        <f t="shared" ref="S73:AC73" si="251">IF($E73=1,(LOG(G73,2)+1),IF($E73=0,(LOG(1-G73,2)+1),""))</f>
        <v>-0.7369655942</v>
      </c>
      <c r="T73" s="31">
        <f t="shared" si="251"/>
        <v>0</v>
      </c>
      <c r="U73" s="31">
        <f t="shared" si="251"/>
        <v>0</v>
      </c>
      <c r="V73" s="31">
        <f t="shared" si="251"/>
        <v>0.4854268272</v>
      </c>
      <c r="W73" s="31">
        <f t="shared" si="251"/>
        <v>0</v>
      </c>
      <c r="X73" s="31">
        <f t="shared" si="251"/>
        <v>0</v>
      </c>
      <c r="Y73" s="31">
        <f t="shared" si="251"/>
        <v>0</v>
      </c>
      <c r="Z73" s="31">
        <f t="shared" si="251"/>
        <v>0</v>
      </c>
      <c r="AA73" s="31">
        <f t="shared" si="251"/>
        <v>-0.5145731728</v>
      </c>
      <c r="AB73" s="31">
        <f t="shared" si="251"/>
        <v>0.8479969066</v>
      </c>
      <c r="AC73" s="31">
        <f t="shared" si="251"/>
        <v>-0.3219280949</v>
      </c>
      <c r="AD73" s="41"/>
      <c r="AE73" s="31">
        <f t="shared" si="6"/>
        <v>7.092757141</v>
      </c>
      <c r="AF73" s="31">
        <f t="shared" si="7"/>
        <v>0.4875</v>
      </c>
      <c r="AG73" s="31">
        <f t="shared" si="8"/>
        <v>0.02460227273</v>
      </c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2" t="str">
        <f t="shared" ref="AT73:BE73" si="252">IF(F73=MIN($F73:$Q73),"Yes","")</f>
        <v/>
      </c>
      <c r="AU73" s="32" t="str">
        <f t="shared" si="252"/>
        <v/>
      </c>
      <c r="AV73" s="32" t="str">
        <f t="shared" si="252"/>
        <v/>
      </c>
      <c r="AW73" s="32" t="str">
        <f t="shared" si="252"/>
        <v/>
      </c>
      <c r="AX73" s="32" t="str">
        <f t="shared" si="252"/>
        <v/>
      </c>
      <c r="AY73" s="32" t="str">
        <f t="shared" si="252"/>
        <v/>
      </c>
      <c r="AZ73" s="32" t="str">
        <f t="shared" si="252"/>
        <v/>
      </c>
      <c r="BA73" s="32" t="str">
        <f t="shared" si="252"/>
        <v/>
      </c>
      <c r="BB73" s="32" t="str">
        <f t="shared" si="252"/>
        <v/>
      </c>
      <c r="BC73" s="32" t="str">
        <f t="shared" si="252"/>
        <v/>
      </c>
      <c r="BD73" s="32" t="str">
        <f t="shared" si="252"/>
        <v>Yes</v>
      </c>
      <c r="BE73" s="32" t="str">
        <f t="shared" si="252"/>
        <v/>
      </c>
      <c r="BF73" s="32" t="str">
        <f t="shared" ref="BF73:BQ73" si="253">IF(F73=MAX($F73:$Q73),"Yes","")</f>
        <v/>
      </c>
      <c r="BG73" s="32" t="str">
        <f t="shared" si="253"/>
        <v>Yes</v>
      </c>
      <c r="BH73" s="32" t="str">
        <f t="shared" si="253"/>
        <v/>
      </c>
      <c r="BI73" s="32" t="str">
        <f t="shared" si="253"/>
        <v/>
      </c>
      <c r="BJ73" s="32" t="str">
        <f t="shared" si="253"/>
        <v/>
      </c>
      <c r="BK73" s="32" t="str">
        <f t="shared" si="253"/>
        <v/>
      </c>
      <c r="BL73" s="32" t="str">
        <f t="shared" si="253"/>
        <v/>
      </c>
      <c r="BM73" s="32" t="str">
        <f t="shared" si="253"/>
        <v/>
      </c>
      <c r="BN73" s="32" t="str">
        <f t="shared" si="253"/>
        <v/>
      </c>
      <c r="BO73" s="32" t="str">
        <f t="shared" si="253"/>
        <v/>
      </c>
      <c r="BP73" s="32" t="str">
        <f t="shared" si="253"/>
        <v/>
      </c>
      <c r="BQ73" s="32" t="str">
        <f t="shared" si="253"/>
        <v/>
      </c>
      <c r="BR73" s="32" t="str">
        <f t="shared" si="11"/>
        <v/>
      </c>
      <c r="BS73" s="32" t="str">
        <f t="shared" si="12"/>
        <v/>
      </c>
      <c r="BT73" s="32"/>
      <c r="BU73" s="32"/>
      <c r="BV73" s="32"/>
      <c r="BW73" s="33">
        <f t="shared" si="13"/>
        <v>0</v>
      </c>
      <c r="BX73" s="33">
        <f t="shared" si="14"/>
        <v>0</v>
      </c>
      <c r="BY73" s="34" t="str">
        <f t="shared" si="15"/>
        <v/>
      </c>
      <c r="BZ73" s="33">
        <f t="shared" si="16"/>
        <v>0</v>
      </c>
      <c r="CA73" s="33">
        <f t="shared" si="17"/>
        <v>0</v>
      </c>
      <c r="CB73" s="34" t="str">
        <f t="shared" si="18"/>
        <v/>
      </c>
      <c r="CC73" s="35"/>
      <c r="CD73" s="33"/>
      <c r="CE73" s="34"/>
      <c r="CF73" s="33"/>
      <c r="CG73" s="33"/>
      <c r="CH73" s="34"/>
      <c r="CI73" s="33"/>
      <c r="CJ73" s="33"/>
      <c r="CK73" s="34"/>
    </row>
    <row r="74" ht="12.75" customHeight="1">
      <c r="A74" s="18">
        <v>73.0</v>
      </c>
      <c r="B74" s="18" t="s">
        <v>138</v>
      </c>
      <c r="C74" s="19" t="s">
        <v>139</v>
      </c>
      <c r="D74" s="49"/>
      <c r="E74" s="21">
        <v>0.0</v>
      </c>
      <c r="F74" s="22">
        <f>Andrew!D74</f>
        <v>0.6</v>
      </c>
      <c r="G74" s="26">
        <f>Bruce!D74</f>
        <v>0.7</v>
      </c>
      <c r="H74" s="22">
        <f>Christine!D74</f>
        <v>0.7</v>
      </c>
      <c r="I74" s="26">
        <f>Eileen!D74</f>
        <v>0.6</v>
      </c>
      <c r="J74" s="22">
        <f>Iain!D74</f>
        <v>0.6</v>
      </c>
      <c r="K74" s="26">
        <f>Gael!D74</f>
        <v>0.6</v>
      </c>
      <c r="L74" s="22">
        <f>Jac!D74</f>
        <v>0.2</v>
      </c>
      <c r="M74" s="26">
        <f>James!D74</f>
        <v>0.7</v>
      </c>
      <c r="N74" s="22">
        <f>Kate!D74</f>
        <v>0.4</v>
      </c>
      <c r="O74" s="26">
        <f>Lachy!D74</f>
        <v>0.85</v>
      </c>
      <c r="P74" s="22">
        <f>Pete!D74</f>
        <v>0.5</v>
      </c>
      <c r="Q74" s="26">
        <f>Rohan!D74</f>
        <v>0.5</v>
      </c>
      <c r="R74" s="22">
        <f t="shared" si="27"/>
        <v>-0.3219280949</v>
      </c>
      <c r="S74" s="22">
        <f t="shared" ref="S74:AC74" si="254">IF($E74=1,(LOG(G74,2)+1),IF($E74=0,(LOG(1-G74,2)+1),""))</f>
        <v>-0.7369655942</v>
      </c>
      <c r="T74" s="22">
        <f t="shared" si="254"/>
        <v>-0.7369655942</v>
      </c>
      <c r="U74" s="22">
        <f t="shared" si="254"/>
        <v>-0.3219280949</v>
      </c>
      <c r="V74" s="22">
        <f t="shared" si="254"/>
        <v>-0.3219280949</v>
      </c>
      <c r="W74" s="22">
        <f t="shared" si="254"/>
        <v>-0.3219280949</v>
      </c>
      <c r="X74" s="22">
        <f t="shared" si="254"/>
        <v>0.6780719051</v>
      </c>
      <c r="Y74" s="22">
        <f t="shared" si="254"/>
        <v>-0.7369655942</v>
      </c>
      <c r="Z74" s="22">
        <f t="shared" si="254"/>
        <v>0.2630344058</v>
      </c>
      <c r="AA74" s="22">
        <f t="shared" si="254"/>
        <v>-1.736965594</v>
      </c>
      <c r="AB74" s="22">
        <f t="shared" si="254"/>
        <v>0</v>
      </c>
      <c r="AC74" s="22">
        <f t="shared" si="254"/>
        <v>0</v>
      </c>
      <c r="AD74" s="41"/>
      <c r="AE74" s="31">
        <f t="shared" si="6"/>
        <v>11.09449011</v>
      </c>
      <c r="AF74" s="31">
        <f t="shared" si="7"/>
        <v>0.5791666667</v>
      </c>
      <c r="AG74" s="31">
        <f t="shared" si="8"/>
        <v>0.02793560606</v>
      </c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2" t="str">
        <f t="shared" ref="AT74:BE74" si="255">IF(F74=MIN($F74:$Q74),"Yes","")</f>
        <v/>
      </c>
      <c r="AU74" s="32" t="str">
        <f t="shared" si="255"/>
        <v/>
      </c>
      <c r="AV74" s="32" t="str">
        <f t="shared" si="255"/>
        <v/>
      </c>
      <c r="AW74" s="32" t="str">
        <f t="shared" si="255"/>
        <v/>
      </c>
      <c r="AX74" s="32" t="str">
        <f t="shared" si="255"/>
        <v/>
      </c>
      <c r="AY74" s="32" t="str">
        <f t="shared" si="255"/>
        <v/>
      </c>
      <c r="AZ74" s="32" t="str">
        <f t="shared" si="255"/>
        <v>Yes</v>
      </c>
      <c r="BA74" s="32" t="str">
        <f t="shared" si="255"/>
        <v/>
      </c>
      <c r="BB74" s="32" t="str">
        <f t="shared" si="255"/>
        <v/>
      </c>
      <c r="BC74" s="32" t="str">
        <f t="shared" si="255"/>
        <v/>
      </c>
      <c r="BD74" s="32" t="str">
        <f t="shared" si="255"/>
        <v/>
      </c>
      <c r="BE74" s="32" t="str">
        <f t="shared" si="255"/>
        <v/>
      </c>
      <c r="BF74" s="32" t="str">
        <f t="shared" ref="BF74:BQ74" si="256">IF(F74=MAX($F74:$Q74),"Yes","")</f>
        <v/>
      </c>
      <c r="BG74" s="32" t="str">
        <f t="shared" si="256"/>
        <v/>
      </c>
      <c r="BH74" s="32" t="str">
        <f t="shared" si="256"/>
        <v/>
      </c>
      <c r="BI74" s="32" t="str">
        <f t="shared" si="256"/>
        <v/>
      </c>
      <c r="BJ74" s="32" t="str">
        <f t="shared" si="256"/>
        <v/>
      </c>
      <c r="BK74" s="32" t="str">
        <f t="shared" si="256"/>
        <v/>
      </c>
      <c r="BL74" s="32" t="str">
        <f t="shared" si="256"/>
        <v/>
      </c>
      <c r="BM74" s="32" t="str">
        <f t="shared" si="256"/>
        <v/>
      </c>
      <c r="BN74" s="32" t="str">
        <f t="shared" si="256"/>
        <v/>
      </c>
      <c r="BO74" s="32" t="str">
        <f t="shared" si="256"/>
        <v>Yes</v>
      </c>
      <c r="BP74" s="32" t="str">
        <f t="shared" si="256"/>
        <v/>
      </c>
      <c r="BQ74" s="32" t="str">
        <f t="shared" si="256"/>
        <v/>
      </c>
      <c r="BR74" s="32" t="str">
        <f t="shared" si="11"/>
        <v/>
      </c>
      <c r="BS74" s="32" t="str">
        <f t="shared" si="12"/>
        <v>Yes</v>
      </c>
      <c r="BT74" s="32"/>
      <c r="BU74" s="32"/>
      <c r="BV74" s="32"/>
      <c r="BW74" s="33">
        <f t="shared" si="13"/>
        <v>0</v>
      </c>
      <c r="BX74" s="33">
        <f t="shared" si="14"/>
        <v>0</v>
      </c>
      <c r="BY74" s="34" t="str">
        <f t="shared" si="15"/>
        <v/>
      </c>
      <c r="BZ74" s="33">
        <f t="shared" si="16"/>
        <v>-0.2</v>
      </c>
      <c r="CA74" s="33">
        <f t="shared" si="17"/>
        <v>0.7</v>
      </c>
      <c r="CB74" s="34">
        <f t="shared" si="18"/>
        <v>0.9</v>
      </c>
      <c r="CC74" s="35"/>
      <c r="CD74" s="33"/>
      <c r="CE74" s="34"/>
      <c r="CF74" s="33"/>
      <c r="CG74" s="33"/>
      <c r="CH74" s="34"/>
      <c r="CI74" s="33"/>
      <c r="CJ74" s="33"/>
      <c r="CK74" s="34"/>
    </row>
    <row r="75" ht="12.75" customHeight="1">
      <c r="A75" s="36">
        <v>74.0</v>
      </c>
      <c r="B75" s="36" t="s">
        <v>138</v>
      </c>
      <c r="C75" s="37" t="s">
        <v>140</v>
      </c>
      <c r="D75" s="38"/>
      <c r="E75" s="39">
        <v>1.0</v>
      </c>
      <c r="F75" s="31">
        <f>Andrew!D75</f>
        <v>0.7</v>
      </c>
      <c r="G75" s="31">
        <f>Bruce!D75</f>
        <v>0.8</v>
      </c>
      <c r="H75" s="31">
        <f>Christine!D75</f>
        <v>0.7</v>
      </c>
      <c r="I75" s="31">
        <f>Eileen!D75</f>
        <v>0.7</v>
      </c>
      <c r="J75" s="31">
        <f>Iain!D75</f>
        <v>0.7</v>
      </c>
      <c r="K75" s="31">
        <f>Gael!D75</f>
        <v>0.8</v>
      </c>
      <c r="L75" s="31">
        <f>Jac!D75</f>
        <v>0.6</v>
      </c>
      <c r="M75" s="31">
        <f>James!D75</f>
        <v>0.7</v>
      </c>
      <c r="N75" s="31">
        <f>Kate!D75</f>
        <v>0.5</v>
      </c>
      <c r="O75" s="40">
        <f>Lachy!D75</f>
        <v>0.65</v>
      </c>
      <c r="P75" s="31">
        <f>Pete!D75</f>
        <v>0.5</v>
      </c>
      <c r="Q75" s="31">
        <f>Rohan!D75</f>
        <v>0.7</v>
      </c>
      <c r="R75" s="31">
        <f t="shared" si="27"/>
        <v>0.4854268272</v>
      </c>
      <c r="S75" s="31">
        <f t="shared" ref="S75:AC75" si="257">IF($E75=1,(LOG(G75,2)+1),IF($E75=0,(LOG(1-G75,2)+1),""))</f>
        <v>0.6780719051</v>
      </c>
      <c r="T75" s="31">
        <f t="shared" si="257"/>
        <v>0.4854268272</v>
      </c>
      <c r="U75" s="31">
        <f t="shared" si="257"/>
        <v>0.4854268272</v>
      </c>
      <c r="V75" s="31">
        <f t="shared" si="257"/>
        <v>0.4854268272</v>
      </c>
      <c r="W75" s="31">
        <f t="shared" si="257"/>
        <v>0.6780719051</v>
      </c>
      <c r="X75" s="31">
        <f t="shared" si="257"/>
        <v>0.2630344058</v>
      </c>
      <c r="Y75" s="31">
        <f t="shared" si="257"/>
        <v>0.4854268272</v>
      </c>
      <c r="Z75" s="31">
        <f t="shared" si="257"/>
        <v>0</v>
      </c>
      <c r="AA75" s="31">
        <f t="shared" si="257"/>
        <v>0.3785116233</v>
      </c>
      <c r="AB75" s="31">
        <f t="shared" si="257"/>
        <v>0</v>
      </c>
      <c r="AC75" s="31">
        <f t="shared" si="257"/>
        <v>0.4854268272</v>
      </c>
      <c r="AD75" s="41"/>
      <c r="AE75" s="31">
        <f t="shared" si="6"/>
        <v>12.81240182</v>
      </c>
      <c r="AF75" s="31">
        <f t="shared" si="7"/>
        <v>0.6708333333</v>
      </c>
      <c r="AG75" s="31">
        <f t="shared" si="8"/>
        <v>0.009299242424</v>
      </c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2" t="str">
        <f t="shared" ref="AT75:BE75" si="258">IF(F75=MIN($F75:$Q75),"Yes","")</f>
        <v/>
      </c>
      <c r="AU75" s="32" t="str">
        <f t="shared" si="258"/>
        <v/>
      </c>
      <c r="AV75" s="32" t="str">
        <f t="shared" si="258"/>
        <v/>
      </c>
      <c r="AW75" s="32" t="str">
        <f t="shared" si="258"/>
        <v/>
      </c>
      <c r="AX75" s="32" t="str">
        <f t="shared" si="258"/>
        <v/>
      </c>
      <c r="AY75" s="32" t="str">
        <f t="shared" si="258"/>
        <v/>
      </c>
      <c r="AZ75" s="32" t="str">
        <f t="shared" si="258"/>
        <v/>
      </c>
      <c r="BA75" s="32" t="str">
        <f t="shared" si="258"/>
        <v/>
      </c>
      <c r="BB75" s="32" t="str">
        <f t="shared" si="258"/>
        <v>Yes</v>
      </c>
      <c r="BC75" s="32" t="str">
        <f t="shared" si="258"/>
        <v/>
      </c>
      <c r="BD75" s="32" t="str">
        <f t="shared" si="258"/>
        <v>Yes</v>
      </c>
      <c r="BE75" s="32" t="str">
        <f t="shared" si="258"/>
        <v/>
      </c>
      <c r="BF75" s="32" t="str">
        <f t="shared" ref="BF75:BQ75" si="259">IF(F75=MAX($F75:$Q75),"Yes","")</f>
        <v/>
      </c>
      <c r="BG75" s="32" t="str">
        <f t="shared" si="259"/>
        <v>Yes</v>
      </c>
      <c r="BH75" s="32" t="str">
        <f t="shared" si="259"/>
        <v/>
      </c>
      <c r="BI75" s="32" t="str">
        <f t="shared" si="259"/>
        <v/>
      </c>
      <c r="BJ75" s="32" t="str">
        <f t="shared" si="259"/>
        <v/>
      </c>
      <c r="BK75" s="32" t="str">
        <f t="shared" si="259"/>
        <v>Yes</v>
      </c>
      <c r="BL75" s="32" t="str">
        <f t="shared" si="259"/>
        <v/>
      </c>
      <c r="BM75" s="32" t="str">
        <f t="shared" si="259"/>
        <v/>
      </c>
      <c r="BN75" s="32" t="str">
        <f t="shared" si="259"/>
        <v/>
      </c>
      <c r="BO75" s="32" t="str">
        <f t="shared" si="259"/>
        <v/>
      </c>
      <c r="BP75" s="32" t="str">
        <f t="shared" si="259"/>
        <v/>
      </c>
      <c r="BQ75" s="32" t="str">
        <f t="shared" si="259"/>
        <v/>
      </c>
      <c r="BR75" s="32" t="str">
        <f t="shared" si="11"/>
        <v/>
      </c>
      <c r="BS75" s="32" t="str">
        <f t="shared" si="12"/>
        <v/>
      </c>
      <c r="BT75" s="32"/>
      <c r="BU75" s="32"/>
      <c r="BV75" s="32"/>
      <c r="BW75" s="33">
        <f t="shared" si="13"/>
        <v>0</v>
      </c>
      <c r="BX75" s="33">
        <f t="shared" si="14"/>
        <v>0</v>
      </c>
      <c r="BY75" s="34" t="str">
        <f t="shared" si="15"/>
        <v/>
      </c>
      <c r="BZ75" s="33">
        <f t="shared" si="16"/>
        <v>0</v>
      </c>
      <c r="CA75" s="33">
        <f t="shared" si="17"/>
        <v>0</v>
      </c>
      <c r="CB75" s="34" t="str">
        <f t="shared" si="18"/>
        <v/>
      </c>
      <c r="CC75" s="35"/>
      <c r="CD75" s="33"/>
      <c r="CE75" s="34"/>
      <c r="CF75" s="33"/>
      <c r="CG75" s="33"/>
      <c r="CH75" s="34"/>
      <c r="CI75" s="33"/>
      <c r="CJ75" s="33"/>
      <c r="CK75" s="34"/>
    </row>
    <row r="76" ht="12.75" customHeight="1">
      <c r="A76" s="18">
        <v>75.0</v>
      </c>
      <c r="B76" s="18" t="s">
        <v>138</v>
      </c>
      <c r="C76" s="19" t="s">
        <v>141</v>
      </c>
      <c r="D76" s="49"/>
      <c r="E76" s="21">
        <v>0.0</v>
      </c>
      <c r="F76" s="22">
        <f>Andrew!D76</f>
        <v>0.65</v>
      </c>
      <c r="G76" s="26">
        <f>Bruce!D76</f>
        <v>0.6</v>
      </c>
      <c r="H76" s="22">
        <f>Christine!D76</f>
        <v>0.6</v>
      </c>
      <c r="I76" s="26">
        <f>Eileen!D76</f>
        <v>0.65</v>
      </c>
      <c r="J76" s="22">
        <f>Iain!D76</f>
        <v>0.7</v>
      </c>
      <c r="K76" s="26">
        <f>Gael!D76</f>
        <v>0.5</v>
      </c>
      <c r="L76" s="22">
        <f>Jac!D76</f>
        <v>0.5</v>
      </c>
      <c r="M76" s="26">
        <f>James!D76</f>
        <v>0.6</v>
      </c>
      <c r="N76" s="22">
        <f>Kate!D76</f>
        <v>0.5</v>
      </c>
      <c r="O76" s="26">
        <f>Lachy!D76</f>
        <v>0.85</v>
      </c>
      <c r="P76" s="22">
        <f>Pete!D76</f>
        <v>0.5</v>
      </c>
      <c r="Q76" s="26">
        <f>Rohan!D76</f>
        <v>0.5</v>
      </c>
      <c r="R76" s="22">
        <f t="shared" si="27"/>
        <v>-0.5145731728</v>
      </c>
      <c r="S76" s="22">
        <f t="shared" ref="S76:AC76" si="260">IF($E76=1,(LOG(G76,2)+1),IF($E76=0,(LOG(1-G76,2)+1),""))</f>
        <v>-0.3219280949</v>
      </c>
      <c r="T76" s="22">
        <f t="shared" si="260"/>
        <v>-0.3219280949</v>
      </c>
      <c r="U76" s="22">
        <f t="shared" si="260"/>
        <v>-0.5145731728</v>
      </c>
      <c r="V76" s="22">
        <f t="shared" si="260"/>
        <v>-0.7369655942</v>
      </c>
      <c r="W76" s="22">
        <f t="shared" si="260"/>
        <v>0</v>
      </c>
      <c r="X76" s="22">
        <f t="shared" si="260"/>
        <v>0</v>
      </c>
      <c r="Y76" s="22">
        <f t="shared" si="260"/>
        <v>-0.3219280949</v>
      </c>
      <c r="Z76" s="22">
        <f t="shared" si="260"/>
        <v>0</v>
      </c>
      <c r="AA76" s="22">
        <f t="shared" si="260"/>
        <v>-1.736965594</v>
      </c>
      <c r="AB76" s="22">
        <f t="shared" si="260"/>
        <v>0</v>
      </c>
      <c r="AC76" s="22">
        <f t="shared" si="260"/>
        <v>0</v>
      </c>
      <c r="AD76" s="41"/>
      <c r="AE76" s="31">
        <f t="shared" si="6"/>
        <v>7.265949856</v>
      </c>
      <c r="AF76" s="31">
        <f t="shared" si="7"/>
        <v>0.5958333333</v>
      </c>
      <c r="AG76" s="31">
        <f t="shared" si="8"/>
        <v>0.0115719697</v>
      </c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2" t="str">
        <f t="shared" ref="AT76:BE76" si="261">IF(F76=MIN($F76:$Q76),"Yes","")</f>
        <v/>
      </c>
      <c r="AU76" s="32" t="str">
        <f t="shared" si="261"/>
        <v/>
      </c>
      <c r="AV76" s="32" t="str">
        <f t="shared" si="261"/>
        <v/>
      </c>
      <c r="AW76" s="32" t="str">
        <f t="shared" si="261"/>
        <v/>
      </c>
      <c r="AX76" s="32" t="str">
        <f t="shared" si="261"/>
        <v/>
      </c>
      <c r="AY76" s="32" t="str">
        <f t="shared" si="261"/>
        <v>Yes</v>
      </c>
      <c r="AZ76" s="32" t="str">
        <f t="shared" si="261"/>
        <v>Yes</v>
      </c>
      <c r="BA76" s="32" t="str">
        <f t="shared" si="261"/>
        <v/>
      </c>
      <c r="BB76" s="32" t="str">
        <f t="shared" si="261"/>
        <v>Yes</v>
      </c>
      <c r="BC76" s="32" t="str">
        <f t="shared" si="261"/>
        <v/>
      </c>
      <c r="BD76" s="32" t="str">
        <f t="shared" si="261"/>
        <v>Yes</v>
      </c>
      <c r="BE76" s="32" t="str">
        <f t="shared" si="261"/>
        <v>Yes</v>
      </c>
      <c r="BF76" s="32" t="str">
        <f t="shared" ref="BF76:BQ76" si="262">IF(F76=MAX($F76:$Q76),"Yes","")</f>
        <v/>
      </c>
      <c r="BG76" s="32" t="str">
        <f t="shared" si="262"/>
        <v/>
      </c>
      <c r="BH76" s="32" t="str">
        <f t="shared" si="262"/>
        <v/>
      </c>
      <c r="BI76" s="32" t="str">
        <f t="shared" si="262"/>
        <v/>
      </c>
      <c r="BJ76" s="32" t="str">
        <f t="shared" si="262"/>
        <v/>
      </c>
      <c r="BK76" s="32" t="str">
        <f t="shared" si="262"/>
        <v/>
      </c>
      <c r="BL76" s="32" t="str">
        <f t="shared" si="262"/>
        <v/>
      </c>
      <c r="BM76" s="32" t="str">
        <f t="shared" si="262"/>
        <v/>
      </c>
      <c r="BN76" s="32" t="str">
        <f t="shared" si="262"/>
        <v/>
      </c>
      <c r="BO76" s="32" t="str">
        <f t="shared" si="262"/>
        <v>Yes</v>
      </c>
      <c r="BP76" s="32" t="str">
        <f t="shared" si="262"/>
        <v/>
      </c>
      <c r="BQ76" s="32" t="str">
        <f t="shared" si="262"/>
        <v/>
      </c>
      <c r="BR76" s="32" t="str">
        <f t="shared" si="11"/>
        <v/>
      </c>
      <c r="BS76" s="32" t="str">
        <f t="shared" si="12"/>
        <v/>
      </c>
      <c r="BT76" s="32"/>
      <c r="BU76" s="32"/>
      <c r="BV76" s="32"/>
      <c r="BW76" s="33">
        <f t="shared" si="13"/>
        <v>0</v>
      </c>
      <c r="BX76" s="33">
        <f t="shared" si="14"/>
        <v>0</v>
      </c>
      <c r="BY76" s="34" t="str">
        <f t="shared" si="15"/>
        <v/>
      </c>
      <c r="BZ76" s="33">
        <f t="shared" si="16"/>
        <v>0</v>
      </c>
      <c r="CA76" s="33">
        <f t="shared" si="17"/>
        <v>0</v>
      </c>
      <c r="CB76" s="34" t="str">
        <f t="shared" si="18"/>
        <v/>
      </c>
      <c r="CC76" s="35"/>
      <c r="CD76" s="33"/>
      <c r="CE76" s="34"/>
      <c r="CF76" s="33"/>
      <c r="CG76" s="33"/>
      <c r="CH76" s="34"/>
      <c r="CI76" s="33"/>
      <c r="CJ76" s="33"/>
      <c r="CK76" s="34"/>
    </row>
    <row r="77" ht="12.75" customHeight="1">
      <c r="A77" s="36">
        <v>76.0</v>
      </c>
      <c r="B77" s="36" t="s">
        <v>138</v>
      </c>
      <c r="C77" s="37" t="s">
        <v>142</v>
      </c>
      <c r="D77" s="38">
        <v>44637.0</v>
      </c>
      <c r="E77" s="69">
        <v>1.0</v>
      </c>
      <c r="F77" s="31">
        <f>Andrew!D77</f>
        <v>0.7</v>
      </c>
      <c r="G77" s="31">
        <f>Bruce!D77</f>
        <v>0.8</v>
      </c>
      <c r="H77" s="77">
        <f>Christine!D77</f>
        <v>0.9</v>
      </c>
      <c r="I77" s="31">
        <f>Eileen!D77</f>
        <v>0.7</v>
      </c>
      <c r="J77" s="31">
        <f>Iain!D77</f>
        <v>0.8</v>
      </c>
      <c r="K77" s="31">
        <f>Gael!D77</f>
        <v>0.65</v>
      </c>
      <c r="L77" s="31">
        <f>Jac!D77</f>
        <v>0.7</v>
      </c>
      <c r="M77" s="77">
        <f>James!D77</f>
        <v>0.9</v>
      </c>
      <c r="N77" s="31">
        <f>Kate!D77</f>
        <v>0.5</v>
      </c>
      <c r="O77" s="78">
        <f>Lachy!D77</f>
        <v>0.999</v>
      </c>
      <c r="P77" s="77">
        <f>Pete!D77</f>
        <v>0.9</v>
      </c>
      <c r="Q77" s="31">
        <f>Rohan!D77</f>
        <v>0.5</v>
      </c>
      <c r="R77" s="31">
        <f t="shared" si="27"/>
        <v>0.4854268272</v>
      </c>
      <c r="S77" s="31">
        <f t="shared" ref="S77:AC77" si="263">IF($E77=1,(LOG(G77,2)+1),IF($E77=0,(LOG(1-G77,2)+1),""))</f>
        <v>0.6780719051</v>
      </c>
      <c r="T77" s="31">
        <f t="shared" si="263"/>
        <v>0.8479969066</v>
      </c>
      <c r="U77" s="31">
        <f t="shared" si="263"/>
        <v>0.4854268272</v>
      </c>
      <c r="V77" s="31">
        <f t="shared" si="263"/>
        <v>0.6780719051</v>
      </c>
      <c r="W77" s="31">
        <f t="shared" si="263"/>
        <v>0.3785116233</v>
      </c>
      <c r="X77" s="31">
        <f t="shared" si="263"/>
        <v>0.4854268272</v>
      </c>
      <c r="Y77" s="31">
        <f t="shared" si="263"/>
        <v>0.8479969066</v>
      </c>
      <c r="Z77" s="31">
        <f t="shared" si="263"/>
        <v>0</v>
      </c>
      <c r="AA77" s="31">
        <f t="shared" si="263"/>
        <v>0.9985565831</v>
      </c>
      <c r="AB77" s="31">
        <f t="shared" si="263"/>
        <v>0.8479969066</v>
      </c>
      <c r="AC77" s="31">
        <f t="shared" si="263"/>
        <v>0</v>
      </c>
      <c r="AD77" s="41"/>
      <c r="AE77" s="31">
        <f t="shared" si="6"/>
        <v>28.03437793</v>
      </c>
      <c r="AF77" s="31">
        <f t="shared" si="7"/>
        <v>0.7540833333</v>
      </c>
      <c r="AG77" s="31">
        <f t="shared" si="8"/>
        <v>0.0251637197</v>
      </c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2" t="str">
        <f t="shared" ref="AT77:BE77" si="264">IF(F77=MIN($F77:$Q77),"Yes","")</f>
        <v/>
      </c>
      <c r="AU77" s="32" t="str">
        <f t="shared" si="264"/>
        <v/>
      </c>
      <c r="AV77" s="32" t="str">
        <f t="shared" si="264"/>
        <v/>
      </c>
      <c r="AW77" s="32" t="str">
        <f t="shared" si="264"/>
        <v/>
      </c>
      <c r="AX77" s="32" t="str">
        <f t="shared" si="264"/>
        <v/>
      </c>
      <c r="AY77" s="32" t="str">
        <f t="shared" si="264"/>
        <v/>
      </c>
      <c r="AZ77" s="32" t="str">
        <f t="shared" si="264"/>
        <v/>
      </c>
      <c r="BA77" s="32" t="str">
        <f t="shared" si="264"/>
        <v/>
      </c>
      <c r="BB77" s="32" t="str">
        <f t="shared" si="264"/>
        <v>Yes</v>
      </c>
      <c r="BC77" s="32" t="str">
        <f t="shared" si="264"/>
        <v/>
      </c>
      <c r="BD77" s="32" t="str">
        <f t="shared" si="264"/>
        <v/>
      </c>
      <c r="BE77" s="32" t="str">
        <f t="shared" si="264"/>
        <v>Yes</v>
      </c>
      <c r="BF77" s="32" t="str">
        <f t="shared" ref="BF77:BQ77" si="265">IF(F77=MAX($F77:$Q77),"Yes","")</f>
        <v/>
      </c>
      <c r="BG77" s="32" t="str">
        <f t="shared" si="265"/>
        <v/>
      </c>
      <c r="BH77" s="32" t="str">
        <f t="shared" si="265"/>
        <v/>
      </c>
      <c r="BI77" s="32" t="str">
        <f t="shared" si="265"/>
        <v/>
      </c>
      <c r="BJ77" s="32" t="str">
        <f t="shared" si="265"/>
        <v/>
      </c>
      <c r="BK77" s="32" t="str">
        <f t="shared" si="265"/>
        <v/>
      </c>
      <c r="BL77" s="32" t="str">
        <f t="shared" si="265"/>
        <v/>
      </c>
      <c r="BM77" s="32" t="str">
        <f t="shared" si="265"/>
        <v/>
      </c>
      <c r="BN77" s="32" t="str">
        <f t="shared" si="265"/>
        <v/>
      </c>
      <c r="BO77" s="32" t="str">
        <f t="shared" si="265"/>
        <v>Yes</v>
      </c>
      <c r="BP77" s="32" t="str">
        <f t="shared" si="265"/>
        <v/>
      </c>
      <c r="BQ77" s="32" t="str">
        <f t="shared" si="265"/>
        <v/>
      </c>
      <c r="BR77" s="32" t="str">
        <f t="shared" si="11"/>
        <v/>
      </c>
      <c r="BS77" s="32" t="str">
        <f t="shared" si="12"/>
        <v/>
      </c>
      <c r="BT77" s="32"/>
      <c r="BU77" s="32"/>
      <c r="BV77" s="32"/>
      <c r="BW77" s="33">
        <f t="shared" si="13"/>
        <v>0</v>
      </c>
      <c r="BX77" s="33">
        <f t="shared" si="14"/>
        <v>0</v>
      </c>
      <c r="BY77" s="34" t="str">
        <f t="shared" si="15"/>
        <v/>
      </c>
      <c r="BZ77" s="33">
        <f t="shared" si="16"/>
        <v>0</v>
      </c>
      <c r="CA77" s="33">
        <f t="shared" si="17"/>
        <v>0</v>
      </c>
      <c r="CB77" s="34" t="str">
        <f t="shared" si="18"/>
        <v/>
      </c>
      <c r="CC77" s="35" t="s">
        <v>59</v>
      </c>
      <c r="CD77" s="33"/>
      <c r="CE77" s="34"/>
      <c r="CF77" s="33"/>
      <c r="CG77" s="33"/>
      <c r="CH77" s="34"/>
      <c r="CI77" s="33"/>
      <c r="CJ77" s="33"/>
      <c r="CK77" s="34"/>
    </row>
    <row r="78" ht="12.75" customHeight="1">
      <c r="A78" s="18">
        <v>77.0</v>
      </c>
      <c r="B78" s="18" t="s">
        <v>138</v>
      </c>
      <c r="C78" s="19" t="s">
        <v>143</v>
      </c>
      <c r="D78" s="20">
        <v>44835.0</v>
      </c>
      <c r="E78" s="21">
        <v>0.0</v>
      </c>
      <c r="F78" s="22">
        <f>Andrew!D78</f>
        <v>0.3</v>
      </c>
      <c r="G78" s="26">
        <f>Bruce!D78</f>
        <v>0.6</v>
      </c>
      <c r="H78" s="22">
        <f>Christine!D78</f>
        <v>0.9</v>
      </c>
      <c r="I78" s="26">
        <f>Eileen!D78</f>
        <v>0.1</v>
      </c>
      <c r="J78" s="22">
        <f>Iain!D78</f>
        <v>0.9</v>
      </c>
      <c r="K78" s="26">
        <f>Gael!D78</f>
        <v>0.5</v>
      </c>
      <c r="L78" s="22">
        <f>Jac!D78</f>
        <v>0.5</v>
      </c>
      <c r="M78" s="26">
        <f>James!D78</f>
        <v>0.9</v>
      </c>
      <c r="N78" s="22">
        <f>Kate!D78</f>
        <v>0.2</v>
      </c>
      <c r="O78" s="26">
        <f>Lachy!D78</f>
        <v>0.35</v>
      </c>
      <c r="P78" s="22">
        <f>Pete!D78</f>
        <v>0.5</v>
      </c>
      <c r="Q78" s="26">
        <f>Rohan!D78</f>
        <v>0.7</v>
      </c>
      <c r="R78" s="22">
        <f t="shared" si="27"/>
        <v>0.4854268272</v>
      </c>
      <c r="S78" s="22">
        <f t="shared" ref="S78:AC78" si="266">IF($E78=1,(LOG(G78,2)+1),IF($E78=0,(LOG(1-G78,2)+1),""))</f>
        <v>-0.3219280949</v>
      </c>
      <c r="T78" s="22">
        <f t="shared" si="266"/>
        <v>-2.321928095</v>
      </c>
      <c r="U78" s="22">
        <f t="shared" si="266"/>
        <v>0.8479969066</v>
      </c>
      <c r="V78" s="22">
        <f t="shared" si="266"/>
        <v>-2.321928095</v>
      </c>
      <c r="W78" s="22">
        <f t="shared" si="266"/>
        <v>0</v>
      </c>
      <c r="X78" s="22">
        <f t="shared" si="266"/>
        <v>0</v>
      </c>
      <c r="Y78" s="22">
        <f t="shared" si="266"/>
        <v>-2.321928095</v>
      </c>
      <c r="Z78" s="22">
        <f t="shared" si="266"/>
        <v>0.6780719051</v>
      </c>
      <c r="AA78" s="22">
        <f t="shared" si="266"/>
        <v>0.3785116233</v>
      </c>
      <c r="AB78" s="22">
        <f t="shared" si="266"/>
        <v>0</v>
      </c>
      <c r="AC78" s="22">
        <f t="shared" si="266"/>
        <v>-0.7369655942</v>
      </c>
      <c r="AD78" s="41"/>
      <c r="AE78" s="31">
        <f t="shared" si="6"/>
        <v>16.1577473</v>
      </c>
      <c r="AF78" s="31">
        <f t="shared" si="7"/>
        <v>0.5375</v>
      </c>
      <c r="AG78" s="31">
        <f t="shared" si="8"/>
        <v>0.07505681818</v>
      </c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2" t="str">
        <f t="shared" ref="AT78:BE78" si="267">IF(F78=MIN($F78:$Q78),"Yes","")</f>
        <v/>
      </c>
      <c r="AU78" s="32" t="str">
        <f t="shared" si="267"/>
        <v/>
      </c>
      <c r="AV78" s="32" t="str">
        <f t="shared" si="267"/>
        <v/>
      </c>
      <c r="AW78" s="32" t="str">
        <f t="shared" si="267"/>
        <v>Yes</v>
      </c>
      <c r="AX78" s="32" t="str">
        <f t="shared" si="267"/>
        <v/>
      </c>
      <c r="AY78" s="32" t="str">
        <f t="shared" si="267"/>
        <v/>
      </c>
      <c r="AZ78" s="32" t="str">
        <f t="shared" si="267"/>
        <v/>
      </c>
      <c r="BA78" s="32" t="str">
        <f t="shared" si="267"/>
        <v/>
      </c>
      <c r="BB78" s="32" t="str">
        <f t="shared" si="267"/>
        <v/>
      </c>
      <c r="BC78" s="32" t="str">
        <f t="shared" si="267"/>
        <v/>
      </c>
      <c r="BD78" s="32" t="str">
        <f t="shared" si="267"/>
        <v/>
      </c>
      <c r="BE78" s="32" t="str">
        <f t="shared" si="267"/>
        <v/>
      </c>
      <c r="BF78" s="32" t="str">
        <f t="shared" ref="BF78:BQ78" si="268">IF(F78=MAX($F78:$Q78),"Yes","")</f>
        <v/>
      </c>
      <c r="BG78" s="32" t="str">
        <f t="shared" si="268"/>
        <v/>
      </c>
      <c r="BH78" s="32" t="str">
        <f t="shared" si="268"/>
        <v>Yes</v>
      </c>
      <c r="BI78" s="32" t="str">
        <f t="shared" si="268"/>
        <v/>
      </c>
      <c r="BJ78" s="32" t="str">
        <f t="shared" si="268"/>
        <v>Yes</v>
      </c>
      <c r="BK78" s="32" t="str">
        <f t="shared" si="268"/>
        <v/>
      </c>
      <c r="BL78" s="32" t="str">
        <f t="shared" si="268"/>
        <v/>
      </c>
      <c r="BM78" s="32" t="str">
        <f t="shared" si="268"/>
        <v>Yes</v>
      </c>
      <c r="BN78" s="32" t="str">
        <f t="shared" si="268"/>
        <v/>
      </c>
      <c r="BO78" s="32" t="str">
        <f t="shared" si="268"/>
        <v/>
      </c>
      <c r="BP78" s="32" t="str">
        <f t="shared" si="268"/>
        <v/>
      </c>
      <c r="BQ78" s="32" t="str">
        <f t="shared" si="268"/>
        <v/>
      </c>
      <c r="BR78" s="32" t="str">
        <f t="shared" si="11"/>
        <v/>
      </c>
      <c r="BS78" s="32" t="str">
        <f t="shared" si="12"/>
        <v/>
      </c>
      <c r="BT78" s="32"/>
      <c r="BU78" s="32"/>
      <c r="BV78" s="32"/>
      <c r="BW78" s="33">
        <f t="shared" si="13"/>
        <v>0</v>
      </c>
      <c r="BX78" s="33">
        <f t="shared" si="14"/>
        <v>0</v>
      </c>
      <c r="BY78" s="34" t="str">
        <f t="shared" si="15"/>
        <v/>
      </c>
      <c r="BZ78" s="33">
        <f t="shared" si="16"/>
        <v>0</v>
      </c>
      <c r="CA78" s="33">
        <f t="shared" si="17"/>
        <v>0</v>
      </c>
      <c r="CB78" s="34" t="str">
        <f t="shared" si="18"/>
        <v/>
      </c>
      <c r="CC78" s="35"/>
      <c r="CD78" s="33"/>
      <c r="CE78" s="34"/>
      <c r="CF78" s="33"/>
      <c r="CG78" s="33"/>
      <c r="CH78" s="34"/>
      <c r="CI78" s="33"/>
      <c r="CJ78" s="33"/>
      <c r="CK78" s="34"/>
    </row>
    <row r="79" ht="12.75" customHeight="1">
      <c r="A79" s="36">
        <v>78.0</v>
      </c>
      <c r="B79" s="36" t="s">
        <v>138</v>
      </c>
      <c r="C79" s="37" t="s">
        <v>144</v>
      </c>
      <c r="D79" s="38"/>
      <c r="E79" s="39">
        <v>0.0</v>
      </c>
      <c r="F79" s="31">
        <f>Andrew!D79</f>
        <v>0.25</v>
      </c>
      <c r="G79" s="31">
        <f>Bruce!D79</f>
        <v>0.4</v>
      </c>
      <c r="H79" s="31">
        <f>Christine!D79</f>
        <v>0.2</v>
      </c>
      <c r="I79" s="31">
        <f>Eileen!D79</f>
        <v>0.1</v>
      </c>
      <c r="J79" s="31">
        <f>Iain!D79</f>
        <v>0.9</v>
      </c>
      <c r="K79" s="31">
        <f>Gael!D79</f>
        <v>0.675</v>
      </c>
      <c r="L79" s="31">
        <f>Jac!D79</f>
        <v>0.45</v>
      </c>
      <c r="M79" s="31">
        <f>James!D79</f>
        <v>0.2</v>
      </c>
      <c r="N79" s="31">
        <f>Kate!D79</f>
        <v>0.7</v>
      </c>
      <c r="O79" s="31">
        <f>Lachy!D79</f>
        <v>0.35</v>
      </c>
      <c r="P79" s="31">
        <f>Pete!D79</f>
        <v>0.1</v>
      </c>
      <c r="Q79" s="31">
        <f>Rohan!D79</f>
        <v>0.8</v>
      </c>
      <c r="R79" s="31">
        <f t="shared" si="27"/>
        <v>0.5849625007</v>
      </c>
      <c r="S79" s="31">
        <f t="shared" ref="S79:AC79" si="269">IF($E79=1,(LOG(G79,2)+1),IF($E79=0,(LOG(1-G79,2)+1),""))</f>
        <v>0.2630344058</v>
      </c>
      <c r="T79" s="31">
        <f t="shared" si="269"/>
        <v>0.6780719051</v>
      </c>
      <c r="U79" s="31">
        <f t="shared" si="269"/>
        <v>0.8479969066</v>
      </c>
      <c r="V79" s="31">
        <f t="shared" si="269"/>
        <v>-2.321928095</v>
      </c>
      <c r="W79" s="31">
        <f t="shared" si="269"/>
        <v>-0.6214883767</v>
      </c>
      <c r="X79" s="31">
        <f t="shared" si="269"/>
        <v>0.1375035237</v>
      </c>
      <c r="Y79" s="31">
        <f t="shared" si="269"/>
        <v>0.6780719051</v>
      </c>
      <c r="Z79" s="31">
        <f t="shared" si="269"/>
        <v>-0.7369655942</v>
      </c>
      <c r="AA79" s="31">
        <f t="shared" si="269"/>
        <v>0.3785116233</v>
      </c>
      <c r="AB79" s="31">
        <f t="shared" si="269"/>
        <v>0.8479969066</v>
      </c>
      <c r="AC79" s="31">
        <f t="shared" si="269"/>
        <v>-1.321928095</v>
      </c>
      <c r="AD79" s="41"/>
      <c r="AE79" s="31">
        <f t="shared" si="6"/>
        <v>17.96920662</v>
      </c>
      <c r="AF79" s="31">
        <f t="shared" si="7"/>
        <v>0.4270833333</v>
      </c>
      <c r="AG79" s="31">
        <f t="shared" si="8"/>
        <v>0.0776657197</v>
      </c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2" t="str">
        <f t="shared" ref="AT79:BE79" si="270">IF(F79=MIN($F79:$Q79),"Yes","")</f>
        <v/>
      </c>
      <c r="AU79" s="32" t="str">
        <f t="shared" si="270"/>
        <v/>
      </c>
      <c r="AV79" s="32" t="str">
        <f t="shared" si="270"/>
        <v/>
      </c>
      <c r="AW79" s="32" t="str">
        <f t="shared" si="270"/>
        <v>Yes</v>
      </c>
      <c r="AX79" s="32" t="str">
        <f t="shared" si="270"/>
        <v/>
      </c>
      <c r="AY79" s="32" t="str">
        <f t="shared" si="270"/>
        <v/>
      </c>
      <c r="AZ79" s="32" t="str">
        <f t="shared" si="270"/>
        <v/>
      </c>
      <c r="BA79" s="32" t="str">
        <f t="shared" si="270"/>
        <v/>
      </c>
      <c r="BB79" s="32" t="str">
        <f t="shared" si="270"/>
        <v/>
      </c>
      <c r="BC79" s="32" t="str">
        <f t="shared" si="270"/>
        <v/>
      </c>
      <c r="BD79" s="32" t="str">
        <f t="shared" si="270"/>
        <v>Yes</v>
      </c>
      <c r="BE79" s="32" t="str">
        <f t="shared" si="270"/>
        <v/>
      </c>
      <c r="BF79" s="32" t="str">
        <f t="shared" ref="BF79:BQ79" si="271">IF(F79=MAX($F79:$Q79),"Yes","")</f>
        <v/>
      </c>
      <c r="BG79" s="32" t="str">
        <f t="shared" si="271"/>
        <v/>
      </c>
      <c r="BH79" s="32" t="str">
        <f t="shared" si="271"/>
        <v/>
      </c>
      <c r="BI79" s="32" t="str">
        <f t="shared" si="271"/>
        <v/>
      </c>
      <c r="BJ79" s="32" t="str">
        <f t="shared" si="271"/>
        <v>Yes</v>
      </c>
      <c r="BK79" s="32" t="str">
        <f t="shared" si="271"/>
        <v/>
      </c>
      <c r="BL79" s="32" t="str">
        <f t="shared" si="271"/>
        <v/>
      </c>
      <c r="BM79" s="32" t="str">
        <f t="shared" si="271"/>
        <v/>
      </c>
      <c r="BN79" s="32" t="str">
        <f t="shared" si="271"/>
        <v/>
      </c>
      <c r="BO79" s="32" t="str">
        <f t="shared" si="271"/>
        <v/>
      </c>
      <c r="BP79" s="32" t="str">
        <f t="shared" si="271"/>
        <v/>
      </c>
      <c r="BQ79" s="32" t="str">
        <f t="shared" si="271"/>
        <v/>
      </c>
      <c r="BR79" s="32" t="str">
        <f t="shared" si="11"/>
        <v/>
      </c>
      <c r="BS79" s="32" t="str">
        <f t="shared" si="12"/>
        <v/>
      </c>
      <c r="BT79" s="32"/>
      <c r="BU79" s="32"/>
      <c r="BV79" s="32"/>
      <c r="BW79" s="33">
        <f t="shared" si="13"/>
        <v>0</v>
      </c>
      <c r="BX79" s="33">
        <f t="shared" si="14"/>
        <v>0</v>
      </c>
      <c r="BY79" s="34" t="str">
        <f t="shared" si="15"/>
        <v/>
      </c>
      <c r="BZ79" s="33">
        <f t="shared" si="16"/>
        <v>0</v>
      </c>
      <c r="CA79" s="33">
        <f t="shared" si="17"/>
        <v>0</v>
      </c>
      <c r="CB79" s="34" t="str">
        <f t="shared" si="18"/>
        <v/>
      </c>
      <c r="CC79" s="35"/>
      <c r="CD79" s="33"/>
      <c r="CE79" s="34"/>
      <c r="CF79" s="33"/>
      <c r="CG79" s="33"/>
      <c r="CH79" s="34"/>
      <c r="CI79" s="33"/>
      <c r="CJ79" s="33"/>
      <c r="CK79" s="34"/>
    </row>
    <row r="80" ht="12.75" customHeight="1">
      <c r="A80" s="18">
        <v>79.0</v>
      </c>
      <c r="B80" s="18" t="s">
        <v>138</v>
      </c>
      <c r="C80" s="19" t="s">
        <v>145</v>
      </c>
      <c r="D80" s="49"/>
      <c r="E80" s="21">
        <v>0.0</v>
      </c>
      <c r="F80" s="22">
        <f>Andrew!D80</f>
        <v>0.5</v>
      </c>
      <c r="G80" s="26">
        <f>Bruce!D80</f>
        <v>0.55</v>
      </c>
      <c r="H80" s="22">
        <f>Christine!D80</f>
        <v>0.2</v>
      </c>
      <c r="I80" s="26">
        <f>Eileen!D80</f>
        <v>0.5</v>
      </c>
      <c r="J80" s="22">
        <f>Iain!D80</f>
        <v>0.9</v>
      </c>
      <c r="K80" s="26">
        <f>Gael!D80</f>
        <v>0.85</v>
      </c>
      <c r="L80" s="22">
        <f>Jac!D80</f>
        <v>0.2</v>
      </c>
      <c r="M80" s="26">
        <f>James!D80</f>
        <v>0.2</v>
      </c>
      <c r="N80" s="22">
        <f>Kate!D80</f>
        <v>0.8</v>
      </c>
      <c r="O80" s="26">
        <f>Lachy!D80</f>
        <v>0.15</v>
      </c>
      <c r="P80" s="22">
        <f>Pete!D80</f>
        <v>0.5</v>
      </c>
      <c r="Q80" s="26">
        <f>Rohan!D80</f>
        <v>0.5</v>
      </c>
      <c r="R80" s="22">
        <f t="shared" si="27"/>
        <v>0</v>
      </c>
      <c r="S80" s="22">
        <f t="shared" ref="S80:AC80" si="272">IF($E80=1,(LOG(G80,2)+1),IF($E80=0,(LOG(1-G80,2)+1),""))</f>
        <v>-0.1520030934</v>
      </c>
      <c r="T80" s="22">
        <f t="shared" si="272"/>
        <v>0.6780719051</v>
      </c>
      <c r="U80" s="22">
        <f t="shared" si="272"/>
        <v>0</v>
      </c>
      <c r="V80" s="22">
        <f t="shared" si="272"/>
        <v>-2.321928095</v>
      </c>
      <c r="W80" s="22">
        <f t="shared" si="272"/>
        <v>-1.736965594</v>
      </c>
      <c r="X80" s="22">
        <f t="shared" si="272"/>
        <v>0.6780719051</v>
      </c>
      <c r="Y80" s="22">
        <f t="shared" si="272"/>
        <v>0.6780719051</v>
      </c>
      <c r="Z80" s="22">
        <f t="shared" si="272"/>
        <v>-1.321928095</v>
      </c>
      <c r="AA80" s="22">
        <f t="shared" si="272"/>
        <v>0.7655347464</v>
      </c>
      <c r="AB80" s="22">
        <f t="shared" si="272"/>
        <v>0</v>
      </c>
      <c r="AC80" s="22">
        <f t="shared" si="272"/>
        <v>0</v>
      </c>
      <c r="AD80" s="41"/>
      <c r="AE80" s="31">
        <f t="shared" si="6"/>
        <v>16.4644323</v>
      </c>
      <c r="AF80" s="31">
        <f t="shared" si="7"/>
        <v>0.4875</v>
      </c>
      <c r="AG80" s="31">
        <f t="shared" si="8"/>
        <v>0.06960227273</v>
      </c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2" t="str">
        <f t="shared" ref="AT80:BE80" si="273">IF(F80=MIN($F80:$Q80),"Yes","")</f>
        <v/>
      </c>
      <c r="AU80" s="32" t="str">
        <f t="shared" si="273"/>
        <v/>
      </c>
      <c r="AV80" s="32" t="str">
        <f t="shared" si="273"/>
        <v/>
      </c>
      <c r="AW80" s="32" t="str">
        <f t="shared" si="273"/>
        <v/>
      </c>
      <c r="AX80" s="32" t="str">
        <f t="shared" si="273"/>
        <v/>
      </c>
      <c r="AY80" s="32" t="str">
        <f t="shared" si="273"/>
        <v/>
      </c>
      <c r="AZ80" s="32" t="str">
        <f t="shared" si="273"/>
        <v/>
      </c>
      <c r="BA80" s="32" t="str">
        <f t="shared" si="273"/>
        <v/>
      </c>
      <c r="BB80" s="32" t="str">
        <f t="shared" si="273"/>
        <v/>
      </c>
      <c r="BC80" s="32" t="str">
        <f t="shared" si="273"/>
        <v>Yes</v>
      </c>
      <c r="BD80" s="32" t="str">
        <f t="shared" si="273"/>
        <v/>
      </c>
      <c r="BE80" s="32" t="str">
        <f t="shared" si="273"/>
        <v/>
      </c>
      <c r="BF80" s="32" t="str">
        <f t="shared" ref="BF80:BQ80" si="274">IF(F80=MAX($F80:$Q80),"Yes","")</f>
        <v/>
      </c>
      <c r="BG80" s="32" t="str">
        <f t="shared" si="274"/>
        <v/>
      </c>
      <c r="BH80" s="32" t="str">
        <f t="shared" si="274"/>
        <v/>
      </c>
      <c r="BI80" s="32" t="str">
        <f t="shared" si="274"/>
        <v/>
      </c>
      <c r="BJ80" s="32" t="str">
        <f t="shared" si="274"/>
        <v>Yes</v>
      </c>
      <c r="BK80" s="32" t="str">
        <f t="shared" si="274"/>
        <v/>
      </c>
      <c r="BL80" s="32" t="str">
        <f t="shared" si="274"/>
        <v/>
      </c>
      <c r="BM80" s="32" t="str">
        <f t="shared" si="274"/>
        <v/>
      </c>
      <c r="BN80" s="32" t="str">
        <f t="shared" si="274"/>
        <v/>
      </c>
      <c r="BO80" s="32" t="str">
        <f t="shared" si="274"/>
        <v/>
      </c>
      <c r="BP80" s="32" t="str">
        <f t="shared" si="274"/>
        <v/>
      </c>
      <c r="BQ80" s="32" t="str">
        <f t="shared" si="274"/>
        <v/>
      </c>
      <c r="BR80" s="32" t="str">
        <f t="shared" si="11"/>
        <v/>
      </c>
      <c r="BS80" s="32" t="str">
        <f t="shared" si="12"/>
        <v/>
      </c>
      <c r="BT80" s="32"/>
      <c r="BU80" s="32"/>
      <c r="BV80" s="32"/>
      <c r="BW80" s="33">
        <f t="shared" si="13"/>
        <v>0</v>
      </c>
      <c r="BX80" s="33">
        <f t="shared" si="14"/>
        <v>0</v>
      </c>
      <c r="BY80" s="34" t="str">
        <f t="shared" si="15"/>
        <v/>
      </c>
      <c r="BZ80" s="33">
        <f t="shared" si="16"/>
        <v>0</v>
      </c>
      <c r="CA80" s="33">
        <f t="shared" si="17"/>
        <v>0</v>
      </c>
      <c r="CB80" s="34" t="str">
        <f t="shared" si="18"/>
        <v/>
      </c>
      <c r="CC80" s="35"/>
      <c r="CD80" s="33"/>
      <c r="CE80" s="34"/>
      <c r="CF80" s="33"/>
      <c r="CG80" s="33"/>
      <c r="CH80" s="34"/>
      <c r="CI80" s="33"/>
      <c r="CJ80" s="33"/>
      <c r="CK80" s="34"/>
    </row>
    <row r="81" ht="12.75" customHeight="1">
      <c r="A81" s="36">
        <v>80.0</v>
      </c>
      <c r="B81" s="36" t="s">
        <v>138</v>
      </c>
      <c r="C81" s="37" t="s">
        <v>146</v>
      </c>
      <c r="D81" s="38"/>
      <c r="E81" s="39">
        <v>0.0</v>
      </c>
      <c r="F81" s="31">
        <f>Andrew!D81</f>
        <v>0.2</v>
      </c>
      <c r="G81" s="31">
        <f>Bruce!D81</f>
        <v>0.3</v>
      </c>
      <c r="H81" s="31">
        <f>Christine!D81</f>
        <v>0.1</v>
      </c>
      <c r="I81" s="31">
        <f>Eileen!D81</f>
        <v>0.1</v>
      </c>
      <c r="J81" s="31">
        <f>Iain!D81</f>
        <v>0.4</v>
      </c>
      <c r="K81" s="31">
        <f>Gael!D81</f>
        <v>0.65</v>
      </c>
      <c r="L81" s="31">
        <f>Jac!D81</f>
        <v>0.5</v>
      </c>
      <c r="M81" s="31">
        <f>James!D81</f>
        <v>0.1</v>
      </c>
      <c r="N81" s="31">
        <f>Kate!D81</f>
        <v>0.7</v>
      </c>
      <c r="O81" s="31">
        <f>Lachy!D81</f>
        <v>0.65</v>
      </c>
      <c r="P81" s="31">
        <f>Pete!D81</f>
        <v>0.9</v>
      </c>
      <c r="Q81" s="31">
        <f>Rohan!D81</f>
        <v>0.65</v>
      </c>
      <c r="R81" s="31">
        <f t="shared" si="27"/>
        <v>0.6780719051</v>
      </c>
      <c r="S81" s="31">
        <f t="shared" ref="S81:AC81" si="275">IF($E81=1,(LOG(G81,2)+1),IF($E81=0,(LOG(1-G81,2)+1),""))</f>
        <v>0.4854268272</v>
      </c>
      <c r="T81" s="31">
        <f t="shared" si="275"/>
        <v>0.8479969066</v>
      </c>
      <c r="U81" s="31">
        <f t="shared" si="275"/>
        <v>0.8479969066</v>
      </c>
      <c r="V81" s="31">
        <f t="shared" si="275"/>
        <v>0.2630344058</v>
      </c>
      <c r="W81" s="31">
        <f t="shared" si="275"/>
        <v>-0.5145731728</v>
      </c>
      <c r="X81" s="31">
        <f t="shared" si="275"/>
        <v>0</v>
      </c>
      <c r="Y81" s="31">
        <f t="shared" si="275"/>
        <v>0.8479969066</v>
      </c>
      <c r="Z81" s="31">
        <f t="shared" si="275"/>
        <v>-0.7369655942</v>
      </c>
      <c r="AA81" s="31">
        <f t="shared" si="275"/>
        <v>-0.5145731728</v>
      </c>
      <c r="AB81" s="31">
        <f t="shared" si="275"/>
        <v>-2.321928095</v>
      </c>
      <c r="AC81" s="31">
        <f t="shared" si="275"/>
        <v>-0.5145731728</v>
      </c>
      <c r="AD81" s="41"/>
      <c r="AE81" s="31">
        <f t="shared" si="6"/>
        <v>16.38870174</v>
      </c>
      <c r="AF81" s="31">
        <f t="shared" si="7"/>
        <v>0.4375</v>
      </c>
      <c r="AG81" s="31">
        <f t="shared" si="8"/>
        <v>0.07642045455</v>
      </c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2" t="str">
        <f t="shared" ref="AT81:BE81" si="276">IF(F81=MIN($F81:$Q81),"Yes","")</f>
        <v/>
      </c>
      <c r="AU81" s="32" t="str">
        <f t="shared" si="276"/>
        <v/>
      </c>
      <c r="AV81" s="32" t="str">
        <f t="shared" si="276"/>
        <v>Yes</v>
      </c>
      <c r="AW81" s="32" t="str">
        <f t="shared" si="276"/>
        <v>Yes</v>
      </c>
      <c r="AX81" s="32" t="str">
        <f t="shared" si="276"/>
        <v/>
      </c>
      <c r="AY81" s="32" t="str">
        <f t="shared" si="276"/>
        <v/>
      </c>
      <c r="AZ81" s="32" t="str">
        <f t="shared" si="276"/>
        <v/>
      </c>
      <c r="BA81" s="32" t="str">
        <f t="shared" si="276"/>
        <v>Yes</v>
      </c>
      <c r="BB81" s="32" t="str">
        <f t="shared" si="276"/>
        <v/>
      </c>
      <c r="BC81" s="32" t="str">
        <f t="shared" si="276"/>
        <v/>
      </c>
      <c r="BD81" s="32" t="str">
        <f t="shared" si="276"/>
        <v/>
      </c>
      <c r="BE81" s="32" t="str">
        <f t="shared" si="276"/>
        <v/>
      </c>
      <c r="BF81" s="32" t="str">
        <f t="shared" ref="BF81:BQ81" si="277">IF(F81=MAX($F81:$Q81),"Yes","")</f>
        <v/>
      </c>
      <c r="BG81" s="32" t="str">
        <f t="shared" si="277"/>
        <v/>
      </c>
      <c r="BH81" s="32" t="str">
        <f t="shared" si="277"/>
        <v/>
      </c>
      <c r="BI81" s="32" t="str">
        <f t="shared" si="277"/>
        <v/>
      </c>
      <c r="BJ81" s="32" t="str">
        <f t="shared" si="277"/>
        <v/>
      </c>
      <c r="BK81" s="32" t="str">
        <f t="shared" si="277"/>
        <v/>
      </c>
      <c r="BL81" s="32" t="str">
        <f t="shared" si="277"/>
        <v/>
      </c>
      <c r="BM81" s="32" t="str">
        <f t="shared" si="277"/>
        <v/>
      </c>
      <c r="BN81" s="32" t="str">
        <f t="shared" si="277"/>
        <v/>
      </c>
      <c r="BO81" s="32" t="str">
        <f t="shared" si="277"/>
        <v/>
      </c>
      <c r="BP81" s="32" t="str">
        <f t="shared" si="277"/>
        <v>Yes</v>
      </c>
      <c r="BQ81" s="32" t="str">
        <f t="shared" si="277"/>
        <v/>
      </c>
      <c r="BR81" s="32" t="str">
        <f t="shared" si="11"/>
        <v/>
      </c>
      <c r="BS81" s="32" t="str">
        <f t="shared" si="12"/>
        <v/>
      </c>
      <c r="BT81" s="32"/>
      <c r="BU81" s="32"/>
      <c r="BV81" s="32"/>
      <c r="BW81" s="33">
        <f t="shared" si="13"/>
        <v>0</v>
      </c>
      <c r="BX81" s="33">
        <f t="shared" si="14"/>
        <v>0</v>
      </c>
      <c r="BY81" s="34" t="str">
        <f t="shared" si="15"/>
        <v/>
      </c>
      <c r="BZ81" s="33">
        <f t="shared" si="16"/>
        <v>0</v>
      </c>
      <c r="CA81" s="33">
        <f t="shared" si="17"/>
        <v>0</v>
      </c>
      <c r="CB81" s="34" t="str">
        <f t="shared" si="18"/>
        <v/>
      </c>
      <c r="CC81" s="35"/>
      <c r="CD81" s="33"/>
      <c r="CE81" s="34"/>
      <c r="CF81" s="33"/>
      <c r="CG81" s="33"/>
      <c r="CH81" s="34"/>
      <c r="CI81" s="33"/>
      <c r="CJ81" s="33"/>
      <c r="CK81" s="34"/>
    </row>
    <row r="82" ht="12.75" customHeight="1">
      <c r="A82" s="18">
        <v>81.0</v>
      </c>
      <c r="B82" s="18" t="s">
        <v>138</v>
      </c>
      <c r="C82" s="55" t="s">
        <v>147</v>
      </c>
      <c r="D82" s="49"/>
      <c r="E82" s="21">
        <v>0.0</v>
      </c>
      <c r="F82" s="56">
        <f>Andrew!D82</f>
        <v>0.9</v>
      </c>
      <c r="G82" s="58">
        <f>Bruce!D82</f>
        <v>0.99</v>
      </c>
      <c r="H82" s="56">
        <f>Christine!D82</f>
        <v>0.2</v>
      </c>
      <c r="I82" s="58">
        <f>Eileen!D82</f>
        <v>0.9</v>
      </c>
      <c r="J82" s="56">
        <f>Iain!D82</f>
        <v>0.3</v>
      </c>
      <c r="K82" s="58">
        <f>Gael!D82</f>
        <v>0.8</v>
      </c>
      <c r="L82" s="56">
        <f>Jac!D82</f>
        <v>0.2</v>
      </c>
      <c r="M82" s="58">
        <f>James!D82</f>
        <v>0.2</v>
      </c>
      <c r="N82" s="56">
        <f>Kate!D82</f>
        <v>0.1</v>
      </c>
      <c r="O82" s="58">
        <f>Lachy!D82</f>
        <v>0.15</v>
      </c>
      <c r="P82" s="56">
        <f>Pete!D82</f>
        <v>0.5</v>
      </c>
      <c r="Q82" s="58">
        <f>Rohan!D82</f>
        <v>0.3</v>
      </c>
      <c r="R82" s="22">
        <f t="shared" si="27"/>
        <v>-2.321928095</v>
      </c>
      <c r="S82" s="22">
        <f t="shared" ref="S82:AC82" si="278">IF($E82=1,(LOG(G82,2)+1),IF($E82=0,(LOG(1-G82,2)+1),""))</f>
        <v>-5.64385619</v>
      </c>
      <c r="T82" s="22">
        <f t="shared" si="278"/>
        <v>0.6780719051</v>
      </c>
      <c r="U82" s="22">
        <f t="shared" si="278"/>
        <v>-2.321928095</v>
      </c>
      <c r="V82" s="22">
        <f t="shared" si="278"/>
        <v>0.4854268272</v>
      </c>
      <c r="W82" s="22">
        <f t="shared" si="278"/>
        <v>-1.321928095</v>
      </c>
      <c r="X82" s="22">
        <f t="shared" si="278"/>
        <v>0.6780719051</v>
      </c>
      <c r="Y82" s="22">
        <f t="shared" si="278"/>
        <v>0.6780719051</v>
      </c>
      <c r="Z82" s="22">
        <f t="shared" si="278"/>
        <v>0.8479969066</v>
      </c>
      <c r="AA82" s="22">
        <f t="shared" si="278"/>
        <v>0.7655347464</v>
      </c>
      <c r="AB82" s="22">
        <f t="shared" si="278"/>
        <v>0</v>
      </c>
      <c r="AC82" s="22">
        <f t="shared" si="278"/>
        <v>0.4854268272</v>
      </c>
      <c r="AD82" s="41"/>
      <c r="AE82" s="31">
        <f t="shared" si="6"/>
        <v>29.08641681</v>
      </c>
      <c r="AF82" s="31">
        <f t="shared" si="7"/>
        <v>0.4616666667</v>
      </c>
      <c r="AG82" s="31">
        <f t="shared" si="8"/>
        <v>0.1149969697</v>
      </c>
      <c r="AH82" s="46" t="str">
        <f t="shared" ref="AH82:AS82" si="279">IF(F82=MIN($F82:$Q82),LOG(1-F82,2)+1,IF(F82=MAX($F82:$Q82),LOG(F82,2)+1,""))</f>
        <v/>
      </c>
      <c r="AI82" s="46">
        <f t="shared" si="279"/>
        <v>0.9855004303</v>
      </c>
      <c r="AJ82" s="46" t="str">
        <f t="shared" si="279"/>
        <v/>
      </c>
      <c r="AK82" s="46" t="str">
        <f t="shared" si="279"/>
        <v/>
      </c>
      <c r="AL82" s="46" t="str">
        <f t="shared" si="279"/>
        <v/>
      </c>
      <c r="AM82" s="46" t="str">
        <f t="shared" si="279"/>
        <v/>
      </c>
      <c r="AN82" s="46" t="str">
        <f t="shared" si="279"/>
        <v/>
      </c>
      <c r="AO82" s="46" t="str">
        <f t="shared" si="279"/>
        <v/>
      </c>
      <c r="AP82" s="46">
        <f t="shared" si="279"/>
        <v>0.8479969066</v>
      </c>
      <c r="AQ82" s="46" t="str">
        <f t="shared" si="279"/>
        <v/>
      </c>
      <c r="AR82" s="46" t="str">
        <f t="shared" si="279"/>
        <v/>
      </c>
      <c r="AS82" s="46" t="str">
        <f t="shared" si="279"/>
        <v/>
      </c>
      <c r="AT82" s="32" t="str">
        <f t="shared" ref="AT82:BE82" si="280">IF(F82=MIN($F82:$Q82),"Yes","")</f>
        <v/>
      </c>
      <c r="AU82" s="32" t="str">
        <f t="shared" si="280"/>
        <v/>
      </c>
      <c r="AV82" s="32" t="str">
        <f t="shared" si="280"/>
        <v/>
      </c>
      <c r="AW82" s="32" t="str">
        <f t="shared" si="280"/>
        <v/>
      </c>
      <c r="AX82" s="32" t="str">
        <f t="shared" si="280"/>
        <v/>
      </c>
      <c r="AY82" s="32" t="str">
        <f t="shared" si="280"/>
        <v/>
      </c>
      <c r="AZ82" s="32" t="str">
        <f t="shared" si="280"/>
        <v/>
      </c>
      <c r="BA82" s="32" t="str">
        <f t="shared" si="280"/>
        <v/>
      </c>
      <c r="BB82" s="32" t="str">
        <f t="shared" si="280"/>
        <v>Yes</v>
      </c>
      <c r="BC82" s="32" t="str">
        <f t="shared" si="280"/>
        <v/>
      </c>
      <c r="BD82" s="32" t="str">
        <f t="shared" si="280"/>
        <v/>
      </c>
      <c r="BE82" s="32" t="str">
        <f t="shared" si="280"/>
        <v/>
      </c>
      <c r="BF82" s="32" t="str">
        <f t="shared" ref="BF82:BQ82" si="281">IF(F82=MAX($F82:$Q82),"Yes","")</f>
        <v/>
      </c>
      <c r="BG82" s="32" t="str">
        <f t="shared" si="281"/>
        <v>Yes</v>
      </c>
      <c r="BH82" s="32" t="str">
        <f t="shared" si="281"/>
        <v/>
      </c>
      <c r="BI82" s="32" t="str">
        <f t="shared" si="281"/>
        <v/>
      </c>
      <c r="BJ82" s="32" t="str">
        <f t="shared" si="281"/>
        <v/>
      </c>
      <c r="BK82" s="32" t="str">
        <f t="shared" si="281"/>
        <v/>
      </c>
      <c r="BL82" s="32" t="str">
        <f t="shared" si="281"/>
        <v/>
      </c>
      <c r="BM82" s="32" t="str">
        <f t="shared" si="281"/>
        <v/>
      </c>
      <c r="BN82" s="32" t="str">
        <f t="shared" si="281"/>
        <v/>
      </c>
      <c r="BO82" s="32" t="str">
        <f t="shared" si="281"/>
        <v/>
      </c>
      <c r="BP82" s="32" t="str">
        <f t="shared" si="281"/>
        <v/>
      </c>
      <c r="BQ82" s="32" t="str">
        <f t="shared" si="281"/>
        <v/>
      </c>
      <c r="BR82" s="32" t="str">
        <f t="shared" si="11"/>
        <v/>
      </c>
      <c r="BS82" s="32" t="str">
        <f t="shared" si="12"/>
        <v/>
      </c>
      <c r="BT82" s="32"/>
      <c r="BU82" s="32"/>
      <c r="BV82" s="32"/>
      <c r="BW82" s="33">
        <f t="shared" si="13"/>
        <v>0</v>
      </c>
      <c r="BX82" s="33">
        <f t="shared" si="14"/>
        <v>0</v>
      </c>
      <c r="BY82" s="34" t="str">
        <f t="shared" si="15"/>
        <v/>
      </c>
      <c r="BZ82" s="33">
        <f t="shared" si="16"/>
        <v>0</v>
      </c>
      <c r="CA82" s="33">
        <f t="shared" si="17"/>
        <v>0</v>
      </c>
      <c r="CB82" s="34" t="str">
        <f t="shared" si="18"/>
        <v/>
      </c>
      <c r="CC82" s="35" t="s">
        <v>63</v>
      </c>
      <c r="CD82" s="33"/>
      <c r="CE82" s="34"/>
      <c r="CF82" s="33"/>
      <c r="CG82" s="33"/>
      <c r="CH82" s="34"/>
      <c r="CI82" s="33"/>
      <c r="CJ82" s="33"/>
      <c r="CK82" s="34"/>
    </row>
    <row r="83" ht="12.75" customHeight="1">
      <c r="A83" s="36">
        <v>82.0</v>
      </c>
      <c r="B83" s="36" t="s">
        <v>138</v>
      </c>
      <c r="C83" s="37" t="s">
        <v>148</v>
      </c>
      <c r="D83" s="38"/>
      <c r="E83" s="39">
        <v>1.0</v>
      </c>
      <c r="F83" s="31">
        <f>Andrew!D83</f>
        <v>0.65</v>
      </c>
      <c r="G83" s="31">
        <f>Bruce!D83</f>
        <v>0.8</v>
      </c>
      <c r="H83" s="31">
        <f>Christine!D83</f>
        <v>0.9</v>
      </c>
      <c r="I83" s="31">
        <f>Eileen!D83</f>
        <v>0.5</v>
      </c>
      <c r="J83" s="31">
        <f>Iain!D83</f>
        <v>0.5</v>
      </c>
      <c r="K83" s="31">
        <f>Gael!D83</f>
        <v>0.5</v>
      </c>
      <c r="L83" s="31">
        <f>Jac!D83</f>
        <v>0.45</v>
      </c>
      <c r="M83" s="31">
        <f>James!D83</f>
        <v>0.9</v>
      </c>
      <c r="N83" s="31">
        <f>Kate!D83</f>
        <v>0.8</v>
      </c>
      <c r="O83" s="31">
        <f>Lachy!D83</f>
        <v>0.85</v>
      </c>
      <c r="P83" s="31">
        <f>Pete!D83</f>
        <v>0.5</v>
      </c>
      <c r="Q83" s="31">
        <f>Rohan!D83</f>
        <v>0.6</v>
      </c>
      <c r="R83" s="31">
        <f t="shared" si="27"/>
        <v>0.3785116233</v>
      </c>
      <c r="S83" s="31">
        <f t="shared" ref="S83:AC83" si="282">IF($E83=1,(LOG(G83,2)+1),IF($E83=0,(LOG(1-G83,2)+1),""))</f>
        <v>0.6780719051</v>
      </c>
      <c r="T83" s="31">
        <f t="shared" si="282"/>
        <v>0.8479969066</v>
      </c>
      <c r="U83" s="31">
        <f t="shared" si="282"/>
        <v>0</v>
      </c>
      <c r="V83" s="31">
        <f t="shared" si="282"/>
        <v>0</v>
      </c>
      <c r="W83" s="31">
        <f t="shared" si="282"/>
        <v>0</v>
      </c>
      <c r="X83" s="31">
        <f t="shared" si="282"/>
        <v>-0.1520030934</v>
      </c>
      <c r="Y83" s="31">
        <f t="shared" si="282"/>
        <v>0.8479969066</v>
      </c>
      <c r="Z83" s="31">
        <f t="shared" si="282"/>
        <v>0.6780719051</v>
      </c>
      <c r="AA83" s="31">
        <f t="shared" si="282"/>
        <v>0.7655347464</v>
      </c>
      <c r="AB83" s="31">
        <f t="shared" si="282"/>
        <v>0</v>
      </c>
      <c r="AC83" s="31">
        <f t="shared" si="282"/>
        <v>0.2630344058</v>
      </c>
      <c r="AD83" s="41"/>
      <c r="AE83" s="31">
        <f t="shared" si="6"/>
        <v>14.60990426</v>
      </c>
      <c r="AF83" s="31">
        <f t="shared" si="7"/>
        <v>0.6625</v>
      </c>
      <c r="AG83" s="31">
        <f t="shared" si="8"/>
        <v>0.03096590909</v>
      </c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2" t="str">
        <f t="shared" ref="AT83:BE83" si="283">IF(F83=MIN($F83:$Q83),"Yes","")</f>
        <v/>
      </c>
      <c r="AU83" s="32" t="str">
        <f t="shared" si="283"/>
        <v/>
      </c>
      <c r="AV83" s="32" t="str">
        <f t="shared" si="283"/>
        <v/>
      </c>
      <c r="AW83" s="32" t="str">
        <f t="shared" si="283"/>
        <v/>
      </c>
      <c r="AX83" s="32" t="str">
        <f t="shared" si="283"/>
        <v/>
      </c>
      <c r="AY83" s="32" t="str">
        <f t="shared" si="283"/>
        <v/>
      </c>
      <c r="AZ83" s="32" t="str">
        <f t="shared" si="283"/>
        <v>Yes</v>
      </c>
      <c r="BA83" s="32" t="str">
        <f t="shared" si="283"/>
        <v/>
      </c>
      <c r="BB83" s="32" t="str">
        <f t="shared" si="283"/>
        <v/>
      </c>
      <c r="BC83" s="32" t="str">
        <f t="shared" si="283"/>
        <v/>
      </c>
      <c r="BD83" s="32" t="str">
        <f t="shared" si="283"/>
        <v/>
      </c>
      <c r="BE83" s="32" t="str">
        <f t="shared" si="283"/>
        <v/>
      </c>
      <c r="BF83" s="32" t="str">
        <f t="shared" ref="BF83:BQ83" si="284">IF(F83=MAX($F83:$Q83),"Yes","")</f>
        <v/>
      </c>
      <c r="BG83" s="32" t="str">
        <f t="shared" si="284"/>
        <v/>
      </c>
      <c r="BH83" s="32" t="str">
        <f t="shared" si="284"/>
        <v>Yes</v>
      </c>
      <c r="BI83" s="32" t="str">
        <f t="shared" si="284"/>
        <v/>
      </c>
      <c r="BJ83" s="32" t="str">
        <f t="shared" si="284"/>
        <v/>
      </c>
      <c r="BK83" s="32" t="str">
        <f t="shared" si="284"/>
        <v/>
      </c>
      <c r="BL83" s="32" t="str">
        <f t="shared" si="284"/>
        <v/>
      </c>
      <c r="BM83" s="32" t="str">
        <f t="shared" si="284"/>
        <v>Yes</v>
      </c>
      <c r="BN83" s="32" t="str">
        <f t="shared" si="284"/>
        <v/>
      </c>
      <c r="BO83" s="32" t="str">
        <f t="shared" si="284"/>
        <v/>
      </c>
      <c r="BP83" s="32" t="str">
        <f t="shared" si="284"/>
        <v/>
      </c>
      <c r="BQ83" s="32" t="str">
        <f t="shared" si="284"/>
        <v/>
      </c>
      <c r="BR83" s="32" t="str">
        <f t="shared" si="11"/>
        <v/>
      </c>
      <c r="BS83" s="32" t="str">
        <f t="shared" si="12"/>
        <v/>
      </c>
      <c r="BT83" s="32"/>
      <c r="BU83" s="32"/>
      <c r="BV83" s="32"/>
      <c r="BW83" s="33">
        <f t="shared" si="13"/>
        <v>0</v>
      </c>
      <c r="BX83" s="33">
        <f t="shared" si="14"/>
        <v>0</v>
      </c>
      <c r="BY83" s="34" t="str">
        <f t="shared" si="15"/>
        <v/>
      </c>
      <c r="BZ83" s="33">
        <f t="shared" si="16"/>
        <v>0</v>
      </c>
      <c r="CA83" s="33">
        <f t="shared" si="17"/>
        <v>0</v>
      </c>
      <c r="CB83" s="34" t="str">
        <f t="shared" si="18"/>
        <v/>
      </c>
      <c r="CC83" s="35"/>
      <c r="CD83" s="33"/>
      <c r="CE83" s="34"/>
      <c r="CF83" s="33"/>
      <c r="CG83" s="33"/>
      <c r="CH83" s="34"/>
      <c r="CI83" s="33"/>
      <c r="CJ83" s="33"/>
      <c r="CK83" s="34"/>
    </row>
    <row r="84" ht="12.75" customHeight="1">
      <c r="A84" s="18">
        <v>83.0</v>
      </c>
      <c r="B84" s="18" t="s">
        <v>138</v>
      </c>
      <c r="C84" s="55" t="s">
        <v>149</v>
      </c>
      <c r="D84" s="49"/>
      <c r="E84" s="21">
        <v>0.0</v>
      </c>
      <c r="F84" s="56">
        <f>Andrew!D84</f>
        <v>0.4</v>
      </c>
      <c r="G84" s="58">
        <f>Bruce!D84</f>
        <v>0.65</v>
      </c>
      <c r="H84" s="56">
        <f>Christine!D84</f>
        <v>0.05</v>
      </c>
      <c r="I84" s="58">
        <f>Eileen!D84</f>
        <v>0.2</v>
      </c>
      <c r="J84" s="56">
        <f>Iain!D84</f>
        <v>0.7</v>
      </c>
      <c r="K84" s="58">
        <f>Gael!D84</f>
        <v>0.85</v>
      </c>
      <c r="L84" s="79">
        <f>Jac!D84</f>
        <v>0.001</v>
      </c>
      <c r="M84" s="58">
        <f>James!D84</f>
        <v>0.05</v>
      </c>
      <c r="N84" s="56">
        <f>Kate!D84</f>
        <v>0.1</v>
      </c>
      <c r="O84" s="71">
        <f>Lachy!D84</f>
        <v>0.001</v>
      </c>
      <c r="P84" s="56">
        <f>Pete!D84</f>
        <v>0.5</v>
      </c>
      <c r="Q84" s="58">
        <f>Rohan!D84</f>
        <v>0.65</v>
      </c>
      <c r="R84" s="22">
        <f t="shared" si="27"/>
        <v>0.2630344058</v>
      </c>
      <c r="S84" s="22">
        <f t="shared" ref="S84:AC84" si="285">IF($E84=1,(LOG(G84,2)+1),IF($E84=0,(LOG(1-G84,2)+1),""))</f>
        <v>-0.5145731728</v>
      </c>
      <c r="T84" s="22">
        <f t="shared" si="285"/>
        <v>0.9259994186</v>
      </c>
      <c r="U84" s="22">
        <f t="shared" si="285"/>
        <v>0.6780719051</v>
      </c>
      <c r="V84" s="22">
        <f t="shared" si="285"/>
        <v>-0.7369655942</v>
      </c>
      <c r="W84" s="22">
        <f t="shared" si="285"/>
        <v>-1.736965594</v>
      </c>
      <c r="X84" s="22">
        <f t="shared" si="285"/>
        <v>0.9985565831</v>
      </c>
      <c r="Y84" s="22">
        <f t="shared" si="285"/>
        <v>0.9259994186</v>
      </c>
      <c r="Z84" s="22">
        <f t="shared" si="285"/>
        <v>0.8479969066</v>
      </c>
      <c r="AA84" s="22">
        <f t="shared" si="285"/>
        <v>0.9985565831</v>
      </c>
      <c r="AB84" s="22">
        <f t="shared" si="285"/>
        <v>0</v>
      </c>
      <c r="AC84" s="22">
        <f t="shared" si="285"/>
        <v>-0.5145731728</v>
      </c>
      <c r="AD84" s="41"/>
      <c r="AE84" s="31">
        <f t="shared" si="6"/>
        <v>38.52056162</v>
      </c>
      <c r="AF84" s="31">
        <f t="shared" si="7"/>
        <v>0.346</v>
      </c>
      <c r="AG84" s="31">
        <f t="shared" si="8"/>
        <v>0.09871909091</v>
      </c>
      <c r="AH84" s="46" t="str">
        <f t="shared" ref="AH84:AS84" si="286">IF(F84=MIN($F84:$Q84),LOG(1-F84,2)+1,IF(F84=MAX($F84:$Q84),LOG(F84,2)+1,""))</f>
        <v/>
      </c>
      <c r="AI84" s="46" t="str">
        <f t="shared" si="286"/>
        <v/>
      </c>
      <c r="AJ84" s="46" t="str">
        <f t="shared" si="286"/>
        <v/>
      </c>
      <c r="AK84" s="46" t="str">
        <f t="shared" si="286"/>
        <v/>
      </c>
      <c r="AL84" s="46" t="str">
        <f t="shared" si="286"/>
        <v/>
      </c>
      <c r="AM84" s="46">
        <f t="shared" si="286"/>
        <v>0.7655347464</v>
      </c>
      <c r="AN84" s="46">
        <f t="shared" si="286"/>
        <v>0.9985565831</v>
      </c>
      <c r="AO84" s="46" t="str">
        <f t="shared" si="286"/>
        <v/>
      </c>
      <c r="AP84" s="46" t="str">
        <f t="shared" si="286"/>
        <v/>
      </c>
      <c r="AQ84" s="46">
        <f t="shared" si="286"/>
        <v>0.9985565831</v>
      </c>
      <c r="AR84" s="46" t="str">
        <f t="shared" si="286"/>
        <v/>
      </c>
      <c r="AS84" s="46" t="str">
        <f t="shared" si="286"/>
        <v/>
      </c>
      <c r="AT84" s="32" t="str">
        <f t="shared" ref="AT84:BE84" si="287">IF(F84=MIN($F84:$Q84),"Yes","")</f>
        <v/>
      </c>
      <c r="AU84" s="32" t="str">
        <f t="shared" si="287"/>
        <v/>
      </c>
      <c r="AV84" s="32" t="str">
        <f t="shared" si="287"/>
        <v/>
      </c>
      <c r="AW84" s="32" t="str">
        <f t="shared" si="287"/>
        <v/>
      </c>
      <c r="AX84" s="32" t="str">
        <f t="shared" si="287"/>
        <v/>
      </c>
      <c r="AY84" s="32" t="str">
        <f t="shared" si="287"/>
        <v/>
      </c>
      <c r="AZ84" s="32" t="str">
        <f t="shared" si="287"/>
        <v>Yes</v>
      </c>
      <c r="BA84" s="32" t="str">
        <f t="shared" si="287"/>
        <v/>
      </c>
      <c r="BB84" s="32" t="str">
        <f t="shared" si="287"/>
        <v/>
      </c>
      <c r="BC84" s="32" t="str">
        <f t="shared" si="287"/>
        <v>Yes</v>
      </c>
      <c r="BD84" s="32" t="str">
        <f t="shared" si="287"/>
        <v/>
      </c>
      <c r="BE84" s="32" t="str">
        <f t="shared" si="287"/>
        <v/>
      </c>
      <c r="BF84" s="32" t="str">
        <f t="shared" ref="BF84:BQ84" si="288">IF(F84=MAX($F84:$Q84),"Yes","")</f>
        <v/>
      </c>
      <c r="BG84" s="32" t="str">
        <f t="shared" si="288"/>
        <v/>
      </c>
      <c r="BH84" s="32" t="str">
        <f t="shared" si="288"/>
        <v/>
      </c>
      <c r="BI84" s="32" t="str">
        <f t="shared" si="288"/>
        <v/>
      </c>
      <c r="BJ84" s="32" t="str">
        <f t="shared" si="288"/>
        <v/>
      </c>
      <c r="BK84" s="32" t="str">
        <f t="shared" si="288"/>
        <v>Yes</v>
      </c>
      <c r="BL84" s="32" t="str">
        <f t="shared" si="288"/>
        <v/>
      </c>
      <c r="BM84" s="32" t="str">
        <f t="shared" si="288"/>
        <v/>
      </c>
      <c r="BN84" s="32" t="str">
        <f t="shared" si="288"/>
        <v/>
      </c>
      <c r="BO84" s="32" t="str">
        <f t="shared" si="288"/>
        <v/>
      </c>
      <c r="BP84" s="32" t="str">
        <f t="shared" si="288"/>
        <v/>
      </c>
      <c r="BQ84" s="32" t="str">
        <f t="shared" si="288"/>
        <v/>
      </c>
      <c r="BR84" s="32" t="str">
        <f t="shared" si="11"/>
        <v/>
      </c>
      <c r="BS84" s="32" t="str">
        <f t="shared" si="12"/>
        <v/>
      </c>
      <c r="BT84" s="32"/>
      <c r="BU84" s="32"/>
      <c r="BV84" s="32"/>
      <c r="BW84" s="33">
        <f t="shared" si="13"/>
        <v>0</v>
      </c>
      <c r="BX84" s="33">
        <f t="shared" si="14"/>
        <v>0</v>
      </c>
      <c r="BY84" s="34" t="str">
        <f t="shared" si="15"/>
        <v/>
      </c>
      <c r="BZ84" s="33">
        <f t="shared" si="16"/>
        <v>0</v>
      </c>
      <c r="CA84" s="33">
        <f t="shared" si="17"/>
        <v>0</v>
      </c>
      <c r="CB84" s="34" t="str">
        <f t="shared" si="18"/>
        <v/>
      </c>
      <c r="CC84" s="35"/>
      <c r="CD84" s="33"/>
      <c r="CE84" s="34"/>
      <c r="CF84" s="33"/>
      <c r="CG84" s="33"/>
      <c r="CH84" s="34"/>
      <c r="CI84" s="33"/>
      <c r="CJ84" s="33"/>
      <c r="CK84" s="34"/>
    </row>
    <row r="85" ht="12.75" customHeight="1">
      <c r="A85" s="36">
        <v>84.0</v>
      </c>
      <c r="B85" s="36" t="s">
        <v>138</v>
      </c>
      <c r="C85" s="44" t="s">
        <v>150</v>
      </c>
      <c r="D85" s="38"/>
      <c r="E85" s="39">
        <v>0.0</v>
      </c>
      <c r="F85" s="46">
        <f>Andrew!D85</f>
        <v>0.2</v>
      </c>
      <c r="G85" s="46">
        <f>Bruce!D85</f>
        <v>0.9</v>
      </c>
      <c r="H85" s="46">
        <f>Christine!D85</f>
        <v>0.05</v>
      </c>
      <c r="I85" s="46">
        <f>Eileen!D85</f>
        <v>0.3</v>
      </c>
      <c r="J85" s="46">
        <f>Iain!D85</f>
        <v>0.2</v>
      </c>
      <c r="K85" s="46">
        <f>Gael!D85</f>
        <v>0.7</v>
      </c>
      <c r="L85" s="46">
        <f>Jac!D85</f>
        <v>0.05</v>
      </c>
      <c r="M85" s="46">
        <f>James!D85</f>
        <v>0.05</v>
      </c>
      <c r="N85" s="46">
        <f>Kate!D85</f>
        <v>0.7</v>
      </c>
      <c r="O85" s="46">
        <f>Lachy!D85</f>
        <v>0.15</v>
      </c>
      <c r="P85" s="46">
        <f>Pete!D85</f>
        <v>0.8</v>
      </c>
      <c r="Q85" s="46">
        <f>Rohan!D85</f>
        <v>0.7</v>
      </c>
      <c r="R85" s="31">
        <f t="shared" si="27"/>
        <v>0.6780719051</v>
      </c>
      <c r="S85" s="31">
        <f t="shared" ref="S85:AC85" si="289">IF($E85=1,(LOG(G85,2)+1),IF($E85=0,(LOG(1-G85,2)+1),""))</f>
        <v>-2.321928095</v>
      </c>
      <c r="T85" s="31">
        <f t="shared" si="289"/>
        <v>0.9259994186</v>
      </c>
      <c r="U85" s="31">
        <f t="shared" si="289"/>
        <v>0.4854268272</v>
      </c>
      <c r="V85" s="31">
        <f t="shared" si="289"/>
        <v>0.6780719051</v>
      </c>
      <c r="W85" s="31">
        <f t="shared" si="289"/>
        <v>-0.7369655942</v>
      </c>
      <c r="X85" s="31">
        <f t="shared" si="289"/>
        <v>0.9259994186</v>
      </c>
      <c r="Y85" s="31">
        <f t="shared" si="289"/>
        <v>0.9259994186</v>
      </c>
      <c r="Z85" s="31">
        <f t="shared" si="289"/>
        <v>-0.7369655942</v>
      </c>
      <c r="AA85" s="31">
        <f t="shared" si="289"/>
        <v>0.7655347464</v>
      </c>
      <c r="AB85" s="31">
        <f t="shared" si="289"/>
        <v>-1.321928095</v>
      </c>
      <c r="AC85" s="31">
        <f t="shared" si="289"/>
        <v>-0.7369655942</v>
      </c>
      <c r="AD85" s="41"/>
      <c r="AE85" s="31">
        <f t="shared" si="6"/>
        <v>25.30577757</v>
      </c>
      <c r="AF85" s="31">
        <f t="shared" si="7"/>
        <v>0.4</v>
      </c>
      <c r="AG85" s="31">
        <f t="shared" si="8"/>
        <v>0.1090909091</v>
      </c>
      <c r="AH85" s="46" t="str">
        <f t="shared" ref="AH85:AS85" si="290">IF(F85=MIN($F85:$Q85),LOG(1-F85,2)+1,IF(F85=MAX($F85:$Q85),LOG(F85,2)+1,""))</f>
        <v/>
      </c>
      <c r="AI85" s="46">
        <f t="shared" si="290"/>
        <v>0.8479969066</v>
      </c>
      <c r="AJ85" s="46">
        <f t="shared" si="290"/>
        <v>0.9259994186</v>
      </c>
      <c r="AK85" s="46" t="str">
        <f t="shared" si="290"/>
        <v/>
      </c>
      <c r="AL85" s="46" t="str">
        <f t="shared" si="290"/>
        <v/>
      </c>
      <c r="AM85" s="46" t="str">
        <f t="shared" si="290"/>
        <v/>
      </c>
      <c r="AN85" s="46">
        <f t="shared" si="290"/>
        <v>0.9259994186</v>
      </c>
      <c r="AO85" s="46">
        <f t="shared" si="290"/>
        <v>0.9259994186</v>
      </c>
      <c r="AP85" s="46" t="str">
        <f t="shared" si="290"/>
        <v/>
      </c>
      <c r="AQ85" s="46" t="str">
        <f t="shared" si="290"/>
        <v/>
      </c>
      <c r="AR85" s="46" t="str">
        <f t="shared" si="290"/>
        <v/>
      </c>
      <c r="AS85" s="46" t="str">
        <f t="shared" si="290"/>
        <v/>
      </c>
      <c r="AT85" s="32" t="str">
        <f t="shared" ref="AT85:BE85" si="291">IF(F85=MIN($F85:$Q85),"Yes","")</f>
        <v/>
      </c>
      <c r="AU85" s="32" t="str">
        <f t="shared" si="291"/>
        <v/>
      </c>
      <c r="AV85" s="32" t="str">
        <f t="shared" si="291"/>
        <v>Yes</v>
      </c>
      <c r="AW85" s="32" t="str">
        <f t="shared" si="291"/>
        <v/>
      </c>
      <c r="AX85" s="32" t="str">
        <f t="shared" si="291"/>
        <v/>
      </c>
      <c r="AY85" s="32" t="str">
        <f t="shared" si="291"/>
        <v/>
      </c>
      <c r="AZ85" s="32" t="str">
        <f t="shared" si="291"/>
        <v>Yes</v>
      </c>
      <c r="BA85" s="32" t="str">
        <f t="shared" si="291"/>
        <v>Yes</v>
      </c>
      <c r="BB85" s="32" t="str">
        <f t="shared" si="291"/>
        <v/>
      </c>
      <c r="BC85" s="32" t="str">
        <f t="shared" si="291"/>
        <v/>
      </c>
      <c r="BD85" s="32" t="str">
        <f t="shared" si="291"/>
        <v/>
      </c>
      <c r="BE85" s="32" t="str">
        <f t="shared" si="291"/>
        <v/>
      </c>
      <c r="BF85" s="32" t="str">
        <f t="shared" ref="BF85:BQ85" si="292">IF(F85=MAX($F85:$Q85),"Yes","")</f>
        <v/>
      </c>
      <c r="BG85" s="32" t="str">
        <f t="shared" si="292"/>
        <v>Yes</v>
      </c>
      <c r="BH85" s="32" t="str">
        <f t="shared" si="292"/>
        <v/>
      </c>
      <c r="BI85" s="32" t="str">
        <f t="shared" si="292"/>
        <v/>
      </c>
      <c r="BJ85" s="32" t="str">
        <f t="shared" si="292"/>
        <v/>
      </c>
      <c r="BK85" s="32" t="str">
        <f t="shared" si="292"/>
        <v/>
      </c>
      <c r="BL85" s="32" t="str">
        <f t="shared" si="292"/>
        <v/>
      </c>
      <c r="BM85" s="32" t="str">
        <f t="shared" si="292"/>
        <v/>
      </c>
      <c r="BN85" s="32" t="str">
        <f t="shared" si="292"/>
        <v/>
      </c>
      <c r="BO85" s="32" t="str">
        <f t="shared" si="292"/>
        <v/>
      </c>
      <c r="BP85" s="32" t="str">
        <f t="shared" si="292"/>
        <v/>
      </c>
      <c r="BQ85" s="32" t="str">
        <f t="shared" si="292"/>
        <v/>
      </c>
      <c r="BR85" s="32" t="str">
        <f t="shared" si="11"/>
        <v>Yes</v>
      </c>
      <c r="BS85" s="32" t="str">
        <f t="shared" si="12"/>
        <v/>
      </c>
      <c r="BT85" s="32"/>
      <c r="BU85" s="32"/>
      <c r="BV85" s="32"/>
      <c r="BW85" s="33">
        <f t="shared" si="13"/>
        <v>-0.9</v>
      </c>
      <c r="BX85" s="33">
        <f t="shared" si="14"/>
        <v>0.2</v>
      </c>
      <c r="BY85" s="34">
        <f t="shared" si="15"/>
        <v>1.1</v>
      </c>
      <c r="BZ85" s="33">
        <f t="shared" si="16"/>
        <v>0</v>
      </c>
      <c r="CA85" s="33">
        <f t="shared" si="17"/>
        <v>0</v>
      </c>
      <c r="CB85" s="34" t="str">
        <f t="shared" si="18"/>
        <v/>
      </c>
      <c r="CC85" s="35" t="s">
        <v>59</v>
      </c>
      <c r="CD85" s="33"/>
      <c r="CE85" s="34"/>
      <c r="CF85" s="33"/>
      <c r="CG85" s="33"/>
      <c r="CH85" s="34"/>
      <c r="CI85" s="33"/>
      <c r="CJ85" s="33"/>
      <c r="CK85" s="34"/>
    </row>
    <row r="86" ht="12.75" customHeight="1">
      <c r="A86" s="18">
        <v>85.0</v>
      </c>
      <c r="B86" s="18" t="s">
        <v>138</v>
      </c>
      <c r="C86" s="55" t="s">
        <v>151</v>
      </c>
      <c r="D86" s="49"/>
      <c r="E86" s="21">
        <v>0.0</v>
      </c>
      <c r="F86" s="56">
        <f>Andrew!D86</f>
        <v>0.3</v>
      </c>
      <c r="G86" s="58">
        <f>Bruce!D86</f>
        <v>0.2</v>
      </c>
      <c r="H86" s="56">
        <f>Christine!D86</f>
        <v>0.1</v>
      </c>
      <c r="I86" s="58">
        <f>Eileen!D86</f>
        <v>0.1</v>
      </c>
      <c r="J86" s="56">
        <f>Iain!D86</f>
        <v>0.5</v>
      </c>
      <c r="K86" s="58">
        <f>Gael!D86</f>
        <v>0.8</v>
      </c>
      <c r="L86" s="79">
        <f>Jac!D86</f>
        <v>0.001</v>
      </c>
      <c r="M86" s="58">
        <f>James!D86</f>
        <v>0.1</v>
      </c>
      <c r="N86" s="56">
        <f>Kate!D86</f>
        <v>0.8</v>
      </c>
      <c r="O86" s="58">
        <f>Lachy!D86</f>
        <v>0.35</v>
      </c>
      <c r="P86" s="56">
        <f>Pete!D86</f>
        <v>0.8</v>
      </c>
      <c r="Q86" s="58">
        <f>Rohan!D86</f>
        <v>0.6</v>
      </c>
      <c r="R86" s="22">
        <f t="shared" si="27"/>
        <v>0.4854268272</v>
      </c>
      <c r="S86" s="22">
        <f t="shared" ref="S86:AC86" si="293">IF($E86=1,(LOG(G86,2)+1),IF($E86=0,(LOG(1-G86,2)+1),""))</f>
        <v>0.6780719051</v>
      </c>
      <c r="T86" s="22">
        <f t="shared" si="293"/>
        <v>0.8479969066</v>
      </c>
      <c r="U86" s="22">
        <f t="shared" si="293"/>
        <v>0.8479969066</v>
      </c>
      <c r="V86" s="22">
        <f t="shared" si="293"/>
        <v>0</v>
      </c>
      <c r="W86" s="22">
        <f t="shared" si="293"/>
        <v>-1.321928095</v>
      </c>
      <c r="X86" s="22">
        <f t="shared" si="293"/>
        <v>0.9985565831</v>
      </c>
      <c r="Y86" s="22">
        <f t="shared" si="293"/>
        <v>0.8479969066</v>
      </c>
      <c r="Z86" s="22">
        <f t="shared" si="293"/>
        <v>-1.321928095</v>
      </c>
      <c r="AA86" s="22">
        <f t="shared" si="293"/>
        <v>0.3785116233</v>
      </c>
      <c r="AB86" s="22">
        <f t="shared" si="293"/>
        <v>-1.321928095</v>
      </c>
      <c r="AC86" s="22">
        <f t="shared" si="293"/>
        <v>-0.3219280949</v>
      </c>
      <c r="AD86" s="41"/>
      <c r="AE86" s="31">
        <f t="shared" si="6"/>
        <v>27.72977075</v>
      </c>
      <c r="AF86" s="31">
        <f t="shared" si="7"/>
        <v>0.3875833333</v>
      </c>
      <c r="AG86" s="31">
        <f t="shared" si="8"/>
        <v>0.09180462879</v>
      </c>
      <c r="AH86" s="46" t="str">
        <f t="shared" ref="AH86:AS86" si="294">IF(F86=MIN($F86:$Q86),LOG(1-F86,2)+1,IF(F86=MAX($F86:$Q86),LOG(F86,2)+1,""))</f>
        <v/>
      </c>
      <c r="AI86" s="46" t="str">
        <f t="shared" si="294"/>
        <v/>
      </c>
      <c r="AJ86" s="46" t="str">
        <f t="shared" si="294"/>
        <v/>
      </c>
      <c r="AK86" s="46" t="str">
        <f t="shared" si="294"/>
        <v/>
      </c>
      <c r="AL86" s="46" t="str">
        <f t="shared" si="294"/>
        <v/>
      </c>
      <c r="AM86" s="46">
        <f t="shared" si="294"/>
        <v>0.6780719051</v>
      </c>
      <c r="AN86" s="46">
        <f t="shared" si="294"/>
        <v>0.9985565831</v>
      </c>
      <c r="AO86" s="46" t="str">
        <f t="shared" si="294"/>
        <v/>
      </c>
      <c r="AP86" s="46">
        <f t="shared" si="294"/>
        <v>0.6780719051</v>
      </c>
      <c r="AQ86" s="46" t="str">
        <f t="shared" si="294"/>
        <v/>
      </c>
      <c r="AR86" s="46">
        <f t="shared" si="294"/>
        <v>0.6780719051</v>
      </c>
      <c r="AS86" s="46" t="str">
        <f t="shared" si="294"/>
        <v/>
      </c>
      <c r="AT86" s="32" t="str">
        <f t="shared" ref="AT86:BE86" si="295">IF(F86=MIN($F86:$Q86),"Yes","")</f>
        <v/>
      </c>
      <c r="AU86" s="32" t="str">
        <f t="shared" si="295"/>
        <v/>
      </c>
      <c r="AV86" s="32" t="str">
        <f t="shared" si="295"/>
        <v/>
      </c>
      <c r="AW86" s="32" t="str">
        <f t="shared" si="295"/>
        <v/>
      </c>
      <c r="AX86" s="32" t="str">
        <f t="shared" si="295"/>
        <v/>
      </c>
      <c r="AY86" s="32" t="str">
        <f t="shared" si="295"/>
        <v/>
      </c>
      <c r="AZ86" s="32" t="str">
        <f t="shared" si="295"/>
        <v>Yes</v>
      </c>
      <c r="BA86" s="32" t="str">
        <f t="shared" si="295"/>
        <v/>
      </c>
      <c r="BB86" s="32" t="str">
        <f t="shared" si="295"/>
        <v/>
      </c>
      <c r="BC86" s="32" t="str">
        <f t="shared" si="295"/>
        <v/>
      </c>
      <c r="BD86" s="32" t="str">
        <f t="shared" si="295"/>
        <v/>
      </c>
      <c r="BE86" s="32" t="str">
        <f t="shared" si="295"/>
        <v/>
      </c>
      <c r="BF86" s="32" t="str">
        <f t="shared" ref="BF86:BQ86" si="296">IF(F86=MAX($F86:$Q86),"Yes","")</f>
        <v/>
      </c>
      <c r="BG86" s="32" t="str">
        <f t="shared" si="296"/>
        <v/>
      </c>
      <c r="BH86" s="32" t="str">
        <f t="shared" si="296"/>
        <v/>
      </c>
      <c r="BI86" s="32" t="str">
        <f t="shared" si="296"/>
        <v/>
      </c>
      <c r="BJ86" s="32" t="str">
        <f t="shared" si="296"/>
        <v/>
      </c>
      <c r="BK86" s="32" t="str">
        <f t="shared" si="296"/>
        <v>Yes</v>
      </c>
      <c r="BL86" s="32" t="str">
        <f t="shared" si="296"/>
        <v/>
      </c>
      <c r="BM86" s="32" t="str">
        <f t="shared" si="296"/>
        <v/>
      </c>
      <c r="BN86" s="32" t="str">
        <f t="shared" si="296"/>
        <v>Yes</v>
      </c>
      <c r="BO86" s="32" t="str">
        <f t="shared" si="296"/>
        <v/>
      </c>
      <c r="BP86" s="32" t="str">
        <f t="shared" si="296"/>
        <v>Yes</v>
      </c>
      <c r="BQ86" s="32" t="str">
        <f t="shared" si="296"/>
        <v/>
      </c>
      <c r="BR86" s="32" t="str">
        <f t="shared" si="11"/>
        <v/>
      </c>
      <c r="BS86" s="32" t="str">
        <f t="shared" si="12"/>
        <v/>
      </c>
      <c r="BT86" s="32"/>
      <c r="BU86" s="32"/>
      <c r="BV86" s="32"/>
      <c r="BW86" s="33">
        <f t="shared" si="13"/>
        <v>0</v>
      </c>
      <c r="BX86" s="33">
        <f t="shared" si="14"/>
        <v>0</v>
      </c>
      <c r="BY86" s="34" t="str">
        <f t="shared" si="15"/>
        <v/>
      </c>
      <c r="BZ86" s="33">
        <f t="shared" si="16"/>
        <v>0</v>
      </c>
      <c r="CA86" s="33">
        <f t="shared" si="17"/>
        <v>0</v>
      </c>
      <c r="CB86" s="34" t="str">
        <f t="shared" si="18"/>
        <v/>
      </c>
      <c r="CC86" s="35"/>
      <c r="CD86" s="33"/>
      <c r="CE86" s="34"/>
      <c r="CF86" s="33"/>
      <c r="CG86" s="33"/>
      <c r="CH86" s="34"/>
      <c r="CI86" s="33"/>
      <c r="CJ86" s="33"/>
      <c r="CK86" s="34"/>
    </row>
    <row r="87" ht="12.75" customHeight="1">
      <c r="A87" s="36">
        <v>86.0</v>
      </c>
      <c r="B87" s="36" t="s">
        <v>138</v>
      </c>
      <c r="C87" s="37" t="s">
        <v>152</v>
      </c>
      <c r="D87" s="38"/>
      <c r="E87" s="39">
        <v>0.0</v>
      </c>
      <c r="F87" s="31">
        <f>Andrew!D87</f>
        <v>0.4</v>
      </c>
      <c r="G87" s="31">
        <f>Bruce!D87</f>
        <v>0.8</v>
      </c>
      <c r="H87" s="31">
        <f>Christine!D87</f>
        <v>0.7</v>
      </c>
      <c r="I87" s="31">
        <f>Eileen!D87</f>
        <v>0.2</v>
      </c>
      <c r="J87" s="31">
        <f>Iain!D87</f>
        <v>0.3</v>
      </c>
      <c r="K87" s="31">
        <f>Gael!D87</f>
        <v>0.65</v>
      </c>
      <c r="L87" s="31">
        <f>Jac!D87</f>
        <v>0.55</v>
      </c>
      <c r="M87" s="31">
        <f>James!D87</f>
        <v>0.7</v>
      </c>
      <c r="N87" s="31">
        <f>Kate!D87</f>
        <v>0.9</v>
      </c>
      <c r="O87" s="31">
        <f>Lachy!D87</f>
        <v>0.35</v>
      </c>
      <c r="P87" s="31">
        <f>Pete!D87</f>
        <v>0.7</v>
      </c>
      <c r="Q87" s="31">
        <f>Rohan!D87</f>
        <v>0.35</v>
      </c>
      <c r="R87" s="31">
        <f t="shared" si="27"/>
        <v>0.2630344058</v>
      </c>
      <c r="S87" s="31">
        <f t="shared" ref="S87:AC87" si="297">IF($E87=1,(LOG(G87,2)+1),IF($E87=0,(LOG(1-G87,2)+1),""))</f>
        <v>-1.321928095</v>
      </c>
      <c r="T87" s="31">
        <f t="shared" si="297"/>
        <v>-0.7369655942</v>
      </c>
      <c r="U87" s="31">
        <f t="shared" si="297"/>
        <v>0.6780719051</v>
      </c>
      <c r="V87" s="31">
        <f t="shared" si="297"/>
        <v>0.4854268272</v>
      </c>
      <c r="W87" s="31">
        <f t="shared" si="297"/>
        <v>-0.5145731728</v>
      </c>
      <c r="X87" s="31">
        <f t="shared" si="297"/>
        <v>-0.1520030934</v>
      </c>
      <c r="Y87" s="31">
        <f t="shared" si="297"/>
        <v>-0.7369655942</v>
      </c>
      <c r="Z87" s="31">
        <f t="shared" si="297"/>
        <v>-2.321928095</v>
      </c>
      <c r="AA87" s="31">
        <f t="shared" si="297"/>
        <v>0.3785116233</v>
      </c>
      <c r="AB87" s="31">
        <f t="shared" si="297"/>
        <v>-0.7369655942</v>
      </c>
      <c r="AC87" s="31">
        <f t="shared" si="297"/>
        <v>0.3785116233</v>
      </c>
      <c r="AD87" s="41"/>
      <c r="AE87" s="31">
        <f t="shared" si="6"/>
        <v>14.44329319</v>
      </c>
      <c r="AF87" s="31">
        <f t="shared" si="7"/>
        <v>0.55</v>
      </c>
      <c r="AG87" s="31">
        <f t="shared" si="8"/>
        <v>0.05</v>
      </c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2" t="str">
        <f t="shared" ref="AT87:BE87" si="298">IF(F87=MIN($F87:$Q87),"Yes","")</f>
        <v/>
      </c>
      <c r="AU87" s="32" t="str">
        <f t="shared" si="298"/>
        <v/>
      </c>
      <c r="AV87" s="32" t="str">
        <f t="shared" si="298"/>
        <v/>
      </c>
      <c r="AW87" s="32" t="str">
        <f t="shared" si="298"/>
        <v>Yes</v>
      </c>
      <c r="AX87" s="32" t="str">
        <f t="shared" si="298"/>
        <v/>
      </c>
      <c r="AY87" s="32" t="str">
        <f t="shared" si="298"/>
        <v/>
      </c>
      <c r="AZ87" s="32" t="str">
        <f t="shared" si="298"/>
        <v/>
      </c>
      <c r="BA87" s="32" t="str">
        <f t="shared" si="298"/>
        <v/>
      </c>
      <c r="BB87" s="32" t="str">
        <f t="shared" si="298"/>
        <v/>
      </c>
      <c r="BC87" s="32" t="str">
        <f t="shared" si="298"/>
        <v/>
      </c>
      <c r="BD87" s="32" t="str">
        <f t="shared" si="298"/>
        <v/>
      </c>
      <c r="BE87" s="32" t="str">
        <f t="shared" si="298"/>
        <v/>
      </c>
      <c r="BF87" s="32" t="str">
        <f t="shared" ref="BF87:BQ87" si="299">IF(F87=MAX($F87:$Q87),"Yes","")</f>
        <v/>
      </c>
      <c r="BG87" s="32" t="str">
        <f t="shared" si="299"/>
        <v/>
      </c>
      <c r="BH87" s="32" t="str">
        <f t="shared" si="299"/>
        <v/>
      </c>
      <c r="BI87" s="32" t="str">
        <f t="shared" si="299"/>
        <v/>
      </c>
      <c r="BJ87" s="32" t="str">
        <f t="shared" si="299"/>
        <v/>
      </c>
      <c r="BK87" s="32" t="str">
        <f t="shared" si="299"/>
        <v/>
      </c>
      <c r="BL87" s="32" t="str">
        <f t="shared" si="299"/>
        <v/>
      </c>
      <c r="BM87" s="32" t="str">
        <f t="shared" si="299"/>
        <v/>
      </c>
      <c r="BN87" s="32" t="str">
        <f t="shared" si="299"/>
        <v>Yes</v>
      </c>
      <c r="BO87" s="32" t="str">
        <f t="shared" si="299"/>
        <v/>
      </c>
      <c r="BP87" s="32" t="str">
        <f t="shared" si="299"/>
        <v/>
      </c>
      <c r="BQ87" s="32" t="str">
        <f t="shared" si="299"/>
        <v/>
      </c>
      <c r="BR87" s="32" t="str">
        <f t="shared" si="11"/>
        <v/>
      </c>
      <c r="BS87" s="32" t="str">
        <f t="shared" si="12"/>
        <v/>
      </c>
      <c r="BT87" s="32"/>
      <c r="BU87" s="32"/>
      <c r="BV87" s="32"/>
      <c r="BW87" s="33">
        <f t="shared" si="13"/>
        <v>0</v>
      </c>
      <c r="BX87" s="33">
        <f t="shared" si="14"/>
        <v>0</v>
      </c>
      <c r="BY87" s="34" t="str">
        <f t="shared" si="15"/>
        <v/>
      </c>
      <c r="BZ87" s="33">
        <f t="shared" si="16"/>
        <v>0</v>
      </c>
      <c r="CA87" s="33">
        <f t="shared" si="17"/>
        <v>0</v>
      </c>
      <c r="CB87" s="34" t="str">
        <f t="shared" si="18"/>
        <v/>
      </c>
      <c r="CC87" s="35" t="s">
        <v>59</v>
      </c>
      <c r="CD87" s="33"/>
      <c r="CE87" s="34"/>
      <c r="CF87" s="33"/>
      <c r="CG87" s="33"/>
      <c r="CH87" s="34"/>
      <c r="CI87" s="33"/>
      <c r="CJ87" s="33"/>
      <c r="CK87" s="34"/>
    </row>
    <row r="88" ht="12.75" customHeight="1">
      <c r="A88" s="18">
        <v>87.0</v>
      </c>
      <c r="B88" s="18" t="s">
        <v>153</v>
      </c>
      <c r="C88" s="19" t="s">
        <v>154</v>
      </c>
      <c r="D88" s="20">
        <v>44811.0</v>
      </c>
      <c r="E88" s="21">
        <v>1.0</v>
      </c>
      <c r="F88" s="22">
        <f>Andrew!D88</f>
        <v>0.85</v>
      </c>
      <c r="G88" s="26">
        <f>Bruce!D88</f>
        <v>0.8</v>
      </c>
      <c r="H88" s="22">
        <f>Christine!D88</f>
        <v>0.3</v>
      </c>
      <c r="I88" s="26">
        <f>Eileen!D88</f>
        <v>0.8</v>
      </c>
      <c r="J88" s="22">
        <f>Iain!D88</f>
        <v>0.4</v>
      </c>
      <c r="K88" s="26">
        <f>Gael!D88</f>
        <v>0.85</v>
      </c>
      <c r="L88" s="22">
        <f>Jac!D88</f>
        <v>0.1</v>
      </c>
      <c r="M88" s="26">
        <f>James!D88</f>
        <v>0.3</v>
      </c>
      <c r="N88" s="22">
        <f>Kate!D88</f>
        <v>0.9</v>
      </c>
      <c r="O88" s="26">
        <f>Lachy!D88</f>
        <v>0.65</v>
      </c>
      <c r="P88" s="22">
        <f>Pete!D88</f>
        <v>0.9</v>
      </c>
      <c r="Q88" s="26">
        <f>Rohan!D88</f>
        <v>0.5</v>
      </c>
      <c r="R88" s="22">
        <f t="shared" si="27"/>
        <v>0.7655347464</v>
      </c>
      <c r="S88" s="22">
        <f t="shared" ref="S88:AC88" si="300">IF($E88=1,(LOG(G88,2)+1),IF($E88=0,(LOG(1-G88,2)+1),""))</f>
        <v>0.6780719051</v>
      </c>
      <c r="T88" s="22">
        <f t="shared" si="300"/>
        <v>-0.7369655942</v>
      </c>
      <c r="U88" s="22">
        <f t="shared" si="300"/>
        <v>0.6780719051</v>
      </c>
      <c r="V88" s="22">
        <f t="shared" si="300"/>
        <v>-0.3219280949</v>
      </c>
      <c r="W88" s="22">
        <f t="shared" si="300"/>
        <v>0.7655347464</v>
      </c>
      <c r="X88" s="22">
        <f t="shared" si="300"/>
        <v>-2.321928095</v>
      </c>
      <c r="Y88" s="22">
        <f t="shared" si="300"/>
        <v>-0.7369655942</v>
      </c>
      <c r="Z88" s="22">
        <f t="shared" si="300"/>
        <v>0.8479969066</v>
      </c>
      <c r="AA88" s="22">
        <f t="shared" si="300"/>
        <v>0.3785116233</v>
      </c>
      <c r="AB88" s="22">
        <f t="shared" si="300"/>
        <v>0.8479969066</v>
      </c>
      <c r="AC88" s="22">
        <f t="shared" si="300"/>
        <v>0</v>
      </c>
      <c r="AD88" s="41"/>
      <c r="AE88" s="31">
        <f t="shared" si="6"/>
        <v>22.43760782</v>
      </c>
      <c r="AF88" s="31">
        <f t="shared" si="7"/>
        <v>0.6125</v>
      </c>
      <c r="AG88" s="31">
        <f t="shared" si="8"/>
        <v>0.07869318182</v>
      </c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2" t="str">
        <f t="shared" ref="AT88:BE88" si="301">IF(F88=MIN($F88:$Q88),"Yes","")</f>
        <v/>
      </c>
      <c r="AU88" s="32" t="str">
        <f t="shared" si="301"/>
        <v/>
      </c>
      <c r="AV88" s="32" t="str">
        <f t="shared" si="301"/>
        <v/>
      </c>
      <c r="AW88" s="32" t="str">
        <f t="shared" si="301"/>
        <v/>
      </c>
      <c r="AX88" s="32" t="str">
        <f t="shared" si="301"/>
        <v/>
      </c>
      <c r="AY88" s="32" t="str">
        <f t="shared" si="301"/>
        <v/>
      </c>
      <c r="AZ88" s="32" t="str">
        <f t="shared" si="301"/>
        <v>Yes</v>
      </c>
      <c r="BA88" s="32" t="str">
        <f t="shared" si="301"/>
        <v/>
      </c>
      <c r="BB88" s="32" t="str">
        <f t="shared" si="301"/>
        <v/>
      </c>
      <c r="BC88" s="32" t="str">
        <f t="shared" si="301"/>
        <v/>
      </c>
      <c r="BD88" s="32" t="str">
        <f t="shared" si="301"/>
        <v/>
      </c>
      <c r="BE88" s="32" t="str">
        <f t="shared" si="301"/>
        <v/>
      </c>
      <c r="BF88" s="32" t="str">
        <f t="shared" ref="BF88:BQ88" si="302">IF(F88=MAX($F88:$Q88),"Yes","")</f>
        <v/>
      </c>
      <c r="BG88" s="32" t="str">
        <f t="shared" si="302"/>
        <v/>
      </c>
      <c r="BH88" s="32" t="str">
        <f t="shared" si="302"/>
        <v/>
      </c>
      <c r="BI88" s="32" t="str">
        <f t="shared" si="302"/>
        <v/>
      </c>
      <c r="BJ88" s="32" t="str">
        <f t="shared" si="302"/>
        <v/>
      </c>
      <c r="BK88" s="32" t="str">
        <f t="shared" si="302"/>
        <v/>
      </c>
      <c r="BL88" s="32" t="str">
        <f t="shared" si="302"/>
        <v/>
      </c>
      <c r="BM88" s="32" t="str">
        <f t="shared" si="302"/>
        <v/>
      </c>
      <c r="BN88" s="32" t="str">
        <f t="shared" si="302"/>
        <v>Yes</v>
      </c>
      <c r="BO88" s="32" t="str">
        <f t="shared" si="302"/>
        <v/>
      </c>
      <c r="BP88" s="32" t="str">
        <f t="shared" si="302"/>
        <v>Yes</v>
      </c>
      <c r="BQ88" s="32" t="str">
        <f t="shared" si="302"/>
        <v/>
      </c>
      <c r="BR88" s="32" t="str">
        <f t="shared" si="11"/>
        <v/>
      </c>
      <c r="BS88" s="32" t="str">
        <f t="shared" si="12"/>
        <v/>
      </c>
      <c r="BT88" s="32"/>
      <c r="BU88" s="32"/>
      <c r="BV88" s="32"/>
      <c r="BW88" s="33">
        <f t="shared" si="13"/>
        <v>0</v>
      </c>
      <c r="BX88" s="33">
        <f t="shared" si="14"/>
        <v>0</v>
      </c>
      <c r="BY88" s="34" t="str">
        <f t="shared" si="15"/>
        <v/>
      </c>
      <c r="BZ88" s="33">
        <f t="shared" si="16"/>
        <v>0</v>
      </c>
      <c r="CA88" s="33">
        <f t="shared" si="17"/>
        <v>0</v>
      </c>
      <c r="CB88" s="34" t="str">
        <f t="shared" si="18"/>
        <v/>
      </c>
      <c r="CC88" s="35" t="s">
        <v>59</v>
      </c>
      <c r="CD88" s="33"/>
      <c r="CE88" s="34"/>
      <c r="CF88" s="33"/>
      <c r="CG88" s="33"/>
      <c r="CH88" s="34"/>
      <c r="CI88" s="33"/>
      <c r="CJ88" s="33"/>
      <c r="CK88" s="34"/>
    </row>
    <row r="89" ht="12.75" customHeight="1">
      <c r="A89" s="36">
        <v>88.0</v>
      </c>
      <c r="B89" s="36" t="s">
        <v>153</v>
      </c>
      <c r="C89" s="37" t="s">
        <v>155</v>
      </c>
      <c r="D89" s="38"/>
      <c r="E89" s="39">
        <v>0.0</v>
      </c>
      <c r="F89" s="31">
        <f>Andrew!D89</f>
        <v>0.15</v>
      </c>
      <c r="G89" s="31">
        <f>Bruce!D89</f>
        <v>0.2</v>
      </c>
      <c r="H89" s="31">
        <f>Christine!D89</f>
        <v>0.7</v>
      </c>
      <c r="I89" s="31">
        <f>Eileen!D89</f>
        <v>0.2</v>
      </c>
      <c r="J89" s="31">
        <f>Iain!D89</f>
        <v>0.6</v>
      </c>
      <c r="K89" s="31">
        <f>Gael!D89</f>
        <v>0.25</v>
      </c>
      <c r="L89" s="31">
        <f>Jac!D89</f>
        <v>0.85</v>
      </c>
      <c r="M89" s="31">
        <f>James!D89</f>
        <v>0.7</v>
      </c>
      <c r="N89" s="31">
        <f>Kate!D89</f>
        <v>0.2</v>
      </c>
      <c r="O89" s="31">
        <f>Lachy!D89</f>
        <v>0.35</v>
      </c>
      <c r="P89" s="31">
        <f>Pete!D89</f>
        <v>0.1</v>
      </c>
      <c r="Q89" s="31">
        <f>Rohan!D89</f>
        <v>0.4</v>
      </c>
      <c r="R89" s="31">
        <f t="shared" si="27"/>
        <v>0.7655347464</v>
      </c>
      <c r="S89" s="31">
        <f t="shared" ref="S89:AC89" si="303">IF($E89=1,(LOG(G89,2)+1),IF($E89=0,(LOG(1-G89,2)+1),""))</f>
        <v>0.6780719051</v>
      </c>
      <c r="T89" s="31">
        <f t="shared" si="303"/>
        <v>-0.7369655942</v>
      </c>
      <c r="U89" s="31">
        <f t="shared" si="303"/>
        <v>0.6780719051</v>
      </c>
      <c r="V89" s="31">
        <f t="shared" si="303"/>
        <v>-0.3219280949</v>
      </c>
      <c r="W89" s="31">
        <f t="shared" si="303"/>
        <v>0.5849625007</v>
      </c>
      <c r="X89" s="31">
        <f t="shared" si="303"/>
        <v>-1.736965594</v>
      </c>
      <c r="Y89" s="31">
        <f t="shared" si="303"/>
        <v>-0.7369655942</v>
      </c>
      <c r="Z89" s="31">
        <f t="shared" si="303"/>
        <v>0.6780719051</v>
      </c>
      <c r="AA89" s="31">
        <f t="shared" si="303"/>
        <v>0.3785116233</v>
      </c>
      <c r="AB89" s="31">
        <f t="shared" si="303"/>
        <v>0.8479969066</v>
      </c>
      <c r="AC89" s="31">
        <f t="shared" si="303"/>
        <v>0.2630344058</v>
      </c>
      <c r="AD89" s="41"/>
      <c r="AE89" s="31">
        <f t="shared" si="6"/>
        <v>15.26268214</v>
      </c>
      <c r="AF89" s="31">
        <f t="shared" si="7"/>
        <v>0.3916666667</v>
      </c>
      <c r="AG89" s="31">
        <f t="shared" si="8"/>
        <v>0.06537878788</v>
      </c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2" t="str">
        <f t="shared" ref="AT89:BE89" si="304">IF(F89=MIN($F89:$Q89),"Yes","")</f>
        <v/>
      </c>
      <c r="AU89" s="32" t="str">
        <f t="shared" si="304"/>
        <v/>
      </c>
      <c r="AV89" s="32" t="str">
        <f t="shared" si="304"/>
        <v/>
      </c>
      <c r="AW89" s="32" t="str">
        <f t="shared" si="304"/>
        <v/>
      </c>
      <c r="AX89" s="32" t="str">
        <f t="shared" si="304"/>
        <v/>
      </c>
      <c r="AY89" s="32" t="str">
        <f t="shared" si="304"/>
        <v/>
      </c>
      <c r="AZ89" s="32" t="str">
        <f t="shared" si="304"/>
        <v/>
      </c>
      <c r="BA89" s="32" t="str">
        <f t="shared" si="304"/>
        <v/>
      </c>
      <c r="BB89" s="32" t="str">
        <f t="shared" si="304"/>
        <v/>
      </c>
      <c r="BC89" s="32" t="str">
        <f t="shared" si="304"/>
        <v/>
      </c>
      <c r="BD89" s="32" t="str">
        <f t="shared" si="304"/>
        <v>Yes</v>
      </c>
      <c r="BE89" s="32" t="str">
        <f t="shared" si="304"/>
        <v/>
      </c>
      <c r="BF89" s="32" t="str">
        <f t="shared" ref="BF89:BQ89" si="305">IF(F89=MAX($F89:$Q89),"Yes","")</f>
        <v/>
      </c>
      <c r="BG89" s="32" t="str">
        <f t="shared" si="305"/>
        <v/>
      </c>
      <c r="BH89" s="32" t="str">
        <f t="shared" si="305"/>
        <v/>
      </c>
      <c r="BI89" s="32" t="str">
        <f t="shared" si="305"/>
        <v/>
      </c>
      <c r="BJ89" s="32" t="str">
        <f t="shared" si="305"/>
        <v/>
      </c>
      <c r="BK89" s="32" t="str">
        <f t="shared" si="305"/>
        <v/>
      </c>
      <c r="BL89" s="32" t="str">
        <f t="shared" si="305"/>
        <v>Yes</v>
      </c>
      <c r="BM89" s="32" t="str">
        <f t="shared" si="305"/>
        <v/>
      </c>
      <c r="BN89" s="32" t="str">
        <f t="shared" si="305"/>
        <v/>
      </c>
      <c r="BO89" s="32" t="str">
        <f t="shared" si="305"/>
        <v/>
      </c>
      <c r="BP89" s="32" t="str">
        <f t="shared" si="305"/>
        <v/>
      </c>
      <c r="BQ89" s="32" t="str">
        <f t="shared" si="305"/>
        <v/>
      </c>
      <c r="BR89" s="32" t="str">
        <f t="shared" si="11"/>
        <v/>
      </c>
      <c r="BS89" s="32" t="str">
        <f t="shared" si="12"/>
        <v/>
      </c>
      <c r="BT89" s="32"/>
      <c r="BU89" s="32"/>
      <c r="BV89" s="32"/>
      <c r="BW89" s="33">
        <f t="shared" si="13"/>
        <v>0</v>
      </c>
      <c r="BX89" s="33">
        <f t="shared" si="14"/>
        <v>0</v>
      </c>
      <c r="BY89" s="34" t="str">
        <f t="shared" si="15"/>
        <v/>
      </c>
      <c r="BZ89" s="33">
        <f t="shared" si="16"/>
        <v>0</v>
      </c>
      <c r="CA89" s="33">
        <f t="shared" si="17"/>
        <v>0</v>
      </c>
      <c r="CB89" s="34" t="str">
        <f t="shared" si="18"/>
        <v/>
      </c>
      <c r="CC89" s="35" t="s">
        <v>63</v>
      </c>
      <c r="CD89" s="33"/>
      <c r="CE89" s="34"/>
      <c r="CF89" s="33"/>
      <c r="CG89" s="33"/>
      <c r="CH89" s="34"/>
      <c r="CI89" s="33"/>
      <c r="CJ89" s="33"/>
      <c r="CK89" s="34"/>
    </row>
    <row r="90" ht="12.75" customHeight="1">
      <c r="A90" s="18">
        <v>89.0</v>
      </c>
      <c r="B90" s="18" t="s">
        <v>153</v>
      </c>
      <c r="C90" s="19" t="s">
        <v>156</v>
      </c>
      <c r="D90" s="49"/>
      <c r="E90" s="21">
        <v>0.0</v>
      </c>
      <c r="F90" s="22">
        <f>Andrew!D90</f>
        <v>0.3</v>
      </c>
      <c r="G90" s="26">
        <f>Bruce!D90</f>
        <v>0.1</v>
      </c>
      <c r="H90" s="22">
        <f>Christine!D90</f>
        <v>0.1</v>
      </c>
      <c r="I90" s="26">
        <f>Eileen!D90</f>
        <v>0.1</v>
      </c>
      <c r="J90" s="22">
        <f>Iain!D90</f>
        <v>0.7</v>
      </c>
      <c r="K90" s="26">
        <f>Gael!D90</f>
        <v>0.2</v>
      </c>
      <c r="L90" s="22">
        <f>Jac!D90</f>
        <v>0.05</v>
      </c>
      <c r="M90" s="26">
        <f>James!D90</f>
        <v>0.1</v>
      </c>
      <c r="N90" s="22">
        <f>Kate!D90</f>
        <v>0.1</v>
      </c>
      <c r="O90" s="74">
        <f>Lachy!D90</f>
        <v>0.001</v>
      </c>
      <c r="P90" s="22">
        <f>Pete!D90</f>
        <v>0.1</v>
      </c>
      <c r="Q90" s="26">
        <f>Rohan!D90</f>
        <v>0.25</v>
      </c>
      <c r="R90" s="22">
        <f t="shared" si="27"/>
        <v>0.4854268272</v>
      </c>
      <c r="S90" s="22">
        <f t="shared" ref="S90:AC90" si="306">IF($E90=1,(LOG(G90,2)+1),IF($E90=0,(LOG(1-G90,2)+1),""))</f>
        <v>0.8479969066</v>
      </c>
      <c r="T90" s="22">
        <f t="shared" si="306"/>
        <v>0.8479969066</v>
      </c>
      <c r="U90" s="22">
        <f t="shared" si="306"/>
        <v>0.8479969066</v>
      </c>
      <c r="V90" s="22">
        <f t="shared" si="306"/>
        <v>-0.7369655942</v>
      </c>
      <c r="W90" s="22">
        <f t="shared" si="306"/>
        <v>0.6780719051</v>
      </c>
      <c r="X90" s="22">
        <f t="shared" si="306"/>
        <v>0.9259994186</v>
      </c>
      <c r="Y90" s="22">
        <f t="shared" si="306"/>
        <v>0.8479969066</v>
      </c>
      <c r="Z90" s="22">
        <f t="shared" si="306"/>
        <v>0.8479969066</v>
      </c>
      <c r="AA90" s="22">
        <f t="shared" si="306"/>
        <v>0.9985565831</v>
      </c>
      <c r="AB90" s="22">
        <f t="shared" si="306"/>
        <v>0.8479969066</v>
      </c>
      <c r="AC90" s="22">
        <f t="shared" si="306"/>
        <v>0.5849625007</v>
      </c>
      <c r="AD90" s="41"/>
      <c r="AE90" s="31">
        <f t="shared" si="6"/>
        <v>36.81678089</v>
      </c>
      <c r="AF90" s="31">
        <f t="shared" si="7"/>
        <v>0.1750833333</v>
      </c>
      <c r="AG90" s="31">
        <f t="shared" si="8"/>
        <v>0.03428644697</v>
      </c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2" t="str">
        <f t="shared" ref="AT90:BE90" si="307">IF(F90=MIN($F90:$Q90),"Yes","")</f>
        <v/>
      </c>
      <c r="AU90" s="32" t="str">
        <f t="shared" si="307"/>
        <v/>
      </c>
      <c r="AV90" s="32" t="str">
        <f t="shared" si="307"/>
        <v/>
      </c>
      <c r="AW90" s="32" t="str">
        <f t="shared" si="307"/>
        <v/>
      </c>
      <c r="AX90" s="32" t="str">
        <f t="shared" si="307"/>
        <v/>
      </c>
      <c r="AY90" s="32" t="str">
        <f t="shared" si="307"/>
        <v/>
      </c>
      <c r="AZ90" s="32" t="str">
        <f t="shared" si="307"/>
        <v/>
      </c>
      <c r="BA90" s="32" t="str">
        <f t="shared" si="307"/>
        <v/>
      </c>
      <c r="BB90" s="32" t="str">
        <f t="shared" si="307"/>
        <v/>
      </c>
      <c r="BC90" s="32" t="str">
        <f t="shared" si="307"/>
        <v>Yes</v>
      </c>
      <c r="BD90" s="32" t="str">
        <f t="shared" si="307"/>
        <v/>
      </c>
      <c r="BE90" s="32" t="str">
        <f t="shared" si="307"/>
        <v/>
      </c>
      <c r="BF90" s="32" t="str">
        <f t="shared" ref="BF90:BQ90" si="308">IF(F90=MAX($F90:$Q90),"Yes","")</f>
        <v/>
      </c>
      <c r="BG90" s="32" t="str">
        <f t="shared" si="308"/>
        <v/>
      </c>
      <c r="BH90" s="32" t="str">
        <f t="shared" si="308"/>
        <v/>
      </c>
      <c r="BI90" s="32" t="str">
        <f t="shared" si="308"/>
        <v/>
      </c>
      <c r="BJ90" s="32" t="str">
        <f t="shared" si="308"/>
        <v>Yes</v>
      </c>
      <c r="BK90" s="32" t="str">
        <f t="shared" si="308"/>
        <v/>
      </c>
      <c r="BL90" s="32" t="str">
        <f t="shared" si="308"/>
        <v/>
      </c>
      <c r="BM90" s="32" t="str">
        <f t="shared" si="308"/>
        <v/>
      </c>
      <c r="BN90" s="32" t="str">
        <f t="shared" si="308"/>
        <v/>
      </c>
      <c r="BO90" s="32" t="str">
        <f t="shared" si="308"/>
        <v/>
      </c>
      <c r="BP90" s="32" t="str">
        <f t="shared" si="308"/>
        <v/>
      </c>
      <c r="BQ90" s="32" t="str">
        <f t="shared" si="308"/>
        <v/>
      </c>
      <c r="BR90" s="32" t="str">
        <f t="shared" si="11"/>
        <v/>
      </c>
      <c r="BS90" s="32" t="str">
        <f t="shared" si="12"/>
        <v/>
      </c>
      <c r="BT90" s="32"/>
      <c r="BU90" s="32"/>
      <c r="BV90" s="32"/>
      <c r="BW90" s="33">
        <f t="shared" si="13"/>
        <v>0</v>
      </c>
      <c r="BX90" s="33">
        <f t="shared" si="14"/>
        <v>0</v>
      </c>
      <c r="BY90" s="34" t="str">
        <f t="shared" si="15"/>
        <v/>
      </c>
      <c r="BZ90" s="33">
        <f t="shared" si="16"/>
        <v>0</v>
      </c>
      <c r="CA90" s="33">
        <f t="shared" si="17"/>
        <v>0</v>
      </c>
      <c r="CB90" s="34" t="str">
        <f t="shared" si="18"/>
        <v/>
      </c>
      <c r="CC90" s="35" t="s">
        <v>63</v>
      </c>
      <c r="CD90" s="33"/>
      <c r="CE90" s="34"/>
      <c r="CF90" s="33"/>
      <c r="CG90" s="33"/>
      <c r="CH90" s="34"/>
      <c r="CI90" s="33"/>
      <c r="CJ90" s="33"/>
      <c r="CK90" s="34"/>
    </row>
    <row r="91" ht="12.75" customHeight="1">
      <c r="A91" s="36">
        <v>90.0</v>
      </c>
      <c r="B91" s="36" t="s">
        <v>153</v>
      </c>
      <c r="C91" s="37" t="s">
        <v>157</v>
      </c>
      <c r="D91" s="38"/>
      <c r="E91" s="39">
        <v>1.0</v>
      </c>
      <c r="F91" s="31">
        <f>Andrew!D91</f>
        <v>0.8</v>
      </c>
      <c r="G91" s="31">
        <f>Bruce!D91</f>
        <v>0.9</v>
      </c>
      <c r="H91" s="31">
        <f>Christine!D91</f>
        <v>0.7</v>
      </c>
      <c r="I91" s="31">
        <f>Eileen!D91</f>
        <v>0.6</v>
      </c>
      <c r="J91" s="31">
        <f>Iain!D91</f>
        <v>0.9</v>
      </c>
      <c r="K91" s="31">
        <f>Gael!D91</f>
        <v>0.7</v>
      </c>
      <c r="L91" s="31">
        <f>Jac!D91</f>
        <v>0.7</v>
      </c>
      <c r="M91" s="31">
        <f>James!D91</f>
        <v>0.7</v>
      </c>
      <c r="N91" s="31">
        <f>Kate!D91</f>
        <v>0.8</v>
      </c>
      <c r="O91" s="40">
        <f>Lachy!D91</f>
        <v>0.999</v>
      </c>
      <c r="P91" s="31">
        <f>Pete!D91</f>
        <v>0.1</v>
      </c>
      <c r="Q91" s="31">
        <f>Rohan!D91</f>
        <v>0.4</v>
      </c>
      <c r="R91" s="31">
        <f t="shared" si="27"/>
        <v>0.6780719051</v>
      </c>
      <c r="S91" s="31">
        <f t="shared" ref="S91:AC91" si="309">IF($E91=1,(LOG(G91,2)+1),IF($E91=0,(LOG(1-G91,2)+1),""))</f>
        <v>0.8479969066</v>
      </c>
      <c r="T91" s="31">
        <f t="shared" si="309"/>
        <v>0.4854268272</v>
      </c>
      <c r="U91" s="31">
        <f t="shared" si="309"/>
        <v>0.2630344058</v>
      </c>
      <c r="V91" s="31">
        <f t="shared" si="309"/>
        <v>0.8479969066</v>
      </c>
      <c r="W91" s="31">
        <f t="shared" si="309"/>
        <v>0.4854268272</v>
      </c>
      <c r="X91" s="31">
        <f t="shared" si="309"/>
        <v>0.4854268272</v>
      </c>
      <c r="Y91" s="31">
        <f t="shared" si="309"/>
        <v>0.4854268272</v>
      </c>
      <c r="Z91" s="31">
        <f t="shared" si="309"/>
        <v>0.6780719051</v>
      </c>
      <c r="AA91" s="31">
        <f t="shared" si="309"/>
        <v>0.9985565831</v>
      </c>
      <c r="AB91" s="31">
        <f t="shared" si="309"/>
        <v>-2.321928095</v>
      </c>
      <c r="AC91" s="31">
        <f t="shared" si="309"/>
        <v>-0.3219280949</v>
      </c>
      <c r="AD91" s="41"/>
      <c r="AE91" s="31">
        <f t="shared" si="6"/>
        <v>29.53361056</v>
      </c>
      <c r="AF91" s="31">
        <f t="shared" si="7"/>
        <v>0.6915833333</v>
      </c>
      <c r="AG91" s="31">
        <f t="shared" si="8"/>
        <v>0.05895917424</v>
      </c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2" t="str">
        <f t="shared" ref="AT91:BE91" si="310">IF(F91=MIN($F91:$Q91),"Yes","")</f>
        <v/>
      </c>
      <c r="AU91" s="32" t="str">
        <f t="shared" si="310"/>
        <v/>
      </c>
      <c r="AV91" s="32" t="str">
        <f t="shared" si="310"/>
        <v/>
      </c>
      <c r="AW91" s="32" t="str">
        <f t="shared" si="310"/>
        <v/>
      </c>
      <c r="AX91" s="32" t="str">
        <f t="shared" si="310"/>
        <v/>
      </c>
      <c r="AY91" s="32" t="str">
        <f t="shared" si="310"/>
        <v/>
      </c>
      <c r="AZ91" s="32" t="str">
        <f t="shared" si="310"/>
        <v/>
      </c>
      <c r="BA91" s="32" t="str">
        <f t="shared" si="310"/>
        <v/>
      </c>
      <c r="BB91" s="32" t="str">
        <f t="shared" si="310"/>
        <v/>
      </c>
      <c r="BC91" s="32" t="str">
        <f t="shared" si="310"/>
        <v/>
      </c>
      <c r="BD91" s="32" t="str">
        <f t="shared" si="310"/>
        <v>Yes</v>
      </c>
      <c r="BE91" s="32" t="str">
        <f t="shared" si="310"/>
        <v/>
      </c>
      <c r="BF91" s="32" t="str">
        <f t="shared" ref="BF91:BQ91" si="311">IF(F91=MAX($F91:$Q91),"Yes","")</f>
        <v/>
      </c>
      <c r="BG91" s="32" t="str">
        <f t="shared" si="311"/>
        <v/>
      </c>
      <c r="BH91" s="32" t="str">
        <f t="shared" si="311"/>
        <v/>
      </c>
      <c r="BI91" s="32" t="str">
        <f t="shared" si="311"/>
        <v/>
      </c>
      <c r="BJ91" s="32" t="str">
        <f t="shared" si="311"/>
        <v/>
      </c>
      <c r="BK91" s="32" t="str">
        <f t="shared" si="311"/>
        <v/>
      </c>
      <c r="BL91" s="32" t="str">
        <f t="shared" si="311"/>
        <v/>
      </c>
      <c r="BM91" s="32" t="str">
        <f t="shared" si="311"/>
        <v/>
      </c>
      <c r="BN91" s="32" t="str">
        <f t="shared" si="311"/>
        <v/>
      </c>
      <c r="BO91" s="32" t="str">
        <f t="shared" si="311"/>
        <v>Yes</v>
      </c>
      <c r="BP91" s="32" t="str">
        <f t="shared" si="311"/>
        <v/>
      </c>
      <c r="BQ91" s="32" t="str">
        <f t="shared" si="311"/>
        <v/>
      </c>
      <c r="BR91" s="32" t="str">
        <f t="shared" si="11"/>
        <v/>
      </c>
      <c r="BS91" s="32" t="str">
        <f t="shared" si="12"/>
        <v/>
      </c>
      <c r="BT91" s="32"/>
      <c r="BU91" s="32"/>
      <c r="BV91" s="32"/>
      <c r="BW91" s="33">
        <f t="shared" si="13"/>
        <v>0</v>
      </c>
      <c r="BX91" s="33">
        <f t="shared" si="14"/>
        <v>0</v>
      </c>
      <c r="BY91" s="34" t="str">
        <f t="shared" si="15"/>
        <v/>
      </c>
      <c r="BZ91" s="33">
        <f t="shared" si="16"/>
        <v>0</v>
      </c>
      <c r="CA91" s="33">
        <f t="shared" si="17"/>
        <v>0</v>
      </c>
      <c r="CB91" s="34" t="str">
        <f t="shared" si="18"/>
        <v/>
      </c>
      <c r="CC91" s="35" t="s">
        <v>63</v>
      </c>
      <c r="CD91" s="33"/>
      <c r="CE91" s="34"/>
      <c r="CF91" s="33"/>
      <c r="CG91" s="33"/>
      <c r="CH91" s="34"/>
      <c r="CI91" s="33"/>
      <c r="CJ91" s="33"/>
      <c r="CK91" s="34"/>
    </row>
    <row r="92" ht="12.75" customHeight="1">
      <c r="A92" s="18">
        <v>91.0</v>
      </c>
      <c r="B92" s="18" t="s">
        <v>153</v>
      </c>
      <c r="C92" s="55" t="s">
        <v>158</v>
      </c>
      <c r="D92" s="49"/>
      <c r="E92" s="21">
        <v>0.0</v>
      </c>
      <c r="F92" s="22">
        <f>Andrew!D92</f>
        <v>0.8</v>
      </c>
      <c r="G92" s="26">
        <f>Bruce!D92</f>
        <v>0.9</v>
      </c>
      <c r="H92" s="22">
        <f>Christine!D92</f>
        <v>0.7</v>
      </c>
      <c r="I92" s="26">
        <f>Eileen!D92</f>
        <v>0.6</v>
      </c>
      <c r="J92" s="22">
        <f>Iain!D92</f>
        <v>0.9</v>
      </c>
      <c r="K92" s="26">
        <f>Gael!D92</f>
        <v>0.8</v>
      </c>
      <c r="L92" s="22">
        <f>Jac!D92</f>
        <v>0.8</v>
      </c>
      <c r="M92" s="26">
        <f>James!D92</f>
        <v>0.7</v>
      </c>
      <c r="N92" s="22">
        <f>Kate!D92</f>
        <v>0.8</v>
      </c>
      <c r="O92" s="74">
        <f>Lachy!D92</f>
        <v>0.999</v>
      </c>
      <c r="P92" s="22">
        <f>Pete!D92</f>
        <v>0.1</v>
      </c>
      <c r="Q92" s="26">
        <f>Rohan!D92</f>
        <v>0.2</v>
      </c>
      <c r="R92" s="22">
        <f t="shared" si="27"/>
        <v>-1.321928095</v>
      </c>
      <c r="S92" s="22">
        <f t="shared" ref="S92:AC92" si="312">IF($E92=1,(LOG(G92,2)+1),IF($E92=0,(LOG(1-G92,2)+1),""))</f>
        <v>-2.321928095</v>
      </c>
      <c r="T92" s="22">
        <f t="shared" si="312"/>
        <v>-0.7369655942</v>
      </c>
      <c r="U92" s="22">
        <f t="shared" si="312"/>
        <v>-0.3219280949</v>
      </c>
      <c r="V92" s="22">
        <f t="shared" si="312"/>
        <v>-2.321928095</v>
      </c>
      <c r="W92" s="22">
        <f t="shared" si="312"/>
        <v>-1.321928095</v>
      </c>
      <c r="X92" s="22">
        <f t="shared" si="312"/>
        <v>-1.321928095</v>
      </c>
      <c r="Y92" s="22">
        <f t="shared" si="312"/>
        <v>-0.7369655942</v>
      </c>
      <c r="Z92" s="22">
        <f t="shared" si="312"/>
        <v>-1.321928095</v>
      </c>
      <c r="AA92" s="22">
        <f t="shared" si="312"/>
        <v>-8.965784285</v>
      </c>
      <c r="AB92" s="22">
        <f t="shared" si="312"/>
        <v>0.8479969066</v>
      </c>
      <c r="AC92" s="22">
        <f t="shared" si="312"/>
        <v>0.6780719051</v>
      </c>
      <c r="AD92" s="41"/>
      <c r="AE92" s="31">
        <f t="shared" si="6"/>
        <v>32.50386322</v>
      </c>
      <c r="AF92" s="31">
        <f t="shared" si="7"/>
        <v>0.6915833333</v>
      </c>
      <c r="AG92" s="31">
        <f t="shared" si="8"/>
        <v>0.07532281061</v>
      </c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2" t="str">
        <f t="shared" ref="AT92:BE92" si="313">IF(F92=MIN($F92:$Q92),"Yes","")</f>
        <v/>
      </c>
      <c r="AU92" s="32" t="str">
        <f t="shared" si="313"/>
        <v/>
      </c>
      <c r="AV92" s="32" t="str">
        <f t="shared" si="313"/>
        <v/>
      </c>
      <c r="AW92" s="32" t="str">
        <f t="shared" si="313"/>
        <v/>
      </c>
      <c r="AX92" s="32" t="str">
        <f t="shared" si="313"/>
        <v/>
      </c>
      <c r="AY92" s="32" t="str">
        <f t="shared" si="313"/>
        <v/>
      </c>
      <c r="AZ92" s="32" t="str">
        <f t="shared" si="313"/>
        <v/>
      </c>
      <c r="BA92" s="32" t="str">
        <f t="shared" si="313"/>
        <v/>
      </c>
      <c r="BB92" s="32" t="str">
        <f t="shared" si="313"/>
        <v/>
      </c>
      <c r="BC92" s="32" t="str">
        <f t="shared" si="313"/>
        <v/>
      </c>
      <c r="BD92" s="32" t="str">
        <f t="shared" si="313"/>
        <v>Yes</v>
      </c>
      <c r="BE92" s="32" t="str">
        <f t="shared" si="313"/>
        <v/>
      </c>
      <c r="BF92" s="32" t="str">
        <f t="shared" ref="BF92:BQ92" si="314">IF(F92=MAX($F92:$Q92),"Yes","")</f>
        <v/>
      </c>
      <c r="BG92" s="32" t="str">
        <f t="shared" si="314"/>
        <v/>
      </c>
      <c r="BH92" s="32" t="str">
        <f t="shared" si="314"/>
        <v/>
      </c>
      <c r="BI92" s="32" t="str">
        <f t="shared" si="314"/>
        <v/>
      </c>
      <c r="BJ92" s="32" t="str">
        <f t="shared" si="314"/>
        <v/>
      </c>
      <c r="BK92" s="32" t="str">
        <f t="shared" si="314"/>
        <v/>
      </c>
      <c r="BL92" s="32" t="str">
        <f t="shared" si="314"/>
        <v/>
      </c>
      <c r="BM92" s="32" t="str">
        <f t="shared" si="314"/>
        <v/>
      </c>
      <c r="BN92" s="32" t="str">
        <f t="shared" si="314"/>
        <v/>
      </c>
      <c r="BO92" s="32" t="str">
        <f t="shared" si="314"/>
        <v>Yes</v>
      </c>
      <c r="BP92" s="32" t="str">
        <f t="shared" si="314"/>
        <v/>
      </c>
      <c r="BQ92" s="32" t="str">
        <f t="shared" si="314"/>
        <v/>
      </c>
      <c r="BR92" s="32" t="str">
        <f t="shared" si="11"/>
        <v/>
      </c>
      <c r="BS92" s="32" t="str">
        <f t="shared" si="12"/>
        <v/>
      </c>
      <c r="BT92" s="32"/>
      <c r="BU92" s="32"/>
      <c r="BV92" s="32"/>
      <c r="BW92" s="33">
        <f t="shared" si="13"/>
        <v>0</v>
      </c>
      <c r="BX92" s="33">
        <f t="shared" si="14"/>
        <v>0</v>
      </c>
      <c r="BY92" s="34" t="str">
        <f t="shared" si="15"/>
        <v/>
      </c>
      <c r="BZ92" s="33">
        <f t="shared" si="16"/>
        <v>0</v>
      </c>
      <c r="CA92" s="33">
        <f t="shared" si="17"/>
        <v>0</v>
      </c>
      <c r="CB92" s="34" t="str">
        <f t="shared" si="18"/>
        <v/>
      </c>
      <c r="CC92" s="35"/>
      <c r="CD92" s="33"/>
      <c r="CE92" s="34"/>
      <c r="CF92" s="33"/>
      <c r="CG92" s="33"/>
      <c r="CH92" s="34"/>
      <c r="CI92" s="33"/>
      <c r="CJ92" s="33"/>
      <c r="CK92" s="34"/>
    </row>
    <row r="93" ht="12.75" customHeight="1">
      <c r="A93" s="36">
        <v>92.0</v>
      </c>
      <c r="B93" s="36" t="s">
        <v>153</v>
      </c>
      <c r="C93" s="44" t="s">
        <v>159</v>
      </c>
      <c r="D93" s="38"/>
      <c r="E93" s="39">
        <v>0.0</v>
      </c>
      <c r="F93" s="46">
        <f>Andrew!D93</f>
        <v>0.3</v>
      </c>
      <c r="G93" s="46">
        <f>Bruce!D93</f>
        <v>0.3</v>
      </c>
      <c r="H93" s="46">
        <f>Christine!D93</f>
        <v>0.7</v>
      </c>
      <c r="I93" s="46">
        <f>Eileen!D93</f>
        <v>0.1</v>
      </c>
      <c r="J93" s="46">
        <f>Iain!D93</f>
        <v>0.9</v>
      </c>
      <c r="K93" s="46">
        <f>Gael!D93</f>
        <v>0.35</v>
      </c>
      <c r="L93" s="46">
        <f>Jac!D93</f>
        <v>0.7</v>
      </c>
      <c r="M93" s="46">
        <f>James!D93</f>
        <v>0.7</v>
      </c>
      <c r="N93" s="46">
        <f>Kate!D93</f>
        <v>0.9</v>
      </c>
      <c r="O93" s="46">
        <f>Lachy!D93</f>
        <v>0.65</v>
      </c>
      <c r="P93" s="46">
        <f>Pete!D93</f>
        <v>0.1</v>
      </c>
      <c r="Q93" s="46">
        <f>Rohan!D93</f>
        <v>0.5</v>
      </c>
      <c r="R93" s="31">
        <f t="shared" si="27"/>
        <v>0.4854268272</v>
      </c>
      <c r="S93" s="31">
        <f t="shared" ref="S93:AC93" si="315">IF($E93=1,(LOG(G93,2)+1),IF($E93=0,(LOG(1-G93,2)+1),""))</f>
        <v>0.4854268272</v>
      </c>
      <c r="T93" s="31">
        <f t="shared" si="315"/>
        <v>-0.7369655942</v>
      </c>
      <c r="U93" s="31">
        <f t="shared" si="315"/>
        <v>0.8479969066</v>
      </c>
      <c r="V93" s="31">
        <f t="shared" si="315"/>
        <v>-2.321928095</v>
      </c>
      <c r="W93" s="31">
        <f t="shared" si="315"/>
        <v>0.3785116233</v>
      </c>
      <c r="X93" s="31">
        <f t="shared" si="315"/>
        <v>-0.7369655942</v>
      </c>
      <c r="Y93" s="31">
        <f t="shared" si="315"/>
        <v>-0.7369655942</v>
      </c>
      <c r="Z93" s="31">
        <f t="shared" si="315"/>
        <v>-2.321928095</v>
      </c>
      <c r="AA93" s="31">
        <f t="shared" si="315"/>
        <v>-0.5145731728</v>
      </c>
      <c r="AB93" s="31">
        <f t="shared" si="315"/>
        <v>0.8479969066</v>
      </c>
      <c r="AC93" s="31">
        <f t="shared" si="315"/>
        <v>0</v>
      </c>
      <c r="AD93" s="41"/>
      <c r="AE93" s="31">
        <f t="shared" si="6"/>
        <v>18.13304686</v>
      </c>
      <c r="AF93" s="31">
        <f t="shared" si="7"/>
        <v>0.5166666667</v>
      </c>
      <c r="AG93" s="31">
        <f t="shared" si="8"/>
        <v>0.08015151515</v>
      </c>
      <c r="AH93" s="46" t="str">
        <f t="shared" ref="AH93:AS93" si="316">IF(F93=MIN($F93:$Q93),LOG(1-F93,2)+1,IF(F93=MAX($F93:$Q93),LOG(F93,2)+1,""))</f>
        <v/>
      </c>
      <c r="AI93" s="46" t="str">
        <f t="shared" si="316"/>
        <v/>
      </c>
      <c r="AJ93" s="46" t="str">
        <f t="shared" si="316"/>
        <v/>
      </c>
      <c r="AK93" s="46">
        <f t="shared" si="316"/>
        <v>0.8479969066</v>
      </c>
      <c r="AL93" s="46">
        <f t="shared" si="316"/>
        <v>0.8479969066</v>
      </c>
      <c r="AM93" s="46" t="str">
        <f t="shared" si="316"/>
        <v/>
      </c>
      <c r="AN93" s="46" t="str">
        <f t="shared" si="316"/>
        <v/>
      </c>
      <c r="AO93" s="46" t="str">
        <f t="shared" si="316"/>
        <v/>
      </c>
      <c r="AP93" s="46">
        <f t="shared" si="316"/>
        <v>0.8479969066</v>
      </c>
      <c r="AQ93" s="46" t="str">
        <f t="shared" si="316"/>
        <v/>
      </c>
      <c r="AR93" s="46">
        <f t="shared" si="316"/>
        <v>0.8479969066</v>
      </c>
      <c r="AS93" s="46" t="str">
        <f t="shared" si="316"/>
        <v/>
      </c>
      <c r="AT93" s="32" t="str">
        <f t="shared" ref="AT93:BE93" si="317">IF(F93=MIN($F93:$Q93),"Yes","")</f>
        <v/>
      </c>
      <c r="AU93" s="32" t="str">
        <f t="shared" si="317"/>
        <v/>
      </c>
      <c r="AV93" s="32" t="str">
        <f t="shared" si="317"/>
        <v/>
      </c>
      <c r="AW93" s="32" t="str">
        <f t="shared" si="317"/>
        <v>Yes</v>
      </c>
      <c r="AX93" s="32" t="str">
        <f t="shared" si="317"/>
        <v/>
      </c>
      <c r="AY93" s="32" t="str">
        <f t="shared" si="317"/>
        <v/>
      </c>
      <c r="AZ93" s="32" t="str">
        <f t="shared" si="317"/>
        <v/>
      </c>
      <c r="BA93" s="32" t="str">
        <f t="shared" si="317"/>
        <v/>
      </c>
      <c r="BB93" s="32" t="str">
        <f t="shared" si="317"/>
        <v/>
      </c>
      <c r="BC93" s="32" t="str">
        <f t="shared" si="317"/>
        <v/>
      </c>
      <c r="BD93" s="32" t="str">
        <f t="shared" si="317"/>
        <v>Yes</v>
      </c>
      <c r="BE93" s="32" t="str">
        <f t="shared" si="317"/>
        <v/>
      </c>
      <c r="BF93" s="32" t="str">
        <f t="shared" ref="BF93:BQ93" si="318">IF(F93=MAX($F93:$Q93),"Yes","")</f>
        <v/>
      </c>
      <c r="BG93" s="32" t="str">
        <f t="shared" si="318"/>
        <v/>
      </c>
      <c r="BH93" s="32" t="str">
        <f t="shared" si="318"/>
        <v/>
      </c>
      <c r="BI93" s="32" t="str">
        <f t="shared" si="318"/>
        <v/>
      </c>
      <c r="BJ93" s="32" t="str">
        <f t="shared" si="318"/>
        <v>Yes</v>
      </c>
      <c r="BK93" s="32" t="str">
        <f t="shared" si="318"/>
        <v/>
      </c>
      <c r="BL93" s="32" t="str">
        <f t="shared" si="318"/>
        <v/>
      </c>
      <c r="BM93" s="32" t="str">
        <f t="shared" si="318"/>
        <v/>
      </c>
      <c r="BN93" s="32" t="str">
        <f t="shared" si="318"/>
        <v>Yes</v>
      </c>
      <c r="BO93" s="32" t="str">
        <f t="shared" si="318"/>
        <v/>
      </c>
      <c r="BP93" s="32" t="str">
        <f t="shared" si="318"/>
        <v/>
      </c>
      <c r="BQ93" s="32" t="str">
        <f t="shared" si="318"/>
        <v/>
      </c>
      <c r="BR93" s="32" t="str">
        <f t="shared" si="11"/>
        <v/>
      </c>
      <c r="BS93" s="32" t="str">
        <f t="shared" si="12"/>
        <v/>
      </c>
      <c r="BT93" s="32"/>
      <c r="BU93" s="32"/>
      <c r="BV93" s="32"/>
      <c r="BW93" s="33">
        <f t="shared" si="13"/>
        <v>0</v>
      </c>
      <c r="BX93" s="33">
        <f t="shared" si="14"/>
        <v>0</v>
      </c>
      <c r="BY93" s="34" t="str">
        <f t="shared" si="15"/>
        <v/>
      </c>
      <c r="BZ93" s="33">
        <f t="shared" si="16"/>
        <v>0</v>
      </c>
      <c r="CA93" s="33">
        <f t="shared" si="17"/>
        <v>0</v>
      </c>
      <c r="CB93" s="34" t="str">
        <f t="shared" si="18"/>
        <v/>
      </c>
      <c r="CC93" s="35" t="s">
        <v>63</v>
      </c>
      <c r="CD93" s="33"/>
      <c r="CE93" s="34"/>
      <c r="CF93" s="33"/>
      <c r="CG93" s="33"/>
      <c r="CH93" s="34"/>
      <c r="CI93" s="33"/>
      <c r="CJ93" s="33"/>
      <c r="CK93" s="34"/>
    </row>
    <row r="94" ht="12.75" customHeight="1">
      <c r="A94" s="18">
        <v>93.0</v>
      </c>
      <c r="B94" s="18" t="s">
        <v>153</v>
      </c>
      <c r="C94" s="19" t="s">
        <v>160</v>
      </c>
      <c r="D94" s="49"/>
      <c r="E94" s="21">
        <v>0.0</v>
      </c>
      <c r="F94" s="22">
        <f>Andrew!D94</f>
        <v>0.55</v>
      </c>
      <c r="G94" s="26">
        <f>Bruce!D94</f>
        <v>0.7</v>
      </c>
      <c r="H94" s="22">
        <f>Christine!D94</f>
        <v>0.8</v>
      </c>
      <c r="I94" s="26">
        <f>Eileen!D94</f>
        <v>0.2</v>
      </c>
      <c r="J94" s="22">
        <f>Iain!D94</f>
        <v>0.9</v>
      </c>
      <c r="K94" s="26">
        <f>Gael!D94</f>
        <v>0.8</v>
      </c>
      <c r="L94" s="22">
        <f>Jac!D94</f>
        <v>0.55</v>
      </c>
      <c r="M94" s="26">
        <f>James!D94</f>
        <v>0.8</v>
      </c>
      <c r="N94" s="22">
        <f>Kate!D94</f>
        <v>0.9</v>
      </c>
      <c r="O94" s="26">
        <f>Lachy!D94</f>
        <v>0.15</v>
      </c>
      <c r="P94" s="22">
        <f>Pete!D94</f>
        <v>0.5</v>
      </c>
      <c r="Q94" s="26">
        <f>Rohan!D94</f>
        <v>0.55</v>
      </c>
      <c r="R94" s="22">
        <f t="shared" si="27"/>
        <v>-0.1520030934</v>
      </c>
      <c r="S94" s="22">
        <f t="shared" ref="S94:AC94" si="319">IF($E94=1,(LOG(G94,2)+1),IF($E94=0,(LOG(1-G94,2)+1),""))</f>
        <v>-0.7369655942</v>
      </c>
      <c r="T94" s="22">
        <f t="shared" si="319"/>
        <v>-1.321928095</v>
      </c>
      <c r="U94" s="22">
        <f t="shared" si="319"/>
        <v>0.6780719051</v>
      </c>
      <c r="V94" s="22">
        <f t="shared" si="319"/>
        <v>-2.321928095</v>
      </c>
      <c r="W94" s="22">
        <f t="shared" si="319"/>
        <v>-1.321928095</v>
      </c>
      <c r="X94" s="22">
        <f t="shared" si="319"/>
        <v>-0.1520030934</v>
      </c>
      <c r="Y94" s="22">
        <f t="shared" si="319"/>
        <v>-1.321928095</v>
      </c>
      <c r="Z94" s="22">
        <f t="shared" si="319"/>
        <v>-2.321928095</v>
      </c>
      <c r="AA94" s="22">
        <f t="shared" si="319"/>
        <v>0.7655347464</v>
      </c>
      <c r="AB94" s="22">
        <f t="shared" si="319"/>
        <v>0</v>
      </c>
      <c r="AC94" s="22">
        <f t="shared" si="319"/>
        <v>-0.1520030934</v>
      </c>
      <c r="AD94" s="41"/>
      <c r="AE94" s="31">
        <f t="shared" si="6"/>
        <v>18.93326262</v>
      </c>
      <c r="AF94" s="31">
        <f t="shared" si="7"/>
        <v>0.6166666667</v>
      </c>
      <c r="AG94" s="31">
        <f t="shared" si="8"/>
        <v>0.06242424242</v>
      </c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2" t="str">
        <f t="shared" ref="AT94:BE94" si="320">IF(F94=MIN($F94:$Q94),"Yes","")</f>
        <v/>
      </c>
      <c r="AU94" s="32" t="str">
        <f t="shared" si="320"/>
        <v/>
      </c>
      <c r="AV94" s="32" t="str">
        <f t="shared" si="320"/>
        <v/>
      </c>
      <c r="AW94" s="32" t="str">
        <f t="shared" si="320"/>
        <v/>
      </c>
      <c r="AX94" s="32" t="str">
        <f t="shared" si="320"/>
        <v/>
      </c>
      <c r="AY94" s="32" t="str">
        <f t="shared" si="320"/>
        <v/>
      </c>
      <c r="AZ94" s="32" t="str">
        <f t="shared" si="320"/>
        <v/>
      </c>
      <c r="BA94" s="32" t="str">
        <f t="shared" si="320"/>
        <v/>
      </c>
      <c r="BB94" s="32" t="str">
        <f t="shared" si="320"/>
        <v/>
      </c>
      <c r="BC94" s="32" t="str">
        <f t="shared" si="320"/>
        <v>Yes</v>
      </c>
      <c r="BD94" s="32" t="str">
        <f t="shared" si="320"/>
        <v/>
      </c>
      <c r="BE94" s="32" t="str">
        <f t="shared" si="320"/>
        <v/>
      </c>
      <c r="BF94" s="32" t="str">
        <f t="shared" ref="BF94:BQ94" si="321">IF(F94=MAX($F94:$Q94),"Yes","")</f>
        <v/>
      </c>
      <c r="BG94" s="32" t="str">
        <f t="shared" si="321"/>
        <v/>
      </c>
      <c r="BH94" s="32" t="str">
        <f t="shared" si="321"/>
        <v/>
      </c>
      <c r="BI94" s="32" t="str">
        <f t="shared" si="321"/>
        <v/>
      </c>
      <c r="BJ94" s="32" t="str">
        <f t="shared" si="321"/>
        <v>Yes</v>
      </c>
      <c r="BK94" s="32" t="str">
        <f t="shared" si="321"/>
        <v/>
      </c>
      <c r="BL94" s="32" t="str">
        <f t="shared" si="321"/>
        <v/>
      </c>
      <c r="BM94" s="32" t="str">
        <f t="shared" si="321"/>
        <v/>
      </c>
      <c r="BN94" s="32" t="str">
        <f t="shared" si="321"/>
        <v>Yes</v>
      </c>
      <c r="BO94" s="32" t="str">
        <f t="shared" si="321"/>
        <v/>
      </c>
      <c r="BP94" s="32" t="str">
        <f t="shared" si="321"/>
        <v/>
      </c>
      <c r="BQ94" s="32" t="str">
        <f t="shared" si="321"/>
        <v/>
      </c>
      <c r="BR94" s="32" t="str">
        <f t="shared" si="11"/>
        <v/>
      </c>
      <c r="BS94" s="32" t="str">
        <f t="shared" si="12"/>
        <v/>
      </c>
      <c r="BT94" s="32"/>
      <c r="BU94" s="32"/>
      <c r="BV94" s="32"/>
      <c r="BW94" s="33">
        <f t="shared" si="13"/>
        <v>0</v>
      </c>
      <c r="BX94" s="33">
        <f t="shared" si="14"/>
        <v>0</v>
      </c>
      <c r="BY94" s="34" t="str">
        <f t="shared" si="15"/>
        <v/>
      </c>
      <c r="BZ94" s="33">
        <f t="shared" si="16"/>
        <v>0</v>
      </c>
      <c r="CA94" s="33">
        <f t="shared" si="17"/>
        <v>0</v>
      </c>
      <c r="CB94" s="34" t="str">
        <f t="shared" si="18"/>
        <v/>
      </c>
      <c r="CC94" s="35"/>
      <c r="CD94" s="33"/>
      <c r="CE94" s="34"/>
      <c r="CF94" s="33"/>
      <c r="CG94" s="33"/>
      <c r="CH94" s="34"/>
      <c r="CI94" s="33"/>
      <c r="CJ94" s="33"/>
      <c r="CK94" s="34"/>
    </row>
    <row r="95" ht="12.75" customHeight="1">
      <c r="A95" s="36">
        <v>94.0</v>
      </c>
      <c r="B95" s="36" t="s">
        <v>153</v>
      </c>
      <c r="C95" s="44" t="s">
        <v>161</v>
      </c>
      <c r="D95" s="45">
        <v>44911.0</v>
      </c>
      <c r="E95" s="39">
        <v>1.0</v>
      </c>
      <c r="F95" s="46">
        <f>Andrew!D95</f>
        <v>0.3</v>
      </c>
      <c r="G95" s="46">
        <f>Bruce!D95</f>
        <v>0.4</v>
      </c>
      <c r="H95" s="46">
        <f>Christine!D95</f>
        <v>0.7</v>
      </c>
      <c r="I95" s="46">
        <f>Eileen!D95</f>
        <v>0.05</v>
      </c>
      <c r="J95" s="46">
        <f>Iain!D95</f>
        <v>0.6</v>
      </c>
      <c r="K95" s="46">
        <f>Gael!D95</f>
        <v>0.9</v>
      </c>
      <c r="L95" s="46">
        <f>Jac!D95</f>
        <v>0.5</v>
      </c>
      <c r="M95" s="46">
        <f>James!D95</f>
        <v>0.7</v>
      </c>
      <c r="N95" s="46">
        <f>Kate!D95</f>
        <v>0.2</v>
      </c>
      <c r="O95" s="48">
        <f>Lachy!D95</f>
        <v>0.001</v>
      </c>
      <c r="P95" s="46">
        <f>Pete!D95</f>
        <v>0.5</v>
      </c>
      <c r="Q95" s="46">
        <f>Rohan!D95</f>
        <v>0.1</v>
      </c>
      <c r="R95" s="31">
        <f t="shared" si="27"/>
        <v>-0.7369655942</v>
      </c>
      <c r="S95" s="31">
        <f t="shared" ref="S95:AC95" si="322">IF($E95=1,(LOG(G95,2)+1),IF($E95=0,(LOG(1-G95,2)+1),""))</f>
        <v>-0.3219280949</v>
      </c>
      <c r="T95" s="31">
        <f t="shared" si="322"/>
        <v>0.4854268272</v>
      </c>
      <c r="U95" s="31">
        <f t="shared" si="322"/>
        <v>-3.321928095</v>
      </c>
      <c r="V95" s="31">
        <f t="shared" si="322"/>
        <v>0.2630344058</v>
      </c>
      <c r="W95" s="31">
        <f t="shared" si="322"/>
        <v>0.8479969066</v>
      </c>
      <c r="X95" s="31">
        <f t="shared" si="322"/>
        <v>0</v>
      </c>
      <c r="Y95" s="31">
        <f t="shared" si="322"/>
        <v>0.4854268272</v>
      </c>
      <c r="Z95" s="31">
        <f t="shared" si="322"/>
        <v>-1.321928095</v>
      </c>
      <c r="AA95" s="31">
        <f t="shared" si="322"/>
        <v>-8.965784285</v>
      </c>
      <c r="AB95" s="31">
        <f t="shared" si="322"/>
        <v>0</v>
      </c>
      <c r="AC95" s="31">
        <f t="shared" si="322"/>
        <v>-2.321928095</v>
      </c>
      <c r="AD95" s="41"/>
      <c r="AE95" s="31">
        <f t="shared" si="6"/>
        <v>24.94443581</v>
      </c>
      <c r="AF95" s="31">
        <f t="shared" si="7"/>
        <v>0.4125833333</v>
      </c>
      <c r="AG95" s="31">
        <f t="shared" si="8"/>
        <v>0.08270917424</v>
      </c>
      <c r="AH95" s="46" t="str">
        <f t="shared" ref="AH95:AS95" si="323">IF(F95=MIN($F95:$Q95),LOG(1-F95,2)+1,IF(F95=MAX($F95:$Q95),LOG(F95,2)+1,""))</f>
        <v/>
      </c>
      <c r="AI95" s="46" t="str">
        <f t="shared" si="323"/>
        <v/>
      </c>
      <c r="AJ95" s="46" t="str">
        <f t="shared" si="323"/>
        <v/>
      </c>
      <c r="AK95" s="46" t="str">
        <f t="shared" si="323"/>
        <v/>
      </c>
      <c r="AL95" s="46" t="str">
        <f t="shared" si="323"/>
        <v/>
      </c>
      <c r="AM95" s="46">
        <f t="shared" si="323"/>
        <v>0.8479969066</v>
      </c>
      <c r="AN95" s="46" t="str">
        <f t="shared" si="323"/>
        <v/>
      </c>
      <c r="AO95" s="46" t="str">
        <f t="shared" si="323"/>
        <v/>
      </c>
      <c r="AP95" s="46" t="str">
        <f t="shared" si="323"/>
        <v/>
      </c>
      <c r="AQ95" s="46">
        <f t="shared" si="323"/>
        <v>0.9985565831</v>
      </c>
      <c r="AR95" s="46" t="str">
        <f t="shared" si="323"/>
        <v/>
      </c>
      <c r="AS95" s="46" t="str">
        <f t="shared" si="323"/>
        <v/>
      </c>
      <c r="AT95" s="32" t="str">
        <f t="shared" ref="AT95:BE95" si="324">IF(F95=MIN($F95:$Q95),"Yes","")</f>
        <v/>
      </c>
      <c r="AU95" s="32" t="str">
        <f t="shared" si="324"/>
        <v/>
      </c>
      <c r="AV95" s="32" t="str">
        <f t="shared" si="324"/>
        <v/>
      </c>
      <c r="AW95" s="32" t="str">
        <f t="shared" si="324"/>
        <v/>
      </c>
      <c r="AX95" s="32" t="str">
        <f t="shared" si="324"/>
        <v/>
      </c>
      <c r="AY95" s="32" t="str">
        <f t="shared" si="324"/>
        <v/>
      </c>
      <c r="AZ95" s="32" t="str">
        <f t="shared" si="324"/>
        <v/>
      </c>
      <c r="BA95" s="32" t="str">
        <f t="shared" si="324"/>
        <v/>
      </c>
      <c r="BB95" s="32" t="str">
        <f t="shared" si="324"/>
        <v/>
      </c>
      <c r="BC95" s="32" t="str">
        <f t="shared" si="324"/>
        <v>Yes</v>
      </c>
      <c r="BD95" s="32" t="str">
        <f t="shared" si="324"/>
        <v/>
      </c>
      <c r="BE95" s="32" t="str">
        <f t="shared" si="324"/>
        <v/>
      </c>
      <c r="BF95" s="32" t="str">
        <f t="shared" ref="BF95:BQ95" si="325">IF(F95=MAX($F95:$Q95),"Yes","")</f>
        <v/>
      </c>
      <c r="BG95" s="32" t="str">
        <f t="shared" si="325"/>
        <v/>
      </c>
      <c r="BH95" s="32" t="str">
        <f t="shared" si="325"/>
        <v/>
      </c>
      <c r="BI95" s="32" t="str">
        <f t="shared" si="325"/>
        <v/>
      </c>
      <c r="BJ95" s="32" t="str">
        <f t="shared" si="325"/>
        <v/>
      </c>
      <c r="BK95" s="32" t="str">
        <f t="shared" si="325"/>
        <v>Yes</v>
      </c>
      <c r="BL95" s="32" t="str">
        <f t="shared" si="325"/>
        <v/>
      </c>
      <c r="BM95" s="32" t="str">
        <f t="shared" si="325"/>
        <v/>
      </c>
      <c r="BN95" s="32" t="str">
        <f t="shared" si="325"/>
        <v/>
      </c>
      <c r="BO95" s="32" t="str">
        <f t="shared" si="325"/>
        <v/>
      </c>
      <c r="BP95" s="32" t="str">
        <f t="shared" si="325"/>
        <v/>
      </c>
      <c r="BQ95" s="32" t="str">
        <f t="shared" si="325"/>
        <v/>
      </c>
      <c r="BR95" s="32" t="str">
        <f t="shared" si="11"/>
        <v/>
      </c>
      <c r="BS95" s="32" t="str">
        <f t="shared" si="12"/>
        <v/>
      </c>
      <c r="BT95" s="32"/>
      <c r="BU95" s="32"/>
      <c r="BV95" s="32"/>
      <c r="BW95" s="33">
        <f t="shared" si="13"/>
        <v>0</v>
      </c>
      <c r="BX95" s="33">
        <f t="shared" si="14"/>
        <v>0</v>
      </c>
      <c r="BY95" s="34" t="str">
        <f t="shared" si="15"/>
        <v/>
      </c>
      <c r="BZ95" s="33">
        <f t="shared" si="16"/>
        <v>0</v>
      </c>
      <c r="CA95" s="33">
        <f t="shared" si="17"/>
        <v>0</v>
      </c>
      <c r="CB95" s="34" t="str">
        <f t="shared" si="18"/>
        <v/>
      </c>
      <c r="CC95" s="35" t="s">
        <v>63</v>
      </c>
      <c r="CD95" s="33"/>
      <c r="CE95" s="34"/>
      <c r="CF95" s="33"/>
      <c r="CG95" s="33"/>
      <c r="CH95" s="34"/>
      <c r="CI95" s="33"/>
      <c r="CJ95" s="33"/>
      <c r="CK95" s="34"/>
    </row>
    <row r="96" ht="12.75" customHeight="1">
      <c r="A96" s="18">
        <v>95.0</v>
      </c>
      <c r="B96" s="18" t="s">
        <v>153</v>
      </c>
      <c r="C96" s="19" t="s">
        <v>162</v>
      </c>
      <c r="D96" s="49"/>
      <c r="E96" s="21">
        <v>0.0</v>
      </c>
      <c r="F96" s="22">
        <f>Andrew!D96</f>
        <v>0.35</v>
      </c>
      <c r="G96" s="26">
        <f>Bruce!D96</f>
        <v>0.2</v>
      </c>
      <c r="H96" s="22">
        <f>Christine!D96</f>
        <v>0.7</v>
      </c>
      <c r="I96" s="26">
        <f>Eileen!D96</f>
        <v>0.6</v>
      </c>
      <c r="J96" s="22">
        <f>Iain!D96</f>
        <v>0.7</v>
      </c>
      <c r="K96" s="26">
        <f>Gael!D96</f>
        <v>0.4</v>
      </c>
      <c r="L96" s="22">
        <f>Jac!D96</f>
        <v>0.05</v>
      </c>
      <c r="M96" s="26">
        <f>James!D96</f>
        <v>0.7</v>
      </c>
      <c r="N96" s="22">
        <f>Kate!D96</f>
        <v>0.2</v>
      </c>
      <c r="O96" s="74">
        <f>Lachy!D96</f>
        <v>0.001</v>
      </c>
      <c r="P96" s="22">
        <f>Pete!D96</f>
        <v>0.1</v>
      </c>
      <c r="Q96" s="26">
        <f>Rohan!D96</f>
        <v>0.5</v>
      </c>
      <c r="R96" s="22">
        <f t="shared" si="27"/>
        <v>0.3785116233</v>
      </c>
      <c r="S96" s="22">
        <f t="shared" ref="S96:AC96" si="326">IF($E96=1,(LOG(G96,2)+1),IF($E96=0,(LOG(1-G96,2)+1),""))</f>
        <v>0.6780719051</v>
      </c>
      <c r="T96" s="22">
        <f t="shared" si="326"/>
        <v>-0.7369655942</v>
      </c>
      <c r="U96" s="22">
        <f t="shared" si="326"/>
        <v>-0.3219280949</v>
      </c>
      <c r="V96" s="22">
        <f t="shared" si="326"/>
        <v>-0.7369655942</v>
      </c>
      <c r="W96" s="22">
        <f t="shared" si="326"/>
        <v>0.2630344058</v>
      </c>
      <c r="X96" s="22">
        <f t="shared" si="326"/>
        <v>0.9259994186</v>
      </c>
      <c r="Y96" s="22">
        <f t="shared" si="326"/>
        <v>-0.7369655942</v>
      </c>
      <c r="Z96" s="22">
        <f t="shared" si="326"/>
        <v>0.6780719051</v>
      </c>
      <c r="AA96" s="22">
        <f t="shared" si="326"/>
        <v>0.9985565831</v>
      </c>
      <c r="AB96" s="22">
        <f t="shared" si="326"/>
        <v>0.8479969066</v>
      </c>
      <c r="AC96" s="22">
        <f t="shared" si="326"/>
        <v>0</v>
      </c>
      <c r="AD96" s="41"/>
      <c r="AE96" s="31">
        <f t="shared" si="6"/>
        <v>25.32621085</v>
      </c>
      <c r="AF96" s="31">
        <f t="shared" si="7"/>
        <v>0.3750833333</v>
      </c>
      <c r="AG96" s="31">
        <f t="shared" si="8"/>
        <v>0.06970462879</v>
      </c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2" t="str">
        <f t="shared" ref="AT96:BE96" si="327">IF(F96=MIN($F96:$Q96),"Yes","")</f>
        <v/>
      </c>
      <c r="AU96" s="32" t="str">
        <f t="shared" si="327"/>
        <v/>
      </c>
      <c r="AV96" s="32" t="str">
        <f t="shared" si="327"/>
        <v/>
      </c>
      <c r="AW96" s="32" t="str">
        <f t="shared" si="327"/>
        <v/>
      </c>
      <c r="AX96" s="32" t="str">
        <f t="shared" si="327"/>
        <v/>
      </c>
      <c r="AY96" s="32" t="str">
        <f t="shared" si="327"/>
        <v/>
      </c>
      <c r="AZ96" s="32" t="str">
        <f t="shared" si="327"/>
        <v/>
      </c>
      <c r="BA96" s="32" t="str">
        <f t="shared" si="327"/>
        <v/>
      </c>
      <c r="BB96" s="32" t="str">
        <f t="shared" si="327"/>
        <v/>
      </c>
      <c r="BC96" s="32" t="str">
        <f t="shared" si="327"/>
        <v>Yes</v>
      </c>
      <c r="BD96" s="32" t="str">
        <f t="shared" si="327"/>
        <v/>
      </c>
      <c r="BE96" s="32" t="str">
        <f t="shared" si="327"/>
        <v/>
      </c>
      <c r="BF96" s="32" t="str">
        <f t="shared" ref="BF96:BQ96" si="328">IF(F96=MAX($F96:$Q96),"Yes","")</f>
        <v/>
      </c>
      <c r="BG96" s="32" t="str">
        <f t="shared" si="328"/>
        <v/>
      </c>
      <c r="BH96" s="32" t="str">
        <f t="shared" si="328"/>
        <v>Yes</v>
      </c>
      <c r="BI96" s="32" t="str">
        <f t="shared" si="328"/>
        <v/>
      </c>
      <c r="BJ96" s="32" t="str">
        <f t="shared" si="328"/>
        <v>Yes</v>
      </c>
      <c r="BK96" s="32" t="str">
        <f t="shared" si="328"/>
        <v/>
      </c>
      <c r="BL96" s="32" t="str">
        <f t="shared" si="328"/>
        <v/>
      </c>
      <c r="BM96" s="32" t="str">
        <f t="shared" si="328"/>
        <v>Yes</v>
      </c>
      <c r="BN96" s="32" t="str">
        <f t="shared" si="328"/>
        <v/>
      </c>
      <c r="BO96" s="32" t="str">
        <f t="shared" si="328"/>
        <v/>
      </c>
      <c r="BP96" s="32" t="str">
        <f t="shared" si="328"/>
        <v/>
      </c>
      <c r="BQ96" s="32" t="str">
        <f t="shared" si="328"/>
        <v/>
      </c>
      <c r="BR96" s="32" t="str">
        <f t="shared" si="11"/>
        <v/>
      </c>
      <c r="BS96" s="32" t="str">
        <f t="shared" si="12"/>
        <v>Yes</v>
      </c>
      <c r="BT96" s="32"/>
      <c r="BU96" s="32"/>
      <c r="BV96" s="32"/>
      <c r="BW96" s="33">
        <f t="shared" si="13"/>
        <v>0</v>
      </c>
      <c r="BX96" s="33">
        <f t="shared" si="14"/>
        <v>0</v>
      </c>
      <c r="BY96" s="34" t="str">
        <f t="shared" si="15"/>
        <v/>
      </c>
      <c r="BZ96" s="33">
        <f t="shared" si="16"/>
        <v>-0.05</v>
      </c>
      <c r="CA96" s="33">
        <f t="shared" si="17"/>
        <v>0.7</v>
      </c>
      <c r="CB96" s="34">
        <f t="shared" si="18"/>
        <v>0.75</v>
      </c>
      <c r="CC96" s="35"/>
      <c r="CD96" s="33"/>
      <c r="CE96" s="34"/>
      <c r="CF96" s="33"/>
      <c r="CG96" s="33"/>
      <c r="CH96" s="34"/>
      <c r="CI96" s="33"/>
      <c r="CJ96" s="33"/>
      <c r="CK96" s="34"/>
    </row>
    <row r="97" ht="12.75" customHeight="1">
      <c r="A97" s="36">
        <v>96.0</v>
      </c>
      <c r="B97" s="36" t="s">
        <v>153</v>
      </c>
      <c r="C97" s="37" t="s">
        <v>163</v>
      </c>
      <c r="D97" s="38"/>
      <c r="E97" s="39">
        <v>0.0</v>
      </c>
      <c r="F97" s="31">
        <f>Andrew!D97</f>
        <v>0.1</v>
      </c>
      <c r="G97" s="31">
        <f>Bruce!D97</f>
        <v>0.4</v>
      </c>
      <c r="H97" s="31">
        <f>Christine!D97</f>
        <v>0.1</v>
      </c>
      <c r="I97" s="31">
        <f>Eileen!D97</f>
        <v>0.2</v>
      </c>
      <c r="J97" s="31">
        <f>Iain!D97</f>
        <v>0.8</v>
      </c>
      <c r="K97" s="31">
        <f>Gael!D97</f>
        <v>0.7</v>
      </c>
      <c r="L97" s="31">
        <f>Jac!D97</f>
        <v>0.3</v>
      </c>
      <c r="M97" s="31">
        <f>James!D97</f>
        <v>0.1</v>
      </c>
      <c r="N97" s="31">
        <f>Kate!D97</f>
        <v>0.1</v>
      </c>
      <c r="O97" s="31">
        <f>Lachy!D97</f>
        <v>0.15</v>
      </c>
      <c r="P97" s="31">
        <f>Pete!D97</f>
        <v>0.5</v>
      </c>
      <c r="Q97" s="31">
        <f>Rohan!D97</f>
        <v>0.6</v>
      </c>
      <c r="R97" s="31">
        <f t="shared" si="27"/>
        <v>0.8479969066</v>
      </c>
      <c r="S97" s="31">
        <f t="shared" ref="S97:AC97" si="329">IF($E97=1,(LOG(G97,2)+1),IF($E97=0,(LOG(1-G97,2)+1),""))</f>
        <v>0.2630344058</v>
      </c>
      <c r="T97" s="31">
        <f t="shared" si="329"/>
        <v>0.8479969066</v>
      </c>
      <c r="U97" s="31">
        <f t="shared" si="329"/>
        <v>0.6780719051</v>
      </c>
      <c r="V97" s="31">
        <f t="shared" si="329"/>
        <v>-1.321928095</v>
      </c>
      <c r="W97" s="31">
        <f t="shared" si="329"/>
        <v>-0.7369655942</v>
      </c>
      <c r="X97" s="31">
        <f t="shared" si="329"/>
        <v>0.4854268272</v>
      </c>
      <c r="Y97" s="31">
        <f t="shared" si="329"/>
        <v>0.8479969066</v>
      </c>
      <c r="Z97" s="31">
        <f t="shared" si="329"/>
        <v>0.8479969066</v>
      </c>
      <c r="AA97" s="31">
        <f t="shared" si="329"/>
        <v>0.7655347464</v>
      </c>
      <c r="AB97" s="31">
        <f t="shared" si="329"/>
        <v>0</v>
      </c>
      <c r="AC97" s="31">
        <f t="shared" si="329"/>
        <v>-0.3219280949</v>
      </c>
      <c r="AD97" s="41"/>
      <c r="AE97" s="31">
        <f t="shared" si="6"/>
        <v>16.45706019</v>
      </c>
      <c r="AF97" s="31">
        <f t="shared" si="7"/>
        <v>0.3375</v>
      </c>
      <c r="AG97" s="31">
        <f t="shared" si="8"/>
        <v>0.06596590909</v>
      </c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2" t="str">
        <f t="shared" ref="AT97:BE97" si="330">IF(F97=MIN($F97:$Q97),"Yes","")</f>
        <v>Yes</v>
      </c>
      <c r="AU97" s="32" t="str">
        <f t="shared" si="330"/>
        <v/>
      </c>
      <c r="AV97" s="32" t="str">
        <f t="shared" si="330"/>
        <v>Yes</v>
      </c>
      <c r="AW97" s="32" t="str">
        <f t="shared" si="330"/>
        <v/>
      </c>
      <c r="AX97" s="32" t="str">
        <f t="shared" si="330"/>
        <v/>
      </c>
      <c r="AY97" s="32" t="str">
        <f t="shared" si="330"/>
        <v/>
      </c>
      <c r="AZ97" s="32" t="str">
        <f t="shared" si="330"/>
        <v/>
      </c>
      <c r="BA97" s="32" t="str">
        <f t="shared" si="330"/>
        <v>Yes</v>
      </c>
      <c r="BB97" s="32" t="str">
        <f t="shared" si="330"/>
        <v>Yes</v>
      </c>
      <c r="BC97" s="32" t="str">
        <f t="shared" si="330"/>
        <v/>
      </c>
      <c r="BD97" s="32" t="str">
        <f t="shared" si="330"/>
        <v/>
      </c>
      <c r="BE97" s="32" t="str">
        <f t="shared" si="330"/>
        <v/>
      </c>
      <c r="BF97" s="32" t="str">
        <f t="shared" ref="BF97:BQ97" si="331">IF(F97=MAX($F97:$Q97),"Yes","")</f>
        <v/>
      </c>
      <c r="BG97" s="32" t="str">
        <f t="shared" si="331"/>
        <v/>
      </c>
      <c r="BH97" s="32" t="str">
        <f t="shared" si="331"/>
        <v/>
      </c>
      <c r="BI97" s="32" t="str">
        <f t="shared" si="331"/>
        <v/>
      </c>
      <c r="BJ97" s="32" t="str">
        <f t="shared" si="331"/>
        <v>Yes</v>
      </c>
      <c r="BK97" s="32" t="str">
        <f t="shared" si="331"/>
        <v/>
      </c>
      <c r="BL97" s="32" t="str">
        <f t="shared" si="331"/>
        <v/>
      </c>
      <c r="BM97" s="32" t="str">
        <f t="shared" si="331"/>
        <v/>
      </c>
      <c r="BN97" s="32" t="str">
        <f t="shared" si="331"/>
        <v/>
      </c>
      <c r="BO97" s="32" t="str">
        <f t="shared" si="331"/>
        <v/>
      </c>
      <c r="BP97" s="32" t="str">
        <f t="shared" si="331"/>
        <v/>
      </c>
      <c r="BQ97" s="32" t="str">
        <f t="shared" si="331"/>
        <v/>
      </c>
      <c r="BR97" s="32" t="str">
        <f t="shared" si="11"/>
        <v/>
      </c>
      <c r="BS97" s="32" t="str">
        <f t="shared" si="12"/>
        <v/>
      </c>
      <c r="BT97" s="32"/>
      <c r="BU97" s="32"/>
      <c r="BV97" s="32"/>
      <c r="BW97" s="33">
        <f t="shared" si="13"/>
        <v>0</v>
      </c>
      <c r="BX97" s="33">
        <f t="shared" si="14"/>
        <v>0</v>
      </c>
      <c r="BY97" s="34" t="str">
        <f t="shared" si="15"/>
        <v/>
      </c>
      <c r="BZ97" s="33">
        <f t="shared" si="16"/>
        <v>0</v>
      </c>
      <c r="CA97" s="33">
        <f t="shared" si="17"/>
        <v>0</v>
      </c>
      <c r="CB97" s="34" t="str">
        <f t="shared" si="18"/>
        <v/>
      </c>
      <c r="CC97" s="35" t="s">
        <v>63</v>
      </c>
      <c r="CD97" s="33"/>
      <c r="CE97" s="34"/>
      <c r="CF97" s="33"/>
      <c r="CG97" s="33"/>
      <c r="CH97" s="34"/>
      <c r="CI97" s="33"/>
      <c r="CJ97" s="33"/>
      <c r="CK97" s="34"/>
    </row>
    <row r="98" ht="12.75" customHeight="1">
      <c r="A98" s="18">
        <v>97.0</v>
      </c>
      <c r="B98" s="18" t="s">
        <v>153</v>
      </c>
      <c r="C98" s="19" t="s">
        <v>164</v>
      </c>
      <c r="D98" s="49"/>
      <c r="E98" s="21">
        <v>0.0</v>
      </c>
      <c r="F98" s="22">
        <f>Andrew!D98</f>
        <v>0.45</v>
      </c>
      <c r="G98" s="26">
        <f>Bruce!D98</f>
        <v>0.3</v>
      </c>
      <c r="H98" s="22">
        <f>Christine!D98</f>
        <v>0.1</v>
      </c>
      <c r="I98" s="26">
        <f>Eileen!D98</f>
        <v>0.2</v>
      </c>
      <c r="J98" s="22">
        <f>Iain!D98</f>
        <v>0.6</v>
      </c>
      <c r="K98" s="26">
        <f>Gael!D98</f>
        <v>0.7</v>
      </c>
      <c r="L98" s="22">
        <f>Jac!D98</f>
        <v>0.3</v>
      </c>
      <c r="M98" s="26">
        <f>James!D98</f>
        <v>0.1</v>
      </c>
      <c r="N98" s="22">
        <f>Kate!D98</f>
        <v>0.1</v>
      </c>
      <c r="O98" s="26">
        <f>Lachy!D98</f>
        <v>0.15</v>
      </c>
      <c r="P98" s="22">
        <f>Pete!D98</f>
        <v>0.5</v>
      </c>
      <c r="Q98" s="26">
        <f>Rohan!D98</f>
        <v>0.6</v>
      </c>
      <c r="R98" s="22">
        <f t="shared" si="27"/>
        <v>0.1375035237</v>
      </c>
      <c r="S98" s="22">
        <f t="shared" ref="S98:AC98" si="332">IF($E98=1,(LOG(G98,2)+1),IF($E98=0,(LOG(1-G98,2)+1),""))</f>
        <v>0.4854268272</v>
      </c>
      <c r="T98" s="22">
        <f t="shared" si="332"/>
        <v>0.8479969066</v>
      </c>
      <c r="U98" s="22">
        <f t="shared" si="332"/>
        <v>0.6780719051</v>
      </c>
      <c r="V98" s="22">
        <f t="shared" si="332"/>
        <v>-0.3219280949</v>
      </c>
      <c r="W98" s="22">
        <f t="shared" si="332"/>
        <v>-0.7369655942</v>
      </c>
      <c r="X98" s="22">
        <f t="shared" si="332"/>
        <v>0.4854268272</v>
      </c>
      <c r="Y98" s="22">
        <f t="shared" si="332"/>
        <v>0.8479969066</v>
      </c>
      <c r="Z98" s="22">
        <f t="shared" si="332"/>
        <v>0.8479969066</v>
      </c>
      <c r="AA98" s="22">
        <f t="shared" si="332"/>
        <v>0.7655347464</v>
      </c>
      <c r="AB98" s="22">
        <f t="shared" si="332"/>
        <v>0</v>
      </c>
      <c r="AC98" s="22">
        <f t="shared" si="332"/>
        <v>-0.3219280949</v>
      </c>
      <c r="AD98" s="41"/>
      <c r="AE98" s="31">
        <f t="shared" si="6"/>
        <v>18.55987099</v>
      </c>
      <c r="AF98" s="31">
        <f t="shared" si="7"/>
        <v>0.3416666667</v>
      </c>
      <c r="AG98" s="31">
        <f t="shared" si="8"/>
        <v>0.04856060606</v>
      </c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2" t="str">
        <f t="shared" ref="AT98:BE98" si="333">IF(F98=MIN($F98:$Q98),"Yes","")</f>
        <v/>
      </c>
      <c r="AU98" s="32" t="str">
        <f t="shared" si="333"/>
        <v/>
      </c>
      <c r="AV98" s="32" t="str">
        <f t="shared" si="333"/>
        <v>Yes</v>
      </c>
      <c r="AW98" s="32" t="str">
        <f t="shared" si="333"/>
        <v/>
      </c>
      <c r="AX98" s="32" t="str">
        <f t="shared" si="333"/>
        <v/>
      </c>
      <c r="AY98" s="32" t="str">
        <f t="shared" si="333"/>
        <v/>
      </c>
      <c r="AZ98" s="32" t="str">
        <f t="shared" si="333"/>
        <v/>
      </c>
      <c r="BA98" s="32" t="str">
        <f t="shared" si="333"/>
        <v>Yes</v>
      </c>
      <c r="BB98" s="32" t="str">
        <f t="shared" si="333"/>
        <v>Yes</v>
      </c>
      <c r="BC98" s="32" t="str">
        <f t="shared" si="333"/>
        <v/>
      </c>
      <c r="BD98" s="32" t="str">
        <f t="shared" si="333"/>
        <v/>
      </c>
      <c r="BE98" s="32" t="str">
        <f t="shared" si="333"/>
        <v/>
      </c>
      <c r="BF98" s="32" t="str">
        <f t="shared" ref="BF98:BQ98" si="334">IF(F98=MAX($F98:$Q98),"Yes","")</f>
        <v/>
      </c>
      <c r="BG98" s="32" t="str">
        <f t="shared" si="334"/>
        <v/>
      </c>
      <c r="BH98" s="32" t="str">
        <f t="shared" si="334"/>
        <v/>
      </c>
      <c r="BI98" s="32" t="str">
        <f t="shared" si="334"/>
        <v/>
      </c>
      <c r="BJ98" s="32" t="str">
        <f t="shared" si="334"/>
        <v/>
      </c>
      <c r="BK98" s="32" t="str">
        <f t="shared" si="334"/>
        <v>Yes</v>
      </c>
      <c r="BL98" s="32" t="str">
        <f t="shared" si="334"/>
        <v/>
      </c>
      <c r="BM98" s="32" t="str">
        <f t="shared" si="334"/>
        <v/>
      </c>
      <c r="BN98" s="32" t="str">
        <f t="shared" si="334"/>
        <v/>
      </c>
      <c r="BO98" s="32" t="str">
        <f t="shared" si="334"/>
        <v/>
      </c>
      <c r="BP98" s="32" t="str">
        <f t="shared" si="334"/>
        <v/>
      </c>
      <c r="BQ98" s="32" t="str">
        <f t="shared" si="334"/>
        <v/>
      </c>
      <c r="BR98" s="32" t="str">
        <f t="shared" si="11"/>
        <v/>
      </c>
      <c r="BS98" s="32" t="str">
        <f t="shared" si="12"/>
        <v/>
      </c>
      <c r="BT98" s="32"/>
      <c r="BU98" s="32"/>
      <c r="BV98" s="32"/>
      <c r="BW98" s="33">
        <f t="shared" si="13"/>
        <v>0</v>
      </c>
      <c r="BX98" s="33">
        <f t="shared" si="14"/>
        <v>0</v>
      </c>
      <c r="BY98" s="34" t="str">
        <f t="shared" si="15"/>
        <v/>
      </c>
      <c r="BZ98" s="33">
        <f t="shared" si="16"/>
        <v>0</v>
      </c>
      <c r="CA98" s="33">
        <f t="shared" si="17"/>
        <v>0</v>
      </c>
      <c r="CB98" s="34" t="str">
        <f t="shared" si="18"/>
        <v/>
      </c>
      <c r="CC98" s="35" t="s">
        <v>63</v>
      </c>
      <c r="CD98" s="33"/>
      <c r="CE98" s="34"/>
      <c r="CF98" s="33"/>
      <c r="CG98" s="33"/>
      <c r="CH98" s="34"/>
      <c r="CI98" s="33"/>
      <c r="CJ98" s="33"/>
      <c r="CK98" s="34"/>
    </row>
    <row r="99" ht="12.75" customHeight="1">
      <c r="A99" s="36">
        <v>98.0</v>
      </c>
      <c r="B99" s="36" t="s">
        <v>153</v>
      </c>
      <c r="C99" s="37" t="s">
        <v>165</v>
      </c>
      <c r="D99" s="38"/>
      <c r="E99" s="39">
        <v>0.0</v>
      </c>
      <c r="F99" s="31">
        <f>Andrew!D99</f>
        <v>0.15</v>
      </c>
      <c r="G99" s="31">
        <f>Bruce!D99</f>
        <v>0.2</v>
      </c>
      <c r="H99" s="31">
        <f>Christine!D99</f>
        <v>0.1</v>
      </c>
      <c r="I99" s="31">
        <f>Eileen!D99</f>
        <v>0.2</v>
      </c>
      <c r="J99" s="31">
        <f>Iain!D99</f>
        <v>0.4</v>
      </c>
      <c r="K99" s="31">
        <f>Gael!D99</f>
        <v>0.75</v>
      </c>
      <c r="L99" s="31">
        <f>Jac!D99</f>
        <v>0.3</v>
      </c>
      <c r="M99" s="31">
        <f>James!D99</f>
        <v>0.1</v>
      </c>
      <c r="N99" s="31">
        <f>Kate!D99</f>
        <v>0.6</v>
      </c>
      <c r="O99" s="40">
        <f>Lachy!D99</f>
        <v>0.15</v>
      </c>
      <c r="P99" s="31">
        <f>Pete!D99</f>
        <v>0.5</v>
      </c>
      <c r="Q99" s="31">
        <f>Rohan!D99</f>
        <v>0.6</v>
      </c>
      <c r="R99" s="31">
        <f t="shared" si="27"/>
        <v>0.7655347464</v>
      </c>
      <c r="S99" s="31">
        <f t="shared" ref="S99:AC99" si="335">IF($E99=1,(LOG(G99,2)+1),IF($E99=0,(LOG(1-G99,2)+1),""))</f>
        <v>0.6780719051</v>
      </c>
      <c r="T99" s="31">
        <f t="shared" si="335"/>
        <v>0.8479969066</v>
      </c>
      <c r="U99" s="31">
        <f t="shared" si="335"/>
        <v>0.6780719051</v>
      </c>
      <c r="V99" s="31">
        <f t="shared" si="335"/>
        <v>0.2630344058</v>
      </c>
      <c r="W99" s="31">
        <f t="shared" si="335"/>
        <v>-1</v>
      </c>
      <c r="X99" s="31">
        <f t="shared" si="335"/>
        <v>0.4854268272</v>
      </c>
      <c r="Y99" s="31">
        <f t="shared" si="335"/>
        <v>0.8479969066</v>
      </c>
      <c r="Z99" s="31">
        <f t="shared" si="335"/>
        <v>-0.3219280949</v>
      </c>
      <c r="AA99" s="31">
        <f t="shared" si="335"/>
        <v>0.7655347464</v>
      </c>
      <c r="AB99" s="31">
        <f t="shared" si="335"/>
        <v>0</v>
      </c>
      <c r="AC99" s="31">
        <f t="shared" si="335"/>
        <v>-0.3219280949</v>
      </c>
      <c r="AD99" s="41"/>
      <c r="AE99" s="31">
        <f t="shared" si="6"/>
        <v>14.90209243</v>
      </c>
      <c r="AF99" s="31">
        <f t="shared" si="7"/>
        <v>0.3375</v>
      </c>
      <c r="AG99" s="31">
        <f t="shared" si="8"/>
        <v>0.05096590909</v>
      </c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2" t="str">
        <f t="shared" ref="AT99:BE99" si="336">IF(F99=MIN($F99:$Q99),"Yes","")</f>
        <v/>
      </c>
      <c r="AU99" s="32" t="str">
        <f t="shared" si="336"/>
        <v/>
      </c>
      <c r="AV99" s="32" t="str">
        <f t="shared" si="336"/>
        <v>Yes</v>
      </c>
      <c r="AW99" s="32" t="str">
        <f t="shared" si="336"/>
        <v/>
      </c>
      <c r="AX99" s="32" t="str">
        <f t="shared" si="336"/>
        <v/>
      </c>
      <c r="AY99" s="32" t="str">
        <f t="shared" si="336"/>
        <v/>
      </c>
      <c r="AZ99" s="32" t="str">
        <f t="shared" si="336"/>
        <v/>
      </c>
      <c r="BA99" s="32" t="str">
        <f t="shared" si="336"/>
        <v>Yes</v>
      </c>
      <c r="BB99" s="32" t="str">
        <f t="shared" si="336"/>
        <v/>
      </c>
      <c r="BC99" s="32" t="str">
        <f t="shared" si="336"/>
        <v/>
      </c>
      <c r="BD99" s="32" t="str">
        <f t="shared" si="336"/>
        <v/>
      </c>
      <c r="BE99" s="32" t="str">
        <f t="shared" si="336"/>
        <v/>
      </c>
      <c r="BF99" s="32" t="str">
        <f t="shared" ref="BF99:BQ99" si="337">IF(F99=MAX($F99:$Q99),"Yes","")</f>
        <v/>
      </c>
      <c r="BG99" s="32" t="str">
        <f t="shared" si="337"/>
        <v/>
      </c>
      <c r="BH99" s="32" t="str">
        <f t="shared" si="337"/>
        <v/>
      </c>
      <c r="BI99" s="32" t="str">
        <f t="shared" si="337"/>
        <v/>
      </c>
      <c r="BJ99" s="32" t="str">
        <f t="shared" si="337"/>
        <v/>
      </c>
      <c r="BK99" s="32" t="str">
        <f t="shared" si="337"/>
        <v>Yes</v>
      </c>
      <c r="BL99" s="32" t="str">
        <f t="shared" si="337"/>
        <v/>
      </c>
      <c r="BM99" s="32" t="str">
        <f t="shared" si="337"/>
        <v/>
      </c>
      <c r="BN99" s="32" t="str">
        <f t="shared" si="337"/>
        <v/>
      </c>
      <c r="BO99" s="32" t="str">
        <f t="shared" si="337"/>
        <v/>
      </c>
      <c r="BP99" s="32" t="str">
        <f t="shared" si="337"/>
        <v/>
      </c>
      <c r="BQ99" s="32" t="str">
        <f t="shared" si="337"/>
        <v/>
      </c>
      <c r="BR99" s="32" t="str">
        <f t="shared" si="11"/>
        <v/>
      </c>
      <c r="BS99" s="32" t="str">
        <f t="shared" si="12"/>
        <v/>
      </c>
      <c r="BT99" s="32"/>
      <c r="BU99" s="32"/>
      <c r="BV99" s="32"/>
      <c r="BW99" s="33">
        <f t="shared" si="13"/>
        <v>0</v>
      </c>
      <c r="BX99" s="33">
        <f t="shared" si="14"/>
        <v>0</v>
      </c>
      <c r="BY99" s="34" t="str">
        <f t="shared" si="15"/>
        <v/>
      </c>
      <c r="BZ99" s="33">
        <f t="shared" si="16"/>
        <v>0</v>
      </c>
      <c r="CA99" s="33">
        <f t="shared" si="17"/>
        <v>0</v>
      </c>
      <c r="CB99" s="34" t="str">
        <f t="shared" si="18"/>
        <v/>
      </c>
      <c r="CC99" s="35"/>
      <c r="CD99" s="33"/>
      <c r="CE99" s="34"/>
      <c r="CF99" s="33"/>
      <c r="CG99" s="33"/>
      <c r="CH99" s="34"/>
      <c r="CI99" s="33"/>
      <c r="CJ99" s="33"/>
      <c r="CK99" s="34"/>
    </row>
    <row r="100" ht="12.75" customHeight="1">
      <c r="A100" s="18">
        <v>99.0</v>
      </c>
      <c r="B100" s="18" t="s">
        <v>153</v>
      </c>
      <c r="C100" s="19" t="s">
        <v>166</v>
      </c>
      <c r="D100" s="49">
        <v>44616.0</v>
      </c>
      <c r="E100" s="76">
        <v>1.0</v>
      </c>
      <c r="F100" s="22">
        <f>Andrew!D100</f>
        <v>0.6</v>
      </c>
      <c r="G100" s="26">
        <f>Bruce!D100</f>
        <v>0.4</v>
      </c>
      <c r="H100" s="73">
        <f>Christine!D100</f>
        <v>0.95</v>
      </c>
      <c r="I100" s="26">
        <f>Eileen!D100</f>
        <v>0.8</v>
      </c>
      <c r="J100" s="22">
        <f>Iain!D100</f>
        <v>0.8</v>
      </c>
      <c r="K100" s="26">
        <f>Gael!D100</f>
        <v>0.7</v>
      </c>
      <c r="L100" s="22">
        <f>Jac!D100</f>
        <v>0.8</v>
      </c>
      <c r="M100" s="72">
        <f>James!D100</f>
        <v>0.95</v>
      </c>
      <c r="N100" s="22">
        <f>Kate!D100</f>
        <v>0.7</v>
      </c>
      <c r="O100" s="26">
        <f>Lachy!D100</f>
        <v>0.65</v>
      </c>
      <c r="P100" s="22">
        <f>Pete!D100</f>
        <v>0.1</v>
      </c>
      <c r="Q100" s="26">
        <f>Rohan!D100</f>
        <v>0.6</v>
      </c>
      <c r="R100" s="22">
        <f t="shared" si="27"/>
        <v>0.2630344058</v>
      </c>
      <c r="S100" s="22">
        <f t="shared" ref="S100:AC100" si="338">IF($E100=1,(LOG(G100,2)+1),IF($E100=0,(LOG(1-G100,2)+1),""))</f>
        <v>-0.3219280949</v>
      </c>
      <c r="T100" s="22">
        <f t="shared" si="338"/>
        <v>0.9259994186</v>
      </c>
      <c r="U100" s="22">
        <f t="shared" si="338"/>
        <v>0.6780719051</v>
      </c>
      <c r="V100" s="22">
        <f t="shared" si="338"/>
        <v>0.6780719051</v>
      </c>
      <c r="W100" s="22">
        <f t="shared" si="338"/>
        <v>0.4854268272</v>
      </c>
      <c r="X100" s="22">
        <f t="shared" si="338"/>
        <v>0.6780719051</v>
      </c>
      <c r="Y100" s="22">
        <f t="shared" si="338"/>
        <v>0.9259994186</v>
      </c>
      <c r="Z100" s="22">
        <f t="shared" si="338"/>
        <v>0.4854268272</v>
      </c>
      <c r="AA100" s="22">
        <f t="shared" si="338"/>
        <v>0.3785116233</v>
      </c>
      <c r="AB100" s="22">
        <f t="shared" si="338"/>
        <v>-2.321928095</v>
      </c>
      <c r="AC100" s="22">
        <f t="shared" si="338"/>
        <v>0.2630344058</v>
      </c>
      <c r="AD100" s="41"/>
      <c r="AE100" s="31">
        <f t="shared" si="6"/>
        <v>22.75853717</v>
      </c>
      <c r="AF100" s="31">
        <f t="shared" si="7"/>
        <v>0.6708333333</v>
      </c>
      <c r="AG100" s="31">
        <f t="shared" si="8"/>
        <v>0.05611742424</v>
      </c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2" t="str">
        <f t="shared" ref="AT100:BE100" si="339">IF(F100=MIN($F100:$Q100),"Yes","")</f>
        <v/>
      </c>
      <c r="AU100" s="32" t="str">
        <f t="shared" si="339"/>
        <v/>
      </c>
      <c r="AV100" s="32" t="str">
        <f t="shared" si="339"/>
        <v/>
      </c>
      <c r="AW100" s="32" t="str">
        <f t="shared" si="339"/>
        <v/>
      </c>
      <c r="AX100" s="32" t="str">
        <f t="shared" si="339"/>
        <v/>
      </c>
      <c r="AY100" s="32" t="str">
        <f t="shared" si="339"/>
        <v/>
      </c>
      <c r="AZ100" s="32" t="str">
        <f t="shared" si="339"/>
        <v/>
      </c>
      <c r="BA100" s="32" t="str">
        <f t="shared" si="339"/>
        <v/>
      </c>
      <c r="BB100" s="32" t="str">
        <f t="shared" si="339"/>
        <v/>
      </c>
      <c r="BC100" s="32" t="str">
        <f t="shared" si="339"/>
        <v/>
      </c>
      <c r="BD100" s="32" t="str">
        <f t="shared" si="339"/>
        <v>Yes</v>
      </c>
      <c r="BE100" s="32" t="str">
        <f t="shared" si="339"/>
        <v/>
      </c>
      <c r="BF100" s="32" t="str">
        <f t="shared" ref="BF100:BQ100" si="340">IF(F100=MAX($F100:$Q100),"Yes","")</f>
        <v/>
      </c>
      <c r="BG100" s="32" t="str">
        <f t="shared" si="340"/>
        <v/>
      </c>
      <c r="BH100" s="32" t="str">
        <f t="shared" si="340"/>
        <v>Yes</v>
      </c>
      <c r="BI100" s="32" t="str">
        <f t="shared" si="340"/>
        <v/>
      </c>
      <c r="BJ100" s="32" t="str">
        <f t="shared" si="340"/>
        <v/>
      </c>
      <c r="BK100" s="32" t="str">
        <f t="shared" si="340"/>
        <v/>
      </c>
      <c r="BL100" s="32" t="str">
        <f t="shared" si="340"/>
        <v/>
      </c>
      <c r="BM100" s="32" t="str">
        <f t="shared" si="340"/>
        <v>Yes</v>
      </c>
      <c r="BN100" s="32" t="str">
        <f t="shared" si="340"/>
        <v/>
      </c>
      <c r="BO100" s="32" t="str">
        <f t="shared" si="340"/>
        <v/>
      </c>
      <c r="BP100" s="32" t="str">
        <f t="shared" si="340"/>
        <v/>
      </c>
      <c r="BQ100" s="32" t="str">
        <f t="shared" si="340"/>
        <v/>
      </c>
      <c r="BR100" s="32" t="str">
        <f t="shared" si="11"/>
        <v/>
      </c>
      <c r="BS100" s="32" t="str">
        <f t="shared" si="12"/>
        <v/>
      </c>
      <c r="BT100" s="32"/>
      <c r="BU100" s="32"/>
      <c r="BV100" s="32"/>
      <c r="BW100" s="33">
        <f t="shared" si="13"/>
        <v>0</v>
      </c>
      <c r="BX100" s="33">
        <f t="shared" si="14"/>
        <v>0</v>
      </c>
      <c r="BY100" s="34" t="str">
        <f t="shared" si="15"/>
        <v/>
      </c>
      <c r="BZ100" s="33">
        <f t="shared" si="16"/>
        <v>0</v>
      </c>
      <c r="CA100" s="33">
        <f t="shared" si="17"/>
        <v>0</v>
      </c>
      <c r="CB100" s="34" t="str">
        <f t="shared" si="18"/>
        <v/>
      </c>
      <c r="CC100" s="35" t="s">
        <v>63</v>
      </c>
      <c r="CD100" s="33"/>
      <c r="CE100" s="34"/>
      <c r="CF100" s="33"/>
      <c r="CG100" s="33"/>
      <c r="CH100" s="34"/>
      <c r="CI100" s="33"/>
      <c r="CJ100" s="33"/>
      <c r="CK100" s="34"/>
    </row>
    <row r="101" ht="12.75" customHeight="1">
      <c r="A101" s="36">
        <v>100.0</v>
      </c>
      <c r="B101" s="36" t="s">
        <v>153</v>
      </c>
      <c r="C101" s="37" t="s">
        <v>167</v>
      </c>
      <c r="D101" s="38"/>
      <c r="E101" s="39">
        <v>0.0</v>
      </c>
      <c r="F101" s="31">
        <f>Andrew!D101</f>
        <v>0.3</v>
      </c>
      <c r="G101" s="31">
        <f>Bruce!D101</f>
        <v>0.1</v>
      </c>
      <c r="H101" s="31">
        <f>Christine!D101</f>
        <v>0.1</v>
      </c>
      <c r="I101" s="31">
        <f>Eileen!D101</f>
        <v>0.1</v>
      </c>
      <c r="J101" s="31">
        <f>Iain!D101</f>
        <v>0.5</v>
      </c>
      <c r="K101" s="31">
        <f>Gael!D101</f>
        <v>0.6</v>
      </c>
      <c r="L101" s="31">
        <f>Jac!D101</f>
        <v>0.1</v>
      </c>
      <c r="M101" s="31">
        <f>James!D101</f>
        <v>0.1</v>
      </c>
      <c r="N101" s="31">
        <f>Kate!D101</f>
        <v>0.2</v>
      </c>
      <c r="O101" s="40">
        <f>Lachy!D101</f>
        <v>0.001</v>
      </c>
      <c r="P101" s="31">
        <f>Pete!D101</f>
        <v>0.1</v>
      </c>
      <c r="Q101" s="31">
        <f>Rohan!D101</f>
        <v>0.2</v>
      </c>
      <c r="R101" s="31">
        <f t="shared" si="27"/>
        <v>0.4854268272</v>
      </c>
      <c r="S101" s="31">
        <f t="shared" ref="S101:AC101" si="341">IF($E101=1,(LOG(G101,2)+1),IF($E101=0,(LOG(1-G101,2)+1),""))</f>
        <v>0.8479969066</v>
      </c>
      <c r="T101" s="31">
        <f t="shared" si="341"/>
        <v>0.8479969066</v>
      </c>
      <c r="U101" s="31">
        <f t="shared" si="341"/>
        <v>0.8479969066</v>
      </c>
      <c r="V101" s="31">
        <f t="shared" si="341"/>
        <v>0</v>
      </c>
      <c r="W101" s="31">
        <f t="shared" si="341"/>
        <v>-0.3219280949</v>
      </c>
      <c r="X101" s="31">
        <f t="shared" si="341"/>
        <v>0.8479969066</v>
      </c>
      <c r="Y101" s="31">
        <f t="shared" si="341"/>
        <v>0.8479969066</v>
      </c>
      <c r="Z101" s="31">
        <f t="shared" si="341"/>
        <v>0.6780719051</v>
      </c>
      <c r="AA101" s="31">
        <f t="shared" si="341"/>
        <v>0.9985565831</v>
      </c>
      <c r="AB101" s="31">
        <f t="shared" si="341"/>
        <v>0.8479969066</v>
      </c>
      <c r="AC101" s="31">
        <f t="shared" si="341"/>
        <v>0.6780719051</v>
      </c>
      <c r="AD101" s="41"/>
      <c r="AE101" s="31">
        <f t="shared" si="6"/>
        <v>32.34646096</v>
      </c>
      <c r="AF101" s="31">
        <f t="shared" si="7"/>
        <v>0.2000833333</v>
      </c>
      <c r="AG101" s="31">
        <f t="shared" si="8"/>
        <v>0.03269099242</v>
      </c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2" t="str">
        <f t="shared" ref="AT101:BE101" si="342">IF(F101=MIN($F101:$Q101),"Yes","")</f>
        <v/>
      </c>
      <c r="AU101" s="32" t="str">
        <f t="shared" si="342"/>
        <v/>
      </c>
      <c r="AV101" s="32" t="str">
        <f t="shared" si="342"/>
        <v/>
      </c>
      <c r="AW101" s="32" t="str">
        <f t="shared" si="342"/>
        <v/>
      </c>
      <c r="AX101" s="32" t="str">
        <f t="shared" si="342"/>
        <v/>
      </c>
      <c r="AY101" s="32" t="str">
        <f t="shared" si="342"/>
        <v/>
      </c>
      <c r="AZ101" s="32" t="str">
        <f t="shared" si="342"/>
        <v/>
      </c>
      <c r="BA101" s="32" t="str">
        <f t="shared" si="342"/>
        <v/>
      </c>
      <c r="BB101" s="32" t="str">
        <f t="shared" si="342"/>
        <v/>
      </c>
      <c r="BC101" s="32" t="str">
        <f t="shared" si="342"/>
        <v>Yes</v>
      </c>
      <c r="BD101" s="32" t="str">
        <f t="shared" si="342"/>
        <v/>
      </c>
      <c r="BE101" s="32" t="str">
        <f t="shared" si="342"/>
        <v/>
      </c>
      <c r="BF101" s="32" t="str">
        <f t="shared" ref="BF101:BQ101" si="343">IF(F101=MAX($F101:$Q101),"Yes","")</f>
        <v/>
      </c>
      <c r="BG101" s="32" t="str">
        <f t="shared" si="343"/>
        <v/>
      </c>
      <c r="BH101" s="32" t="str">
        <f t="shared" si="343"/>
        <v/>
      </c>
      <c r="BI101" s="32" t="str">
        <f t="shared" si="343"/>
        <v/>
      </c>
      <c r="BJ101" s="32" t="str">
        <f t="shared" si="343"/>
        <v/>
      </c>
      <c r="BK101" s="32" t="str">
        <f t="shared" si="343"/>
        <v>Yes</v>
      </c>
      <c r="BL101" s="32" t="str">
        <f t="shared" si="343"/>
        <v/>
      </c>
      <c r="BM101" s="32" t="str">
        <f t="shared" si="343"/>
        <v/>
      </c>
      <c r="BN101" s="32" t="str">
        <f t="shared" si="343"/>
        <v/>
      </c>
      <c r="BO101" s="32" t="str">
        <f t="shared" si="343"/>
        <v/>
      </c>
      <c r="BP101" s="32" t="str">
        <f t="shared" si="343"/>
        <v/>
      </c>
      <c r="BQ101" s="32" t="str">
        <f t="shared" si="343"/>
        <v/>
      </c>
      <c r="BR101" s="32" t="str">
        <f t="shared" si="11"/>
        <v/>
      </c>
      <c r="BS101" s="32" t="str">
        <f t="shared" si="12"/>
        <v/>
      </c>
      <c r="BT101" s="32"/>
      <c r="BU101" s="32"/>
      <c r="BV101" s="32"/>
      <c r="BW101" s="33">
        <f t="shared" si="13"/>
        <v>0</v>
      </c>
      <c r="BX101" s="33">
        <f t="shared" si="14"/>
        <v>0</v>
      </c>
      <c r="BY101" s="34" t="str">
        <f t="shared" si="15"/>
        <v/>
      </c>
      <c r="BZ101" s="33">
        <f t="shared" si="16"/>
        <v>0</v>
      </c>
      <c r="CA101" s="33">
        <f t="shared" si="17"/>
        <v>0</v>
      </c>
      <c r="CB101" s="34" t="str">
        <f t="shared" si="18"/>
        <v/>
      </c>
      <c r="CC101" s="35" t="s">
        <v>63</v>
      </c>
      <c r="CD101" s="33"/>
      <c r="CE101" s="34"/>
      <c r="CF101" s="33"/>
      <c r="CG101" s="33"/>
      <c r="CH101" s="34"/>
      <c r="CI101" s="33"/>
      <c r="CJ101" s="33"/>
      <c r="CK101" s="34"/>
    </row>
    <row r="102" ht="12.75" customHeight="1">
      <c r="A102" s="18">
        <v>101.0</v>
      </c>
      <c r="B102" s="18" t="s">
        <v>153</v>
      </c>
      <c r="C102" s="19" t="s">
        <v>168</v>
      </c>
      <c r="D102" s="49"/>
      <c r="E102" s="21">
        <v>0.0</v>
      </c>
      <c r="F102" s="22">
        <f>Andrew!D102</f>
        <v>0.15</v>
      </c>
      <c r="G102" s="26">
        <f>Bruce!D102</f>
        <v>0.4</v>
      </c>
      <c r="H102" s="22">
        <f>Christine!D102</f>
        <v>0.05</v>
      </c>
      <c r="I102" s="26">
        <f>Eileen!D102</f>
        <v>0.1</v>
      </c>
      <c r="J102" s="22">
        <f>Iain!D102</f>
        <v>0.3</v>
      </c>
      <c r="K102" s="26">
        <f>Gael!D102</f>
        <v>0.35</v>
      </c>
      <c r="L102" s="22">
        <f>Jac!D102</f>
        <v>0.5</v>
      </c>
      <c r="M102" s="26">
        <f>James!D102</f>
        <v>0.05</v>
      </c>
      <c r="N102" s="22">
        <f>Kate!D102</f>
        <v>0.1</v>
      </c>
      <c r="O102" s="74">
        <f>Lachy!D102</f>
        <v>0.001</v>
      </c>
      <c r="P102" s="22">
        <f>Pete!D102</f>
        <v>0.1</v>
      </c>
      <c r="Q102" s="26">
        <f>Rohan!D102</f>
        <v>0.45</v>
      </c>
      <c r="R102" s="22">
        <f t="shared" si="27"/>
        <v>0.7655347464</v>
      </c>
      <c r="S102" s="22">
        <f t="shared" ref="S102:AC102" si="344">IF($E102=1,(LOG(G102,2)+1),IF($E102=0,(LOG(1-G102,2)+1),""))</f>
        <v>0.2630344058</v>
      </c>
      <c r="T102" s="22">
        <f t="shared" si="344"/>
        <v>0.9259994186</v>
      </c>
      <c r="U102" s="22">
        <f t="shared" si="344"/>
        <v>0.8479969066</v>
      </c>
      <c r="V102" s="22">
        <f t="shared" si="344"/>
        <v>0.4854268272</v>
      </c>
      <c r="W102" s="22">
        <f t="shared" si="344"/>
        <v>0.3785116233</v>
      </c>
      <c r="X102" s="22">
        <f t="shared" si="344"/>
        <v>0</v>
      </c>
      <c r="Y102" s="22">
        <f t="shared" si="344"/>
        <v>0.9259994186</v>
      </c>
      <c r="Z102" s="22">
        <f t="shared" si="344"/>
        <v>0.8479969066</v>
      </c>
      <c r="AA102" s="22">
        <f t="shared" si="344"/>
        <v>0.9985565831</v>
      </c>
      <c r="AB102" s="22">
        <f t="shared" si="344"/>
        <v>0.8479969066</v>
      </c>
      <c r="AC102" s="22">
        <f t="shared" si="344"/>
        <v>0.1375035237</v>
      </c>
      <c r="AD102" s="41"/>
      <c r="AE102" s="31">
        <f t="shared" si="6"/>
        <v>28.45741689</v>
      </c>
      <c r="AF102" s="31">
        <f t="shared" si="7"/>
        <v>0.2125833333</v>
      </c>
      <c r="AG102" s="31">
        <f t="shared" si="8"/>
        <v>0.03092735606</v>
      </c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2" t="str">
        <f t="shared" ref="AT102:BE102" si="345">IF(F102=MIN($F102:$Q102),"Yes","")</f>
        <v/>
      </c>
      <c r="AU102" s="32" t="str">
        <f t="shared" si="345"/>
        <v/>
      </c>
      <c r="AV102" s="32" t="str">
        <f t="shared" si="345"/>
        <v/>
      </c>
      <c r="AW102" s="32" t="str">
        <f t="shared" si="345"/>
        <v/>
      </c>
      <c r="AX102" s="32" t="str">
        <f t="shared" si="345"/>
        <v/>
      </c>
      <c r="AY102" s="32" t="str">
        <f t="shared" si="345"/>
        <v/>
      </c>
      <c r="AZ102" s="32" t="str">
        <f t="shared" si="345"/>
        <v/>
      </c>
      <c r="BA102" s="32" t="str">
        <f t="shared" si="345"/>
        <v/>
      </c>
      <c r="BB102" s="32" t="str">
        <f t="shared" si="345"/>
        <v/>
      </c>
      <c r="BC102" s="32" t="str">
        <f t="shared" si="345"/>
        <v>Yes</v>
      </c>
      <c r="BD102" s="32" t="str">
        <f t="shared" si="345"/>
        <v/>
      </c>
      <c r="BE102" s="32" t="str">
        <f t="shared" si="345"/>
        <v/>
      </c>
      <c r="BF102" s="32" t="str">
        <f t="shared" ref="BF102:BQ102" si="346">IF(F102=MAX($F102:$Q102),"Yes","")</f>
        <v/>
      </c>
      <c r="BG102" s="32" t="str">
        <f t="shared" si="346"/>
        <v/>
      </c>
      <c r="BH102" s="32" t="str">
        <f t="shared" si="346"/>
        <v/>
      </c>
      <c r="BI102" s="32" t="str">
        <f t="shared" si="346"/>
        <v/>
      </c>
      <c r="BJ102" s="32" t="str">
        <f t="shared" si="346"/>
        <v/>
      </c>
      <c r="BK102" s="32" t="str">
        <f t="shared" si="346"/>
        <v/>
      </c>
      <c r="BL102" s="32" t="str">
        <f t="shared" si="346"/>
        <v>Yes</v>
      </c>
      <c r="BM102" s="32" t="str">
        <f t="shared" si="346"/>
        <v/>
      </c>
      <c r="BN102" s="32" t="str">
        <f t="shared" si="346"/>
        <v/>
      </c>
      <c r="BO102" s="32" t="str">
        <f t="shared" si="346"/>
        <v/>
      </c>
      <c r="BP102" s="32" t="str">
        <f t="shared" si="346"/>
        <v/>
      </c>
      <c r="BQ102" s="32" t="str">
        <f t="shared" si="346"/>
        <v/>
      </c>
      <c r="BR102" s="32" t="str">
        <f t="shared" si="11"/>
        <v/>
      </c>
      <c r="BS102" s="32" t="str">
        <f t="shared" si="12"/>
        <v/>
      </c>
      <c r="BT102" s="32"/>
      <c r="BU102" s="32"/>
      <c r="BV102" s="32"/>
      <c r="BW102" s="33">
        <f t="shared" si="13"/>
        <v>0</v>
      </c>
      <c r="BX102" s="33">
        <f t="shared" si="14"/>
        <v>0</v>
      </c>
      <c r="BY102" s="34" t="str">
        <f t="shared" si="15"/>
        <v/>
      </c>
      <c r="BZ102" s="33">
        <f t="shared" si="16"/>
        <v>0</v>
      </c>
      <c r="CA102" s="33">
        <f t="shared" si="17"/>
        <v>0</v>
      </c>
      <c r="CB102" s="34" t="str">
        <f t="shared" si="18"/>
        <v/>
      </c>
      <c r="CC102" s="35"/>
      <c r="CD102" s="33"/>
      <c r="CE102" s="34"/>
      <c r="CF102" s="33"/>
      <c r="CG102" s="33"/>
      <c r="CH102" s="34"/>
      <c r="CI102" s="33"/>
      <c r="CJ102" s="33"/>
      <c r="CK102" s="34"/>
    </row>
    <row r="103" ht="12.75" customHeight="1">
      <c r="A103" s="80">
        <v>102.0</v>
      </c>
      <c r="B103" s="80" t="s">
        <v>153</v>
      </c>
      <c r="C103" s="81" t="s">
        <v>169</v>
      </c>
      <c r="D103" s="82">
        <v>44866.0</v>
      </c>
      <c r="E103" s="83">
        <v>0.0</v>
      </c>
      <c r="F103" s="84">
        <f>Andrew!D103</f>
        <v>0.4</v>
      </c>
      <c r="G103" s="84">
        <f>Bruce!D103</f>
        <v>0.3</v>
      </c>
      <c r="H103" s="84">
        <f>Christine!D103</f>
        <v>0.4</v>
      </c>
      <c r="I103" s="84">
        <f>Eileen!D103</f>
        <v>0.4</v>
      </c>
      <c r="J103" s="84">
        <f>Iain!D103</f>
        <v>0.8</v>
      </c>
      <c r="K103" s="84">
        <f>Gael!D103</f>
        <v>0.75</v>
      </c>
      <c r="L103" s="84">
        <f>Jac!D103</f>
        <v>0.3</v>
      </c>
      <c r="M103" s="84">
        <f>James!D103</f>
        <v>0.4</v>
      </c>
      <c r="N103" s="84">
        <f>Kate!D103</f>
        <v>0.2</v>
      </c>
      <c r="O103" s="84">
        <f>Lachy!D103</f>
        <v>0.65</v>
      </c>
      <c r="P103" s="84">
        <f>Pete!D103</f>
        <v>0.1</v>
      </c>
      <c r="Q103" s="84">
        <f>Rohan!D103</f>
        <v>0.6</v>
      </c>
      <c r="R103" s="84">
        <f t="shared" si="27"/>
        <v>0.2630344058</v>
      </c>
      <c r="S103" s="84">
        <f t="shared" ref="S103:AC103" si="347">IF($E103=1,(LOG(G103,2)+1),IF($E103=0,(LOG(1-G103,2)+1),""))</f>
        <v>0.4854268272</v>
      </c>
      <c r="T103" s="84">
        <f t="shared" si="347"/>
        <v>0.2630344058</v>
      </c>
      <c r="U103" s="84">
        <f t="shared" si="347"/>
        <v>0.2630344058</v>
      </c>
      <c r="V103" s="84">
        <f t="shared" si="347"/>
        <v>-1.321928095</v>
      </c>
      <c r="W103" s="84">
        <f t="shared" si="347"/>
        <v>-1</v>
      </c>
      <c r="X103" s="84">
        <f t="shared" si="347"/>
        <v>0.4854268272</v>
      </c>
      <c r="Y103" s="84">
        <f t="shared" si="347"/>
        <v>0.2630344058</v>
      </c>
      <c r="Z103" s="84">
        <f t="shared" si="347"/>
        <v>0.6780719051</v>
      </c>
      <c r="AA103" s="84">
        <f t="shared" si="347"/>
        <v>-0.5145731728</v>
      </c>
      <c r="AB103" s="84">
        <f t="shared" si="347"/>
        <v>0.8479969066</v>
      </c>
      <c r="AC103" s="84">
        <f t="shared" si="347"/>
        <v>-0.3219280949</v>
      </c>
      <c r="AD103" s="85"/>
      <c r="AE103" s="84">
        <f t="shared" si="6"/>
        <v>13.84764464</v>
      </c>
      <c r="AF103" s="84">
        <f t="shared" si="7"/>
        <v>0.4416666667</v>
      </c>
      <c r="AG103" s="84">
        <f t="shared" si="8"/>
        <v>0.04674242424</v>
      </c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6" t="str">
        <f t="shared" ref="AT103:BE103" si="348">IF(F103=MIN($F103:$Q103),"Yes","")</f>
        <v/>
      </c>
      <c r="AU103" s="86" t="str">
        <f t="shared" si="348"/>
        <v/>
      </c>
      <c r="AV103" s="86" t="str">
        <f t="shared" si="348"/>
        <v/>
      </c>
      <c r="AW103" s="86" t="str">
        <f t="shared" si="348"/>
        <v/>
      </c>
      <c r="AX103" s="86" t="str">
        <f t="shared" si="348"/>
        <v/>
      </c>
      <c r="AY103" s="86" t="str">
        <f t="shared" si="348"/>
        <v/>
      </c>
      <c r="AZ103" s="86" t="str">
        <f t="shared" si="348"/>
        <v/>
      </c>
      <c r="BA103" s="86" t="str">
        <f t="shared" si="348"/>
        <v/>
      </c>
      <c r="BB103" s="86" t="str">
        <f t="shared" si="348"/>
        <v/>
      </c>
      <c r="BC103" s="86" t="str">
        <f t="shared" si="348"/>
        <v/>
      </c>
      <c r="BD103" s="86" t="str">
        <f t="shared" si="348"/>
        <v>Yes</v>
      </c>
      <c r="BE103" s="86" t="str">
        <f t="shared" si="348"/>
        <v/>
      </c>
      <c r="BF103" s="86" t="str">
        <f t="shared" ref="BF103:BQ103" si="349">IF(F103=MAX($F103:$Q103),"Yes","")</f>
        <v/>
      </c>
      <c r="BG103" s="86" t="str">
        <f t="shared" si="349"/>
        <v/>
      </c>
      <c r="BH103" s="86" t="str">
        <f t="shared" si="349"/>
        <v/>
      </c>
      <c r="BI103" s="86" t="str">
        <f t="shared" si="349"/>
        <v/>
      </c>
      <c r="BJ103" s="86" t="str">
        <f t="shared" si="349"/>
        <v>Yes</v>
      </c>
      <c r="BK103" s="86" t="str">
        <f t="shared" si="349"/>
        <v/>
      </c>
      <c r="BL103" s="86" t="str">
        <f t="shared" si="349"/>
        <v/>
      </c>
      <c r="BM103" s="86" t="str">
        <f t="shared" si="349"/>
        <v/>
      </c>
      <c r="BN103" s="86" t="str">
        <f t="shared" si="349"/>
        <v/>
      </c>
      <c r="BO103" s="86" t="str">
        <f t="shared" si="349"/>
        <v/>
      </c>
      <c r="BP103" s="86" t="str">
        <f t="shared" si="349"/>
        <v/>
      </c>
      <c r="BQ103" s="86" t="str">
        <f t="shared" si="349"/>
        <v/>
      </c>
      <c r="BR103" s="86" t="str">
        <f t="shared" si="11"/>
        <v/>
      </c>
      <c r="BS103" s="86" t="str">
        <f t="shared" si="12"/>
        <v/>
      </c>
      <c r="BT103" s="86"/>
      <c r="BU103" s="86"/>
      <c r="BV103" s="86"/>
      <c r="BW103" s="33">
        <f t="shared" si="13"/>
        <v>0</v>
      </c>
      <c r="BX103" s="33">
        <f t="shared" si="14"/>
        <v>0</v>
      </c>
      <c r="BY103" s="34" t="str">
        <f t="shared" si="15"/>
        <v/>
      </c>
      <c r="BZ103" s="33">
        <f t="shared" si="16"/>
        <v>0</v>
      </c>
      <c r="CA103" s="33">
        <f t="shared" si="17"/>
        <v>0</v>
      </c>
      <c r="CB103" s="34" t="str">
        <f t="shared" si="18"/>
        <v/>
      </c>
      <c r="CC103" s="35" t="s">
        <v>63</v>
      </c>
      <c r="CD103" s="33"/>
      <c r="CE103" s="34"/>
      <c r="CF103" s="33"/>
      <c r="CG103" s="33"/>
      <c r="CH103" s="34"/>
      <c r="CI103" s="33"/>
      <c r="CJ103" s="33"/>
      <c r="CK103" s="34"/>
    </row>
    <row r="104" ht="12.75" customHeight="1">
      <c r="B104" s="36"/>
      <c r="C104" s="37"/>
      <c r="D104" s="38"/>
      <c r="E104" s="87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15" t="s">
        <v>170</v>
      </c>
      <c r="R104" s="88">
        <f t="shared" ref="R104:AC104" si="350">IF(SUM(R2:R103)&gt;=0,SUM(R2:R103),"")</f>
        <v>15.59989471</v>
      </c>
      <c r="S104" s="88">
        <f t="shared" si="350"/>
        <v>3.786916373</v>
      </c>
      <c r="T104" s="88" t="str">
        <f t="shared" si="350"/>
        <v/>
      </c>
      <c r="U104" s="88">
        <f t="shared" si="350"/>
        <v>12.9544882</v>
      </c>
      <c r="V104" s="88" t="str">
        <f t="shared" si="350"/>
        <v/>
      </c>
      <c r="W104" s="88" t="str">
        <f t="shared" si="350"/>
        <v/>
      </c>
      <c r="X104" s="88">
        <f t="shared" si="350"/>
        <v>4.790759425</v>
      </c>
      <c r="Y104" s="88" t="str">
        <f t="shared" si="350"/>
        <v/>
      </c>
      <c r="Z104" s="88" t="str">
        <f t="shared" si="350"/>
        <v/>
      </c>
      <c r="AA104" s="88">
        <f t="shared" si="350"/>
        <v>0.4639873274</v>
      </c>
      <c r="AB104" s="88" t="str">
        <f t="shared" si="350"/>
        <v/>
      </c>
      <c r="AC104" s="88" t="str">
        <f t="shared" si="350"/>
        <v/>
      </c>
      <c r="AD104" s="88"/>
      <c r="AE104" s="88"/>
      <c r="AF104" s="31" t="str">
        <f t="shared" si="7"/>
        <v>#DIV/0!</v>
      </c>
      <c r="AG104" s="31" t="str">
        <f t="shared" si="8"/>
        <v>#DIV/0!</v>
      </c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2">
        <f t="shared" ref="AT104:BE104" si="351">-COUNTIF(AT2:AT103,"Yes")</f>
        <v>-2</v>
      </c>
      <c r="AU104" s="32">
        <f t="shared" si="351"/>
        <v>-6</v>
      </c>
      <c r="AV104" s="32">
        <f t="shared" si="351"/>
        <v>-17</v>
      </c>
      <c r="AW104" s="32">
        <f t="shared" si="351"/>
        <v>-13</v>
      </c>
      <c r="AX104" s="32">
        <f t="shared" si="351"/>
        <v>-6</v>
      </c>
      <c r="AY104" s="32">
        <f t="shared" si="351"/>
        <v>-5</v>
      </c>
      <c r="AZ104" s="32">
        <f t="shared" si="351"/>
        <v>-21</v>
      </c>
      <c r="BA104" s="32">
        <f t="shared" si="351"/>
        <v>-21</v>
      </c>
      <c r="BB104" s="32">
        <f t="shared" si="351"/>
        <v>-19</v>
      </c>
      <c r="BC104" s="32">
        <f t="shared" si="351"/>
        <v>-21</v>
      </c>
      <c r="BD104" s="32">
        <f t="shared" si="351"/>
        <v>-24</v>
      </c>
      <c r="BE104" s="32">
        <f t="shared" si="351"/>
        <v>-6</v>
      </c>
      <c r="BF104" s="32">
        <f t="shared" ref="BF104:BS104" si="352">COUNTIF(BF2:BF103,"Yes")</f>
        <v>2</v>
      </c>
      <c r="BG104" s="32">
        <f t="shared" si="352"/>
        <v>12</v>
      </c>
      <c r="BH104" s="32">
        <f t="shared" si="352"/>
        <v>14</v>
      </c>
      <c r="BI104" s="32">
        <f t="shared" si="352"/>
        <v>7</v>
      </c>
      <c r="BJ104" s="32">
        <f t="shared" si="352"/>
        <v>25</v>
      </c>
      <c r="BK104" s="32">
        <f t="shared" si="352"/>
        <v>21</v>
      </c>
      <c r="BL104" s="32">
        <f t="shared" si="352"/>
        <v>11</v>
      </c>
      <c r="BM104" s="32">
        <f t="shared" si="352"/>
        <v>13</v>
      </c>
      <c r="BN104" s="32">
        <f t="shared" si="352"/>
        <v>29</v>
      </c>
      <c r="BO104" s="32">
        <f t="shared" si="352"/>
        <v>9</v>
      </c>
      <c r="BP104" s="32">
        <f t="shared" si="352"/>
        <v>10</v>
      </c>
      <c r="BQ104" s="32">
        <f t="shared" si="352"/>
        <v>6</v>
      </c>
      <c r="BR104" s="32">
        <f t="shared" si="352"/>
        <v>3</v>
      </c>
      <c r="BS104" s="32">
        <f t="shared" si="352"/>
        <v>22</v>
      </c>
      <c r="BT104" s="32"/>
      <c r="BU104" s="32"/>
      <c r="BV104" s="32"/>
      <c r="BY104" s="16"/>
      <c r="CB104" s="16"/>
      <c r="CC104" s="32"/>
      <c r="CE104" s="16"/>
      <c r="CH104" s="16"/>
    </row>
    <row r="105" ht="12.75" customHeight="1">
      <c r="B105" s="36"/>
      <c r="C105" s="37"/>
      <c r="D105" s="38"/>
      <c r="E105" s="89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15" t="s">
        <v>171</v>
      </c>
      <c r="R105" s="88" t="str">
        <f t="shared" ref="R105:AC105" si="353">IF(SUM(R2:R103)&lt;0,SUM(R2:R103),"")</f>
        <v/>
      </c>
      <c r="S105" s="88" t="str">
        <f t="shared" si="353"/>
        <v/>
      </c>
      <c r="T105" s="88">
        <f t="shared" si="353"/>
        <v>-4.458215917</v>
      </c>
      <c r="U105" s="88" t="str">
        <f t="shared" si="353"/>
        <v/>
      </c>
      <c r="V105" s="88">
        <f t="shared" si="353"/>
        <v>-33.90753163</v>
      </c>
      <c r="W105" s="88">
        <f t="shared" si="353"/>
        <v>-42.69432399</v>
      </c>
      <c r="X105" s="88" t="str">
        <f t="shared" si="353"/>
        <v/>
      </c>
      <c r="Y105" s="88">
        <f t="shared" si="353"/>
        <v>-3.935428562</v>
      </c>
      <c r="Z105" s="88">
        <f t="shared" si="353"/>
        <v>-28.25437118</v>
      </c>
      <c r="AA105" s="88" t="str">
        <f t="shared" si="353"/>
        <v/>
      </c>
      <c r="AB105" s="88">
        <f t="shared" si="353"/>
        <v>-2.349787737</v>
      </c>
      <c r="AC105" s="88">
        <f t="shared" si="353"/>
        <v>-1.950272351</v>
      </c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BY105" s="16"/>
      <c r="CB105" s="16"/>
      <c r="CC105" s="32"/>
      <c r="CE105" s="16"/>
      <c r="CH105" s="16"/>
    </row>
    <row r="106" ht="12.75" customHeight="1">
      <c r="C106" s="37"/>
      <c r="D106" s="38"/>
      <c r="E106" s="89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13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1" t="s">
        <v>55</v>
      </c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15">
        <f t="shared" ref="AT106:BE106" si="354">-COUNTIF(AT2:AT15,"Yes")</f>
        <v>0</v>
      </c>
      <c r="AU106" s="15">
        <f t="shared" si="354"/>
        <v>-1</v>
      </c>
      <c r="AV106" s="15">
        <f t="shared" si="354"/>
        <v>-5</v>
      </c>
      <c r="AW106" s="15">
        <f t="shared" si="354"/>
        <v>0</v>
      </c>
      <c r="AX106" s="15">
        <f t="shared" si="354"/>
        <v>-1</v>
      </c>
      <c r="AY106" s="15">
        <f t="shared" si="354"/>
        <v>-1</v>
      </c>
      <c r="AZ106" s="15">
        <f t="shared" si="354"/>
        <v>-2</v>
      </c>
      <c r="BA106" s="15">
        <f t="shared" si="354"/>
        <v>-7</v>
      </c>
      <c r="BB106" s="15">
        <f t="shared" si="354"/>
        <v>-2</v>
      </c>
      <c r="BC106" s="15">
        <f t="shared" si="354"/>
        <v>-2</v>
      </c>
      <c r="BD106" s="15">
        <f t="shared" si="354"/>
        <v>-1</v>
      </c>
      <c r="BE106" s="15">
        <f t="shared" si="354"/>
        <v>0</v>
      </c>
      <c r="BF106" s="15">
        <f t="shared" ref="BF106:BQ106" si="355">COUNTIF(BF2:BF15,"Yes")</f>
        <v>1</v>
      </c>
      <c r="BG106" s="15">
        <f t="shared" si="355"/>
        <v>2</v>
      </c>
      <c r="BH106" s="15">
        <f t="shared" si="355"/>
        <v>1</v>
      </c>
      <c r="BI106" s="15">
        <f t="shared" si="355"/>
        <v>3</v>
      </c>
      <c r="BJ106" s="15">
        <f t="shared" si="355"/>
        <v>5</v>
      </c>
      <c r="BK106" s="15">
        <f t="shared" si="355"/>
        <v>1</v>
      </c>
      <c r="BL106" s="15">
        <f t="shared" si="355"/>
        <v>3</v>
      </c>
      <c r="BM106" s="15">
        <f t="shared" si="355"/>
        <v>1</v>
      </c>
      <c r="BN106" s="15">
        <f t="shared" si="355"/>
        <v>7</v>
      </c>
      <c r="BO106" s="15">
        <f t="shared" si="355"/>
        <v>0</v>
      </c>
      <c r="BP106" s="15">
        <f t="shared" si="355"/>
        <v>0</v>
      </c>
      <c r="BQ106" s="15">
        <f t="shared" si="355"/>
        <v>1</v>
      </c>
      <c r="BY106" s="16"/>
      <c r="CB106" s="16"/>
      <c r="CC106" s="32"/>
      <c r="CE106" s="16"/>
      <c r="CH106" s="16"/>
    </row>
    <row r="107" ht="12.75" customHeight="1">
      <c r="C107" s="37"/>
      <c r="D107" s="38"/>
      <c r="E107" s="89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1" t="s">
        <v>73</v>
      </c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15">
        <f t="shared" ref="AT107:BE107" si="356">-COUNTIF(AT16:AT33,"Yes")</f>
        <v>0</v>
      </c>
      <c r="AU107" s="15">
        <f t="shared" si="356"/>
        <v>0</v>
      </c>
      <c r="AV107" s="15">
        <f t="shared" si="356"/>
        <v>-2</v>
      </c>
      <c r="AW107" s="15">
        <f t="shared" si="356"/>
        <v>-4</v>
      </c>
      <c r="AX107" s="15">
        <f t="shared" si="356"/>
        <v>-2</v>
      </c>
      <c r="AY107" s="15">
        <f t="shared" si="356"/>
        <v>-1</v>
      </c>
      <c r="AZ107" s="15">
        <f t="shared" si="356"/>
        <v>-5</v>
      </c>
      <c r="BA107" s="15">
        <f t="shared" si="356"/>
        <v>-3</v>
      </c>
      <c r="BB107" s="15">
        <f t="shared" si="356"/>
        <v>-3</v>
      </c>
      <c r="BC107" s="15">
        <f t="shared" si="356"/>
        <v>-2</v>
      </c>
      <c r="BD107" s="15">
        <f t="shared" si="356"/>
        <v>-3</v>
      </c>
      <c r="BE107" s="15">
        <f t="shared" si="356"/>
        <v>-1</v>
      </c>
      <c r="BF107" s="15">
        <f t="shared" ref="BF107:BQ107" si="357">COUNTIF(BF16:BF33,"Yes")</f>
        <v>1</v>
      </c>
      <c r="BG107" s="15">
        <f t="shared" si="357"/>
        <v>2</v>
      </c>
      <c r="BH107" s="15">
        <f t="shared" si="357"/>
        <v>4</v>
      </c>
      <c r="BI107" s="15">
        <f t="shared" si="357"/>
        <v>1</v>
      </c>
      <c r="BJ107" s="15">
        <f t="shared" si="357"/>
        <v>3</v>
      </c>
      <c r="BK107" s="15">
        <f t="shared" si="357"/>
        <v>5</v>
      </c>
      <c r="BL107" s="15">
        <f t="shared" si="357"/>
        <v>0</v>
      </c>
      <c r="BM107" s="15">
        <f t="shared" si="357"/>
        <v>3</v>
      </c>
      <c r="BN107" s="15">
        <f t="shared" si="357"/>
        <v>9</v>
      </c>
      <c r="BO107" s="15">
        <f t="shared" si="357"/>
        <v>0</v>
      </c>
      <c r="BP107" s="15">
        <f t="shared" si="357"/>
        <v>0</v>
      </c>
      <c r="BQ107" s="15">
        <f t="shared" si="357"/>
        <v>2</v>
      </c>
      <c r="BY107" s="16"/>
      <c r="CB107" s="16"/>
      <c r="CC107" s="32"/>
      <c r="CE107" s="16"/>
      <c r="CH107" s="16"/>
    </row>
    <row r="108" ht="12.75" customHeight="1">
      <c r="C108" s="37"/>
      <c r="D108" s="38"/>
      <c r="E108" s="89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13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1" t="s">
        <v>92</v>
      </c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15">
        <f t="shared" ref="AT108:BE108" si="358">-COUNTIF(AT34:AT39,"Yes")</f>
        <v>0</v>
      </c>
      <c r="AU108" s="15">
        <f t="shared" si="358"/>
        <v>0</v>
      </c>
      <c r="AV108" s="15">
        <f t="shared" si="358"/>
        <v>-1</v>
      </c>
      <c r="AW108" s="15">
        <f t="shared" si="358"/>
        <v>-1</v>
      </c>
      <c r="AX108" s="15">
        <f t="shared" si="358"/>
        <v>-1</v>
      </c>
      <c r="AY108" s="15">
        <f t="shared" si="358"/>
        <v>0</v>
      </c>
      <c r="AZ108" s="15">
        <f t="shared" si="358"/>
        <v>-3</v>
      </c>
      <c r="BA108" s="15">
        <f t="shared" si="358"/>
        <v>-1</v>
      </c>
      <c r="BB108" s="15">
        <f t="shared" si="358"/>
        <v>0</v>
      </c>
      <c r="BC108" s="15">
        <f t="shared" si="358"/>
        <v>-1</v>
      </c>
      <c r="BD108" s="15">
        <f t="shared" si="358"/>
        <v>-1</v>
      </c>
      <c r="BE108" s="15">
        <f t="shared" si="358"/>
        <v>-1</v>
      </c>
      <c r="BF108" s="15">
        <f t="shared" ref="BF108:BQ108" si="359">COUNTIF(BF34:BF39,"Yes")</f>
        <v>0</v>
      </c>
      <c r="BG108" s="15">
        <f t="shared" si="359"/>
        <v>0</v>
      </c>
      <c r="BH108" s="15">
        <f t="shared" si="359"/>
        <v>0</v>
      </c>
      <c r="BI108" s="15">
        <f t="shared" si="359"/>
        <v>0</v>
      </c>
      <c r="BJ108" s="15">
        <f t="shared" si="359"/>
        <v>2</v>
      </c>
      <c r="BK108" s="15">
        <f t="shared" si="359"/>
        <v>1</v>
      </c>
      <c r="BL108" s="15">
        <f t="shared" si="359"/>
        <v>1</v>
      </c>
      <c r="BM108" s="15">
        <f t="shared" si="359"/>
        <v>0</v>
      </c>
      <c r="BN108" s="15">
        <f t="shared" si="359"/>
        <v>2</v>
      </c>
      <c r="BO108" s="15">
        <f t="shared" si="359"/>
        <v>1</v>
      </c>
      <c r="BP108" s="15">
        <f t="shared" si="359"/>
        <v>2</v>
      </c>
      <c r="BQ108" s="15">
        <f t="shared" si="359"/>
        <v>2</v>
      </c>
      <c r="BY108" s="16"/>
      <c r="CB108" s="16"/>
      <c r="CC108" s="32"/>
      <c r="CE108" s="16"/>
      <c r="CH108" s="16"/>
    </row>
    <row r="109" ht="12.75" customHeight="1">
      <c r="C109" s="37"/>
      <c r="D109" s="38"/>
      <c r="E109" s="89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1" t="s">
        <v>99</v>
      </c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15">
        <f t="shared" ref="AT109:BE109" si="360">-COUNTIF(AT40:AT44,"Yes")</f>
        <v>0</v>
      </c>
      <c r="AU109" s="15">
        <f t="shared" si="360"/>
        <v>0</v>
      </c>
      <c r="AV109" s="15">
        <f t="shared" si="360"/>
        <v>-1</v>
      </c>
      <c r="AW109" s="15">
        <f t="shared" si="360"/>
        <v>0</v>
      </c>
      <c r="AX109" s="15">
        <f t="shared" si="360"/>
        <v>0</v>
      </c>
      <c r="AY109" s="15">
        <f t="shared" si="360"/>
        <v>-1</v>
      </c>
      <c r="AZ109" s="15">
        <f t="shared" si="360"/>
        <v>0</v>
      </c>
      <c r="BA109" s="15">
        <f t="shared" si="360"/>
        <v>-2</v>
      </c>
      <c r="BB109" s="15">
        <f t="shared" si="360"/>
        <v>-1</v>
      </c>
      <c r="BC109" s="15">
        <f t="shared" si="360"/>
        <v>-1</v>
      </c>
      <c r="BD109" s="15">
        <f t="shared" si="360"/>
        <v>0</v>
      </c>
      <c r="BE109" s="15">
        <f t="shared" si="360"/>
        <v>0</v>
      </c>
      <c r="BF109" s="15">
        <f t="shared" ref="BF109:BQ109" si="361">COUNTIF(BF40:BF44,"Yes")</f>
        <v>0</v>
      </c>
      <c r="BG109" s="15">
        <f t="shared" si="361"/>
        <v>2</v>
      </c>
      <c r="BH109" s="15">
        <f t="shared" si="361"/>
        <v>1</v>
      </c>
      <c r="BI109" s="15">
        <f t="shared" si="361"/>
        <v>0</v>
      </c>
      <c r="BJ109" s="15">
        <f t="shared" si="361"/>
        <v>1</v>
      </c>
      <c r="BK109" s="15">
        <f t="shared" si="361"/>
        <v>0</v>
      </c>
      <c r="BL109" s="15">
        <f t="shared" si="361"/>
        <v>1</v>
      </c>
      <c r="BM109" s="15">
        <f t="shared" si="361"/>
        <v>1</v>
      </c>
      <c r="BN109" s="15">
        <f t="shared" si="361"/>
        <v>2</v>
      </c>
      <c r="BO109" s="15">
        <f t="shared" si="361"/>
        <v>0</v>
      </c>
      <c r="BP109" s="15">
        <f t="shared" si="361"/>
        <v>1</v>
      </c>
      <c r="BQ109" s="15">
        <f t="shared" si="361"/>
        <v>0</v>
      </c>
      <c r="BY109" s="16"/>
      <c r="CB109" s="16"/>
      <c r="CC109" s="32"/>
      <c r="CE109" s="16"/>
      <c r="CH109" s="16"/>
    </row>
    <row r="110" ht="12.75" customHeight="1">
      <c r="C110" s="37"/>
      <c r="D110" s="38"/>
      <c r="E110" s="89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1" t="s">
        <v>105</v>
      </c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15">
        <f t="shared" ref="AT110:BE110" si="362">-COUNTIF(AT45:AT52,"Yes")</f>
        <v>0</v>
      </c>
      <c r="AU110" s="15">
        <f t="shared" si="362"/>
        <v>0</v>
      </c>
      <c r="AV110" s="15">
        <f t="shared" si="362"/>
        <v>0</v>
      </c>
      <c r="AW110" s="15">
        <f t="shared" si="362"/>
        <v>0</v>
      </c>
      <c r="AX110" s="15">
        <f t="shared" si="362"/>
        <v>-2</v>
      </c>
      <c r="AY110" s="15">
        <f t="shared" si="362"/>
        <v>0</v>
      </c>
      <c r="AZ110" s="15">
        <f t="shared" si="362"/>
        <v>-1</v>
      </c>
      <c r="BA110" s="15">
        <f t="shared" si="362"/>
        <v>0</v>
      </c>
      <c r="BB110" s="15">
        <f t="shared" si="362"/>
        <v>0</v>
      </c>
      <c r="BC110" s="15">
        <f t="shared" si="362"/>
        <v>-3</v>
      </c>
      <c r="BD110" s="15">
        <f t="shared" si="362"/>
        <v>-2</v>
      </c>
      <c r="BE110" s="15">
        <f t="shared" si="362"/>
        <v>0</v>
      </c>
      <c r="BF110" s="15">
        <f t="shared" ref="BF110:BQ110" si="363">COUNTIF(BF45:BF52,"Yes")</f>
        <v>0</v>
      </c>
      <c r="BG110" s="15">
        <f t="shared" si="363"/>
        <v>0</v>
      </c>
      <c r="BH110" s="15">
        <f t="shared" si="363"/>
        <v>3</v>
      </c>
      <c r="BI110" s="15">
        <f t="shared" si="363"/>
        <v>2</v>
      </c>
      <c r="BJ110" s="15">
        <f t="shared" si="363"/>
        <v>1</v>
      </c>
      <c r="BK110" s="15">
        <f t="shared" si="363"/>
        <v>3</v>
      </c>
      <c r="BL110" s="15">
        <f t="shared" si="363"/>
        <v>1</v>
      </c>
      <c r="BM110" s="15">
        <f t="shared" si="363"/>
        <v>3</v>
      </c>
      <c r="BN110" s="15">
        <f t="shared" si="363"/>
        <v>1</v>
      </c>
      <c r="BO110" s="15">
        <f t="shared" si="363"/>
        <v>0</v>
      </c>
      <c r="BP110" s="15">
        <f t="shared" si="363"/>
        <v>1</v>
      </c>
      <c r="BQ110" s="15">
        <f t="shared" si="363"/>
        <v>1</v>
      </c>
      <c r="BY110" s="16"/>
      <c r="CB110" s="16"/>
      <c r="CC110" s="32"/>
      <c r="CE110" s="16"/>
      <c r="CH110" s="16"/>
    </row>
    <row r="111" ht="12.75" customHeight="1">
      <c r="C111" s="37"/>
      <c r="D111" s="38"/>
      <c r="E111" s="89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1" t="s">
        <v>114</v>
      </c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15">
        <f t="shared" ref="AT111:BE111" si="364">-COUNTIF(AT53:AT64,"Yes")</f>
        <v>0</v>
      </c>
      <c r="AU111" s="15">
        <f t="shared" si="364"/>
        <v>-1</v>
      </c>
      <c r="AV111" s="15">
        <f t="shared" si="364"/>
        <v>-1</v>
      </c>
      <c r="AW111" s="15">
        <f t="shared" si="364"/>
        <v>-2</v>
      </c>
      <c r="AX111" s="15">
        <f t="shared" si="364"/>
        <v>0</v>
      </c>
      <c r="AY111" s="15">
        <f t="shared" si="364"/>
        <v>0</v>
      </c>
      <c r="AZ111" s="15">
        <f t="shared" si="364"/>
        <v>-1</v>
      </c>
      <c r="BA111" s="15">
        <f t="shared" si="364"/>
        <v>-1</v>
      </c>
      <c r="BB111" s="15">
        <f t="shared" si="364"/>
        <v>-5</v>
      </c>
      <c r="BC111" s="15">
        <f t="shared" si="364"/>
        <v>-2</v>
      </c>
      <c r="BD111" s="15">
        <f t="shared" si="364"/>
        <v>-4</v>
      </c>
      <c r="BE111" s="15">
        <f t="shared" si="364"/>
        <v>-1</v>
      </c>
      <c r="BF111" s="15">
        <f t="shared" ref="BF111:BQ111" si="365">COUNTIF(BF53:BF64,"Yes")</f>
        <v>0</v>
      </c>
      <c r="BG111" s="15">
        <f t="shared" si="365"/>
        <v>2</v>
      </c>
      <c r="BH111" s="15">
        <f t="shared" si="365"/>
        <v>1</v>
      </c>
      <c r="BI111" s="15">
        <f t="shared" si="365"/>
        <v>1</v>
      </c>
      <c r="BJ111" s="15">
        <f t="shared" si="365"/>
        <v>3</v>
      </c>
      <c r="BK111" s="15">
        <f t="shared" si="365"/>
        <v>3</v>
      </c>
      <c r="BL111" s="15">
        <f t="shared" si="365"/>
        <v>1</v>
      </c>
      <c r="BM111" s="15">
        <f t="shared" si="365"/>
        <v>1</v>
      </c>
      <c r="BN111" s="15">
        <f t="shared" si="365"/>
        <v>2</v>
      </c>
      <c r="BO111" s="15">
        <f t="shared" si="365"/>
        <v>3</v>
      </c>
      <c r="BP111" s="15">
        <f t="shared" si="365"/>
        <v>0</v>
      </c>
      <c r="BQ111" s="15">
        <f t="shared" si="365"/>
        <v>0</v>
      </c>
      <c r="BY111" s="16"/>
      <c r="CB111" s="16"/>
      <c r="CC111" s="32"/>
      <c r="CE111" s="16"/>
      <c r="CH111" s="16"/>
    </row>
    <row r="112" ht="12.75" customHeight="1">
      <c r="C112" s="37"/>
      <c r="D112" s="38"/>
      <c r="E112" s="89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1" t="s">
        <v>127</v>
      </c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15">
        <f t="shared" ref="AT112:BE112" si="366">-COUNTIF(AT65:AT73,"Yes")</f>
        <v>-1</v>
      </c>
      <c r="AU112" s="15">
        <f t="shared" si="366"/>
        <v>-4</v>
      </c>
      <c r="AV112" s="15">
        <f t="shared" si="366"/>
        <v>-2</v>
      </c>
      <c r="AW112" s="15">
        <f t="shared" si="366"/>
        <v>-1</v>
      </c>
      <c r="AX112" s="15">
        <f t="shared" si="366"/>
        <v>0</v>
      </c>
      <c r="AY112" s="15">
        <f t="shared" si="366"/>
        <v>-1</v>
      </c>
      <c r="AZ112" s="15">
        <f t="shared" si="366"/>
        <v>-2</v>
      </c>
      <c r="BA112" s="15">
        <f t="shared" si="366"/>
        <v>-2</v>
      </c>
      <c r="BB112" s="15">
        <f t="shared" si="366"/>
        <v>-2</v>
      </c>
      <c r="BC112" s="15">
        <f t="shared" si="366"/>
        <v>-2</v>
      </c>
      <c r="BD112" s="15">
        <f t="shared" si="366"/>
        <v>-4</v>
      </c>
      <c r="BE112" s="15">
        <f t="shared" si="366"/>
        <v>-1</v>
      </c>
      <c r="BF112" s="15">
        <f t="shared" ref="BF112:BQ112" si="367">COUNTIF(BF65:BF73,"Yes")</f>
        <v>0</v>
      </c>
      <c r="BG112" s="15">
        <f t="shared" si="367"/>
        <v>1</v>
      </c>
      <c r="BH112" s="15">
        <f t="shared" si="367"/>
        <v>0</v>
      </c>
      <c r="BI112" s="15">
        <f t="shared" si="367"/>
        <v>0</v>
      </c>
      <c r="BJ112" s="15">
        <f t="shared" si="367"/>
        <v>1</v>
      </c>
      <c r="BK112" s="15">
        <f t="shared" si="367"/>
        <v>1</v>
      </c>
      <c r="BL112" s="15">
        <f t="shared" si="367"/>
        <v>2</v>
      </c>
      <c r="BM112" s="15">
        <f t="shared" si="367"/>
        <v>0</v>
      </c>
      <c r="BN112" s="15">
        <f t="shared" si="367"/>
        <v>1</v>
      </c>
      <c r="BO112" s="15">
        <f t="shared" si="367"/>
        <v>0</v>
      </c>
      <c r="BP112" s="15">
        <f t="shared" si="367"/>
        <v>3</v>
      </c>
      <c r="BQ112" s="15">
        <f t="shared" si="367"/>
        <v>0</v>
      </c>
      <c r="BY112" s="16"/>
      <c r="CB112" s="16"/>
      <c r="CC112" s="32"/>
      <c r="CE112" s="16"/>
      <c r="CH112" s="16"/>
    </row>
    <row r="113" ht="12.75" customHeight="1">
      <c r="C113" s="37"/>
      <c r="D113" s="38"/>
      <c r="E113" s="89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1" t="s">
        <v>138</v>
      </c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15">
        <f t="shared" ref="AT113:BE113" si="368">-COUNTIF(AT74:AT87,"Yes")</f>
        <v>0</v>
      </c>
      <c r="AU113" s="15">
        <f t="shared" si="368"/>
        <v>0</v>
      </c>
      <c r="AV113" s="15">
        <f t="shared" si="368"/>
        <v>-2</v>
      </c>
      <c r="AW113" s="15">
        <f t="shared" si="368"/>
        <v>-4</v>
      </c>
      <c r="AX113" s="15">
        <f t="shared" si="368"/>
        <v>0</v>
      </c>
      <c r="AY113" s="15">
        <f t="shared" si="368"/>
        <v>-1</v>
      </c>
      <c r="AZ113" s="15">
        <f t="shared" si="368"/>
        <v>-6</v>
      </c>
      <c r="BA113" s="15">
        <f t="shared" si="368"/>
        <v>-2</v>
      </c>
      <c r="BB113" s="15">
        <f t="shared" si="368"/>
        <v>-4</v>
      </c>
      <c r="BC113" s="15">
        <f t="shared" si="368"/>
        <v>-2</v>
      </c>
      <c r="BD113" s="15">
        <f t="shared" si="368"/>
        <v>-3</v>
      </c>
      <c r="BE113" s="15">
        <f t="shared" si="368"/>
        <v>-2</v>
      </c>
      <c r="BF113" s="15">
        <f t="shared" ref="BF113:BQ113" si="369">COUNTIF(BF74:BF87,"Yes")</f>
        <v>0</v>
      </c>
      <c r="BG113" s="15">
        <f t="shared" si="369"/>
        <v>3</v>
      </c>
      <c r="BH113" s="15">
        <f t="shared" si="369"/>
        <v>2</v>
      </c>
      <c r="BI113" s="15">
        <f t="shared" si="369"/>
        <v>0</v>
      </c>
      <c r="BJ113" s="15">
        <f t="shared" si="369"/>
        <v>3</v>
      </c>
      <c r="BK113" s="15">
        <f t="shared" si="369"/>
        <v>3</v>
      </c>
      <c r="BL113" s="15">
        <f t="shared" si="369"/>
        <v>0</v>
      </c>
      <c r="BM113" s="15">
        <f t="shared" si="369"/>
        <v>2</v>
      </c>
      <c r="BN113" s="15">
        <f t="shared" si="369"/>
        <v>2</v>
      </c>
      <c r="BO113" s="15">
        <f t="shared" si="369"/>
        <v>3</v>
      </c>
      <c r="BP113" s="15">
        <f t="shared" si="369"/>
        <v>2</v>
      </c>
      <c r="BQ113" s="15">
        <f t="shared" si="369"/>
        <v>0</v>
      </c>
      <c r="BY113" s="16"/>
      <c r="CB113" s="16"/>
      <c r="CC113" s="32"/>
      <c r="CE113" s="16"/>
      <c r="CH113" s="16"/>
    </row>
    <row r="114" ht="12.75" customHeight="1">
      <c r="C114" s="37"/>
      <c r="D114" s="38"/>
      <c r="E114" s="87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1" t="s">
        <v>153</v>
      </c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15">
        <f t="shared" ref="AT114:BE114" si="370">-COUNTIF(AT88:AT103,"Yes")</f>
        <v>-1</v>
      </c>
      <c r="AU114" s="15">
        <f t="shared" si="370"/>
        <v>0</v>
      </c>
      <c r="AV114" s="15">
        <f t="shared" si="370"/>
        <v>-3</v>
      </c>
      <c r="AW114" s="15">
        <f t="shared" si="370"/>
        <v>-1</v>
      </c>
      <c r="AX114" s="15">
        <f t="shared" si="370"/>
        <v>0</v>
      </c>
      <c r="AY114" s="15">
        <f t="shared" si="370"/>
        <v>0</v>
      </c>
      <c r="AZ114" s="15">
        <f t="shared" si="370"/>
        <v>-1</v>
      </c>
      <c r="BA114" s="15">
        <f t="shared" si="370"/>
        <v>-3</v>
      </c>
      <c r="BB114" s="15">
        <f t="shared" si="370"/>
        <v>-2</v>
      </c>
      <c r="BC114" s="15">
        <f t="shared" si="370"/>
        <v>-6</v>
      </c>
      <c r="BD114" s="15">
        <f t="shared" si="370"/>
        <v>-6</v>
      </c>
      <c r="BE114" s="15">
        <f t="shared" si="370"/>
        <v>0</v>
      </c>
      <c r="BF114" s="15">
        <f t="shared" ref="BF114:BQ114" si="371">COUNTIF(BF88:BF103,"Yes")</f>
        <v>0</v>
      </c>
      <c r="BG114" s="15">
        <f t="shared" si="371"/>
        <v>0</v>
      </c>
      <c r="BH114" s="15">
        <f t="shared" si="371"/>
        <v>2</v>
      </c>
      <c r="BI114" s="15">
        <f t="shared" si="371"/>
        <v>0</v>
      </c>
      <c r="BJ114" s="15">
        <f t="shared" si="371"/>
        <v>6</v>
      </c>
      <c r="BK114" s="15">
        <f t="shared" si="371"/>
        <v>4</v>
      </c>
      <c r="BL114" s="15">
        <f t="shared" si="371"/>
        <v>2</v>
      </c>
      <c r="BM114" s="15">
        <f t="shared" si="371"/>
        <v>2</v>
      </c>
      <c r="BN114" s="15">
        <f t="shared" si="371"/>
        <v>3</v>
      </c>
      <c r="BO114" s="15">
        <f t="shared" si="371"/>
        <v>2</v>
      </c>
      <c r="BP114" s="15">
        <f t="shared" si="371"/>
        <v>1</v>
      </c>
      <c r="BQ114" s="15">
        <f t="shared" si="371"/>
        <v>0</v>
      </c>
      <c r="BY114" s="16"/>
      <c r="CB114" s="16"/>
      <c r="CC114" s="32"/>
      <c r="CE114" s="16"/>
      <c r="CH114" s="16"/>
    </row>
    <row r="115" ht="12.75" customHeight="1">
      <c r="B115" s="36"/>
      <c r="C115" s="37"/>
      <c r="D115" s="38"/>
      <c r="E115" s="87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BY115" s="16"/>
      <c r="CB115" s="16"/>
      <c r="CC115" s="32"/>
      <c r="CE115" s="16"/>
      <c r="CH115" s="16"/>
    </row>
    <row r="116" ht="12.75" customHeight="1">
      <c r="B116" s="36"/>
      <c r="C116" s="37"/>
      <c r="D116" s="38"/>
      <c r="E116" s="87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BY116" s="16"/>
      <c r="CB116" s="16"/>
      <c r="CC116" s="32"/>
      <c r="CE116" s="16"/>
      <c r="CH116" s="16"/>
    </row>
    <row r="117" ht="12.75" customHeight="1">
      <c r="B117" s="36"/>
      <c r="C117" s="37"/>
      <c r="D117" s="38"/>
      <c r="E117" s="87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BY117" s="16"/>
      <c r="CB117" s="16"/>
      <c r="CC117" s="32"/>
      <c r="CE117" s="16"/>
      <c r="CH117" s="16"/>
    </row>
    <row r="118" ht="12.75" customHeight="1">
      <c r="B118" s="36"/>
      <c r="C118" s="37"/>
      <c r="D118" s="38"/>
      <c r="E118" s="87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BY118" s="16"/>
      <c r="CB118" s="16"/>
      <c r="CC118" s="32"/>
      <c r="CE118" s="16"/>
      <c r="CH118" s="16"/>
    </row>
    <row r="119" ht="12.75" customHeight="1">
      <c r="B119" s="36"/>
      <c r="C119" s="37"/>
      <c r="D119" s="38"/>
      <c r="E119" s="87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  <c r="BY119" s="16"/>
      <c r="CB119" s="16"/>
      <c r="CC119" s="32"/>
      <c r="CE119" s="16"/>
      <c r="CH119" s="16"/>
    </row>
    <row r="120" ht="12.75" customHeight="1">
      <c r="B120" s="36"/>
      <c r="C120" s="37"/>
      <c r="D120" s="38"/>
      <c r="E120" s="87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  <c r="BY120" s="16"/>
      <c r="CB120" s="16"/>
      <c r="CC120" s="32"/>
      <c r="CE120" s="16"/>
      <c r="CH120" s="16"/>
    </row>
    <row r="121" ht="12.75" customHeight="1">
      <c r="B121" s="36"/>
      <c r="C121" s="37"/>
      <c r="D121" s="38"/>
      <c r="E121" s="87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0"/>
      <c r="AR121" s="90"/>
      <c r="AS121" s="90"/>
      <c r="BY121" s="16"/>
      <c r="CB121" s="16"/>
      <c r="CC121" s="32"/>
      <c r="CE121" s="16"/>
      <c r="CH121" s="16"/>
    </row>
    <row r="122" ht="12.75" customHeight="1">
      <c r="B122" s="36"/>
      <c r="C122" s="37"/>
      <c r="D122" s="38"/>
      <c r="E122" s="87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BY122" s="16"/>
      <c r="CB122" s="16"/>
      <c r="CC122" s="32"/>
      <c r="CE122" s="16"/>
      <c r="CH122" s="16"/>
    </row>
    <row r="123" ht="12.75" customHeight="1">
      <c r="B123" s="36"/>
      <c r="C123" s="37"/>
      <c r="D123" s="38"/>
      <c r="E123" s="87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BY123" s="16"/>
      <c r="CB123" s="16"/>
      <c r="CC123" s="32"/>
      <c r="CE123" s="16"/>
      <c r="CH123" s="16"/>
    </row>
    <row r="124" ht="12.75" customHeight="1">
      <c r="B124" s="36"/>
      <c r="C124" s="37"/>
      <c r="D124" s="38"/>
      <c r="E124" s="87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BY124" s="16"/>
      <c r="CB124" s="16"/>
      <c r="CC124" s="32"/>
      <c r="CE124" s="16"/>
      <c r="CH124" s="16"/>
    </row>
    <row r="125" ht="12.75" customHeight="1">
      <c r="B125" s="36"/>
      <c r="C125" s="37"/>
      <c r="D125" s="38"/>
      <c r="E125" s="87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BY125" s="16"/>
      <c r="CB125" s="16"/>
      <c r="CC125" s="32"/>
      <c r="CE125" s="16"/>
      <c r="CH125" s="16"/>
    </row>
    <row r="126" ht="12.75" customHeight="1">
      <c r="B126" s="36"/>
      <c r="C126" s="37"/>
      <c r="D126" s="38"/>
      <c r="E126" s="87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BY126" s="16"/>
      <c r="CB126" s="16"/>
      <c r="CC126" s="32"/>
      <c r="CE126" s="16"/>
      <c r="CH126" s="16"/>
    </row>
    <row r="127" ht="12.75" customHeight="1">
      <c r="B127" s="36"/>
      <c r="C127" s="37"/>
      <c r="D127" s="38"/>
      <c r="E127" s="87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  <c r="BY127" s="16"/>
      <c r="CB127" s="16"/>
      <c r="CC127" s="32"/>
      <c r="CE127" s="16"/>
      <c r="CH127" s="16"/>
    </row>
    <row r="128" ht="12.75" customHeight="1">
      <c r="B128" s="36"/>
      <c r="C128" s="37"/>
      <c r="D128" s="38"/>
      <c r="E128" s="87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BY128" s="16"/>
      <c r="CB128" s="16"/>
      <c r="CC128" s="32"/>
      <c r="CE128" s="16"/>
      <c r="CH128" s="16"/>
    </row>
    <row r="129" ht="12.75" customHeight="1">
      <c r="B129" s="36"/>
      <c r="C129" s="37"/>
      <c r="D129" s="38"/>
      <c r="E129" s="87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BY129" s="16"/>
      <c r="CB129" s="16"/>
      <c r="CC129" s="32"/>
      <c r="CE129" s="16"/>
      <c r="CH129" s="16"/>
    </row>
    <row r="130" ht="12.75" customHeight="1">
      <c r="B130" s="36"/>
      <c r="C130" s="37"/>
      <c r="D130" s="38"/>
      <c r="E130" s="87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BY130" s="16"/>
      <c r="CB130" s="16"/>
      <c r="CC130" s="32"/>
      <c r="CE130" s="16"/>
      <c r="CH130" s="16"/>
    </row>
    <row r="131" ht="12.75" customHeight="1">
      <c r="B131" s="36"/>
      <c r="C131" s="37"/>
      <c r="D131" s="38"/>
      <c r="E131" s="87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BY131" s="16"/>
      <c r="CB131" s="16"/>
      <c r="CC131" s="32"/>
      <c r="CE131" s="16"/>
      <c r="CH131" s="16"/>
    </row>
    <row r="132" ht="12.75" customHeight="1">
      <c r="B132" s="36"/>
      <c r="C132" s="37"/>
      <c r="D132" s="38"/>
      <c r="E132" s="87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BY132" s="16"/>
      <c r="CB132" s="16"/>
      <c r="CC132" s="32"/>
      <c r="CE132" s="16"/>
      <c r="CH132" s="16"/>
    </row>
    <row r="133" ht="12.75" customHeight="1">
      <c r="B133" s="36"/>
      <c r="C133" s="37"/>
      <c r="D133" s="38"/>
      <c r="E133" s="87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BY133" s="16"/>
      <c r="CB133" s="16"/>
      <c r="CC133" s="32"/>
      <c r="CE133" s="16"/>
      <c r="CH133" s="16"/>
    </row>
    <row r="134" ht="12.75" customHeight="1">
      <c r="B134" s="36"/>
      <c r="C134" s="37"/>
      <c r="D134" s="38"/>
      <c r="E134" s="87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BY134" s="16"/>
      <c r="CB134" s="16"/>
      <c r="CC134" s="32"/>
      <c r="CE134" s="16"/>
      <c r="CH134" s="16"/>
    </row>
    <row r="135" ht="12.75" customHeight="1">
      <c r="B135" s="36"/>
      <c r="C135" s="37"/>
      <c r="D135" s="38"/>
      <c r="E135" s="87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BY135" s="16"/>
      <c r="CB135" s="16"/>
      <c r="CC135" s="32"/>
      <c r="CE135" s="16"/>
      <c r="CH135" s="16"/>
    </row>
    <row r="136" ht="12.75" customHeight="1">
      <c r="B136" s="36"/>
      <c r="C136" s="37"/>
      <c r="D136" s="38"/>
      <c r="E136" s="87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BY136" s="16"/>
      <c r="CB136" s="16"/>
      <c r="CC136" s="32"/>
      <c r="CE136" s="16"/>
      <c r="CH136" s="16"/>
    </row>
    <row r="137" ht="12.75" customHeight="1">
      <c r="B137" s="36"/>
      <c r="C137" s="37"/>
      <c r="D137" s="38"/>
      <c r="E137" s="87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BY137" s="16"/>
      <c r="CB137" s="16"/>
      <c r="CC137" s="32"/>
      <c r="CE137" s="16"/>
      <c r="CH137" s="16"/>
    </row>
    <row r="138" ht="12.75" customHeight="1">
      <c r="B138" s="36"/>
      <c r="C138" s="37"/>
      <c r="D138" s="38"/>
      <c r="E138" s="87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BY138" s="16"/>
      <c r="CB138" s="16"/>
      <c r="CC138" s="32"/>
      <c r="CE138" s="16"/>
      <c r="CH138" s="16"/>
    </row>
    <row r="139" ht="12.75" customHeight="1">
      <c r="B139" s="36"/>
      <c r="C139" s="37"/>
      <c r="D139" s="38"/>
      <c r="E139" s="87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  <c r="AR139" s="90"/>
      <c r="AS139" s="90"/>
      <c r="BY139" s="16"/>
      <c r="CB139" s="16"/>
      <c r="CC139" s="32"/>
      <c r="CE139" s="16"/>
      <c r="CH139" s="16"/>
    </row>
    <row r="140" ht="12.75" customHeight="1">
      <c r="B140" s="36"/>
      <c r="C140" s="37"/>
      <c r="D140" s="38"/>
      <c r="E140" s="87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BY140" s="16"/>
      <c r="CB140" s="16"/>
      <c r="CC140" s="32"/>
      <c r="CE140" s="16"/>
      <c r="CH140" s="16"/>
    </row>
    <row r="141" ht="12.75" customHeight="1">
      <c r="B141" s="36"/>
      <c r="C141" s="37"/>
      <c r="D141" s="38"/>
      <c r="E141" s="87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  <c r="BY141" s="16"/>
      <c r="CB141" s="16"/>
      <c r="CC141" s="32"/>
      <c r="CE141" s="16"/>
      <c r="CH141" s="16"/>
    </row>
    <row r="142" ht="12.75" customHeight="1">
      <c r="B142" s="36"/>
      <c r="C142" s="37"/>
      <c r="D142" s="38"/>
      <c r="E142" s="87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  <c r="BY142" s="16"/>
      <c r="CB142" s="16"/>
      <c r="CC142" s="32"/>
      <c r="CE142" s="16"/>
      <c r="CH142" s="16"/>
    </row>
    <row r="143" ht="12.75" customHeight="1">
      <c r="B143" s="36"/>
      <c r="C143" s="37"/>
      <c r="D143" s="38"/>
      <c r="E143" s="87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BY143" s="16"/>
      <c r="CB143" s="16"/>
      <c r="CC143" s="32"/>
      <c r="CE143" s="16"/>
      <c r="CH143" s="16"/>
    </row>
    <row r="144" ht="12.75" customHeight="1">
      <c r="B144" s="36"/>
      <c r="C144" s="37"/>
      <c r="D144" s="38"/>
      <c r="E144" s="87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BY144" s="16"/>
      <c r="CB144" s="16"/>
      <c r="CC144" s="32"/>
      <c r="CE144" s="16"/>
      <c r="CH144" s="16"/>
    </row>
    <row r="145" ht="12.75" customHeight="1">
      <c r="B145" s="36"/>
      <c r="C145" s="37"/>
      <c r="D145" s="38"/>
      <c r="E145" s="87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BY145" s="16"/>
      <c r="CB145" s="16"/>
      <c r="CC145" s="32"/>
      <c r="CE145" s="16"/>
      <c r="CH145" s="16"/>
    </row>
    <row r="146" ht="12.75" customHeight="1">
      <c r="B146" s="36"/>
      <c r="C146" s="37"/>
      <c r="D146" s="38"/>
      <c r="E146" s="87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BY146" s="16"/>
      <c r="CB146" s="16"/>
      <c r="CC146" s="32"/>
      <c r="CE146" s="16"/>
      <c r="CH146" s="16"/>
    </row>
    <row r="147" ht="12.75" customHeight="1">
      <c r="B147" s="36"/>
      <c r="C147" s="37"/>
      <c r="D147" s="38"/>
      <c r="E147" s="87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BY147" s="16"/>
      <c r="CB147" s="16"/>
      <c r="CC147" s="32"/>
      <c r="CE147" s="16"/>
      <c r="CH147" s="16"/>
    </row>
    <row r="148" ht="12.75" customHeight="1">
      <c r="B148" s="36"/>
      <c r="C148" s="37"/>
      <c r="D148" s="38"/>
      <c r="E148" s="87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BY148" s="16"/>
      <c r="CB148" s="16"/>
      <c r="CC148" s="32"/>
      <c r="CE148" s="16"/>
      <c r="CH148" s="16"/>
    </row>
    <row r="149" ht="12.75" customHeight="1">
      <c r="B149" s="36"/>
      <c r="C149" s="37"/>
      <c r="D149" s="38"/>
      <c r="E149" s="87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  <c r="BY149" s="16"/>
      <c r="CB149" s="16"/>
      <c r="CC149" s="32"/>
      <c r="CE149" s="16"/>
      <c r="CH149" s="16"/>
    </row>
    <row r="150" ht="12.75" customHeight="1">
      <c r="B150" s="36"/>
      <c r="C150" s="37"/>
      <c r="D150" s="38"/>
      <c r="E150" s="87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BY150" s="16"/>
      <c r="CB150" s="16"/>
      <c r="CC150" s="32"/>
      <c r="CE150" s="16"/>
      <c r="CH150" s="16"/>
    </row>
    <row r="151" ht="12.75" customHeight="1">
      <c r="B151" s="36"/>
      <c r="C151" s="37"/>
      <c r="D151" s="38"/>
      <c r="E151" s="87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BY151" s="16"/>
      <c r="CB151" s="16"/>
      <c r="CC151" s="32"/>
      <c r="CE151" s="16"/>
      <c r="CH151" s="16"/>
    </row>
    <row r="152" ht="12.75" customHeight="1">
      <c r="B152" s="36"/>
      <c r="C152" s="37"/>
      <c r="D152" s="38"/>
      <c r="E152" s="87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BY152" s="16"/>
      <c r="CB152" s="16"/>
      <c r="CC152" s="32"/>
      <c r="CE152" s="16"/>
      <c r="CH152" s="16"/>
    </row>
    <row r="153" ht="12.75" customHeight="1">
      <c r="B153" s="36"/>
      <c r="C153" s="37"/>
      <c r="D153" s="38"/>
      <c r="E153" s="87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  <c r="BY153" s="16"/>
      <c r="CB153" s="16"/>
      <c r="CC153" s="32"/>
      <c r="CE153" s="16"/>
      <c r="CH153" s="16"/>
    </row>
    <row r="154" ht="12.75" customHeight="1">
      <c r="B154" s="36"/>
      <c r="C154" s="37"/>
      <c r="D154" s="38"/>
      <c r="E154" s="87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BY154" s="16"/>
      <c r="CB154" s="16"/>
      <c r="CC154" s="32"/>
      <c r="CE154" s="16"/>
      <c r="CH154" s="16"/>
    </row>
    <row r="155" ht="12.75" customHeight="1">
      <c r="B155" s="36"/>
      <c r="C155" s="37"/>
      <c r="D155" s="38"/>
      <c r="E155" s="87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BY155" s="16"/>
      <c r="CB155" s="16"/>
      <c r="CC155" s="32"/>
      <c r="CE155" s="16"/>
      <c r="CH155" s="16"/>
    </row>
    <row r="156" ht="12.75" customHeight="1">
      <c r="B156" s="36"/>
      <c r="C156" s="37"/>
      <c r="D156" s="38"/>
      <c r="E156" s="87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BY156" s="16"/>
      <c r="CB156" s="16"/>
      <c r="CC156" s="32"/>
      <c r="CE156" s="16"/>
      <c r="CH156" s="16"/>
    </row>
    <row r="157" ht="12.75" customHeight="1">
      <c r="B157" s="36"/>
      <c r="C157" s="37"/>
      <c r="D157" s="38"/>
      <c r="E157" s="87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  <c r="BY157" s="16"/>
      <c r="CB157" s="16"/>
      <c r="CC157" s="32"/>
      <c r="CE157" s="16"/>
      <c r="CH157" s="16"/>
    </row>
    <row r="158" ht="12.75" customHeight="1">
      <c r="B158" s="36"/>
      <c r="C158" s="37"/>
      <c r="D158" s="38"/>
      <c r="E158" s="87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BY158" s="16"/>
      <c r="CB158" s="16"/>
      <c r="CC158" s="32"/>
      <c r="CE158" s="16"/>
      <c r="CH158" s="16"/>
    </row>
    <row r="159" ht="12.75" customHeight="1">
      <c r="B159" s="36"/>
      <c r="C159" s="37"/>
      <c r="D159" s="38"/>
      <c r="E159" s="87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  <c r="BY159" s="16"/>
      <c r="CB159" s="16"/>
      <c r="CC159" s="32"/>
      <c r="CE159" s="16"/>
      <c r="CH159" s="16"/>
    </row>
    <row r="160" ht="12.75" customHeight="1">
      <c r="B160" s="36"/>
      <c r="C160" s="37"/>
      <c r="D160" s="38"/>
      <c r="E160" s="87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BY160" s="16"/>
      <c r="CB160" s="16"/>
      <c r="CC160" s="32"/>
      <c r="CE160" s="16"/>
      <c r="CH160" s="16"/>
    </row>
    <row r="161" ht="12.75" customHeight="1">
      <c r="B161" s="36"/>
      <c r="C161" s="37"/>
      <c r="D161" s="38"/>
      <c r="E161" s="87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  <c r="AR161" s="90"/>
      <c r="AS161" s="90"/>
      <c r="BY161" s="16"/>
      <c r="CB161" s="16"/>
      <c r="CC161" s="32"/>
      <c r="CE161" s="16"/>
      <c r="CH161" s="16"/>
    </row>
    <row r="162" ht="12.75" customHeight="1">
      <c r="B162" s="36"/>
      <c r="C162" s="37"/>
      <c r="D162" s="38"/>
      <c r="E162" s="87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  <c r="BY162" s="16"/>
      <c r="CB162" s="16"/>
      <c r="CC162" s="32"/>
      <c r="CE162" s="16"/>
      <c r="CH162" s="16"/>
    </row>
    <row r="163" ht="12.75" customHeight="1">
      <c r="B163" s="36"/>
      <c r="C163" s="37"/>
      <c r="D163" s="38"/>
      <c r="E163" s="87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0"/>
      <c r="AO163" s="90"/>
      <c r="AP163" s="90"/>
      <c r="AQ163" s="90"/>
      <c r="AR163" s="90"/>
      <c r="AS163" s="90"/>
      <c r="BY163" s="16"/>
      <c r="CB163" s="16"/>
      <c r="CC163" s="32"/>
      <c r="CE163" s="16"/>
      <c r="CH163" s="16"/>
    </row>
    <row r="164" ht="12.75" customHeight="1">
      <c r="B164" s="36"/>
      <c r="C164" s="37"/>
      <c r="D164" s="38"/>
      <c r="E164" s="87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BY164" s="16"/>
      <c r="CB164" s="16"/>
      <c r="CC164" s="32"/>
      <c r="CE164" s="16"/>
      <c r="CH164" s="16"/>
    </row>
    <row r="165" ht="12.75" customHeight="1">
      <c r="B165" s="36"/>
      <c r="C165" s="37"/>
      <c r="D165" s="38"/>
      <c r="E165" s="87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  <c r="AR165" s="90"/>
      <c r="AS165" s="90"/>
      <c r="BY165" s="16"/>
      <c r="CB165" s="16"/>
      <c r="CC165" s="32"/>
      <c r="CE165" s="16"/>
      <c r="CH165" s="16"/>
    </row>
    <row r="166" ht="12.75" customHeight="1">
      <c r="B166" s="36"/>
      <c r="C166" s="37"/>
      <c r="D166" s="38"/>
      <c r="E166" s="87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BY166" s="16"/>
      <c r="CB166" s="16"/>
      <c r="CC166" s="32"/>
      <c r="CE166" s="16"/>
      <c r="CH166" s="16"/>
    </row>
    <row r="167" ht="12.75" customHeight="1">
      <c r="B167" s="36"/>
      <c r="C167" s="37"/>
      <c r="D167" s="38"/>
      <c r="E167" s="87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0"/>
      <c r="AO167" s="90"/>
      <c r="AP167" s="90"/>
      <c r="AQ167" s="90"/>
      <c r="AR167" s="90"/>
      <c r="AS167" s="90"/>
      <c r="BY167" s="16"/>
      <c r="CB167" s="16"/>
      <c r="CC167" s="32"/>
      <c r="CE167" s="16"/>
      <c r="CH167" s="16"/>
    </row>
    <row r="168" ht="12.75" customHeight="1">
      <c r="B168" s="36"/>
      <c r="C168" s="37"/>
      <c r="D168" s="38"/>
      <c r="E168" s="87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  <c r="BY168" s="16"/>
      <c r="CB168" s="16"/>
      <c r="CC168" s="32"/>
      <c r="CE168" s="16"/>
      <c r="CH168" s="16"/>
    </row>
    <row r="169" ht="12.75" customHeight="1">
      <c r="B169" s="36"/>
      <c r="C169" s="37"/>
      <c r="D169" s="38"/>
      <c r="E169" s="87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0"/>
      <c r="AP169" s="90"/>
      <c r="AQ169" s="90"/>
      <c r="AR169" s="90"/>
      <c r="AS169" s="90"/>
      <c r="BY169" s="16"/>
      <c r="CB169" s="16"/>
      <c r="CC169" s="32"/>
      <c r="CE169" s="16"/>
      <c r="CH169" s="16"/>
    </row>
    <row r="170" ht="12.75" customHeight="1">
      <c r="B170" s="36"/>
      <c r="C170" s="37"/>
      <c r="D170" s="38"/>
      <c r="E170" s="87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  <c r="BY170" s="16"/>
      <c r="CB170" s="16"/>
      <c r="CC170" s="32"/>
      <c r="CE170" s="16"/>
      <c r="CH170" s="16"/>
    </row>
    <row r="171" ht="12.75" customHeight="1">
      <c r="B171" s="36"/>
      <c r="C171" s="37"/>
      <c r="D171" s="38"/>
      <c r="E171" s="87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  <c r="AR171" s="90"/>
      <c r="AS171" s="90"/>
      <c r="BY171" s="16"/>
      <c r="CB171" s="16"/>
      <c r="CC171" s="32"/>
      <c r="CE171" s="16"/>
      <c r="CH171" s="16"/>
    </row>
    <row r="172" ht="12.75" customHeight="1">
      <c r="B172" s="36"/>
      <c r="C172" s="37"/>
      <c r="D172" s="38"/>
      <c r="E172" s="87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BY172" s="16"/>
      <c r="CB172" s="16"/>
      <c r="CC172" s="32"/>
      <c r="CE172" s="16"/>
      <c r="CH172" s="16"/>
    </row>
    <row r="173" ht="12.75" customHeight="1">
      <c r="B173" s="36"/>
      <c r="C173" s="37"/>
      <c r="D173" s="38"/>
      <c r="E173" s="87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  <c r="BY173" s="16"/>
      <c r="CB173" s="16"/>
      <c r="CC173" s="32"/>
      <c r="CE173" s="16"/>
      <c r="CH173" s="16"/>
    </row>
    <row r="174" ht="12.75" customHeight="1">
      <c r="B174" s="36"/>
      <c r="C174" s="37"/>
      <c r="D174" s="38"/>
      <c r="E174" s="87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BY174" s="16"/>
      <c r="CB174" s="16"/>
      <c r="CC174" s="32"/>
      <c r="CE174" s="16"/>
      <c r="CH174" s="16"/>
    </row>
    <row r="175" ht="12.75" customHeight="1">
      <c r="B175" s="36"/>
      <c r="C175" s="37"/>
      <c r="D175" s="38"/>
      <c r="E175" s="87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  <c r="BY175" s="16"/>
      <c r="CB175" s="16"/>
      <c r="CC175" s="32"/>
      <c r="CE175" s="16"/>
      <c r="CH175" s="16"/>
    </row>
    <row r="176" ht="12.75" customHeight="1">
      <c r="B176" s="36"/>
      <c r="C176" s="37"/>
      <c r="D176" s="38"/>
      <c r="E176" s="87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  <c r="BY176" s="16"/>
      <c r="CB176" s="16"/>
      <c r="CC176" s="32"/>
      <c r="CE176" s="16"/>
      <c r="CH176" s="16"/>
    </row>
    <row r="177" ht="12.75" customHeight="1">
      <c r="B177" s="36"/>
      <c r="C177" s="37"/>
      <c r="D177" s="38"/>
      <c r="E177" s="87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  <c r="AR177" s="90"/>
      <c r="AS177" s="90"/>
      <c r="BY177" s="16"/>
      <c r="CB177" s="16"/>
      <c r="CC177" s="32"/>
      <c r="CE177" s="16"/>
      <c r="CH177" s="16"/>
    </row>
    <row r="178" ht="12.75" customHeight="1">
      <c r="B178" s="36"/>
      <c r="C178" s="37"/>
      <c r="D178" s="38"/>
      <c r="E178" s="87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  <c r="BY178" s="16"/>
      <c r="CB178" s="16"/>
      <c r="CC178" s="32"/>
      <c r="CE178" s="16"/>
      <c r="CH178" s="16"/>
    </row>
    <row r="179" ht="12.75" customHeight="1">
      <c r="B179" s="36"/>
      <c r="C179" s="37"/>
      <c r="D179" s="38"/>
      <c r="E179" s="87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0"/>
      <c r="AN179" s="90"/>
      <c r="AO179" s="90"/>
      <c r="AP179" s="90"/>
      <c r="AQ179" s="90"/>
      <c r="AR179" s="90"/>
      <c r="AS179" s="90"/>
      <c r="BY179" s="16"/>
      <c r="CB179" s="16"/>
      <c r="CC179" s="32"/>
      <c r="CE179" s="16"/>
      <c r="CH179" s="16"/>
    </row>
    <row r="180" ht="12.75" customHeight="1">
      <c r="B180" s="36"/>
      <c r="C180" s="37"/>
      <c r="D180" s="38"/>
      <c r="E180" s="87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  <c r="AR180" s="90"/>
      <c r="AS180" s="90"/>
      <c r="BY180" s="16"/>
      <c r="CB180" s="16"/>
      <c r="CC180" s="32"/>
      <c r="CE180" s="16"/>
      <c r="CH180" s="16"/>
    </row>
    <row r="181" ht="12.75" customHeight="1">
      <c r="B181" s="36"/>
      <c r="C181" s="37"/>
      <c r="D181" s="38"/>
      <c r="E181" s="87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  <c r="AM181" s="90"/>
      <c r="AN181" s="90"/>
      <c r="AO181" s="90"/>
      <c r="AP181" s="90"/>
      <c r="AQ181" s="90"/>
      <c r="AR181" s="90"/>
      <c r="AS181" s="90"/>
      <c r="BY181" s="16"/>
      <c r="CB181" s="16"/>
      <c r="CC181" s="32"/>
      <c r="CE181" s="16"/>
      <c r="CH181" s="16"/>
    </row>
    <row r="182" ht="12.75" customHeight="1">
      <c r="B182" s="36"/>
      <c r="C182" s="37"/>
      <c r="D182" s="38"/>
      <c r="E182" s="87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  <c r="AR182" s="90"/>
      <c r="AS182" s="90"/>
      <c r="BY182" s="16"/>
      <c r="CB182" s="16"/>
      <c r="CC182" s="32"/>
      <c r="CE182" s="16"/>
      <c r="CH182" s="16"/>
    </row>
    <row r="183" ht="12.75" customHeight="1">
      <c r="B183" s="36"/>
      <c r="C183" s="37"/>
      <c r="D183" s="38"/>
      <c r="E183" s="87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0"/>
      <c r="AO183" s="90"/>
      <c r="AP183" s="90"/>
      <c r="AQ183" s="90"/>
      <c r="AR183" s="90"/>
      <c r="AS183" s="90"/>
      <c r="BY183" s="16"/>
      <c r="CB183" s="16"/>
      <c r="CC183" s="32"/>
      <c r="CE183" s="16"/>
      <c r="CH183" s="16"/>
    </row>
    <row r="184" ht="12.75" customHeight="1">
      <c r="B184" s="36"/>
      <c r="C184" s="37"/>
      <c r="D184" s="38"/>
      <c r="E184" s="87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  <c r="AR184" s="90"/>
      <c r="AS184" s="90"/>
      <c r="BY184" s="16"/>
      <c r="CB184" s="16"/>
      <c r="CC184" s="32"/>
      <c r="CE184" s="16"/>
      <c r="CH184" s="16"/>
    </row>
    <row r="185" ht="12.75" customHeight="1">
      <c r="B185" s="36"/>
      <c r="C185" s="37"/>
      <c r="D185" s="38"/>
      <c r="E185" s="87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0"/>
      <c r="AN185" s="90"/>
      <c r="AO185" s="90"/>
      <c r="AP185" s="90"/>
      <c r="AQ185" s="90"/>
      <c r="AR185" s="90"/>
      <c r="AS185" s="90"/>
      <c r="BY185" s="16"/>
      <c r="CB185" s="16"/>
      <c r="CC185" s="32"/>
      <c r="CE185" s="16"/>
      <c r="CH185" s="16"/>
    </row>
    <row r="186" ht="12.75" customHeight="1">
      <c r="B186" s="36"/>
      <c r="C186" s="37"/>
      <c r="D186" s="38"/>
      <c r="E186" s="87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  <c r="BY186" s="16"/>
      <c r="CB186" s="16"/>
      <c r="CC186" s="32"/>
      <c r="CE186" s="16"/>
      <c r="CH186" s="16"/>
    </row>
    <row r="187" ht="12.75" customHeight="1">
      <c r="B187" s="36"/>
      <c r="C187" s="37"/>
      <c r="D187" s="38"/>
      <c r="E187" s="87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  <c r="AN187" s="90"/>
      <c r="AO187" s="90"/>
      <c r="AP187" s="90"/>
      <c r="AQ187" s="90"/>
      <c r="AR187" s="90"/>
      <c r="AS187" s="90"/>
      <c r="BY187" s="16"/>
      <c r="CB187" s="16"/>
      <c r="CC187" s="32"/>
      <c r="CE187" s="16"/>
      <c r="CH187" s="16"/>
    </row>
    <row r="188" ht="12.75" customHeight="1">
      <c r="B188" s="36"/>
      <c r="C188" s="37"/>
      <c r="D188" s="38"/>
      <c r="E188" s="87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  <c r="AR188" s="90"/>
      <c r="AS188" s="90"/>
      <c r="BY188" s="16"/>
      <c r="CB188" s="16"/>
      <c r="CC188" s="32"/>
      <c r="CE188" s="16"/>
      <c r="CH188" s="16"/>
    </row>
    <row r="189" ht="12.75" customHeight="1">
      <c r="B189" s="36"/>
      <c r="C189" s="37"/>
      <c r="D189" s="38"/>
      <c r="E189" s="87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0"/>
      <c r="AN189" s="90"/>
      <c r="AO189" s="90"/>
      <c r="AP189" s="90"/>
      <c r="AQ189" s="90"/>
      <c r="AR189" s="90"/>
      <c r="AS189" s="90"/>
      <c r="BY189" s="16"/>
      <c r="CB189" s="16"/>
      <c r="CC189" s="32"/>
      <c r="CE189" s="16"/>
      <c r="CH189" s="16"/>
    </row>
    <row r="190" ht="12.75" customHeight="1">
      <c r="B190" s="36"/>
      <c r="C190" s="37"/>
      <c r="D190" s="38"/>
      <c r="E190" s="87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0"/>
      <c r="AO190" s="90"/>
      <c r="AP190" s="90"/>
      <c r="AQ190" s="90"/>
      <c r="AR190" s="90"/>
      <c r="AS190" s="90"/>
      <c r="BY190" s="16"/>
      <c r="CB190" s="16"/>
      <c r="CC190" s="32"/>
      <c r="CE190" s="16"/>
      <c r="CH190" s="16"/>
    </row>
    <row r="191" ht="12.75" customHeight="1">
      <c r="B191" s="36"/>
      <c r="C191" s="37"/>
      <c r="D191" s="38"/>
      <c r="E191" s="87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  <c r="AM191" s="90"/>
      <c r="AN191" s="90"/>
      <c r="AO191" s="90"/>
      <c r="AP191" s="90"/>
      <c r="AQ191" s="90"/>
      <c r="AR191" s="90"/>
      <c r="AS191" s="90"/>
      <c r="BY191" s="16"/>
      <c r="CB191" s="16"/>
      <c r="CC191" s="32"/>
      <c r="CE191" s="16"/>
      <c r="CH191" s="16"/>
    </row>
    <row r="192" ht="12.75" customHeight="1">
      <c r="B192" s="36"/>
      <c r="C192" s="37"/>
      <c r="D192" s="38"/>
      <c r="E192" s="87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BY192" s="16"/>
      <c r="CB192" s="16"/>
      <c r="CC192" s="32"/>
      <c r="CE192" s="16"/>
      <c r="CH192" s="16"/>
    </row>
    <row r="193" ht="12.75" customHeight="1">
      <c r="B193" s="36"/>
      <c r="C193" s="37"/>
      <c r="D193" s="38"/>
      <c r="E193" s="87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BY193" s="16"/>
      <c r="CB193" s="16"/>
      <c r="CC193" s="32"/>
      <c r="CE193" s="16"/>
      <c r="CH193" s="16"/>
    </row>
    <row r="194" ht="12.75" customHeight="1">
      <c r="B194" s="36"/>
      <c r="C194" s="37"/>
      <c r="D194" s="38"/>
      <c r="E194" s="87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  <c r="AR194" s="90"/>
      <c r="AS194" s="90"/>
      <c r="BY194" s="16"/>
      <c r="CB194" s="16"/>
      <c r="CC194" s="32"/>
      <c r="CE194" s="16"/>
      <c r="CH194" s="16"/>
    </row>
    <row r="195" ht="12.75" customHeight="1">
      <c r="B195" s="36"/>
      <c r="C195" s="37"/>
      <c r="D195" s="38"/>
      <c r="E195" s="87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  <c r="AM195" s="90"/>
      <c r="AN195" s="90"/>
      <c r="AO195" s="90"/>
      <c r="AP195" s="90"/>
      <c r="AQ195" s="90"/>
      <c r="AR195" s="90"/>
      <c r="AS195" s="90"/>
      <c r="BY195" s="16"/>
      <c r="CB195" s="16"/>
      <c r="CC195" s="32"/>
      <c r="CE195" s="16"/>
      <c r="CH195" s="16"/>
    </row>
    <row r="196" ht="12.75" customHeight="1">
      <c r="B196" s="36"/>
      <c r="C196" s="37"/>
      <c r="D196" s="38"/>
      <c r="E196" s="87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0"/>
      <c r="BY196" s="16"/>
      <c r="CB196" s="16"/>
      <c r="CC196" s="32"/>
      <c r="CE196" s="16"/>
      <c r="CH196" s="16"/>
    </row>
    <row r="197" ht="12.75" customHeight="1">
      <c r="B197" s="36"/>
      <c r="C197" s="37"/>
      <c r="D197" s="38"/>
      <c r="E197" s="87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0"/>
      <c r="AN197" s="90"/>
      <c r="AO197" s="90"/>
      <c r="AP197" s="90"/>
      <c r="AQ197" s="90"/>
      <c r="AR197" s="90"/>
      <c r="AS197" s="90"/>
      <c r="BY197" s="16"/>
      <c r="CB197" s="16"/>
      <c r="CC197" s="32"/>
      <c r="CE197" s="16"/>
      <c r="CH197" s="16"/>
    </row>
    <row r="198" ht="12.75" customHeight="1">
      <c r="B198" s="36"/>
      <c r="C198" s="37"/>
      <c r="D198" s="38"/>
      <c r="E198" s="87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BY198" s="16"/>
      <c r="CB198" s="16"/>
      <c r="CC198" s="32"/>
      <c r="CE198" s="16"/>
      <c r="CH198" s="16"/>
    </row>
    <row r="199" ht="12.75" customHeight="1">
      <c r="B199" s="36"/>
      <c r="C199" s="37"/>
      <c r="D199" s="38"/>
      <c r="E199" s="87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0"/>
      <c r="AO199" s="90"/>
      <c r="AP199" s="90"/>
      <c r="AQ199" s="90"/>
      <c r="AR199" s="90"/>
      <c r="AS199" s="90"/>
      <c r="BY199" s="16"/>
      <c r="CB199" s="16"/>
      <c r="CC199" s="32"/>
      <c r="CE199" s="16"/>
      <c r="CH199" s="16"/>
    </row>
    <row r="200" ht="12.75" customHeight="1">
      <c r="B200" s="36"/>
      <c r="C200" s="37"/>
      <c r="D200" s="38"/>
      <c r="E200" s="87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0"/>
      <c r="AP200" s="90"/>
      <c r="AQ200" s="90"/>
      <c r="AR200" s="90"/>
      <c r="AS200" s="90"/>
      <c r="BY200" s="16"/>
      <c r="CB200" s="16"/>
      <c r="CC200" s="32"/>
      <c r="CE200" s="16"/>
      <c r="CH200" s="16"/>
    </row>
    <row r="201" ht="12.75" customHeight="1">
      <c r="B201" s="36"/>
      <c r="C201" s="37"/>
      <c r="D201" s="38"/>
      <c r="E201" s="87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  <c r="AM201" s="90"/>
      <c r="AN201" s="90"/>
      <c r="AO201" s="90"/>
      <c r="AP201" s="90"/>
      <c r="AQ201" s="90"/>
      <c r="AR201" s="90"/>
      <c r="AS201" s="90"/>
      <c r="BY201" s="16"/>
      <c r="CB201" s="16"/>
      <c r="CC201" s="32"/>
      <c r="CE201" s="16"/>
      <c r="CH201" s="16"/>
    </row>
    <row r="202" ht="12.75" customHeight="1">
      <c r="B202" s="36"/>
      <c r="C202" s="37"/>
      <c r="D202" s="38"/>
      <c r="E202" s="87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  <c r="AQ202" s="90"/>
      <c r="AR202" s="90"/>
      <c r="AS202" s="90"/>
      <c r="BY202" s="16"/>
      <c r="CB202" s="16"/>
      <c r="CC202" s="32"/>
      <c r="CE202" s="16"/>
      <c r="CH202" s="16"/>
    </row>
    <row r="203" ht="12.75" customHeight="1">
      <c r="B203" s="36"/>
      <c r="C203" s="37"/>
      <c r="D203" s="38"/>
      <c r="E203" s="87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  <c r="AM203" s="90"/>
      <c r="AN203" s="90"/>
      <c r="AO203" s="90"/>
      <c r="AP203" s="90"/>
      <c r="AQ203" s="90"/>
      <c r="AR203" s="90"/>
      <c r="AS203" s="90"/>
      <c r="BY203" s="16"/>
      <c r="CB203" s="16"/>
      <c r="CC203" s="32"/>
      <c r="CE203" s="16"/>
      <c r="CH203" s="16"/>
    </row>
    <row r="204" ht="12.75" customHeight="1">
      <c r="B204" s="36"/>
      <c r="C204" s="37"/>
      <c r="D204" s="38"/>
      <c r="E204" s="87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  <c r="AR204" s="90"/>
      <c r="AS204" s="90"/>
      <c r="BY204" s="16"/>
      <c r="CB204" s="16"/>
      <c r="CC204" s="32"/>
      <c r="CE204" s="16"/>
      <c r="CH204" s="16"/>
    </row>
    <row r="205" ht="12.75" customHeight="1">
      <c r="B205" s="36"/>
      <c r="C205" s="37"/>
      <c r="D205" s="38"/>
      <c r="E205" s="87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0"/>
      <c r="AN205" s="90"/>
      <c r="AO205" s="90"/>
      <c r="AP205" s="90"/>
      <c r="AQ205" s="90"/>
      <c r="AR205" s="90"/>
      <c r="AS205" s="90"/>
      <c r="BY205" s="16"/>
      <c r="CB205" s="16"/>
      <c r="CC205" s="32"/>
      <c r="CE205" s="16"/>
      <c r="CH205" s="16"/>
    </row>
    <row r="206" ht="12.75" customHeight="1">
      <c r="B206" s="36"/>
      <c r="C206" s="37"/>
      <c r="D206" s="38"/>
      <c r="E206" s="87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BY206" s="16"/>
      <c r="CB206" s="16"/>
      <c r="CC206" s="32"/>
      <c r="CE206" s="16"/>
      <c r="CH206" s="16"/>
    </row>
    <row r="207" ht="12.75" customHeight="1">
      <c r="B207" s="36"/>
      <c r="C207" s="37"/>
      <c r="D207" s="38"/>
      <c r="E207" s="87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  <c r="AM207" s="90"/>
      <c r="AN207" s="90"/>
      <c r="AO207" s="90"/>
      <c r="AP207" s="90"/>
      <c r="AQ207" s="90"/>
      <c r="AR207" s="90"/>
      <c r="AS207" s="90"/>
      <c r="BY207" s="16"/>
      <c r="CB207" s="16"/>
      <c r="CC207" s="32"/>
      <c r="CE207" s="16"/>
      <c r="CH207" s="16"/>
    </row>
    <row r="208" ht="12.75" customHeight="1">
      <c r="B208" s="36"/>
      <c r="C208" s="37"/>
      <c r="D208" s="38"/>
      <c r="E208" s="87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0"/>
      <c r="AP208" s="90"/>
      <c r="AQ208" s="90"/>
      <c r="AR208" s="90"/>
      <c r="AS208" s="90"/>
      <c r="BY208" s="16"/>
      <c r="CB208" s="16"/>
      <c r="CC208" s="32"/>
      <c r="CE208" s="16"/>
      <c r="CH208" s="16"/>
    </row>
    <row r="209" ht="12.75" customHeight="1">
      <c r="B209" s="36"/>
      <c r="C209" s="37"/>
      <c r="D209" s="38"/>
      <c r="E209" s="87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  <c r="AM209" s="90"/>
      <c r="AN209" s="90"/>
      <c r="AO209" s="90"/>
      <c r="AP209" s="90"/>
      <c r="AQ209" s="90"/>
      <c r="AR209" s="90"/>
      <c r="AS209" s="90"/>
      <c r="BY209" s="16"/>
      <c r="CB209" s="16"/>
      <c r="CC209" s="32"/>
      <c r="CE209" s="16"/>
      <c r="CH209" s="16"/>
    </row>
    <row r="210" ht="12.75" customHeight="1">
      <c r="B210" s="36"/>
      <c r="C210" s="37"/>
      <c r="D210" s="38"/>
      <c r="E210" s="87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  <c r="AR210" s="90"/>
      <c r="AS210" s="90"/>
      <c r="BY210" s="16"/>
      <c r="CB210" s="16"/>
      <c r="CC210" s="32"/>
      <c r="CE210" s="16"/>
      <c r="CH210" s="16"/>
    </row>
    <row r="211" ht="12.75" customHeight="1">
      <c r="B211" s="36"/>
      <c r="C211" s="37"/>
      <c r="D211" s="38"/>
      <c r="E211" s="87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0"/>
      <c r="AN211" s="90"/>
      <c r="AO211" s="90"/>
      <c r="AP211" s="90"/>
      <c r="AQ211" s="90"/>
      <c r="AR211" s="90"/>
      <c r="AS211" s="90"/>
      <c r="BY211" s="16"/>
      <c r="CB211" s="16"/>
      <c r="CC211" s="32"/>
      <c r="CE211" s="16"/>
      <c r="CH211" s="16"/>
    </row>
    <row r="212" ht="12.75" customHeight="1">
      <c r="B212" s="36"/>
      <c r="C212" s="37"/>
      <c r="D212" s="38"/>
      <c r="E212" s="87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  <c r="AR212" s="90"/>
      <c r="AS212" s="90"/>
      <c r="BY212" s="16"/>
      <c r="CB212" s="16"/>
      <c r="CC212" s="32"/>
      <c r="CE212" s="16"/>
      <c r="CH212" s="16"/>
    </row>
    <row r="213" ht="12.75" customHeight="1">
      <c r="B213" s="36"/>
      <c r="C213" s="37"/>
      <c r="D213" s="38"/>
      <c r="E213" s="87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  <c r="AM213" s="90"/>
      <c r="AN213" s="90"/>
      <c r="AO213" s="90"/>
      <c r="AP213" s="90"/>
      <c r="AQ213" s="90"/>
      <c r="AR213" s="90"/>
      <c r="AS213" s="90"/>
      <c r="BY213" s="16"/>
      <c r="CB213" s="16"/>
      <c r="CC213" s="32"/>
      <c r="CE213" s="16"/>
      <c r="CH213" s="16"/>
    </row>
    <row r="214" ht="12.75" customHeight="1">
      <c r="B214" s="36"/>
      <c r="C214" s="37"/>
      <c r="D214" s="38"/>
      <c r="E214" s="87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  <c r="AR214" s="90"/>
      <c r="AS214" s="90"/>
      <c r="BY214" s="16"/>
      <c r="CB214" s="16"/>
      <c r="CC214" s="32"/>
      <c r="CE214" s="16"/>
      <c r="CH214" s="16"/>
    </row>
    <row r="215" ht="12.75" customHeight="1">
      <c r="B215" s="36"/>
      <c r="C215" s="37"/>
      <c r="D215" s="38"/>
      <c r="E215" s="87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0"/>
      <c r="AN215" s="90"/>
      <c r="AO215" s="90"/>
      <c r="AP215" s="90"/>
      <c r="AQ215" s="90"/>
      <c r="AR215" s="90"/>
      <c r="AS215" s="90"/>
      <c r="BY215" s="16"/>
      <c r="CB215" s="16"/>
      <c r="CC215" s="32"/>
      <c r="CE215" s="16"/>
      <c r="CH215" s="16"/>
    </row>
    <row r="216" ht="12.75" customHeight="1">
      <c r="B216" s="36"/>
      <c r="C216" s="37"/>
      <c r="D216" s="38"/>
      <c r="E216" s="87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  <c r="AR216" s="90"/>
      <c r="AS216" s="90"/>
      <c r="BY216" s="16"/>
      <c r="CB216" s="16"/>
      <c r="CC216" s="32"/>
      <c r="CE216" s="16"/>
      <c r="CH216" s="16"/>
    </row>
    <row r="217" ht="12.75" customHeight="1">
      <c r="B217" s="36"/>
      <c r="C217" s="37"/>
      <c r="D217" s="38"/>
      <c r="E217" s="87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0"/>
      <c r="AN217" s="90"/>
      <c r="AO217" s="90"/>
      <c r="AP217" s="90"/>
      <c r="AQ217" s="90"/>
      <c r="AR217" s="90"/>
      <c r="AS217" s="90"/>
      <c r="BY217" s="16"/>
      <c r="CB217" s="16"/>
      <c r="CC217" s="32"/>
      <c r="CE217" s="16"/>
      <c r="CH217" s="16"/>
    </row>
    <row r="218" ht="12.75" customHeight="1">
      <c r="B218" s="36"/>
      <c r="C218" s="37"/>
      <c r="D218" s="38"/>
      <c r="E218" s="87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  <c r="AR218" s="90"/>
      <c r="AS218" s="90"/>
      <c r="BY218" s="16"/>
      <c r="CB218" s="16"/>
      <c r="CC218" s="32"/>
      <c r="CE218" s="16"/>
      <c r="CH218" s="16"/>
    </row>
    <row r="219" ht="12.75" customHeight="1">
      <c r="B219" s="36"/>
      <c r="C219" s="37"/>
      <c r="D219" s="38"/>
      <c r="E219" s="87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0"/>
      <c r="AN219" s="90"/>
      <c r="AO219" s="90"/>
      <c r="AP219" s="90"/>
      <c r="AQ219" s="90"/>
      <c r="AR219" s="90"/>
      <c r="AS219" s="90"/>
      <c r="BY219" s="16"/>
      <c r="CB219" s="16"/>
      <c r="CC219" s="32"/>
      <c r="CE219" s="16"/>
      <c r="CH219" s="16"/>
    </row>
    <row r="220" ht="12.75" customHeight="1">
      <c r="B220" s="36"/>
      <c r="C220" s="37"/>
      <c r="D220" s="38"/>
      <c r="E220" s="87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  <c r="AR220" s="90"/>
      <c r="AS220" s="90"/>
      <c r="BY220" s="16"/>
      <c r="CB220" s="16"/>
      <c r="CC220" s="32"/>
      <c r="CE220" s="16"/>
      <c r="CH220" s="16"/>
    </row>
    <row r="221" ht="12.75" customHeight="1">
      <c r="B221" s="36"/>
      <c r="C221" s="37"/>
      <c r="D221" s="38"/>
      <c r="E221" s="87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  <c r="AM221" s="90"/>
      <c r="AN221" s="90"/>
      <c r="AO221" s="90"/>
      <c r="AP221" s="90"/>
      <c r="AQ221" s="90"/>
      <c r="AR221" s="90"/>
      <c r="AS221" s="90"/>
      <c r="BY221" s="16"/>
      <c r="CB221" s="16"/>
      <c r="CC221" s="32"/>
      <c r="CE221" s="16"/>
      <c r="CH221" s="16"/>
    </row>
    <row r="222" ht="12.75" customHeight="1">
      <c r="B222" s="36"/>
      <c r="C222" s="37"/>
      <c r="D222" s="38"/>
      <c r="E222" s="87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0"/>
      <c r="AN222" s="90"/>
      <c r="AO222" s="90"/>
      <c r="AP222" s="90"/>
      <c r="AQ222" s="90"/>
      <c r="AR222" s="90"/>
      <c r="AS222" s="90"/>
      <c r="BY222" s="16"/>
      <c r="CB222" s="16"/>
      <c r="CC222" s="32"/>
      <c r="CE222" s="16"/>
      <c r="CH222" s="16"/>
    </row>
    <row r="223" ht="12.75" customHeight="1">
      <c r="B223" s="36"/>
      <c r="C223" s="37"/>
      <c r="D223" s="38"/>
      <c r="E223" s="87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  <c r="AM223" s="90"/>
      <c r="AN223" s="90"/>
      <c r="AO223" s="90"/>
      <c r="AP223" s="90"/>
      <c r="AQ223" s="90"/>
      <c r="AR223" s="90"/>
      <c r="AS223" s="90"/>
      <c r="BY223" s="16"/>
      <c r="CB223" s="16"/>
      <c r="CC223" s="32"/>
      <c r="CE223" s="16"/>
      <c r="CH223" s="16"/>
    </row>
    <row r="224" ht="12.75" customHeight="1">
      <c r="B224" s="36"/>
      <c r="C224" s="37"/>
      <c r="D224" s="38"/>
      <c r="E224" s="87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  <c r="AR224" s="90"/>
      <c r="AS224" s="90"/>
      <c r="BY224" s="16"/>
      <c r="CB224" s="16"/>
      <c r="CC224" s="32"/>
      <c r="CE224" s="16"/>
      <c r="CH224" s="16"/>
    </row>
    <row r="225" ht="12.75" customHeight="1">
      <c r="B225" s="36"/>
      <c r="C225" s="37"/>
      <c r="D225" s="38"/>
      <c r="E225" s="87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  <c r="AM225" s="90"/>
      <c r="AN225" s="90"/>
      <c r="AO225" s="90"/>
      <c r="AP225" s="90"/>
      <c r="AQ225" s="90"/>
      <c r="AR225" s="90"/>
      <c r="AS225" s="90"/>
      <c r="BY225" s="16"/>
      <c r="CB225" s="16"/>
      <c r="CC225" s="32"/>
      <c r="CE225" s="16"/>
      <c r="CH225" s="16"/>
    </row>
    <row r="226" ht="12.75" customHeight="1">
      <c r="B226" s="36"/>
      <c r="C226" s="37"/>
      <c r="D226" s="38"/>
      <c r="E226" s="87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  <c r="AR226" s="90"/>
      <c r="AS226" s="90"/>
      <c r="BY226" s="16"/>
      <c r="CB226" s="16"/>
      <c r="CC226" s="32"/>
      <c r="CE226" s="16"/>
      <c r="CH226" s="16"/>
    </row>
    <row r="227" ht="12.75" customHeight="1">
      <c r="B227" s="36"/>
      <c r="C227" s="37"/>
      <c r="D227" s="38"/>
      <c r="E227" s="87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  <c r="AQ227" s="90"/>
      <c r="AR227" s="90"/>
      <c r="AS227" s="90"/>
      <c r="BY227" s="16"/>
      <c r="CB227" s="16"/>
      <c r="CC227" s="32"/>
      <c r="CE227" s="16"/>
      <c r="CH227" s="16"/>
    </row>
    <row r="228" ht="12.75" customHeight="1">
      <c r="B228" s="36"/>
      <c r="C228" s="37"/>
      <c r="D228" s="38"/>
      <c r="E228" s="87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  <c r="AR228" s="90"/>
      <c r="AS228" s="90"/>
      <c r="BY228" s="16"/>
      <c r="CB228" s="16"/>
      <c r="CC228" s="32"/>
      <c r="CE228" s="16"/>
      <c r="CH228" s="16"/>
    </row>
    <row r="229" ht="12.75" customHeight="1">
      <c r="B229" s="36"/>
      <c r="C229" s="37"/>
      <c r="D229" s="38"/>
      <c r="E229" s="87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  <c r="AM229" s="90"/>
      <c r="AN229" s="90"/>
      <c r="AO229" s="90"/>
      <c r="AP229" s="90"/>
      <c r="AQ229" s="90"/>
      <c r="AR229" s="90"/>
      <c r="AS229" s="90"/>
      <c r="BY229" s="16"/>
      <c r="CB229" s="16"/>
      <c r="CC229" s="32"/>
      <c r="CE229" s="16"/>
      <c r="CH229" s="16"/>
    </row>
    <row r="230" ht="12.75" customHeight="1">
      <c r="B230" s="36"/>
      <c r="C230" s="37"/>
      <c r="D230" s="38"/>
      <c r="E230" s="87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BY230" s="16"/>
      <c r="CB230" s="16"/>
      <c r="CC230" s="32"/>
      <c r="CE230" s="16"/>
      <c r="CH230" s="16"/>
    </row>
    <row r="231" ht="12.75" customHeight="1">
      <c r="B231" s="36"/>
      <c r="C231" s="37"/>
      <c r="D231" s="38"/>
      <c r="E231" s="87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BY231" s="16"/>
      <c r="CB231" s="16"/>
      <c r="CC231" s="32"/>
      <c r="CE231" s="16"/>
      <c r="CH231" s="16"/>
    </row>
    <row r="232" ht="12.75" customHeight="1">
      <c r="B232" s="36"/>
      <c r="C232" s="37"/>
      <c r="D232" s="38"/>
      <c r="E232" s="87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  <c r="AR232" s="90"/>
      <c r="AS232" s="90"/>
      <c r="BY232" s="16"/>
      <c r="CB232" s="16"/>
      <c r="CC232" s="32"/>
      <c r="CE232" s="16"/>
      <c r="CH232" s="16"/>
    </row>
    <row r="233" ht="12.75" customHeight="1">
      <c r="B233" s="36"/>
      <c r="C233" s="37"/>
      <c r="D233" s="38"/>
      <c r="E233" s="87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  <c r="AQ233" s="90"/>
      <c r="AR233" s="90"/>
      <c r="AS233" s="90"/>
      <c r="BY233" s="16"/>
      <c r="CB233" s="16"/>
      <c r="CC233" s="32"/>
      <c r="CE233" s="16"/>
      <c r="CH233" s="16"/>
    </row>
    <row r="234" ht="12.75" customHeight="1">
      <c r="B234" s="36"/>
      <c r="C234" s="37"/>
      <c r="D234" s="38"/>
      <c r="E234" s="87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BY234" s="16"/>
      <c r="CB234" s="16"/>
      <c r="CC234" s="32"/>
      <c r="CE234" s="16"/>
      <c r="CH234" s="16"/>
    </row>
    <row r="235" ht="12.75" customHeight="1">
      <c r="B235" s="36"/>
      <c r="C235" s="37"/>
      <c r="D235" s="38"/>
      <c r="E235" s="87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  <c r="AM235" s="90"/>
      <c r="AN235" s="90"/>
      <c r="AO235" s="90"/>
      <c r="AP235" s="90"/>
      <c r="AQ235" s="90"/>
      <c r="AR235" s="90"/>
      <c r="AS235" s="90"/>
      <c r="BY235" s="16"/>
      <c r="CB235" s="16"/>
      <c r="CC235" s="32"/>
      <c r="CE235" s="16"/>
      <c r="CH235" s="16"/>
    </row>
    <row r="236" ht="12.75" customHeight="1">
      <c r="B236" s="36"/>
      <c r="C236" s="37"/>
      <c r="D236" s="38"/>
      <c r="E236" s="87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BY236" s="16"/>
      <c r="CB236" s="16"/>
      <c r="CC236" s="32"/>
      <c r="CE236" s="16"/>
      <c r="CH236" s="16"/>
    </row>
    <row r="237" ht="12.75" customHeight="1">
      <c r="B237" s="36"/>
      <c r="C237" s="37"/>
      <c r="D237" s="38"/>
      <c r="E237" s="87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0"/>
      <c r="AN237" s="90"/>
      <c r="AO237" s="90"/>
      <c r="AP237" s="90"/>
      <c r="AQ237" s="90"/>
      <c r="AR237" s="90"/>
      <c r="AS237" s="90"/>
      <c r="BY237" s="16"/>
      <c r="CB237" s="16"/>
      <c r="CC237" s="32"/>
      <c r="CE237" s="16"/>
      <c r="CH237" s="16"/>
    </row>
    <row r="238" ht="12.75" customHeight="1">
      <c r="B238" s="36"/>
      <c r="C238" s="37"/>
      <c r="D238" s="38"/>
      <c r="E238" s="87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  <c r="AQ238" s="90"/>
      <c r="AR238" s="90"/>
      <c r="AS238" s="90"/>
      <c r="BY238" s="16"/>
      <c r="CB238" s="16"/>
      <c r="CC238" s="32"/>
      <c r="CE238" s="16"/>
      <c r="CH238" s="16"/>
    </row>
    <row r="239" ht="12.75" customHeight="1">
      <c r="B239" s="36"/>
      <c r="C239" s="37"/>
      <c r="D239" s="38"/>
      <c r="E239" s="87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0"/>
      <c r="AN239" s="90"/>
      <c r="AO239" s="90"/>
      <c r="AP239" s="90"/>
      <c r="AQ239" s="90"/>
      <c r="AR239" s="90"/>
      <c r="AS239" s="90"/>
      <c r="BY239" s="16"/>
      <c r="CB239" s="16"/>
      <c r="CC239" s="32"/>
      <c r="CE239" s="16"/>
      <c r="CH239" s="16"/>
    </row>
    <row r="240" ht="12.75" customHeight="1">
      <c r="B240" s="36"/>
      <c r="C240" s="37"/>
      <c r="D240" s="38"/>
      <c r="E240" s="87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BY240" s="16"/>
      <c r="CB240" s="16"/>
      <c r="CC240" s="32"/>
      <c r="CE240" s="16"/>
      <c r="CH240" s="16"/>
    </row>
    <row r="241" ht="12.75" customHeight="1">
      <c r="B241" s="36"/>
      <c r="C241" s="37"/>
      <c r="D241" s="38"/>
      <c r="E241" s="87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  <c r="AM241" s="90"/>
      <c r="AN241" s="90"/>
      <c r="AO241" s="90"/>
      <c r="AP241" s="90"/>
      <c r="AQ241" s="90"/>
      <c r="AR241" s="90"/>
      <c r="AS241" s="90"/>
      <c r="BY241" s="16"/>
      <c r="CB241" s="16"/>
      <c r="CC241" s="32"/>
      <c r="CE241" s="16"/>
      <c r="CH241" s="16"/>
    </row>
    <row r="242" ht="12.75" customHeight="1">
      <c r="B242" s="36"/>
      <c r="C242" s="37"/>
      <c r="D242" s="38"/>
      <c r="E242" s="87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  <c r="AR242" s="90"/>
      <c r="AS242" s="90"/>
      <c r="BY242" s="16"/>
      <c r="CB242" s="16"/>
      <c r="CC242" s="32"/>
      <c r="CE242" s="16"/>
      <c r="CH242" s="16"/>
    </row>
    <row r="243" ht="12.75" customHeight="1">
      <c r="B243" s="36"/>
      <c r="C243" s="37"/>
      <c r="D243" s="38"/>
      <c r="E243" s="87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0"/>
      <c r="AN243" s="90"/>
      <c r="AO243" s="90"/>
      <c r="AP243" s="90"/>
      <c r="AQ243" s="90"/>
      <c r="AR243" s="90"/>
      <c r="AS243" s="90"/>
      <c r="BY243" s="16"/>
      <c r="CB243" s="16"/>
      <c r="CC243" s="32"/>
      <c r="CE243" s="16"/>
      <c r="CH243" s="16"/>
    </row>
    <row r="244" ht="12.75" customHeight="1">
      <c r="B244" s="36"/>
      <c r="C244" s="37"/>
      <c r="D244" s="38"/>
      <c r="E244" s="87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  <c r="AQ244" s="90"/>
      <c r="AR244" s="90"/>
      <c r="AS244" s="90"/>
      <c r="BY244" s="16"/>
      <c r="CB244" s="16"/>
      <c r="CC244" s="32"/>
      <c r="CE244" s="16"/>
      <c r="CH244" s="16"/>
    </row>
    <row r="245" ht="12.75" customHeight="1">
      <c r="B245" s="36"/>
      <c r="C245" s="37"/>
      <c r="D245" s="38"/>
      <c r="E245" s="87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0"/>
      <c r="AN245" s="90"/>
      <c r="AO245" s="90"/>
      <c r="AP245" s="90"/>
      <c r="AQ245" s="90"/>
      <c r="AR245" s="90"/>
      <c r="AS245" s="90"/>
      <c r="BY245" s="16"/>
      <c r="CB245" s="16"/>
      <c r="CC245" s="32"/>
      <c r="CE245" s="16"/>
      <c r="CH245" s="16"/>
    </row>
    <row r="246" ht="12.75" customHeight="1">
      <c r="B246" s="36"/>
      <c r="C246" s="37"/>
      <c r="D246" s="38"/>
      <c r="E246" s="87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  <c r="AR246" s="90"/>
      <c r="AS246" s="90"/>
      <c r="BY246" s="16"/>
      <c r="CB246" s="16"/>
      <c r="CC246" s="32"/>
      <c r="CE246" s="16"/>
      <c r="CH246" s="16"/>
    </row>
    <row r="247" ht="12.75" customHeight="1">
      <c r="B247" s="36"/>
      <c r="C247" s="37"/>
      <c r="D247" s="38"/>
      <c r="E247" s="87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  <c r="AM247" s="90"/>
      <c r="AN247" s="90"/>
      <c r="AO247" s="90"/>
      <c r="AP247" s="90"/>
      <c r="AQ247" s="90"/>
      <c r="AR247" s="90"/>
      <c r="AS247" s="90"/>
      <c r="BY247" s="16"/>
      <c r="CB247" s="16"/>
      <c r="CC247" s="32"/>
      <c r="CE247" s="16"/>
      <c r="CH247" s="16"/>
    </row>
    <row r="248" ht="12.75" customHeight="1">
      <c r="B248" s="36"/>
      <c r="C248" s="37"/>
      <c r="D248" s="38"/>
      <c r="E248" s="87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/>
      <c r="AO248" s="90"/>
      <c r="AP248" s="90"/>
      <c r="AQ248" s="90"/>
      <c r="AR248" s="90"/>
      <c r="AS248" s="90"/>
      <c r="BY248" s="16"/>
      <c r="CB248" s="16"/>
      <c r="CC248" s="32"/>
      <c r="CE248" s="16"/>
      <c r="CH248" s="16"/>
    </row>
    <row r="249" ht="12.75" customHeight="1">
      <c r="B249" s="36"/>
      <c r="C249" s="37"/>
      <c r="D249" s="38"/>
      <c r="E249" s="87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  <c r="AM249" s="90"/>
      <c r="AN249" s="90"/>
      <c r="AO249" s="90"/>
      <c r="AP249" s="90"/>
      <c r="AQ249" s="90"/>
      <c r="AR249" s="90"/>
      <c r="AS249" s="90"/>
      <c r="BY249" s="16"/>
      <c r="CB249" s="16"/>
      <c r="CC249" s="32"/>
      <c r="CE249" s="16"/>
      <c r="CH249" s="16"/>
    </row>
    <row r="250" ht="12.75" customHeight="1">
      <c r="B250" s="36"/>
      <c r="C250" s="37"/>
      <c r="D250" s="38"/>
      <c r="E250" s="87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  <c r="AQ250" s="90"/>
      <c r="AR250" s="90"/>
      <c r="AS250" s="90"/>
      <c r="BY250" s="16"/>
      <c r="CB250" s="16"/>
      <c r="CC250" s="32"/>
      <c r="CE250" s="16"/>
      <c r="CH250" s="16"/>
    </row>
    <row r="251" ht="12.75" customHeight="1">
      <c r="B251" s="36"/>
      <c r="C251" s="37"/>
      <c r="D251" s="38"/>
      <c r="E251" s="87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  <c r="AM251" s="90"/>
      <c r="AN251" s="90"/>
      <c r="AO251" s="90"/>
      <c r="AP251" s="90"/>
      <c r="AQ251" s="90"/>
      <c r="AR251" s="90"/>
      <c r="AS251" s="90"/>
      <c r="BY251" s="16"/>
      <c r="CB251" s="16"/>
      <c r="CC251" s="32"/>
      <c r="CE251" s="16"/>
      <c r="CH251" s="16"/>
    </row>
    <row r="252" ht="12.75" customHeight="1">
      <c r="B252" s="36"/>
      <c r="C252" s="37"/>
      <c r="D252" s="38"/>
      <c r="E252" s="87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  <c r="AQ252" s="90"/>
      <c r="AR252" s="90"/>
      <c r="AS252" s="90"/>
      <c r="BY252" s="16"/>
      <c r="CB252" s="16"/>
      <c r="CC252" s="32"/>
      <c r="CE252" s="16"/>
      <c r="CH252" s="16"/>
    </row>
    <row r="253" ht="12.75" customHeight="1">
      <c r="B253" s="36"/>
      <c r="C253" s="37"/>
      <c r="D253" s="38"/>
      <c r="E253" s="87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  <c r="AM253" s="90"/>
      <c r="AN253" s="90"/>
      <c r="AO253" s="90"/>
      <c r="AP253" s="90"/>
      <c r="AQ253" s="90"/>
      <c r="AR253" s="90"/>
      <c r="AS253" s="90"/>
      <c r="BY253" s="16"/>
      <c r="CB253" s="16"/>
      <c r="CC253" s="32"/>
      <c r="CE253" s="16"/>
      <c r="CH253" s="16"/>
    </row>
    <row r="254" ht="12.75" customHeight="1">
      <c r="B254" s="36"/>
      <c r="C254" s="37"/>
      <c r="D254" s="38"/>
      <c r="E254" s="87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0"/>
      <c r="AN254" s="90"/>
      <c r="AO254" s="90"/>
      <c r="AP254" s="90"/>
      <c r="AQ254" s="90"/>
      <c r="AR254" s="90"/>
      <c r="AS254" s="90"/>
      <c r="BY254" s="16"/>
      <c r="CB254" s="16"/>
      <c r="CC254" s="32"/>
      <c r="CE254" s="16"/>
      <c r="CH254" s="16"/>
    </row>
    <row r="255" ht="12.75" customHeight="1">
      <c r="B255" s="36"/>
      <c r="C255" s="37"/>
      <c r="D255" s="38"/>
      <c r="E255" s="87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  <c r="AM255" s="90"/>
      <c r="AN255" s="90"/>
      <c r="AO255" s="90"/>
      <c r="AP255" s="90"/>
      <c r="AQ255" s="90"/>
      <c r="AR255" s="90"/>
      <c r="AS255" s="90"/>
      <c r="BY255" s="16"/>
      <c r="CB255" s="16"/>
      <c r="CC255" s="32"/>
      <c r="CE255" s="16"/>
      <c r="CH255" s="16"/>
    </row>
    <row r="256" ht="12.75" customHeight="1">
      <c r="B256" s="36"/>
      <c r="C256" s="37"/>
      <c r="D256" s="38"/>
      <c r="E256" s="87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0"/>
      <c r="AN256" s="90"/>
      <c r="AO256" s="90"/>
      <c r="AP256" s="90"/>
      <c r="AQ256" s="90"/>
      <c r="AR256" s="90"/>
      <c r="AS256" s="90"/>
      <c r="BY256" s="16"/>
      <c r="CB256" s="16"/>
      <c r="CC256" s="32"/>
      <c r="CE256" s="16"/>
      <c r="CH256" s="16"/>
    </row>
    <row r="257" ht="12.75" customHeight="1">
      <c r="B257" s="36"/>
      <c r="C257" s="37"/>
      <c r="D257" s="38"/>
      <c r="E257" s="87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  <c r="AM257" s="90"/>
      <c r="AN257" s="90"/>
      <c r="AO257" s="90"/>
      <c r="AP257" s="90"/>
      <c r="AQ257" s="90"/>
      <c r="AR257" s="90"/>
      <c r="AS257" s="90"/>
      <c r="BY257" s="16"/>
      <c r="CB257" s="16"/>
      <c r="CC257" s="32"/>
      <c r="CE257" s="16"/>
      <c r="CH257" s="16"/>
    </row>
    <row r="258" ht="12.75" customHeight="1">
      <c r="B258" s="36"/>
      <c r="C258" s="37"/>
      <c r="D258" s="38"/>
      <c r="E258" s="87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  <c r="AQ258" s="90"/>
      <c r="AR258" s="90"/>
      <c r="AS258" s="90"/>
      <c r="BY258" s="16"/>
      <c r="CB258" s="16"/>
      <c r="CC258" s="32"/>
      <c r="CE258" s="16"/>
      <c r="CH258" s="16"/>
    </row>
    <row r="259" ht="12.75" customHeight="1">
      <c r="B259" s="36"/>
      <c r="C259" s="37"/>
      <c r="D259" s="38"/>
      <c r="E259" s="87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  <c r="AM259" s="90"/>
      <c r="AN259" s="90"/>
      <c r="AO259" s="90"/>
      <c r="AP259" s="90"/>
      <c r="AQ259" s="90"/>
      <c r="AR259" s="90"/>
      <c r="AS259" s="90"/>
      <c r="BY259" s="16"/>
      <c r="CB259" s="16"/>
      <c r="CC259" s="32"/>
      <c r="CE259" s="16"/>
      <c r="CH259" s="16"/>
    </row>
    <row r="260" ht="12.75" customHeight="1">
      <c r="B260" s="36"/>
      <c r="C260" s="37"/>
      <c r="D260" s="38"/>
      <c r="E260" s="87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  <c r="AQ260" s="90"/>
      <c r="AR260" s="90"/>
      <c r="AS260" s="90"/>
      <c r="BY260" s="16"/>
      <c r="CB260" s="16"/>
      <c r="CC260" s="32"/>
      <c r="CE260" s="16"/>
      <c r="CH260" s="16"/>
    </row>
    <row r="261" ht="12.75" customHeight="1">
      <c r="B261" s="36"/>
      <c r="C261" s="37"/>
      <c r="D261" s="38"/>
      <c r="E261" s="87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  <c r="AM261" s="90"/>
      <c r="AN261" s="90"/>
      <c r="AO261" s="90"/>
      <c r="AP261" s="90"/>
      <c r="AQ261" s="90"/>
      <c r="AR261" s="90"/>
      <c r="AS261" s="90"/>
      <c r="BY261" s="16"/>
      <c r="CB261" s="16"/>
      <c r="CC261" s="32"/>
      <c r="CE261" s="16"/>
      <c r="CH261" s="16"/>
    </row>
    <row r="262" ht="12.75" customHeight="1">
      <c r="B262" s="36"/>
      <c r="C262" s="37"/>
      <c r="D262" s="38"/>
      <c r="E262" s="87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  <c r="AQ262" s="90"/>
      <c r="AR262" s="90"/>
      <c r="AS262" s="90"/>
      <c r="BY262" s="16"/>
      <c r="CB262" s="16"/>
      <c r="CC262" s="32"/>
      <c r="CE262" s="16"/>
      <c r="CH262" s="16"/>
    </row>
    <row r="263" ht="12.75" customHeight="1">
      <c r="B263" s="36"/>
      <c r="C263" s="37"/>
      <c r="D263" s="38"/>
      <c r="E263" s="87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0"/>
      <c r="AN263" s="90"/>
      <c r="AO263" s="90"/>
      <c r="AP263" s="90"/>
      <c r="AQ263" s="90"/>
      <c r="AR263" s="90"/>
      <c r="AS263" s="90"/>
      <c r="BY263" s="16"/>
      <c r="CB263" s="16"/>
      <c r="CC263" s="32"/>
      <c r="CE263" s="16"/>
      <c r="CH263" s="16"/>
    </row>
    <row r="264" ht="12.75" customHeight="1">
      <c r="B264" s="36"/>
      <c r="C264" s="37"/>
      <c r="D264" s="38"/>
      <c r="E264" s="87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  <c r="AQ264" s="90"/>
      <c r="AR264" s="90"/>
      <c r="AS264" s="90"/>
      <c r="BY264" s="16"/>
      <c r="CB264" s="16"/>
      <c r="CC264" s="32"/>
      <c r="CE264" s="16"/>
      <c r="CH264" s="16"/>
    </row>
    <row r="265" ht="12.75" customHeight="1">
      <c r="B265" s="36"/>
      <c r="C265" s="37"/>
      <c r="D265" s="38"/>
      <c r="E265" s="87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0"/>
      <c r="AN265" s="90"/>
      <c r="AO265" s="90"/>
      <c r="AP265" s="90"/>
      <c r="AQ265" s="90"/>
      <c r="AR265" s="90"/>
      <c r="AS265" s="90"/>
      <c r="BY265" s="16"/>
      <c r="CB265" s="16"/>
      <c r="CC265" s="32"/>
      <c r="CE265" s="16"/>
      <c r="CH265" s="16"/>
    </row>
    <row r="266" ht="12.75" customHeight="1">
      <c r="B266" s="36"/>
      <c r="C266" s="37"/>
      <c r="D266" s="38"/>
      <c r="E266" s="87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  <c r="AN266" s="90"/>
      <c r="AO266" s="90"/>
      <c r="AP266" s="90"/>
      <c r="AQ266" s="90"/>
      <c r="AR266" s="90"/>
      <c r="AS266" s="90"/>
      <c r="BY266" s="16"/>
      <c r="CB266" s="16"/>
      <c r="CC266" s="32"/>
      <c r="CE266" s="16"/>
      <c r="CH266" s="16"/>
    </row>
    <row r="267" ht="12.75" customHeight="1">
      <c r="B267" s="36"/>
      <c r="C267" s="37"/>
      <c r="D267" s="38"/>
      <c r="E267" s="87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0"/>
      <c r="AN267" s="90"/>
      <c r="AO267" s="90"/>
      <c r="AP267" s="90"/>
      <c r="AQ267" s="90"/>
      <c r="AR267" s="90"/>
      <c r="AS267" s="90"/>
      <c r="BY267" s="16"/>
      <c r="CB267" s="16"/>
      <c r="CC267" s="32"/>
      <c r="CE267" s="16"/>
      <c r="CH267" s="16"/>
    </row>
    <row r="268" ht="12.75" customHeight="1">
      <c r="B268" s="36"/>
      <c r="C268" s="37"/>
      <c r="D268" s="38"/>
      <c r="E268" s="87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0"/>
      <c r="AN268" s="90"/>
      <c r="AO268" s="90"/>
      <c r="AP268" s="90"/>
      <c r="AQ268" s="90"/>
      <c r="AR268" s="90"/>
      <c r="AS268" s="90"/>
      <c r="BY268" s="16"/>
      <c r="CB268" s="16"/>
      <c r="CC268" s="32"/>
      <c r="CE268" s="16"/>
      <c r="CH268" s="16"/>
    </row>
    <row r="269" ht="12.75" customHeight="1">
      <c r="B269" s="36"/>
      <c r="C269" s="37"/>
      <c r="D269" s="38"/>
      <c r="E269" s="87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BY269" s="16"/>
      <c r="CB269" s="16"/>
      <c r="CC269" s="32"/>
      <c r="CE269" s="16"/>
      <c r="CH269" s="16"/>
    </row>
    <row r="270" ht="12.75" customHeight="1">
      <c r="B270" s="36"/>
      <c r="C270" s="37"/>
      <c r="D270" s="38"/>
      <c r="E270" s="87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  <c r="AN270" s="90"/>
      <c r="AO270" s="90"/>
      <c r="AP270" s="90"/>
      <c r="AQ270" s="90"/>
      <c r="AR270" s="90"/>
      <c r="AS270" s="90"/>
      <c r="BY270" s="16"/>
      <c r="CB270" s="16"/>
      <c r="CC270" s="32"/>
      <c r="CE270" s="16"/>
      <c r="CH270" s="16"/>
    </row>
    <row r="271" ht="12.75" customHeight="1">
      <c r="B271" s="36"/>
      <c r="C271" s="37"/>
      <c r="D271" s="38"/>
      <c r="E271" s="87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  <c r="AM271" s="90"/>
      <c r="AN271" s="90"/>
      <c r="AO271" s="90"/>
      <c r="AP271" s="90"/>
      <c r="AQ271" s="90"/>
      <c r="AR271" s="90"/>
      <c r="AS271" s="90"/>
      <c r="BY271" s="16"/>
      <c r="CB271" s="16"/>
      <c r="CC271" s="32"/>
      <c r="CE271" s="16"/>
      <c r="CH271" s="16"/>
    </row>
    <row r="272" ht="12.75" customHeight="1">
      <c r="B272" s="36"/>
      <c r="C272" s="37"/>
      <c r="D272" s="38"/>
      <c r="E272" s="87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  <c r="AN272" s="90"/>
      <c r="AO272" s="90"/>
      <c r="AP272" s="90"/>
      <c r="AQ272" s="90"/>
      <c r="AR272" s="90"/>
      <c r="AS272" s="90"/>
      <c r="BY272" s="16"/>
      <c r="CB272" s="16"/>
      <c r="CC272" s="32"/>
      <c r="CE272" s="16"/>
      <c r="CH272" s="16"/>
    </row>
    <row r="273" ht="12.75" customHeight="1">
      <c r="B273" s="36"/>
      <c r="C273" s="37"/>
      <c r="D273" s="38"/>
      <c r="E273" s="87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  <c r="AM273" s="90"/>
      <c r="AN273" s="90"/>
      <c r="AO273" s="90"/>
      <c r="AP273" s="90"/>
      <c r="AQ273" s="90"/>
      <c r="AR273" s="90"/>
      <c r="AS273" s="90"/>
      <c r="BY273" s="16"/>
      <c r="CB273" s="16"/>
      <c r="CC273" s="32"/>
      <c r="CE273" s="16"/>
      <c r="CH273" s="16"/>
    </row>
    <row r="274" ht="12.75" customHeight="1">
      <c r="B274" s="36"/>
      <c r="C274" s="37"/>
      <c r="D274" s="38"/>
      <c r="E274" s="87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0"/>
      <c r="AN274" s="90"/>
      <c r="AO274" s="90"/>
      <c r="AP274" s="90"/>
      <c r="AQ274" s="90"/>
      <c r="AR274" s="90"/>
      <c r="AS274" s="90"/>
      <c r="BY274" s="16"/>
      <c r="CB274" s="16"/>
      <c r="CC274" s="32"/>
      <c r="CE274" s="16"/>
      <c r="CH274" s="16"/>
    </row>
    <row r="275" ht="12.75" customHeight="1">
      <c r="B275" s="36"/>
      <c r="C275" s="37"/>
      <c r="D275" s="38"/>
      <c r="E275" s="87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  <c r="AM275" s="90"/>
      <c r="AN275" s="90"/>
      <c r="AO275" s="90"/>
      <c r="AP275" s="90"/>
      <c r="AQ275" s="90"/>
      <c r="AR275" s="90"/>
      <c r="AS275" s="90"/>
      <c r="BY275" s="16"/>
      <c r="CB275" s="16"/>
      <c r="CC275" s="32"/>
      <c r="CE275" s="16"/>
      <c r="CH275" s="16"/>
    </row>
    <row r="276" ht="12.75" customHeight="1">
      <c r="B276" s="36"/>
      <c r="C276" s="37"/>
      <c r="D276" s="38"/>
      <c r="E276" s="87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  <c r="AN276" s="90"/>
      <c r="AO276" s="90"/>
      <c r="AP276" s="90"/>
      <c r="AQ276" s="90"/>
      <c r="AR276" s="90"/>
      <c r="AS276" s="90"/>
      <c r="BY276" s="16"/>
      <c r="CB276" s="16"/>
      <c r="CC276" s="32"/>
      <c r="CE276" s="16"/>
      <c r="CH276" s="16"/>
    </row>
    <row r="277" ht="12.75" customHeight="1">
      <c r="B277" s="36"/>
      <c r="C277" s="37"/>
      <c r="D277" s="38"/>
      <c r="E277" s="87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  <c r="AM277" s="90"/>
      <c r="AN277" s="90"/>
      <c r="AO277" s="90"/>
      <c r="AP277" s="90"/>
      <c r="AQ277" s="90"/>
      <c r="AR277" s="90"/>
      <c r="AS277" s="90"/>
      <c r="BY277" s="16"/>
      <c r="CB277" s="16"/>
      <c r="CC277" s="32"/>
      <c r="CE277" s="16"/>
      <c r="CH277" s="16"/>
    </row>
    <row r="278" ht="12.75" customHeight="1">
      <c r="B278" s="36"/>
      <c r="C278" s="37"/>
      <c r="D278" s="38"/>
      <c r="E278" s="87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0"/>
      <c r="AN278" s="90"/>
      <c r="AO278" s="90"/>
      <c r="AP278" s="90"/>
      <c r="AQ278" s="90"/>
      <c r="AR278" s="90"/>
      <c r="AS278" s="90"/>
      <c r="BY278" s="16"/>
      <c r="CB278" s="16"/>
      <c r="CC278" s="32"/>
      <c r="CE278" s="16"/>
      <c r="CH278" s="16"/>
    </row>
    <row r="279" ht="12.75" customHeight="1">
      <c r="B279" s="36"/>
      <c r="C279" s="37"/>
      <c r="D279" s="38"/>
      <c r="E279" s="87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  <c r="AM279" s="90"/>
      <c r="AN279" s="90"/>
      <c r="AO279" s="90"/>
      <c r="AP279" s="90"/>
      <c r="AQ279" s="90"/>
      <c r="AR279" s="90"/>
      <c r="AS279" s="90"/>
      <c r="BY279" s="16"/>
      <c r="CB279" s="16"/>
      <c r="CC279" s="32"/>
      <c r="CE279" s="16"/>
      <c r="CH279" s="16"/>
    </row>
    <row r="280" ht="12.75" customHeight="1">
      <c r="B280" s="36"/>
      <c r="C280" s="37"/>
      <c r="D280" s="38"/>
      <c r="E280" s="87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  <c r="AN280" s="90"/>
      <c r="AO280" s="90"/>
      <c r="AP280" s="90"/>
      <c r="AQ280" s="90"/>
      <c r="AR280" s="90"/>
      <c r="AS280" s="90"/>
      <c r="BY280" s="16"/>
      <c r="CB280" s="16"/>
      <c r="CC280" s="32"/>
      <c r="CE280" s="16"/>
      <c r="CH280" s="16"/>
    </row>
    <row r="281" ht="12.75" customHeight="1">
      <c r="B281" s="36"/>
      <c r="C281" s="37"/>
      <c r="D281" s="38"/>
      <c r="E281" s="87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  <c r="AM281" s="90"/>
      <c r="AN281" s="90"/>
      <c r="AO281" s="90"/>
      <c r="AP281" s="90"/>
      <c r="AQ281" s="90"/>
      <c r="AR281" s="90"/>
      <c r="AS281" s="90"/>
      <c r="BY281" s="16"/>
      <c r="CB281" s="16"/>
      <c r="CC281" s="32"/>
      <c r="CE281" s="16"/>
      <c r="CH281" s="16"/>
    </row>
    <row r="282" ht="12.75" customHeight="1">
      <c r="B282" s="36"/>
      <c r="C282" s="37"/>
      <c r="D282" s="38"/>
      <c r="E282" s="87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  <c r="AQ282" s="90"/>
      <c r="AR282" s="90"/>
      <c r="AS282" s="90"/>
      <c r="BY282" s="16"/>
      <c r="CB282" s="16"/>
      <c r="CC282" s="32"/>
      <c r="CE282" s="16"/>
      <c r="CH282" s="16"/>
    </row>
    <row r="283" ht="12.75" customHeight="1">
      <c r="B283" s="36"/>
      <c r="C283" s="37"/>
      <c r="D283" s="38"/>
      <c r="E283" s="87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  <c r="AM283" s="90"/>
      <c r="AN283" s="90"/>
      <c r="AO283" s="90"/>
      <c r="AP283" s="90"/>
      <c r="AQ283" s="90"/>
      <c r="AR283" s="90"/>
      <c r="AS283" s="90"/>
      <c r="BY283" s="16"/>
      <c r="CB283" s="16"/>
      <c r="CC283" s="32"/>
      <c r="CE283" s="16"/>
      <c r="CH283" s="16"/>
    </row>
    <row r="284" ht="12.75" customHeight="1">
      <c r="B284" s="36"/>
      <c r="C284" s="37"/>
      <c r="D284" s="38"/>
      <c r="E284" s="87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0"/>
      <c r="AN284" s="90"/>
      <c r="AO284" s="90"/>
      <c r="AP284" s="90"/>
      <c r="AQ284" s="90"/>
      <c r="AR284" s="90"/>
      <c r="AS284" s="90"/>
      <c r="BY284" s="16"/>
      <c r="CB284" s="16"/>
      <c r="CC284" s="32"/>
      <c r="CE284" s="16"/>
      <c r="CH284" s="16"/>
    </row>
    <row r="285" ht="12.75" customHeight="1">
      <c r="B285" s="36"/>
      <c r="C285" s="37"/>
      <c r="D285" s="38"/>
      <c r="E285" s="87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  <c r="AM285" s="90"/>
      <c r="AN285" s="90"/>
      <c r="AO285" s="90"/>
      <c r="AP285" s="90"/>
      <c r="AQ285" s="90"/>
      <c r="AR285" s="90"/>
      <c r="AS285" s="90"/>
      <c r="BY285" s="16"/>
      <c r="CB285" s="16"/>
      <c r="CC285" s="32"/>
      <c r="CE285" s="16"/>
      <c r="CH285" s="16"/>
    </row>
    <row r="286" ht="12.75" customHeight="1">
      <c r="B286" s="36"/>
      <c r="C286" s="37"/>
      <c r="D286" s="38"/>
      <c r="E286" s="87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  <c r="AN286" s="90"/>
      <c r="AO286" s="90"/>
      <c r="AP286" s="90"/>
      <c r="AQ286" s="90"/>
      <c r="AR286" s="90"/>
      <c r="AS286" s="90"/>
      <c r="BY286" s="16"/>
      <c r="CB286" s="16"/>
      <c r="CC286" s="32"/>
      <c r="CE286" s="16"/>
      <c r="CH286" s="16"/>
    </row>
    <row r="287" ht="12.75" customHeight="1">
      <c r="B287" s="36"/>
      <c r="C287" s="37"/>
      <c r="D287" s="38"/>
      <c r="E287" s="87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  <c r="AM287" s="90"/>
      <c r="AN287" s="90"/>
      <c r="AO287" s="90"/>
      <c r="AP287" s="90"/>
      <c r="AQ287" s="90"/>
      <c r="AR287" s="90"/>
      <c r="AS287" s="90"/>
      <c r="BY287" s="16"/>
      <c r="CB287" s="16"/>
      <c r="CC287" s="32"/>
      <c r="CE287" s="16"/>
      <c r="CH287" s="16"/>
    </row>
    <row r="288" ht="12.75" customHeight="1">
      <c r="B288" s="36"/>
      <c r="C288" s="37"/>
      <c r="D288" s="38"/>
      <c r="E288" s="87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  <c r="AN288" s="90"/>
      <c r="AO288" s="90"/>
      <c r="AP288" s="90"/>
      <c r="AQ288" s="90"/>
      <c r="AR288" s="90"/>
      <c r="AS288" s="90"/>
      <c r="BY288" s="16"/>
      <c r="CB288" s="16"/>
      <c r="CC288" s="32"/>
      <c r="CE288" s="16"/>
      <c r="CH288" s="16"/>
    </row>
    <row r="289" ht="12.75" customHeight="1">
      <c r="B289" s="36"/>
      <c r="C289" s="37"/>
      <c r="D289" s="38"/>
      <c r="E289" s="87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  <c r="AM289" s="90"/>
      <c r="AN289" s="90"/>
      <c r="AO289" s="90"/>
      <c r="AP289" s="90"/>
      <c r="AQ289" s="90"/>
      <c r="AR289" s="90"/>
      <c r="AS289" s="90"/>
      <c r="BY289" s="16"/>
      <c r="CB289" s="16"/>
      <c r="CC289" s="32"/>
      <c r="CE289" s="16"/>
      <c r="CH289" s="16"/>
    </row>
    <row r="290" ht="12.75" customHeight="1">
      <c r="B290" s="36"/>
      <c r="C290" s="37"/>
      <c r="D290" s="38"/>
      <c r="E290" s="87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0"/>
      <c r="AN290" s="90"/>
      <c r="AO290" s="90"/>
      <c r="AP290" s="90"/>
      <c r="AQ290" s="90"/>
      <c r="AR290" s="90"/>
      <c r="AS290" s="90"/>
      <c r="BY290" s="16"/>
      <c r="CB290" s="16"/>
      <c r="CC290" s="32"/>
      <c r="CE290" s="16"/>
      <c r="CH290" s="16"/>
    </row>
    <row r="291" ht="12.75" customHeight="1">
      <c r="B291" s="36"/>
      <c r="C291" s="37"/>
      <c r="D291" s="38"/>
      <c r="E291" s="87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  <c r="AM291" s="90"/>
      <c r="AN291" s="90"/>
      <c r="AO291" s="90"/>
      <c r="AP291" s="90"/>
      <c r="AQ291" s="90"/>
      <c r="AR291" s="90"/>
      <c r="AS291" s="90"/>
      <c r="BY291" s="16"/>
      <c r="CB291" s="16"/>
      <c r="CC291" s="32"/>
      <c r="CE291" s="16"/>
      <c r="CH291" s="16"/>
    </row>
    <row r="292" ht="12.75" customHeight="1">
      <c r="B292" s="36"/>
      <c r="C292" s="37"/>
      <c r="D292" s="38"/>
      <c r="E292" s="87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0"/>
      <c r="AN292" s="90"/>
      <c r="AO292" s="90"/>
      <c r="AP292" s="90"/>
      <c r="AQ292" s="90"/>
      <c r="AR292" s="90"/>
      <c r="AS292" s="90"/>
      <c r="BY292" s="16"/>
      <c r="CB292" s="16"/>
      <c r="CC292" s="32"/>
      <c r="CE292" s="16"/>
      <c r="CH292" s="16"/>
    </row>
    <row r="293" ht="12.75" customHeight="1">
      <c r="B293" s="36"/>
      <c r="C293" s="37"/>
      <c r="D293" s="38"/>
      <c r="E293" s="87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  <c r="AM293" s="90"/>
      <c r="AN293" s="90"/>
      <c r="AO293" s="90"/>
      <c r="AP293" s="90"/>
      <c r="AQ293" s="90"/>
      <c r="AR293" s="90"/>
      <c r="AS293" s="90"/>
      <c r="BY293" s="16"/>
      <c r="CB293" s="16"/>
      <c r="CC293" s="32"/>
      <c r="CE293" s="16"/>
      <c r="CH293" s="16"/>
    </row>
    <row r="294" ht="12.75" customHeight="1">
      <c r="B294" s="36"/>
      <c r="C294" s="37"/>
      <c r="D294" s="38"/>
      <c r="E294" s="87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  <c r="AQ294" s="90"/>
      <c r="AR294" s="90"/>
      <c r="AS294" s="90"/>
      <c r="BY294" s="16"/>
      <c r="CB294" s="16"/>
      <c r="CC294" s="32"/>
      <c r="CE294" s="16"/>
      <c r="CH294" s="16"/>
    </row>
    <row r="295" ht="12.75" customHeight="1">
      <c r="B295" s="36"/>
      <c r="C295" s="37"/>
      <c r="D295" s="38"/>
      <c r="E295" s="87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  <c r="AM295" s="90"/>
      <c r="AN295" s="90"/>
      <c r="AO295" s="90"/>
      <c r="AP295" s="90"/>
      <c r="AQ295" s="90"/>
      <c r="AR295" s="90"/>
      <c r="AS295" s="90"/>
      <c r="BY295" s="16"/>
      <c r="CB295" s="16"/>
      <c r="CC295" s="32"/>
      <c r="CE295" s="16"/>
      <c r="CH295" s="16"/>
    </row>
    <row r="296" ht="12.75" customHeight="1">
      <c r="B296" s="36"/>
      <c r="C296" s="37"/>
      <c r="D296" s="38"/>
      <c r="E296" s="87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  <c r="AN296" s="90"/>
      <c r="AO296" s="90"/>
      <c r="AP296" s="90"/>
      <c r="AQ296" s="90"/>
      <c r="AR296" s="90"/>
      <c r="AS296" s="90"/>
      <c r="BY296" s="16"/>
      <c r="CB296" s="16"/>
      <c r="CC296" s="32"/>
      <c r="CE296" s="16"/>
      <c r="CH296" s="16"/>
    </row>
    <row r="297" ht="12.75" customHeight="1">
      <c r="B297" s="36"/>
      <c r="C297" s="37"/>
      <c r="D297" s="38"/>
      <c r="E297" s="87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  <c r="AM297" s="90"/>
      <c r="AN297" s="90"/>
      <c r="AO297" s="90"/>
      <c r="AP297" s="90"/>
      <c r="AQ297" s="90"/>
      <c r="AR297" s="90"/>
      <c r="AS297" s="90"/>
      <c r="BY297" s="16"/>
      <c r="CB297" s="16"/>
      <c r="CC297" s="32"/>
      <c r="CE297" s="16"/>
      <c r="CH297" s="16"/>
    </row>
    <row r="298" ht="12.75" customHeight="1">
      <c r="B298" s="36"/>
      <c r="C298" s="37"/>
      <c r="D298" s="38"/>
      <c r="E298" s="87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0"/>
      <c r="AN298" s="90"/>
      <c r="AO298" s="90"/>
      <c r="AP298" s="90"/>
      <c r="AQ298" s="90"/>
      <c r="AR298" s="90"/>
      <c r="AS298" s="90"/>
      <c r="BY298" s="16"/>
      <c r="CB298" s="16"/>
      <c r="CC298" s="32"/>
      <c r="CE298" s="16"/>
      <c r="CH298" s="16"/>
    </row>
    <row r="299" ht="12.75" customHeight="1">
      <c r="B299" s="36"/>
      <c r="C299" s="37"/>
      <c r="D299" s="38"/>
      <c r="E299" s="87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  <c r="AM299" s="90"/>
      <c r="AN299" s="90"/>
      <c r="AO299" s="90"/>
      <c r="AP299" s="90"/>
      <c r="AQ299" s="90"/>
      <c r="AR299" s="90"/>
      <c r="AS299" s="90"/>
      <c r="BY299" s="16"/>
      <c r="CB299" s="16"/>
      <c r="CC299" s="32"/>
      <c r="CE299" s="16"/>
      <c r="CH299" s="16"/>
    </row>
    <row r="300" ht="12.75" customHeight="1">
      <c r="B300" s="36"/>
      <c r="C300" s="37"/>
      <c r="D300" s="38"/>
      <c r="E300" s="87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  <c r="AN300" s="90"/>
      <c r="AO300" s="90"/>
      <c r="AP300" s="90"/>
      <c r="AQ300" s="90"/>
      <c r="AR300" s="90"/>
      <c r="AS300" s="90"/>
      <c r="BY300" s="16"/>
      <c r="CB300" s="16"/>
      <c r="CC300" s="32"/>
      <c r="CE300" s="16"/>
      <c r="CH300" s="16"/>
    </row>
    <row r="301" ht="12.75" customHeight="1">
      <c r="B301" s="36"/>
      <c r="C301" s="37"/>
      <c r="D301" s="38"/>
      <c r="E301" s="87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  <c r="AM301" s="90"/>
      <c r="AN301" s="90"/>
      <c r="AO301" s="90"/>
      <c r="AP301" s="90"/>
      <c r="AQ301" s="90"/>
      <c r="AR301" s="90"/>
      <c r="AS301" s="90"/>
      <c r="BY301" s="16"/>
      <c r="CB301" s="16"/>
      <c r="CC301" s="32"/>
      <c r="CE301" s="16"/>
      <c r="CH301" s="16"/>
    </row>
    <row r="302" ht="12.75" customHeight="1">
      <c r="B302" s="36"/>
      <c r="C302" s="37"/>
      <c r="D302" s="38"/>
      <c r="E302" s="87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  <c r="AN302" s="90"/>
      <c r="AO302" s="90"/>
      <c r="AP302" s="90"/>
      <c r="AQ302" s="90"/>
      <c r="AR302" s="90"/>
      <c r="AS302" s="90"/>
      <c r="BY302" s="16"/>
      <c r="CB302" s="16"/>
      <c r="CC302" s="32"/>
      <c r="CE302" s="16"/>
      <c r="CH302" s="16"/>
    </row>
    <row r="303" ht="12.75" customHeight="1">
      <c r="B303" s="36"/>
      <c r="C303" s="37"/>
      <c r="D303" s="38"/>
      <c r="E303" s="87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  <c r="AM303" s="90"/>
      <c r="AN303" s="90"/>
      <c r="AO303" s="90"/>
      <c r="AP303" s="90"/>
      <c r="AQ303" s="90"/>
      <c r="AR303" s="90"/>
      <c r="AS303" s="90"/>
      <c r="BY303" s="16"/>
      <c r="CB303" s="16"/>
      <c r="CC303" s="32"/>
      <c r="CE303" s="16"/>
      <c r="CH303" s="16"/>
    </row>
    <row r="304" ht="12.75" customHeight="1">
      <c r="B304" s="36"/>
      <c r="C304" s="37"/>
      <c r="D304" s="38"/>
      <c r="E304" s="87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0"/>
      <c r="AN304" s="90"/>
      <c r="AO304" s="90"/>
      <c r="AP304" s="90"/>
      <c r="AQ304" s="90"/>
      <c r="AR304" s="90"/>
      <c r="AS304" s="90"/>
      <c r="BY304" s="16"/>
      <c r="CB304" s="16"/>
      <c r="CC304" s="32"/>
      <c r="CE304" s="16"/>
      <c r="CH304" s="16"/>
    </row>
    <row r="305" ht="12.75" customHeight="1">
      <c r="B305" s="36"/>
      <c r="C305" s="37"/>
      <c r="D305" s="38"/>
      <c r="E305" s="87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0"/>
      <c r="AN305" s="90"/>
      <c r="AO305" s="90"/>
      <c r="AP305" s="90"/>
      <c r="AQ305" s="90"/>
      <c r="AR305" s="90"/>
      <c r="AS305" s="90"/>
      <c r="BY305" s="16"/>
      <c r="CB305" s="16"/>
      <c r="CC305" s="32"/>
      <c r="CE305" s="16"/>
      <c r="CH305" s="16"/>
    </row>
    <row r="306" ht="12.75" customHeight="1">
      <c r="B306" s="36"/>
      <c r="C306" s="37"/>
      <c r="D306" s="38"/>
      <c r="E306" s="87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  <c r="AN306" s="90"/>
      <c r="AO306" s="90"/>
      <c r="AP306" s="90"/>
      <c r="AQ306" s="90"/>
      <c r="AR306" s="90"/>
      <c r="AS306" s="90"/>
      <c r="BY306" s="16"/>
      <c r="CB306" s="16"/>
      <c r="CC306" s="32"/>
      <c r="CE306" s="16"/>
      <c r="CH306" s="16"/>
    </row>
    <row r="307" ht="12.75" customHeight="1">
      <c r="B307" s="36"/>
      <c r="C307" s="37"/>
      <c r="D307" s="38"/>
      <c r="E307" s="87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BY307" s="16"/>
      <c r="CB307" s="16"/>
      <c r="CC307" s="32"/>
      <c r="CE307" s="16"/>
      <c r="CH307" s="16"/>
    </row>
    <row r="308" ht="12.75" customHeight="1">
      <c r="B308" s="36"/>
      <c r="C308" s="37"/>
      <c r="D308" s="38"/>
      <c r="E308" s="87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0"/>
      <c r="AN308" s="90"/>
      <c r="AO308" s="90"/>
      <c r="AP308" s="90"/>
      <c r="AQ308" s="90"/>
      <c r="AR308" s="90"/>
      <c r="AS308" s="90"/>
      <c r="BY308" s="16"/>
      <c r="CB308" s="16"/>
      <c r="CC308" s="32"/>
      <c r="CE308" s="16"/>
      <c r="CH308" s="16"/>
    </row>
    <row r="309" ht="12.75" customHeight="1">
      <c r="B309" s="36"/>
      <c r="C309" s="37"/>
      <c r="D309" s="38"/>
      <c r="E309" s="87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0"/>
      <c r="AK309" s="90"/>
      <c r="AL309" s="90"/>
      <c r="AM309" s="90"/>
      <c r="AN309" s="90"/>
      <c r="AO309" s="90"/>
      <c r="AP309" s="90"/>
      <c r="AQ309" s="90"/>
      <c r="AR309" s="90"/>
      <c r="AS309" s="90"/>
      <c r="BY309" s="16"/>
      <c r="CB309" s="16"/>
      <c r="CC309" s="32"/>
      <c r="CE309" s="16"/>
      <c r="CH309" s="16"/>
    </row>
    <row r="310" ht="12.75" customHeight="1">
      <c r="B310" s="36"/>
      <c r="C310" s="37"/>
      <c r="D310" s="38"/>
      <c r="E310" s="87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0"/>
      <c r="AR310" s="90"/>
      <c r="AS310" s="90"/>
      <c r="BY310" s="16"/>
      <c r="CB310" s="16"/>
      <c r="CC310" s="32"/>
      <c r="CE310" s="16"/>
      <c r="CH310" s="16"/>
    </row>
    <row r="311" ht="12.75" customHeight="1">
      <c r="B311" s="36"/>
      <c r="C311" s="37"/>
      <c r="D311" s="38"/>
      <c r="E311" s="87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0"/>
      <c r="AJ311" s="90"/>
      <c r="AK311" s="90"/>
      <c r="AL311" s="90"/>
      <c r="AM311" s="90"/>
      <c r="AN311" s="90"/>
      <c r="AO311" s="90"/>
      <c r="AP311" s="90"/>
      <c r="AQ311" s="90"/>
      <c r="AR311" s="90"/>
      <c r="AS311" s="90"/>
      <c r="BY311" s="16"/>
      <c r="CB311" s="16"/>
      <c r="CC311" s="32"/>
      <c r="CE311" s="16"/>
      <c r="CH311" s="16"/>
    </row>
    <row r="312" ht="12.75" customHeight="1">
      <c r="B312" s="36"/>
      <c r="C312" s="37"/>
      <c r="D312" s="38"/>
      <c r="E312" s="87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0"/>
      <c r="AN312" s="90"/>
      <c r="AO312" s="90"/>
      <c r="AP312" s="90"/>
      <c r="AQ312" s="90"/>
      <c r="AR312" s="90"/>
      <c r="AS312" s="90"/>
      <c r="BY312" s="16"/>
      <c r="CB312" s="16"/>
      <c r="CC312" s="32"/>
      <c r="CE312" s="16"/>
      <c r="CH312" s="16"/>
    </row>
    <row r="313" ht="12.75" customHeight="1">
      <c r="B313" s="36"/>
      <c r="C313" s="37"/>
      <c r="D313" s="38"/>
      <c r="E313" s="87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  <c r="AL313" s="90"/>
      <c r="AM313" s="90"/>
      <c r="AN313" s="90"/>
      <c r="AO313" s="90"/>
      <c r="AP313" s="90"/>
      <c r="AQ313" s="90"/>
      <c r="AR313" s="90"/>
      <c r="AS313" s="90"/>
      <c r="BY313" s="16"/>
      <c r="CB313" s="16"/>
      <c r="CC313" s="32"/>
      <c r="CE313" s="16"/>
      <c r="CH313" s="16"/>
    </row>
    <row r="314" ht="12.75" customHeight="1">
      <c r="B314" s="36"/>
      <c r="C314" s="37"/>
      <c r="D314" s="38"/>
      <c r="E314" s="87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  <c r="AN314" s="90"/>
      <c r="AO314" s="90"/>
      <c r="AP314" s="90"/>
      <c r="AQ314" s="90"/>
      <c r="AR314" s="90"/>
      <c r="AS314" s="90"/>
      <c r="BY314" s="16"/>
      <c r="CB314" s="16"/>
      <c r="CC314" s="32"/>
      <c r="CE314" s="16"/>
      <c r="CH314" s="16"/>
    </row>
  </sheetData>
  <mergeCells count="1">
    <mergeCell ref="AD2:AD103"/>
  </mergeCells>
  <conditionalFormatting sqref="BW2:CC2 BW3:CJ103 CE2:CJ2">
    <cfRule type="cellIs" dxfId="0" priority="1" operator="equal">
      <formula>0</formula>
    </cfRule>
  </conditionalFormatting>
  <conditionalFormatting sqref="AE2:AE103">
    <cfRule type="cellIs" dxfId="1" priority="2" operator="greaterThan">
      <formula>30</formula>
    </cfRule>
  </conditionalFormatting>
  <conditionalFormatting sqref="AG2:AS103">
    <cfRule type="cellIs" dxfId="1" priority="3" operator="greaterThan">
      <formula>0.08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4.13"/>
    <col customWidth="1" min="3" max="4" width="18.25"/>
    <col customWidth="1" min="5" max="5" width="35.63"/>
    <col customWidth="1" min="6" max="6" width="12.63"/>
    <col customWidth="1" min="7" max="7" width="20.75"/>
    <col customWidth="1" min="8" max="8" width="21.38"/>
  </cols>
  <sheetData>
    <row r="1" ht="15.75" customHeight="1">
      <c r="A1" s="92" t="s">
        <v>4</v>
      </c>
      <c r="B1" s="92" t="s">
        <v>6</v>
      </c>
      <c r="C1" s="92" t="s">
        <v>5</v>
      </c>
      <c r="D1" s="92" t="s">
        <v>172</v>
      </c>
      <c r="E1" s="92" t="s">
        <v>173</v>
      </c>
      <c r="F1" s="92" t="s">
        <v>174</v>
      </c>
      <c r="G1" s="92" t="s">
        <v>175</v>
      </c>
      <c r="H1" s="92" t="s">
        <v>176</v>
      </c>
    </row>
    <row r="2" ht="15.75" customHeight="1">
      <c r="A2" s="15">
        <v>1.0</v>
      </c>
      <c r="B2" s="93" t="s">
        <v>56</v>
      </c>
      <c r="C2" s="15" t="s">
        <v>55</v>
      </c>
      <c r="D2" s="15" t="s">
        <v>13</v>
      </c>
    </row>
    <row r="3" ht="15.75" customHeight="1">
      <c r="A3" s="15">
        <v>2.0</v>
      </c>
      <c r="B3" s="93" t="s">
        <v>58</v>
      </c>
      <c r="C3" s="15" t="s">
        <v>55</v>
      </c>
      <c r="D3" s="15" t="s">
        <v>13</v>
      </c>
    </row>
    <row r="4" ht="15.75" customHeight="1">
      <c r="A4" s="15">
        <v>3.0</v>
      </c>
      <c r="B4" s="93" t="s">
        <v>60</v>
      </c>
      <c r="C4" s="15" t="s">
        <v>55</v>
      </c>
      <c r="D4" s="15" t="s">
        <v>17</v>
      </c>
    </row>
    <row r="5" ht="15.75" customHeight="1">
      <c r="A5" s="15">
        <v>4.0</v>
      </c>
      <c r="B5" s="93" t="s">
        <v>61</v>
      </c>
      <c r="C5" s="15" t="s">
        <v>55</v>
      </c>
      <c r="D5" s="15" t="s">
        <v>17</v>
      </c>
    </row>
    <row r="6" ht="15.75" customHeight="1">
      <c r="A6" s="15">
        <v>5.0</v>
      </c>
      <c r="B6" s="93" t="s">
        <v>62</v>
      </c>
      <c r="C6" s="15" t="s">
        <v>55</v>
      </c>
      <c r="D6" s="15" t="s">
        <v>17</v>
      </c>
    </row>
    <row r="7" ht="15.75" customHeight="1">
      <c r="A7" s="15">
        <v>6.0</v>
      </c>
      <c r="B7" s="93" t="s">
        <v>64</v>
      </c>
      <c r="C7" s="15" t="s">
        <v>55</v>
      </c>
      <c r="D7" s="15" t="s">
        <v>177</v>
      </c>
    </row>
    <row r="8" ht="15.75" customHeight="1">
      <c r="A8" s="15">
        <v>7.0</v>
      </c>
      <c r="B8" s="94" t="s">
        <v>65</v>
      </c>
      <c r="C8" s="15" t="s">
        <v>55</v>
      </c>
      <c r="D8" s="15" t="s">
        <v>21</v>
      </c>
    </row>
    <row r="9" ht="15.75" customHeight="1">
      <c r="A9" s="15">
        <v>8.0</v>
      </c>
      <c r="B9" s="94" t="s">
        <v>66</v>
      </c>
      <c r="C9" s="15" t="s">
        <v>55</v>
      </c>
      <c r="D9" s="15" t="s">
        <v>21</v>
      </c>
    </row>
    <row r="10" ht="15.75" customHeight="1">
      <c r="A10" s="15">
        <v>9.0</v>
      </c>
      <c r="B10" s="94" t="s">
        <v>67</v>
      </c>
      <c r="C10" s="15" t="s">
        <v>55</v>
      </c>
      <c r="D10" s="15" t="s">
        <v>18</v>
      </c>
    </row>
    <row r="11" ht="15.75" customHeight="1">
      <c r="A11" s="15">
        <v>10.0</v>
      </c>
      <c r="B11" s="94" t="s">
        <v>68</v>
      </c>
      <c r="C11" s="15" t="s">
        <v>55</v>
      </c>
      <c r="D11" s="15" t="s">
        <v>18</v>
      </c>
    </row>
    <row r="12" ht="15.75" customHeight="1">
      <c r="A12" s="15">
        <v>11.0</v>
      </c>
      <c r="B12" s="93" t="s">
        <v>69</v>
      </c>
      <c r="C12" s="15" t="s">
        <v>55</v>
      </c>
      <c r="D12" s="15" t="s">
        <v>9</v>
      </c>
    </row>
    <row r="13" ht="15.75" customHeight="1">
      <c r="A13" s="15">
        <v>12.0</v>
      </c>
      <c r="B13" s="93" t="s">
        <v>70</v>
      </c>
      <c r="C13" s="15" t="s">
        <v>55</v>
      </c>
      <c r="D13" s="15" t="s">
        <v>9</v>
      </c>
    </row>
    <row r="14" ht="15.75" customHeight="1">
      <c r="A14" s="15">
        <v>13.0</v>
      </c>
      <c r="B14" s="93" t="s">
        <v>71</v>
      </c>
      <c r="C14" s="15" t="s">
        <v>55</v>
      </c>
      <c r="D14" s="15" t="s">
        <v>9</v>
      </c>
    </row>
    <row r="15" ht="15.75" customHeight="1">
      <c r="A15" s="15">
        <v>14.0</v>
      </c>
      <c r="B15" s="95" t="s">
        <v>72</v>
      </c>
      <c r="C15" s="15" t="s">
        <v>55</v>
      </c>
      <c r="D15" s="15" t="s">
        <v>15</v>
      </c>
    </row>
    <row r="16" ht="15.75" customHeight="1">
      <c r="A16" s="15">
        <v>15.0</v>
      </c>
      <c r="B16" s="93" t="s">
        <v>74</v>
      </c>
      <c r="C16" s="15" t="s">
        <v>73</v>
      </c>
      <c r="D16" s="15" t="s">
        <v>17</v>
      </c>
    </row>
    <row r="17" ht="15.75" customHeight="1">
      <c r="A17" s="15">
        <v>16.0</v>
      </c>
      <c r="B17" s="93" t="s">
        <v>75</v>
      </c>
      <c r="C17" s="15" t="s">
        <v>73</v>
      </c>
      <c r="D17" s="15" t="s">
        <v>177</v>
      </c>
    </row>
    <row r="18" ht="15.75" customHeight="1">
      <c r="A18" s="15">
        <v>17.0</v>
      </c>
      <c r="B18" s="94" t="s">
        <v>76</v>
      </c>
      <c r="C18" s="15" t="s">
        <v>73</v>
      </c>
      <c r="D18" s="15" t="s">
        <v>18</v>
      </c>
    </row>
    <row r="19" ht="15.75" customHeight="1">
      <c r="A19" s="15">
        <v>18.0</v>
      </c>
      <c r="B19" s="94" t="s">
        <v>77</v>
      </c>
      <c r="C19" s="15" t="s">
        <v>73</v>
      </c>
      <c r="D19" s="15" t="s">
        <v>18</v>
      </c>
    </row>
    <row r="20" ht="15.75" customHeight="1">
      <c r="A20" s="15">
        <v>19.0</v>
      </c>
      <c r="B20" s="94" t="s">
        <v>78</v>
      </c>
      <c r="C20" s="15" t="s">
        <v>73</v>
      </c>
      <c r="D20" s="15" t="s">
        <v>18</v>
      </c>
    </row>
    <row r="21" ht="15.75" customHeight="1">
      <c r="A21" s="15">
        <v>20.0</v>
      </c>
      <c r="B21" s="93" t="s">
        <v>79</v>
      </c>
      <c r="C21" s="15" t="s">
        <v>73</v>
      </c>
      <c r="D21" s="15" t="s">
        <v>9</v>
      </c>
    </row>
    <row r="22" ht="15.75" customHeight="1">
      <c r="A22" s="15">
        <v>21.0</v>
      </c>
      <c r="B22" s="93" t="s">
        <v>80</v>
      </c>
      <c r="C22" s="15" t="s">
        <v>73</v>
      </c>
      <c r="D22" s="15" t="s">
        <v>20</v>
      </c>
    </row>
    <row r="23" ht="15.75" customHeight="1">
      <c r="A23" s="15">
        <v>22.0</v>
      </c>
      <c r="B23" s="96" t="s">
        <v>81</v>
      </c>
      <c r="C23" s="15" t="s">
        <v>73</v>
      </c>
      <c r="D23" s="15" t="s">
        <v>178</v>
      </c>
    </row>
    <row r="24" ht="15.75" customHeight="1">
      <c r="A24" s="15">
        <v>23.0</v>
      </c>
      <c r="B24" s="96" t="s">
        <v>179</v>
      </c>
      <c r="C24" s="15" t="s">
        <v>73</v>
      </c>
      <c r="D24" s="15" t="s">
        <v>178</v>
      </c>
    </row>
    <row r="25" ht="15.75" customHeight="1">
      <c r="A25" s="15">
        <v>24.0</v>
      </c>
      <c r="B25" s="96" t="s">
        <v>83</v>
      </c>
      <c r="C25" s="15" t="s">
        <v>73</v>
      </c>
      <c r="D25" s="15" t="s">
        <v>178</v>
      </c>
      <c r="E25" s="15" t="s">
        <v>180</v>
      </c>
    </row>
    <row r="26" ht="15.75" customHeight="1">
      <c r="A26" s="15">
        <v>25.0</v>
      </c>
      <c r="B26" s="96" t="s">
        <v>181</v>
      </c>
      <c r="C26" s="15" t="s">
        <v>73</v>
      </c>
      <c r="D26" s="15" t="s">
        <v>178</v>
      </c>
    </row>
    <row r="27" ht="15.75" customHeight="1">
      <c r="A27" s="15">
        <v>26.0</v>
      </c>
      <c r="B27" s="96" t="s">
        <v>85</v>
      </c>
      <c r="C27" s="15" t="s">
        <v>73</v>
      </c>
      <c r="D27" s="15" t="s">
        <v>178</v>
      </c>
    </row>
    <row r="28" ht="15.75" customHeight="1">
      <c r="A28" s="15">
        <v>27.0</v>
      </c>
      <c r="B28" s="96" t="s">
        <v>182</v>
      </c>
      <c r="C28" s="15" t="s">
        <v>73</v>
      </c>
      <c r="D28" s="15" t="s">
        <v>178</v>
      </c>
    </row>
    <row r="29" ht="15.75" customHeight="1">
      <c r="A29" s="15">
        <v>28.0</v>
      </c>
      <c r="B29" s="95" t="s">
        <v>87</v>
      </c>
      <c r="C29" s="15" t="s">
        <v>73</v>
      </c>
      <c r="D29" s="15" t="s">
        <v>15</v>
      </c>
    </row>
    <row r="30" ht="15.75" customHeight="1">
      <c r="A30" s="15">
        <v>29.0</v>
      </c>
      <c r="B30" s="95" t="s">
        <v>88</v>
      </c>
      <c r="C30" s="15" t="s">
        <v>73</v>
      </c>
      <c r="D30" s="15" t="s">
        <v>15</v>
      </c>
    </row>
    <row r="31" ht="15.75" customHeight="1">
      <c r="A31" s="15">
        <v>30.0</v>
      </c>
      <c r="B31" s="95" t="s">
        <v>89</v>
      </c>
      <c r="C31" s="15" t="s">
        <v>73</v>
      </c>
      <c r="D31" s="15" t="s">
        <v>15</v>
      </c>
    </row>
    <row r="32" ht="15.75" customHeight="1">
      <c r="A32" s="15">
        <v>31.0</v>
      </c>
      <c r="B32" s="95" t="s">
        <v>90</v>
      </c>
      <c r="C32" s="15" t="s">
        <v>73</v>
      </c>
      <c r="D32" s="15" t="s">
        <v>15</v>
      </c>
    </row>
    <row r="33" ht="15.75" customHeight="1">
      <c r="A33" s="15">
        <v>32.0</v>
      </c>
      <c r="B33" s="95" t="s">
        <v>91</v>
      </c>
      <c r="C33" s="15" t="s">
        <v>73</v>
      </c>
      <c r="D33" s="15" t="s">
        <v>15</v>
      </c>
    </row>
    <row r="34" ht="15.75" customHeight="1">
      <c r="A34" s="15">
        <v>33.0</v>
      </c>
      <c r="B34" s="94" t="s">
        <v>93</v>
      </c>
      <c r="C34" s="15" t="s">
        <v>92</v>
      </c>
      <c r="D34" s="15" t="s">
        <v>21</v>
      </c>
      <c r="E34" s="97" t="s">
        <v>183</v>
      </c>
    </row>
    <row r="35" ht="15.75" customHeight="1">
      <c r="A35" s="15">
        <v>34.0</v>
      </c>
      <c r="B35" s="94" t="s">
        <v>94</v>
      </c>
      <c r="C35" s="15" t="s">
        <v>92</v>
      </c>
      <c r="D35" s="15" t="s">
        <v>18</v>
      </c>
    </row>
    <row r="36" ht="15.75" customHeight="1">
      <c r="A36" s="15">
        <v>35.0</v>
      </c>
      <c r="B36" s="94" t="s">
        <v>95</v>
      </c>
      <c r="C36" s="15" t="s">
        <v>92</v>
      </c>
      <c r="D36" s="15" t="s">
        <v>18</v>
      </c>
    </row>
    <row r="37" ht="15.75" customHeight="1">
      <c r="A37" s="15">
        <v>36.0</v>
      </c>
      <c r="B37" s="93" t="s">
        <v>96</v>
      </c>
      <c r="C37" s="15" t="s">
        <v>92</v>
      </c>
      <c r="D37" s="15" t="s">
        <v>20</v>
      </c>
      <c r="E37" s="15" t="s">
        <v>184</v>
      </c>
    </row>
    <row r="38" ht="15.75" customHeight="1">
      <c r="A38" s="15">
        <v>37.0</v>
      </c>
      <c r="B38" s="93" t="s">
        <v>97</v>
      </c>
      <c r="C38" s="15" t="s">
        <v>92</v>
      </c>
      <c r="D38" s="15" t="s">
        <v>20</v>
      </c>
    </row>
    <row r="39" ht="15.75" customHeight="1">
      <c r="A39" s="15">
        <v>38.0</v>
      </c>
      <c r="B39" s="95" t="s">
        <v>98</v>
      </c>
      <c r="C39" s="15" t="s">
        <v>92</v>
      </c>
      <c r="D39" s="15" t="s">
        <v>15</v>
      </c>
    </row>
    <row r="40" ht="15.75" customHeight="1">
      <c r="A40" s="15">
        <v>39.0</v>
      </c>
      <c r="B40" s="93" t="s">
        <v>100</v>
      </c>
      <c r="C40" s="15" t="s">
        <v>99</v>
      </c>
      <c r="D40" s="15" t="s">
        <v>13</v>
      </c>
    </row>
    <row r="41" ht="15.75" customHeight="1">
      <c r="A41" s="15">
        <v>40.0</v>
      </c>
      <c r="B41" s="93" t="s">
        <v>101</v>
      </c>
      <c r="C41" s="15" t="s">
        <v>99</v>
      </c>
      <c r="D41" s="15" t="s">
        <v>17</v>
      </c>
      <c r="E41" s="15" t="s">
        <v>185</v>
      </c>
    </row>
    <row r="42" ht="15.75" customHeight="1">
      <c r="A42" s="15">
        <v>41.0</v>
      </c>
      <c r="B42" s="93" t="s">
        <v>102</v>
      </c>
      <c r="C42" s="15" t="s">
        <v>99</v>
      </c>
      <c r="D42" s="15" t="s">
        <v>17</v>
      </c>
    </row>
    <row r="43" ht="15.75" customHeight="1">
      <c r="A43" s="15">
        <v>42.0</v>
      </c>
      <c r="B43" s="93" t="s">
        <v>103</v>
      </c>
      <c r="C43" s="15" t="s">
        <v>99</v>
      </c>
      <c r="D43" s="15" t="s">
        <v>20</v>
      </c>
    </row>
    <row r="44" ht="15.75" customHeight="1">
      <c r="A44" s="15">
        <v>43.0</v>
      </c>
      <c r="B44" s="93" t="s">
        <v>104</v>
      </c>
      <c r="C44" s="15" t="s">
        <v>99</v>
      </c>
      <c r="D44" s="15" t="s">
        <v>20</v>
      </c>
    </row>
    <row r="45" ht="15.75" customHeight="1">
      <c r="A45" s="15">
        <v>44.0</v>
      </c>
      <c r="B45" s="94" t="s">
        <v>106</v>
      </c>
      <c r="C45" s="15" t="s">
        <v>105</v>
      </c>
      <c r="D45" s="15" t="s">
        <v>19</v>
      </c>
    </row>
    <row r="46" ht="15.75" customHeight="1">
      <c r="A46" s="15">
        <v>45.0</v>
      </c>
      <c r="B46" s="94" t="s">
        <v>107</v>
      </c>
      <c r="C46" s="15" t="s">
        <v>105</v>
      </c>
      <c r="D46" s="15" t="s">
        <v>19</v>
      </c>
    </row>
    <row r="47" ht="15.75" customHeight="1">
      <c r="A47" s="15">
        <v>46.0</v>
      </c>
      <c r="B47" s="94" t="s">
        <v>108</v>
      </c>
      <c r="C47" s="15" t="s">
        <v>105</v>
      </c>
      <c r="D47" s="15" t="s">
        <v>19</v>
      </c>
    </row>
    <row r="48" ht="15.75" customHeight="1">
      <c r="A48" s="15">
        <v>47.0</v>
      </c>
      <c r="B48" s="93" t="s">
        <v>109</v>
      </c>
      <c r="C48" s="15" t="s">
        <v>105</v>
      </c>
      <c r="D48" s="15" t="s">
        <v>13</v>
      </c>
      <c r="E48" s="15" t="s">
        <v>186</v>
      </c>
    </row>
    <row r="49" ht="15.75" customHeight="1">
      <c r="A49" s="15">
        <v>48.0</v>
      </c>
      <c r="B49" s="94" t="s">
        <v>110</v>
      </c>
      <c r="C49" s="15" t="s">
        <v>105</v>
      </c>
      <c r="D49" s="15" t="s">
        <v>18</v>
      </c>
    </row>
    <row r="50" ht="15.75" customHeight="1">
      <c r="A50" s="15">
        <v>49.0</v>
      </c>
      <c r="B50" s="93" t="s">
        <v>111</v>
      </c>
      <c r="C50" s="15" t="s">
        <v>105</v>
      </c>
      <c r="D50" s="15" t="s">
        <v>9</v>
      </c>
    </row>
    <row r="51" ht="15.75" customHeight="1">
      <c r="A51" s="15">
        <v>50.0</v>
      </c>
      <c r="B51" s="93" t="s">
        <v>112</v>
      </c>
      <c r="C51" s="15" t="s">
        <v>105</v>
      </c>
      <c r="D51" s="15" t="s">
        <v>12</v>
      </c>
    </row>
    <row r="52" ht="15.75" customHeight="1">
      <c r="A52" s="15">
        <v>51.0</v>
      </c>
      <c r="B52" s="93" t="s">
        <v>113</v>
      </c>
      <c r="C52" s="15" t="s">
        <v>105</v>
      </c>
      <c r="D52" s="15" t="s">
        <v>12</v>
      </c>
    </row>
    <row r="53" ht="15.75" customHeight="1">
      <c r="A53" s="15">
        <v>52.0</v>
      </c>
      <c r="B53" s="94" t="s">
        <v>115</v>
      </c>
      <c r="C53" s="15" t="s">
        <v>114</v>
      </c>
      <c r="D53" s="15" t="s">
        <v>18</v>
      </c>
    </row>
    <row r="54" ht="15.75" customHeight="1">
      <c r="A54" s="15">
        <v>53.0</v>
      </c>
      <c r="B54" s="93" t="s">
        <v>116</v>
      </c>
      <c r="C54" s="15" t="s">
        <v>114</v>
      </c>
      <c r="D54" s="15" t="s">
        <v>177</v>
      </c>
    </row>
    <row r="55" ht="15.75" customHeight="1">
      <c r="A55" s="15">
        <v>54.0</v>
      </c>
      <c r="B55" s="93" t="s">
        <v>117</v>
      </c>
      <c r="C55" s="15" t="s">
        <v>114</v>
      </c>
      <c r="D55" s="15" t="s">
        <v>177</v>
      </c>
    </row>
    <row r="56" ht="15.75" customHeight="1">
      <c r="A56" s="15">
        <v>55.0</v>
      </c>
      <c r="B56" s="93" t="s">
        <v>187</v>
      </c>
      <c r="C56" s="15" t="s">
        <v>114</v>
      </c>
      <c r="D56" s="15" t="s">
        <v>9</v>
      </c>
    </row>
    <row r="57" ht="15.75" customHeight="1">
      <c r="A57" s="15">
        <v>56.0</v>
      </c>
      <c r="B57" s="93" t="s">
        <v>119</v>
      </c>
      <c r="C57" s="15" t="s">
        <v>114</v>
      </c>
      <c r="D57" s="15" t="s">
        <v>9</v>
      </c>
    </row>
    <row r="58" ht="15.75" customHeight="1">
      <c r="A58" s="15">
        <v>57.0</v>
      </c>
      <c r="B58" s="93" t="s">
        <v>120</v>
      </c>
      <c r="C58" s="15" t="s">
        <v>114</v>
      </c>
      <c r="D58" s="15" t="s">
        <v>9</v>
      </c>
    </row>
    <row r="59" ht="15.75" customHeight="1">
      <c r="A59" s="15">
        <v>58.0</v>
      </c>
      <c r="B59" s="93" t="s">
        <v>121</v>
      </c>
      <c r="C59" s="15" t="s">
        <v>114</v>
      </c>
      <c r="D59" s="15" t="s">
        <v>9</v>
      </c>
    </row>
    <row r="60" ht="15.75" customHeight="1">
      <c r="A60" s="15">
        <v>59.0</v>
      </c>
      <c r="B60" s="93" t="s">
        <v>122</v>
      </c>
      <c r="C60" s="15" t="s">
        <v>114</v>
      </c>
      <c r="D60" s="15" t="s">
        <v>9</v>
      </c>
    </row>
    <row r="61" ht="15.75" customHeight="1">
      <c r="A61" s="15">
        <v>60.0</v>
      </c>
      <c r="B61" s="93" t="s">
        <v>123</v>
      </c>
      <c r="C61" s="15" t="s">
        <v>114</v>
      </c>
      <c r="D61" s="15" t="s">
        <v>12</v>
      </c>
    </row>
    <row r="62" ht="15.75" customHeight="1">
      <c r="A62" s="15">
        <v>61.0</v>
      </c>
      <c r="B62" s="93" t="s">
        <v>124</v>
      </c>
      <c r="C62" s="15" t="s">
        <v>114</v>
      </c>
      <c r="D62" s="15" t="s">
        <v>12</v>
      </c>
    </row>
    <row r="63" ht="15.75" customHeight="1">
      <c r="A63" s="15">
        <v>62.0</v>
      </c>
      <c r="B63" s="93" t="s">
        <v>125</v>
      </c>
      <c r="C63" s="15" t="s">
        <v>114</v>
      </c>
      <c r="D63" s="15" t="s">
        <v>12</v>
      </c>
    </row>
    <row r="64" ht="15.75" customHeight="1">
      <c r="A64" s="15">
        <v>63.0</v>
      </c>
      <c r="B64" s="95" t="s">
        <v>126</v>
      </c>
      <c r="C64" s="15" t="s">
        <v>114</v>
      </c>
      <c r="D64" s="15" t="s">
        <v>15</v>
      </c>
    </row>
    <row r="65" ht="15.75" customHeight="1">
      <c r="A65" s="15">
        <v>64.0</v>
      </c>
      <c r="B65" s="94" t="s">
        <v>128</v>
      </c>
      <c r="C65" s="15" t="s">
        <v>127</v>
      </c>
      <c r="D65" s="15" t="s">
        <v>19</v>
      </c>
      <c r="E65" s="15" t="s">
        <v>188</v>
      </c>
    </row>
    <row r="66" ht="15.75" customHeight="1">
      <c r="A66" s="15">
        <v>65.0</v>
      </c>
      <c r="B66" s="94" t="s">
        <v>189</v>
      </c>
      <c r="C66" s="15" t="s">
        <v>127</v>
      </c>
      <c r="D66" s="15" t="s">
        <v>19</v>
      </c>
    </row>
    <row r="67" ht="15.75" customHeight="1">
      <c r="A67" s="15">
        <v>66.0</v>
      </c>
      <c r="B67" s="93" t="s">
        <v>131</v>
      </c>
      <c r="C67" s="15" t="s">
        <v>127</v>
      </c>
      <c r="D67" s="15" t="s">
        <v>13</v>
      </c>
    </row>
    <row r="68" ht="15.75" customHeight="1">
      <c r="A68" s="15">
        <v>67.0</v>
      </c>
      <c r="B68" s="93" t="s">
        <v>132</v>
      </c>
      <c r="C68" s="15" t="s">
        <v>127</v>
      </c>
      <c r="D68" s="15" t="s">
        <v>177</v>
      </c>
    </row>
    <row r="69" ht="15.75" customHeight="1">
      <c r="A69" s="15">
        <v>68.0</v>
      </c>
      <c r="B69" s="93" t="s">
        <v>133</v>
      </c>
      <c r="C69" s="15" t="s">
        <v>127</v>
      </c>
      <c r="D69" s="15" t="s">
        <v>177</v>
      </c>
    </row>
    <row r="70" ht="15.75" customHeight="1">
      <c r="A70" s="15">
        <v>69.0</v>
      </c>
      <c r="B70" s="94" t="s">
        <v>134</v>
      </c>
      <c r="C70" s="15" t="s">
        <v>127</v>
      </c>
      <c r="D70" s="15" t="s">
        <v>21</v>
      </c>
    </row>
    <row r="71" ht="15.75" customHeight="1">
      <c r="A71" s="15">
        <v>70.0</v>
      </c>
      <c r="B71" s="94" t="s">
        <v>135</v>
      </c>
      <c r="C71" s="15" t="s">
        <v>127</v>
      </c>
      <c r="D71" s="15" t="s">
        <v>21</v>
      </c>
    </row>
    <row r="72" ht="15.75" customHeight="1">
      <c r="A72" s="15">
        <v>71.0</v>
      </c>
      <c r="B72" s="93" t="s">
        <v>136</v>
      </c>
      <c r="C72" s="15" t="s">
        <v>127</v>
      </c>
      <c r="D72" s="15" t="s">
        <v>20</v>
      </c>
    </row>
    <row r="73" ht="15.75" customHeight="1">
      <c r="A73" s="15">
        <v>72.0</v>
      </c>
      <c r="B73" s="93" t="s">
        <v>137</v>
      </c>
      <c r="C73" s="15" t="s">
        <v>127</v>
      </c>
      <c r="D73" s="15" t="s">
        <v>20</v>
      </c>
    </row>
    <row r="74" ht="15.75" customHeight="1">
      <c r="A74" s="15">
        <v>73.0</v>
      </c>
      <c r="B74" s="94" t="s">
        <v>139</v>
      </c>
      <c r="C74" s="15" t="s">
        <v>138</v>
      </c>
      <c r="D74" s="15" t="s">
        <v>18</v>
      </c>
    </row>
    <row r="75" ht="15.75" customHeight="1">
      <c r="A75" s="15">
        <v>74.0</v>
      </c>
      <c r="B75" s="94" t="s">
        <v>140</v>
      </c>
      <c r="C75" s="15" t="s">
        <v>138</v>
      </c>
      <c r="D75" s="15" t="s">
        <v>18</v>
      </c>
    </row>
    <row r="76" ht="15.75" customHeight="1">
      <c r="A76" s="15">
        <v>75.0</v>
      </c>
      <c r="B76" s="94" t="s">
        <v>141</v>
      </c>
      <c r="C76" s="15" t="s">
        <v>138</v>
      </c>
      <c r="D76" s="15" t="s">
        <v>18</v>
      </c>
    </row>
    <row r="77" ht="15.75" customHeight="1">
      <c r="A77" s="15">
        <v>76.0</v>
      </c>
      <c r="B77" s="15" t="s">
        <v>142</v>
      </c>
      <c r="C77" s="15" t="s">
        <v>138</v>
      </c>
      <c r="D77" s="15" t="s">
        <v>18</v>
      </c>
    </row>
    <row r="78" ht="15.75" customHeight="1">
      <c r="A78" s="15">
        <v>77.0</v>
      </c>
      <c r="B78" s="94" t="s">
        <v>143</v>
      </c>
      <c r="C78" s="15" t="s">
        <v>138</v>
      </c>
      <c r="D78" s="15" t="s">
        <v>18</v>
      </c>
    </row>
    <row r="79" ht="15.75" customHeight="1">
      <c r="A79" s="15">
        <v>78.0</v>
      </c>
      <c r="B79" s="94" t="s">
        <v>144</v>
      </c>
      <c r="C79" s="15" t="s">
        <v>138</v>
      </c>
      <c r="D79" s="15" t="s">
        <v>18</v>
      </c>
    </row>
    <row r="80" ht="15.75" customHeight="1">
      <c r="A80" s="15">
        <v>79.0</v>
      </c>
      <c r="B80" s="94" t="s">
        <v>145</v>
      </c>
      <c r="C80" s="15" t="s">
        <v>138</v>
      </c>
      <c r="D80" s="15" t="s">
        <v>18</v>
      </c>
    </row>
    <row r="81" ht="15.75" customHeight="1">
      <c r="A81" s="15">
        <v>80.0</v>
      </c>
      <c r="B81" s="93" t="s">
        <v>146</v>
      </c>
      <c r="C81" s="15" t="s">
        <v>138</v>
      </c>
      <c r="D81" s="15" t="s">
        <v>9</v>
      </c>
    </row>
    <row r="82" ht="15.75" customHeight="1">
      <c r="A82" s="15">
        <v>81.0</v>
      </c>
      <c r="B82" s="93" t="s">
        <v>147</v>
      </c>
      <c r="C82" s="15" t="s">
        <v>138</v>
      </c>
      <c r="D82" s="15" t="s">
        <v>9</v>
      </c>
      <c r="E82" s="15" t="s">
        <v>190</v>
      </c>
    </row>
    <row r="83" ht="15.75" customHeight="1">
      <c r="A83" s="15">
        <v>82.0</v>
      </c>
      <c r="B83" s="93" t="s">
        <v>148</v>
      </c>
      <c r="C83" s="15" t="s">
        <v>138</v>
      </c>
      <c r="D83" s="15" t="s">
        <v>9</v>
      </c>
    </row>
    <row r="84" ht="15.75" customHeight="1">
      <c r="A84" s="15">
        <v>83.0</v>
      </c>
      <c r="B84" s="93" t="s">
        <v>149</v>
      </c>
      <c r="C84" s="15" t="s">
        <v>138</v>
      </c>
      <c r="D84" s="15" t="s">
        <v>9</v>
      </c>
    </row>
    <row r="85" ht="15.75" customHeight="1">
      <c r="A85" s="15">
        <v>84.0</v>
      </c>
      <c r="B85" s="93" t="s">
        <v>150</v>
      </c>
      <c r="C85" s="15" t="s">
        <v>138</v>
      </c>
      <c r="D85" s="15" t="s">
        <v>9</v>
      </c>
    </row>
    <row r="86" ht="15.75" customHeight="1">
      <c r="A86" s="15">
        <v>85.0</v>
      </c>
      <c r="B86" s="93" t="s">
        <v>151</v>
      </c>
      <c r="C86" s="15" t="s">
        <v>138</v>
      </c>
      <c r="D86" s="15" t="s">
        <v>9</v>
      </c>
    </row>
    <row r="87" ht="15.75" customHeight="1">
      <c r="A87" s="15">
        <v>86.0</v>
      </c>
      <c r="B87" s="95" t="s">
        <v>152</v>
      </c>
      <c r="C87" s="15" t="s">
        <v>138</v>
      </c>
      <c r="D87" s="15" t="s">
        <v>15</v>
      </c>
    </row>
    <row r="88" ht="15.75" customHeight="1">
      <c r="A88" s="15">
        <v>87.0</v>
      </c>
      <c r="B88" s="93" t="s">
        <v>154</v>
      </c>
      <c r="C88" s="15" t="s">
        <v>153</v>
      </c>
      <c r="D88" s="15" t="s">
        <v>177</v>
      </c>
    </row>
    <row r="89" ht="15.75" customHeight="1">
      <c r="A89" s="15">
        <v>88.0</v>
      </c>
      <c r="B89" s="93" t="s">
        <v>155</v>
      </c>
      <c r="C89" s="15" t="s">
        <v>153</v>
      </c>
      <c r="D89" s="15" t="s">
        <v>9</v>
      </c>
    </row>
    <row r="90" ht="15.75" customHeight="1">
      <c r="A90" s="15">
        <v>89.0</v>
      </c>
      <c r="B90" s="93" t="s">
        <v>156</v>
      </c>
      <c r="C90" s="15" t="s">
        <v>153</v>
      </c>
      <c r="D90" s="15" t="s">
        <v>13</v>
      </c>
    </row>
    <row r="91" ht="15.75" customHeight="1">
      <c r="A91" s="15">
        <v>90.0</v>
      </c>
      <c r="B91" s="94" t="s">
        <v>157</v>
      </c>
      <c r="C91" s="15" t="s">
        <v>153</v>
      </c>
      <c r="D91" s="15" t="s">
        <v>21</v>
      </c>
    </row>
    <row r="92" ht="15.75" customHeight="1">
      <c r="A92" s="15">
        <v>91.0</v>
      </c>
      <c r="B92" s="94" t="s">
        <v>158</v>
      </c>
      <c r="C92" s="15" t="s">
        <v>153</v>
      </c>
      <c r="D92" s="15" t="s">
        <v>21</v>
      </c>
    </row>
    <row r="93" ht="15.75" customHeight="1">
      <c r="A93" s="15">
        <v>92.0</v>
      </c>
      <c r="B93" s="94" t="s">
        <v>159</v>
      </c>
      <c r="C93" s="15" t="s">
        <v>153</v>
      </c>
      <c r="D93" s="15" t="s">
        <v>18</v>
      </c>
    </row>
    <row r="94" ht="15.75" customHeight="1">
      <c r="A94" s="15">
        <v>93.0</v>
      </c>
      <c r="B94" s="93" t="s">
        <v>160</v>
      </c>
      <c r="C94" s="15" t="s">
        <v>153</v>
      </c>
      <c r="D94" s="15" t="s">
        <v>20</v>
      </c>
    </row>
    <row r="95" ht="15.75" customHeight="1">
      <c r="A95" s="15">
        <v>94.0</v>
      </c>
      <c r="B95" s="96" t="s">
        <v>161</v>
      </c>
      <c r="C95" s="15" t="s">
        <v>153</v>
      </c>
      <c r="D95" s="15" t="s">
        <v>178</v>
      </c>
    </row>
    <row r="96" ht="15.75" customHeight="1">
      <c r="A96" s="15">
        <v>95.0</v>
      </c>
      <c r="B96" s="93" t="s">
        <v>162</v>
      </c>
      <c r="C96" s="15" t="s">
        <v>153</v>
      </c>
      <c r="D96" s="15" t="s">
        <v>191</v>
      </c>
    </row>
    <row r="97" ht="15.75" customHeight="1">
      <c r="A97" s="15">
        <v>96.0</v>
      </c>
      <c r="B97" s="94" t="s">
        <v>163</v>
      </c>
      <c r="C97" s="15" t="s">
        <v>153</v>
      </c>
      <c r="D97" s="15" t="s">
        <v>18</v>
      </c>
    </row>
    <row r="98" ht="15.75" customHeight="1">
      <c r="A98" s="15">
        <v>97.0</v>
      </c>
      <c r="B98" s="94" t="s">
        <v>164</v>
      </c>
      <c r="C98" s="15" t="s">
        <v>153</v>
      </c>
      <c r="D98" s="15" t="s">
        <v>18</v>
      </c>
    </row>
    <row r="99" ht="15.75" customHeight="1">
      <c r="A99" s="15">
        <v>98.0</v>
      </c>
      <c r="B99" s="93" t="s">
        <v>165</v>
      </c>
      <c r="C99" s="15" t="s">
        <v>153</v>
      </c>
      <c r="D99" s="15" t="s">
        <v>9</v>
      </c>
    </row>
    <row r="100" ht="15.75" customHeight="1">
      <c r="A100" s="15">
        <v>99.0</v>
      </c>
      <c r="B100" s="93" t="s">
        <v>166</v>
      </c>
      <c r="C100" s="15" t="s">
        <v>153</v>
      </c>
      <c r="D100" s="15" t="s">
        <v>192</v>
      </c>
    </row>
    <row r="101" ht="15.75" customHeight="1">
      <c r="A101" s="15">
        <v>100.0</v>
      </c>
      <c r="B101" s="93" t="s">
        <v>193</v>
      </c>
      <c r="C101" s="15" t="s">
        <v>153</v>
      </c>
      <c r="D101" s="15" t="s">
        <v>20</v>
      </c>
    </row>
    <row r="102" ht="15.75" customHeight="1">
      <c r="A102" s="15">
        <v>101.0</v>
      </c>
      <c r="B102" s="95" t="s">
        <v>168</v>
      </c>
      <c r="C102" s="15" t="s">
        <v>153</v>
      </c>
      <c r="D102" s="15" t="s">
        <v>15</v>
      </c>
    </row>
    <row r="103" ht="15.75" customHeight="1">
      <c r="A103" s="15">
        <v>102.0</v>
      </c>
      <c r="B103" s="95" t="s">
        <v>169</v>
      </c>
      <c r="C103" s="15" t="s">
        <v>153</v>
      </c>
      <c r="D103" s="15" t="s">
        <v>15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4" ref="E3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116.63"/>
    <col customWidth="1" min="3" max="3" width="12.63"/>
    <col customWidth="1" min="4" max="4" width="19.75"/>
    <col customWidth="1" min="5" max="5" width="19.88"/>
    <col customWidth="1" min="6" max="7" width="12.63"/>
  </cols>
  <sheetData>
    <row r="1" ht="15.75" customHeight="1">
      <c r="A1" s="92" t="s">
        <v>4</v>
      </c>
      <c r="B1" s="92" t="s">
        <v>6</v>
      </c>
      <c r="C1" s="92" t="s">
        <v>5</v>
      </c>
      <c r="D1" s="92" t="s">
        <v>194</v>
      </c>
      <c r="E1" s="92" t="s">
        <v>195</v>
      </c>
      <c r="F1" s="8" t="s">
        <v>9</v>
      </c>
      <c r="G1" s="10" t="s">
        <v>21</v>
      </c>
      <c r="H1" s="8" t="s">
        <v>11</v>
      </c>
      <c r="I1" s="10" t="s">
        <v>12</v>
      </c>
      <c r="J1" s="8" t="s">
        <v>13</v>
      </c>
      <c r="K1" s="98" t="s">
        <v>196</v>
      </c>
      <c r="L1" s="8" t="s">
        <v>15</v>
      </c>
      <c r="M1" s="10" t="s">
        <v>16</v>
      </c>
      <c r="N1" s="8" t="s">
        <v>17</v>
      </c>
      <c r="O1" s="10" t="s">
        <v>18</v>
      </c>
      <c r="P1" s="8" t="s">
        <v>19</v>
      </c>
      <c r="Q1" s="10" t="s">
        <v>20</v>
      </c>
    </row>
    <row r="2" ht="15.75" customHeight="1">
      <c r="A2" s="15">
        <f>Main!A2</f>
        <v>1</v>
      </c>
      <c r="B2" s="15" t="str">
        <f>Main!B2</f>
        <v>That there will be a hung parliament at the next election and Labor will take office</v>
      </c>
      <c r="C2" s="15" t="str">
        <f>Main!C2</f>
        <v>Aus Politics</v>
      </c>
      <c r="D2" s="15">
        <v>0.4</v>
      </c>
      <c r="F2" s="99">
        <f>$D2-vlookup(Summary!$C2,Summary!$C$2:$Q$103,3+counta($F$1:F$1),false)</f>
        <v>0</v>
      </c>
      <c r="G2" s="99">
        <f>$D2-vlookup(Summary!$C2,Summary!$C$2:$Q$103,3+counta($F$1:G$1),false)</f>
        <v>-0.3</v>
      </c>
      <c r="H2" s="99">
        <f>$D2-vlookup(Summary!$C2,Summary!$C$2:$Q$103,3+counta($F$1:H$1),false)</f>
        <v>0.3</v>
      </c>
      <c r="I2" s="99">
        <f>$D2-vlookup(Summary!$C2,Summary!$C$2:$Q$103,3+counta($F$1:I$1),false)</f>
        <v>0.2</v>
      </c>
      <c r="J2" s="99">
        <f>$D2-vlookup(Summary!$C2,Summary!$C$2:$Q$103,3+counta($F$1:J$1),false)</f>
        <v>-0.1</v>
      </c>
      <c r="K2" s="99">
        <f>$D2-vlookup(Summary!$C2,Summary!$C$2:$Q$103,3+counta($F$1:K$1),false)</f>
        <v>-0.25</v>
      </c>
      <c r="L2" s="99">
        <f>$D2-vlookup(Summary!$C2,Summary!$C$2:$Q$103,3+counta($F$1:L$1),false)</f>
        <v>0.2</v>
      </c>
      <c r="M2" s="99">
        <f>$D2-vlookup(Summary!$C2,Summary!$C$2:$Q$103,3+counta($F$1:M$1),false)</f>
        <v>0.3</v>
      </c>
      <c r="N2" s="99">
        <f>$D2-vlookup(Summary!$C2,Summary!$C$2:$Q$103,3+counta($F$1:N$1),false)</f>
        <v>-0.4</v>
      </c>
      <c r="O2" s="99">
        <f>$D2-vlookup(Summary!$C2,Summary!$C$2:$Q$103,3+counta($F$1:O$1),false)</f>
        <v>0.05</v>
      </c>
      <c r="P2" s="99">
        <f>$D2-vlookup(Summary!$C2,Summary!$C$2:$Q$103,3+counta($F$1:P$1),false)</f>
        <v>0.3</v>
      </c>
      <c r="Q2" s="99">
        <f>$D2-vlookup(Summary!$C2,Summary!$C$2:$Q$103,3+counta($F$1:Q$1),false)</f>
        <v>-0.05</v>
      </c>
    </row>
    <row r="3" ht="15.75" customHeight="1">
      <c r="A3" s="15">
        <f>Main!A3</f>
        <v>2</v>
      </c>
      <c r="B3" s="15" t="str">
        <f>Main!B3</f>
        <v>Dan Andrews will become leader of the Australian Labor Party</v>
      </c>
      <c r="C3" s="15" t="str">
        <f>Main!C3</f>
        <v>Aus Politics</v>
      </c>
      <c r="D3" s="15">
        <v>0.2</v>
      </c>
      <c r="F3" s="99">
        <f>$D3-vlookup(Summary!$C3,Summary!$C$2:$Q$103,3+counta($F$1:F$1),false)</f>
        <v>0</v>
      </c>
      <c r="G3" s="99">
        <f>$D3-vlookup(Summary!$C3,Summary!$C$2:$Q$103,3+counta($F$1:G$1),false)</f>
        <v>0.1</v>
      </c>
      <c r="H3" s="99">
        <f>$D3-vlookup(Summary!$C3,Summary!$C$2:$Q$103,3+counta($F$1:H$1),false)</f>
        <v>0.15</v>
      </c>
      <c r="I3" s="99">
        <f>$D3-vlookup(Summary!$C3,Summary!$C$2:$Q$103,3+counta($F$1:I$1),false)</f>
        <v>0</v>
      </c>
      <c r="J3" s="99">
        <f>$D3-vlookup(Summary!$C3,Summary!$C$2:$Q$103,3+counta($F$1:J$1),false)</f>
        <v>0.1</v>
      </c>
      <c r="K3" s="99">
        <f>$D3-vlookup(Summary!$C3,Summary!$C$2:$Q$103,3+counta($F$1:K$1),false)</f>
        <v>0.2</v>
      </c>
      <c r="L3" s="99">
        <f>$D3-vlookup(Summary!$C3,Summary!$C$2:$Q$103,3+counta($F$1:L$1),false)</f>
        <v>0.199</v>
      </c>
      <c r="M3" s="99">
        <f>$D3-vlookup(Summary!$C3,Summary!$C$2:$Q$103,3+counta($F$1:M$1),false)</f>
        <v>0.15</v>
      </c>
      <c r="N3" s="99">
        <f>$D3-vlookup(Summary!$C3,Summary!$C$2:$Q$103,3+counta($F$1:N$1),false)</f>
        <v>0.1</v>
      </c>
      <c r="O3" s="99">
        <f>$D3-vlookup(Summary!$C3,Summary!$C$2:$Q$103,3+counta($F$1:O$1),false)</f>
        <v>0.199</v>
      </c>
      <c r="P3" s="99">
        <f>$D3-vlookup(Summary!$C3,Summary!$C$2:$Q$103,3+counta($F$1:P$1),false)</f>
        <v>0.1</v>
      </c>
      <c r="Q3" s="99">
        <f>$D3-vlookup(Summary!$C3,Summary!$C$2:$Q$103,3+counta($F$1:Q$1),false)</f>
        <v>0.19</v>
      </c>
    </row>
    <row r="4" ht="15.75" customHeight="1">
      <c r="A4" s="15">
        <f>Main!A4</f>
        <v>3</v>
      </c>
      <c r="B4" s="15" t="str">
        <f>Main!B4</f>
        <v>The Greens will get more than 9 senators in the next federal election</v>
      </c>
      <c r="C4" s="15" t="str">
        <f>Main!C4</f>
        <v>Aus Politics</v>
      </c>
      <c r="D4" s="15">
        <v>0.6</v>
      </c>
      <c r="F4" s="99">
        <f>$D4-vlookup(Summary!$C4,Summary!$C$2:$Q$103,3+counta($F$1:F$1),false)</f>
        <v>0</v>
      </c>
      <c r="G4" s="99">
        <f>$D4-vlookup(Summary!$C4,Summary!$C$2:$Q$103,3+counta($F$1:G$1),false)</f>
        <v>0.3</v>
      </c>
      <c r="H4" s="99">
        <f>$D4-vlookup(Summary!$C4,Summary!$C$2:$Q$103,3+counta($F$1:H$1),false)</f>
        <v>0.5</v>
      </c>
      <c r="I4" s="99">
        <f>$D4-vlookup(Summary!$C4,Summary!$C$2:$Q$103,3+counta($F$1:I$1),false)</f>
        <v>0</v>
      </c>
      <c r="J4" s="99">
        <f>$D4-vlookup(Summary!$C4,Summary!$C$2:$Q$103,3+counta($F$1:J$1),false)</f>
        <v>-0.1</v>
      </c>
      <c r="K4" s="99">
        <f>$D4-vlookup(Summary!$C4,Summary!$C$2:$Q$103,3+counta($F$1:K$1),false)</f>
        <v>0</v>
      </c>
      <c r="L4" s="99">
        <f>$D4-vlookup(Summary!$C4,Summary!$C$2:$Q$103,3+counta($F$1:L$1),false)</f>
        <v>-0.1</v>
      </c>
      <c r="M4" s="99">
        <f>$D4-vlookup(Summary!$C4,Summary!$C$2:$Q$103,3+counta($F$1:M$1),false)</f>
        <v>0.5</v>
      </c>
      <c r="N4" s="99">
        <f>$D4-vlookup(Summary!$C4,Summary!$C$2:$Q$103,3+counta($F$1:N$1),false)</f>
        <v>0.5</v>
      </c>
      <c r="O4" s="99">
        <f>$D4-vlookup(Summary!$C4,Summary!$C$2:$Q$103,3+counta($F$1:O$1),false)</f>
        <v>0.1</v>
      </c>
      <c r="P4" s="99">
        <f>$D4-vlookup(Summary!$C4,Summary!$C$2:$Q$103,3+counta($F$1:P$1),false)</f>
        <v>0.1</v>
      </c>
      <c r="Q4" s="99">
        <f>$D4-vlookup(Summary!$C4,Summary!$C$2:$Q$103,3+counta($F$1:Q$1),false)</f>
        <v>0.05</v>
      </c>
    </row>
    <row r="5" ht="15.75" customHeight="1">
      <c r="A5" s="15">
        <f>Main!A5</f>
        <v>4</v>
      </c>
      <c r="B5" s="15" t="str">
        <f>Main!B5</f>
        <v>The House of Reps will include 5 independents by the end of the federal election</v>
      </c>
      <c r="C5" s="15" t="str">
        <f>Main!C5</f>
        <v>Aus Politics</v>
      </c>
      <c r="D5" s="15">
        <v>0.7</v>
      </c>
      <c r="F5" s="99">
        <f>$D5-vlookup(Summary!$C5,Summary!$C$2:$Q$103,3+counta($F$1:F$1),false)</f>
        <v>0</v>
      </c>
      <c r="G5" s="99">
        <f>$D5-vlookup(Summary!$C5,Summary!$C$2:$Q$103,3+counta($F$1:G$1),false)</f>
        <v>0.4</v>
      </c>
      <c r="H5" s="99">
        <f>$D5-vlookup(Summary!$C5,Summary!$C$2:$Q$103,3+counta($F$1:H$1),false)</f>
        <v>0.6</v>
      </c>
      <c r="I5" s="99">
        <f>$D5-vlookup(Summary!$C5,Summary!$C$2:$Q$103,3+counta($F$1:I$1),false)</f>
        <v>0</v>
      </c>
      <c r="J5" s="99">
        <f>$D5-vlookup(Summary!$C5,Summary!$C$2:$Q$103,3+counta($F$1:J$1),false)</f>
        <v>-0.2</v>
      </c>
      <c r="K5" s="99">
        <f>$D5-vlookup(Summary!$C5,Summary!$C$2:$Q$103,3+counta($F$1:K$1),false)</f>
        <v>-0.05</v>
      </c>
      <c r="L5" s="99">
        <f>$D5-vlookup(Summary!$C5,Summary!$C$2:$Q$103,3+counta($F$1:L$1),false)</f>
        <v>0.699</v>
      </c>
      <c r="M5" s="99">
        <f>$D5-vlookup(Summary!$C5,Summary!$C$2:$Q$103,3+counta($F$1:M$1),false)</f>
        <v>0.6</v>
      </c>
      <c r="N5" s="99">
        <f>$D5-vlookup(Summary!$C5,Summary!$C$2:$Q$103,3+counta($F$1:N$1),false)</f>
        <v>-0.2</v>
      </c>
      <c r="O5" s="99">
        <f>$D5-vlookup(Summary!$C5,Summary!$C$2:$Q$103,3+counta($F$1:O$1),false)</f>
        <v>0.2</v>
      </c>
      <c r="P5" s="99">
        <f>$D5-vlookup(Summary!$C5,Summary!$C$2:$Q$103,3+counta($F$1:P$1),false)</f>
        <v>-0.1</v>
      </c>
      <c r="Q5" s="99">
        <f>$D5-vlookup(Summary!$C5,Summary!$C$2:$Q$103,3+counta($F$1:Q$1),false)</f>
        <v>0</v>
      </c>
    </row>
    <row r="6" ht="15.75" customHeight="1">
      <c r="A6" s="15">
        <f>Main!A6</f>
        <v>5</v>
      </c>
      <c r="B6" s="15" t="str">
        <f>Main!B6</f>
        <v>The Australian Labor Party will not pledge to reverse the uni fee structure introduced in 2020</v>
      </c>
      <c r="C6" s="15" t="str">
        <f>Main!C6</f>
        <v>Aus Politics</v>
      </c>
      <c r="D6" s="15">
        <v>0.6</v>
      </c>
      <c r="F6" s="99">
        <f>$D6-vlookup(Summary!$C6,Summary!$C$2:$Q$103,3+counta($F$1:F$1),false)</f>
        <v>0</v>
      </c>
      <c r="G6" s="99">
        <f>$D6-vlookup(Summary!$C6,Summary!$C$2:$Q$103,3+counta($F$1:G$1),false)</f>
        <v>-0.2</v>
      </c>
      <c r="H6" s="99">
        <f>$D6-vlookup(Summary!$C6,Summary!$C$2:$Q$103,3+counta($F$1:H$1),false)</f>
        <v>-0.3</v>
      </c>
      <c r="I6" s="99">
        <f>$D6-vlookup(Summary!$C6,Summary!$C$2:$Q$103,3+counta($F$1:I$1),false)</f>
        <v>-0.1</v>
      </c>
      <c r="J6" s="99">
        <f>$D6-vlookup(Summary!$C6,Summary!$C$2:$Q$103,3+counta($F$1:J$1),false)</f>
        <v>0.1</v>
      </c>
      <c r="K6" s="99">
        <f>$D6-vlookup(Summary!$C6,Summary!$C$2:$Q$103,3+counta($F$1:K$1),false)</f>
        <v>-0.25</v>
      </c>
      <c r="L6" s="99">
        <f>$D6-vlookup(Summary!$C6,Summary!$C$2:$Q$103,3+counta($F$1:L$1),false)</f>
        <v>-0.3</v>
      </c>
      <c r="M6" s="99">
        <f>$D6-vlookup(Summary!$C6,Summary!$C$2:$Q$103,3+counta($F$1:M$1),false)</f>
        <v>-0.3</v>
      </c>
      <c r="N6" s="99">
        <f>$D6-vlookup(Summary!$C6,Summary!$C$2:$Q$103,3+counta($F$1:N$1),false)</f>
        <v>-0.3</v>
      </c>
      <c r="O6" s="99">
        <f>$D6-vlookup(Summary!$C6,Summary!$C$2:$Q$103,3+counta($F$1:O$1),false)</f>
        <v>-0.25</v>
      </c>
      <c r="P6" s="99">
        <f>$D6-vlookup(Summary!$C6,Summary!$C$2:$Q$103,3+counta($F$1:P$1),false)</f>
        <v>-0.2</v>
      </c>
      <c r="Q6" s="99">
        <f>$D6-vlookup(Summary!$C6,Summary!$C$2:$Q$103,3+counta($F$1:Q$1),false)</f>
        <v>-0.15</v>
      </c>
    </row>
    <row r="7" ht="15.75" customHeight="1">
      <c r="A7" s="15">
        <f>Main!A7</f>
        <v>6</v>
      </c>
      <c r="B7" s="15" t="str">
        <f>Main!B7</f>
        <v>Zali Steggal and Helen Haines will both retain their seats in Federal Parliament</v>
      </c>
      <c r="C7" s="15" t="str">
        <f>Main!C7</f>
        <v>Aus Politics</v>
      </c>
      <c r="D7" s="15">
        <v>0.5</v>
      </c>
      <c r="F7" s="99">
        <f>$D7-vlookup(Summary!$C7,Summary!$C$2:$Q$103,3+counta($F$1:F$1),false)</f>
        <v>0</v>
      </c>
      <c r="G7" s="99">
        <f>$D7-vlookup(Summary!$C7,Summary!$C$2:$Q$103,3+counta($F$1:G$1),false)</f>
        <v>-0.4</v>
      </c>
      <c r="H7" s="99">
        <f>$D7-vlookup(Summary!$C7,Summary!$C$2:$Q$103,3+counta($F$1:H$1),false)</f>
        <v>0</v>
      </c>
      <c r="I7" s="99">
        <f>$D7-vlookup(Summary!$C7,Summary!$C$2:$Q$103,3+counta($F$1:I$1),false)</f>
        <v>-0.2</v>
      </c>
      <c r="J7" s="99">
        <f>$D7-vlookup(Summary!$C7,Summary!$C$2:$Q$103,3+counta($F$1:J$1),false)</f>
        <v>-0.4</v>
      </c>
      <c r="K7" s="99">
        <f>$D7-vlookup(Summary!$C7,Summary!$C$2:$Q$103,3+counta($F$1:K$1),false)</f>
        <v>-0.45</v>
      </c>
      <c r="L7" s="99">
        <f>$D7-vlookup(Summary!$C7,Summary!$C$2:$Q$103,3+counta($F$1:L$1),false)</f>
        <v>0.1</v>
      </c>
      <c r="M7" s="99">
        <f>$D7-vlookup(Summary!$C7,Summary!$C$2:$Q$103,3+counta($F$1:M$1),false)</f>
        <v>0</v>
      </c>
      <c r="N7" s="99">
        <f>$D7-vlookup(Summary!$C7,Summary!$C$2:$Q$103,3+counta($F$1:N$1),false)</f>
        <v>-0.4</v>
      </c>
      <c r="O7" s="99">
        <f>$D7-vlookup(Summary!$C7,Summary!$C$2:$Q$103,3+counta($F$1:O$1),false)</f>
        <v>-0.35</v>
      </c>
      <c r="P7" s="99">
        <f>$D7-vlookup(Summary!$C7,Summary!$C$2:$Q$103,3+counta($F$1:P$1),false)</f>
        <v>-0.4</v>
      </c>
      <c r="Q7" s="99">
        <f>$D7-vlookup(Summary!$C7,Summary!$C$2:$Q$103,3+counta($F$1:Q$1),false)</f>
        <v>0</v>
      </c>
    </row>
    <row r="8" ht="15.75" customHeight="1">
      <c r="A8" s="15">
        <f>Main!A8</f>
        <v>7</v>
      </c>
      <c r="B8" s="15" t="str">
        <f>Main!B8</f>
        <v>Scott Morrison will lose leadership of the Liberal Party at least once</v>
      </c>
      <c r="C8" s="15" t="str">
        <f>Main!C8</f>
        <v>Aus Politics</v>
      </c>
      <c r="D8" s="15">
        <v>0.8</v>
      </c>
      <c r="F8" s="99">
        <f>$D8-vlookup(Summary!$C8,Summary!$C$2:$Q$103,3+counta($F$1:F$1),false)</f>
        <v>0</v>
      </c>
      <c r="G8" s="99">
        <f>$D8-vlookup(Summary!$C8,Summary!$C$2:$Q$103,3+counta($F$1:G$1),false)</f>
        <v>0.1</v>
      </c>
      <c r="H8" s="99">
        <f>$D8-vlookup(Summary!$C8,Summary!$C$2:$Q$103,3+counta($F$1:H$1),false)</f>
        <v>0.65</v>
      </c>
      <c r="I8" s="99">
        <f>$D8-vlookup(Summary!$C8,Summary!$C$2:$Q$103,3+counta($F$1:I$1),false)</f>
        <v>0.5</v>
      </c>
      <c r="J8" s="99">
        <f>$D8-vlookup(Summary!$C8,Summary!$C$2:$Q$103,3+counta($F$1:J$1),false)</f>
        <v>0.2</v>
      </c>
      <c r="K8" s="99">
        <f>$D8-vlookup(Summary!$C8,Summary!$C$2:$Q$103,3+counta($F$1:K$1),false)</f>
        <v>0.05</v>
      </c>
      <c r="L8" s="99">
        <f>$D8-vlookup(Summary!$C8,Summary!$C$2:$Q$103,3+counta($F$1:L$1),false)</f>
        <v>0.3</v>
      </c>
      <c r="M8" s="99">
        <f>$D8-vlookup(Summary!$C8,Summary!$C$2:$Q$103,3+counta($F$1:M$1),false)</f>
        <v>0.75</v>
      </c>
      <c r="N8" s="99">
        <f>$D8-vlookup(Summary!$C8,Summary!$C$2:$Q$103,3+counta($F$1:N$1),false)</f>
        <v>-0.1</v>
      </c>
      <c r="O8" s="99">
        <f>$D8-vlookup(Summary!$C8,Summary!$C$2:$Q$103,3+counta($F$1:O$1),false)</f>
        <v>0.45</v>
      </c>
      <c r="P8" s="99">
        <f>$D8-vlookup(Summary!$C8,Summary!$C$2:$Q$103,3+counta($F$1:P$1),false)</f>
        <v>0.1</v>
      </c>
      <c r="Q8" s="99">
        <f>$D8-vlookup(Summary!$C8,Summary!$C$2:$Q$103,3+counta($F$1:Q$1),false)</f>
        <v>-0.1</v>
      </c>
    </row>
    <row r="9" ht="15.75" customHeight="1">
      <c r="A9" s="15">
        <f>Main!A9</f>
        <v>8</v>
      </c>
      <c r="B9" s="15" t="str">
        <f>Main!B9</f>
        <v>Anthony Albanese will be Prime Minister on at least one day</v>
      </c>
      <c r="C9" s="15" t="str">
        <f>Main!C9</f>
        <v>Aus Politics</v>
      </c>
      <c r="D9" s="15">
        <v>0.6</v>
      </c>
      <c r="F9" s="99">
        <f>$D9-vlookup(Summary!$C9,Summary!$C$2:$Q$103,3+counta($F$1:F$1),false)</f>
        <v>0</v>
      </c>
      <c r="G9" s="99">
        <f>$D9-vlookup(Summary!$C9,Summary!$C$2:$Q$103,3+counta($F$1:G$1),false)</f>
        <v>-0.3</v>
      </c>
      <c r="H9" s="99">
        <f>$D9-vlookup(Summary!$C9,Summary!$C$2:$Q$103,3+counta($F$1:H$1),false)</f>
        <v>0.55</v>
      </c>
      <c r="I9" s="99">
        <f>$D9-vlookup(Summary!$C9,Summary!$C$2:$Q$103,3+counta($F$1:I$1),false)</f>
        <v>0.3</v>
      </c>
      <c r="J9" s="99">
        <f>$D9-vlookup(Summary!$C9,Summary!$C$2:$Q$103,3+counta($F$1:J$1),false)</f>
        <v>0.5</v>
      </c>
      <c r="K9" s="99">
        <f>$D9-vlookup(Summary!$C9,Summary!$C$2:$Q$103,3+counta($F$1:K$1),false)</f>
        <v>-0.15</v>
      </c>
      <c r="L9" s="99">
        <f>$D9-vlookup(Summary!$C9,Summary!$C$2:$Q$103,3+counta($F$1:L$1),false)</f>
        <v>0.3</v>
      </c>
      <c r="M9" s="99">
        <f>$D9-vlookup(Summary!$C9,Summary!$C$2:$Q$103,3+counta($F$1:M$1),false)</f>
        <v>0.55</v>
      </c>
      <c r="N9" s="99">
        <f>$D9-vlookup(Summary!$C9,Summary!$C$2:$Q$103,3+counta($F$1:N$1),false)</f>
        <v>-0.3</v>
      </c>
      <c r="O9" s="99">
        <f>$D9-vlookup(Summary!$C9,Summary!$C$2:$Q$103,3+counta($F$1:O$1),false)</f>
        <v>0.25</v>
      </c>
      <c r="P9" s="99">
        <f>$D9-vlookup(Summary!$C9,Summary!$C$2:$Q$103,3+counta($F$1:P$1),false)</f>
        <v>-0.2</v>
      </c>
      <c r="Q9" s="99">
        <f>$D9-vlookup(Summary!$C9,Summary!$C$2:$Q$103,3+counta($F$1:Q$1),false)</f>
        <v>0.2</v>
      </c>
    </row>
    <row r="10" ht="15.75" customHeight="1">
      <c r="A10" s="15">
        <f>Main!A10</f>
        <v>9</v>
      </c>
      <c r="B10" s="15" t="str">
        <f>Main!B10</f>
        <v>A sitting MP will make allegations of possible voter fraud or election 'rigging' in the 2022 Australian federal election</v>
      </c>
      <c r="C10" s="15" t="str">
        <f>Main!C10</f>
        <v>Aus Politics</v>
      </c>
      <c r="D10" s="15">
        <v>0.55</v>
      </c>
      <c r="F10" s="99">
        <f>$D10-vlookup(Summary!$C10,Summary!$C$2:$Q$103,3+counta($F$1:F$1),false)</f>
        <v>0</v>
      </c>
      <c r="G10" s="99">
        <f>$D10-vlookup(Summary!$C10,Summary!$C$2:$Q$103,3+counta($F$1:G$1),false)</f>
        <v>0.25</v>
      </c>
      <c r="H10" s="99">
        <f>$D10-vlookup(Summary!$C10,Summary!$C$2:$Q$103,3+counta($F$1:H$1),false)</f>
        <v>0.25</v>
      </c>
      <c r="I10" s="99">
        <f>$D10-vlookup(Summary!$C10,Summary!$C$2:$Q$103,3+counta($F$1:I$1),false)</f>
        <v>0.15</v>
      </c>
      <c r="J10" s="99">
        <f>$D10-vlookup(Summary!$C10,Summary!$C$2:$Q$103,3+counta($F$1:J$1),false)</f>
        <v>-0.35</v>
      </c>
      <c r="K10" s="99">
        <f>$D10-vlookup(Summary!$C10,Summary!$C$2:$Q$103,3+counta($F$1:K$1),false)</f>
        <v>0.2</v>
      </c>
      <c r="L10" s="99">
        <f>$D10-vlookup(Summary!$C10,Summary!$C$2:$Q$103,3+counta($F$1:L$1),false)</f>
        <v>-0.35</v>
      </c>
      <c r="M10" s="99">
        <f>$D10-vlookup(Summary!$C10,Summary!$C$2:$Q$103,3+counta($F$1:M$1),false)</f>
        <v>0.25</v>
      </c>
      <c r="N10" s="99">
        <f>$D10-vlookup(Summary!$C10,Summary!$C$2:$Q$103,3+counta($F$1:N$1),false)</f>
        <v>-0.15</v>
      </c>
      <c r="O10" s="99">
        <f>$D10-vlookup(Summary!$C10,Summary!$C$2:$Q$103,3+counta($F$1:O$1),false)</f>
        <v>-0.3</v>
      </c>
      <c r="P10" s="99">
        <f>$D10-vlookup(Summary!$C10,Summary!$C$2:$Q$103,3+counta($F$1:P$1),false)</f>
        <v>0.15</v>
      </c>
      <c r="Q10" s="99">
        <f>$D10-vlookup(Summary!$C10,Summary!$C$2:$Q$103,3+counta($F$1:Q$1),false)</f>
        <v>-0.25</v>
      </c>
    </row>
    <row r="11" ht="15.75" customHeight="1">
      <c r="A11" s="15">
        <f>Main!A11</f>
        <v>10</v>
      </c>
      <c r="B11" s="15" t="str">
        <f>Main!B11</f>
        <v>The Australian Intelligence Community will release a statement contradicting a Government minister or MP during the 2022 election campaign</v>
      </c>
      <c r="C11" s="15" t="str">
        <f>Main!C11</f>
        <v>Aus Politics</v>
      </c>
      <c r="D11" s="15">
        <v>0.4</v>
      </c>
      <c r="F11" s="99">
        <f>$D11-vlookup(Summary!$C11,Summary!$C$2:$Q$103,3+counta($F$1:F$1),false)</f>
        <v>0</v>
      </c>
      <c r="G11" s="99">
        <f>$D11-vlookup(Summary!$C11,Summary!$C$2:$Q$103,3+counta($F$1:G$1),false)</f>
        <v>0.2</v>
      </c>
      <c r="H11" s="99">
        <f>$D11-vlookup(Summary!$C11,Summary!$C$2:$Q$103,3+counta($F$1:H$1),false)</f>
        <v>0.3</v>
      </c>
      <c r="I11" s="99">
        <f>$D11-vlookup(Summary!$C11,Summary!$C$2:$Q$103,3+counta($F$1:I$1),false)</f>
        <v>0.2</v>
      </c>
      <c r="J11" s="99">
        <f>$D11-vlookup(Summary!$C11,Summary!$C$2:$Q$103,3+counta($F$1:J$1),false)</f>
        <v>0.3</v>
      </c>
      <c r="K11" s="99">
        <f>$D11-vlookup(Summary!$C11,Summary!$C$2:$Q$103,3+counta($F$1:K$1),false)</f>
        <v>-0.15</v>
      </c>
      <c r="L11" s="99">
        <f>$D11-vlookup(Summary!$C11,Summary!$C$2:$Q$103,3+counta($F$1:L$1),false)</f>
        <v>0.25</v>
      </c>
      <c r="M11" s="99">
        <f>$D11-vlookup(Summary!$C11,Summary!$C$2:$Q$103,3+counta($F$1:M$1),false)</f>
        <v>0.3</v>
      </c>
      <c r="N11" s="99">
        <f>$D11-vlookup(Summary!$C11,Summary!$C$2:$Q$103,3+counta($F$1:N$1),false)</f>
        <v>-0.5</v>
      </c>
      <c r="O11" s="99">
        <f>$D11-vlookup(Summary!$C11,Summary!$C$2:$Q$103,3+counta($F$1:O$1),false)</f>
        <v>0.399</v>
      </c>
      <c r="P11" s="99">
        <f>$D11-vlookup(Summary!$C11,Summary!$C$2:$Q$103,3+counta($F$1:P$1),false)</f>
        <v>0.3</v>
      </c>
      <c r="Q11" s="99">
        <f>$D11-vlookup(Summary!$C11,Summary!$C$2:$Q$103,3+counta($F$1:Q$1),false)</f>
        <v>-0.35</v>
      </c>
    </row>
    <row r="12" ht="15.75" customHeight="1">
      <c r="A12" s="15">
        <f>Main!A12</f>
        <v>11</v>
      </c>
      <c r="B12" s="15" t="str">
        <f>Main!B12</f>
        <v>Scott Morrison will still be the Prime Minister of Australia</v>
      </c>
      <c r="C12" s="15" t="str">
        <f>Main!C12</f>
        <v>Aus Politics</v>
      </c>
      <c r="D12" s="15">
        <v>0.4</v>
      </c>
      <c r="F12" s="99">
        <f>$D12-vlookup(Summary!$C12,Summary!$C$2:$Q$103,3+counta($F$1:F$1),false)</f>
        <v>0</v>
      </c>
      <c r="G12" s="99">
        <f>$D12-vlookup(Summary!$C12,Summary!$C$2:$Q$103,3+counta($F$1:G$1),false)</f>
        <v>0.2</v>
      </c>
      <c r="H12" s="99">
        <f>$D12-vlookup(Summary!$C12,Summary!$C$2:$Q$103,3+counta($F$1:H$1),false)</f>
        <v>0.2</v>
      </c>
      <c r="I12" s="99">
        <f>$D12-vlookup(Summary!$C12,Summary!$C$2:$Q$103,3+counta($F$1:I$1),false)</f>
        <v>-0.4</v>
      </c>
      <c r="J12" s="99">
        <f>$D12-vlookup(Summary!$C12,Summary!$C$2:$Q$103,3+counta($F$1:J$1),false)</f>
        <v>-0.1</v>
      </c>
      <c r="K12" s="99">
        <f>$D12-vlookup(Summary!$C12,Summary!$C$2:$Q$103,3+counta($F$1:K$1),false)</f>
        <v>-0.35</v>
      </c>
      <c r="L12" s="99">
        <f>$D12-vlookup(Summary!$C12,Summary!$C$2:$Q$103,3+counta($F$1:L$1),false)</f>
        <v>-0.3</v>
      </c>
      <c r="M12" s="99">
        <f>$D12-vlookup(Summary!$C12,Summary!$C$2:$Q$103,3+counta($F$1:M$1),false)</f>
        <v>0.35</v>
      </c>
      <c r="N12" s="99">
        <f>$D12-vlookup(Summary!$C12,Summary!$C$2:$Q$103,3+counta($F$1:N$1),false)</f>
        <v>0.3</v>
      </c>
      <c r="O12" s="99">
        <f>$D12-vlookup(Summary!$C12,Summary!$C$2:$Q$103,3+counta($F$1:O$1),false)</f>
        <v>-0.25</v>
      </c>
      <c r="P12" s="99">
        <f>$D12-vlookup(Summary!$C12,Summary!$C$2:$Q$103,3+counta($F$1:P$1),false)</f>
        <v>0.1</v>
      </c>
      <c r="Q12" s="99">
        <f>$D12-vlookup(Summary!$C12,Summary!$C$2:$Q$103,3+counta($F$1:Q$1),false)</f>
        <v>0.3</v>
      </c>
    </row>
    <row r="13" ht="15.75" customHeight="1">
      <c r="A13" s="15">
        <f>Main!A13</f>
        <v>12</v>
      </c>
      <c r="B13" s="15" t="str">
        <f>Main!B13</f>
        <v>An Australian federal Minister will step down from their position due to direct involvement (proven or otherwise) in sexual misconduct at some point in the year.</v>
      </c>
      <c r="C13" s="15" t="str">
        <f>Main!C13</f>
        <v>Aus Politics</v>
      </c>
      <c r="D13" s="15">
        <v>0.65</v>
      </c>
      <c r="F13" s="99">
        <f>$D13-vlookup(Summary!$C13,Summary!$C$2:$Q$103,3+counta($F$1:F$1),false)</f>
        <v>0</v>
      </c>
      <c r="G13" s="99">
        <f>$D13-vlookup(Summary!$C13,Summary!$C$2:$Q$103,3+counta($F$1:G$1),false)</f>
        <v>0.25</v>
      </c>
      <c r="H13" s="99">
        <f>$D13-vlookup(Summary!$C13,Summary!$C$2:$Q$103,3+counta($F$1:H$1),false)</f>
        <v>0.55</v>
      </c>
      <c r="I13" s="99">
        <f>$D13-vlookup(Summary!$C13,Summary!$C$2:$Q$103,3+counta($F$1:I$1),false)</f>
        <v>-0.25</v>
      </c>
      <c r="J13" s="99">
        <f>$D13-vlookup(Summary!$C13,Summary!$C$2:$Q$103,3+counta($F$1:J$1),false)</f>
        <v>-0.25</v>
      </c>
      <c r="K13" s="99">
        <f>$D13-vlookup(Summary!$C13,Summary!$C$2:$Q$103,3+counta($F$1:K$1),false)</f>
        <v>0.3</v>
      </c>
      <c r="L13" s="99">
        <f>$D13-vlookup(Summary!$C13,Summary!$C$2:$Q$103,3+counta($F$1:L$1),false)</f>
        <v>0.45</v>
      </c>
      <c r="M13" s="99">
        <f>$D13-vlookup(Summary!$C13,Summary!$C$2:$Q$103,3+counta($F$1:M$1),false)</f>
        <v>0.55</v>
      </c>
      <c r="N13" s="99">
        <f>$D13-vlookup(Summary!$C13,Summary!$C$2:$Q$103,3+counta($F$1:N$1),false)</f>
        <v>0.05</v>
      </c>
      <c r="O13" s="99">
        <f>$D13-vlookup(Summary!$C13,Summary!$C$2:$Q$103,3+counta($F$1:O$1),false)</f>
        <v>0.5</v>
      </c>
      <c r="P13" s="99">
        <f>$D13-vlookup(Summary!$C13,Summary!$C$2:$Q$103,3+counta($F$1:P$1),false)</f>
        <v>0.35</v>
      </c>
      <c r="Q13" s="99">
        <f>$D13-vlookup(Summary!$C13,Summary!$C$2:$Q$103,3+counta($F$1:Q$1),false)</f>
        <v>0.05</v>
      </c>
    </row>
    <row r="14" ht="15.75" customHeight="1">
      <c r="A14" s="15">
        <f>Main!A14</f>
        <v>13</v>
      </c>
      <c r="B14" s="15" t="str">
        <f>Main!B14</f>
        <v>Friendlyjordies, or evidence he has brought to light, will feature in a court case or ICAC inquiry.</v>
      </c>
      <c r="C14" s="15" t="str">
        <f>Main!C14</f>
        <v>Aus Politics</v>
      </c>
      <c r="D14" s="15">
        <v>0.55</v>
      </c>
      <c r="F14" s="99">
        <f>$D14-vlookup(Summary!$C14,Summary!$C$2:$Q$103,3+counta($F$1:F$1),false)</f>
        <v>0</v>
      </c>
      <c r="G14" s="99">
        <f>$D14-vlookup(Summary!$C14,Summary!$C$2:$Q$103,3+counta($F$1:G$1),false)</f>
        <v>-0.15</v>
      </c>
      <c r="H14" s="99">
        <f>$D14-vlookup(Summary!$C14,Summary!$C$2:$Q$103,3+counta($F$1:H$1),false)</f>
        <v>0.25</v>
      </c>
      <c r="I14" s="99">
        <f>$D14-vlookup(Summary!$C14,Summary!$C$2:$Q$103,3+counta($F$1:I$1),false)</f>
        <v>-0.05</v>
      </c>
      <c r="J14" s="99">
        <f>$D14-vlookup(Summary!$C14,Summary!$C$2:$Q$103,3+counta($F$1:J$1),false)</f>
        <v>-0.15</v>
      </c>
      <c r="K14" s="99">
        <f>$D14-vlookup(Summary!$C14,Summary!$C$2:$Q$103,3+counta($F$1:K$1),false)</f>
        <v>-0.1</v>
      </c>
      <c r="L14" s="99">
        <f>$D14-vlookup(Summary!$C14,Summary!$C$2:$Q$103,3+counta($F$1:L$1),false)</f>
        <v>0.05</v>
      </c>
      <c r="M14" s="99">
        <f>$D14-vlookup(Summary!$C14,Summary!$C$2:$Q$103,3+counta($F$1:M$1),false)</f>
        <v>0.25</v>
      </c>
      <c r="N14" s="99">
        <f>$D14-vlookup(Summary!$C14,Summary!$C$2:$Q$103,3+counta($F$1:N$1),false)</f>
        <v>0.45</v>
      </c>
      <c r="O14" s="99">
        <f>$D14-vlookup(Summary!$C14,Summary!$C$2:$Q$103,3+counta($F$1:O$1),false)</f>
        <v>0.4</v>
      </c>
      <c r="P14" s="99">
        <f>$D14-vlookup(Summary!$C14,Summary!$C$2:$Q$103,3+counta($F$1:P$1),false)</f>
        <v>0.05</v>
      </c>
      <c r="Q14" s="99">
        <f>$D14-vlookup(Summary!$C14,Summary!$C$2:$Q$103,3+counta($F$1:Q$1),false)</f>
        <v>0.05</v>
      </c>
    </row>
    <row r="15" ht="15.75" customHeight="1">
      <c r="A15" s="15">
        <f>Main!A15</f>
        <v>14</v>
      </c>
      <c r="B15" s="15" t="str">
        <f>Main!B15</f>
        <v>At least one person commits suicide as an effect of the Royal Commission into Defence and Veteran Suicide, as reported in The Guardian</v>
      </c>
      <c r="C15" s="15" t="str">
        <f>Main!C15</f>
        <v>Aus Politics</v>
      </c>
      <c r="D15" s="15">
        <v>0.4</v>
      </c>
      <c r="F15" s="99">
        <f>$D15-vlookup(Summary!$C15,Summary!$C$2:$Q$103,3+counta($F$1:F$1),false)</f>
        <v>0</v>
      </c>
      <c r="G15" s="99">
        <f>$D15-vlookup(Summary!$C15,Summary!$C$2:$Q$103,3+counta($F$1:G$1),false)</f>
        <v>-0.4</v>
      </c>
      <c r="H15" s="99">
        <f>$D15-vlookup(Summary!$C15,Summary!$C$2:$Q$103,3+counta($F$1:H$1),false)</f>
        <v>-0.3</v>
      </c>
      <c r="I15" s="99">
        <f>$D15-vlookup(Summary!$C15,Summary!$C$2:$Q$103,3+counta($F$1:I$1),false)</f>
        <v>0</v>
      </c>
      <c r="J15" s="99">
        <f>$D15-vlookup(Summary!$C15,Summary!$C$2:$Q$103,3+counta($F$1:J$1),false)</f>
        <v>0.1</v>
      </c>
      <c r="K15" s="99">
        <f>$D15-vlookup(Summary!$C15,Summary!$C$2:$Q$103,3+counta($F$1:K$1),false)</f>
        <v>-0.45</v>
      </c>
      <c r="L15" s="99">
        <f>$D15-vlookup(Summary!$C15,Summary!$C$2:$Q$103,3+counta($F$1:L$1),false)</f>
        <v>-0.2</v>
      </c>
      <c r="M15" s="99">
        <f>$D15-vlookup(Summary!$C15,Summary!$C$2:$Q$103,3+counta($F$1:M$1),false)</f>
        <v>-0.3</v>
      </c>
      <c r="N15" s="99">
        <f>$D15-vlookup(Summary!$C15,Summary!$C$2:$Q$103,3+counta($F$1:N$1),false)</f>
        <v>-0.5</v>
      </c>
      <c r="O15" s="99">
        <f>$D15-vlookup(Summary!$C15,Summary!$C$2:$Q$103,3+counta($F$1:O$1),false)</f>
        <v>0.25</v>
      </c>
      <c r="P15" s="99">
        <f>$D15-vlookup(Summary!$C15,Summary!$C$2:$Q$103,3+counta($F$1:P$1),false)</f>
        <v>-0.1</v>
      </c>
      <c r="Q15" s="99">
        <f>$D15-vlookup(Summary!$C15,Summary!$C$2:$Q$103,3+counta($F$1:Q$1),false)</f>
        <v>0</v>
      </c>
    </row>
    <row r="16" ht="15.75" customHeight="1">
      <c r="A16" s="15">
        <f>Main!A16</f>
        <v>15</v>
      </c>
      <c r="B16" s="15" t="str">
        <f>Main!B16</f>
        <v>Taylor Swift will get married</v>
      </c>
      <c r="C16" s="15" t="str">
        <f>Main!C16</f>
        <v>Celebrities</v>
      </c>
      <c r="D16" s="15">
        <v>0.55</v>
      </c>
      <c r="F16" s="99">
        <f>$D16-vlookup(Summary!$C16,Summary!$C$2:$Q$103,3+counta($F$1:F$1),false)</f>
        <v>0</v>
      </c>
      <c r="G16" s="99">
        <f>$D16-vlookup(Summary!$C16,Summary!$C$2:$Q$103,3+counta($F$1:G$1),false)</f>
        <v>0.15</v>
      </c>
      <c r="H16" s="99">
        <f>$D16-vlookup(Summary!$C16,Summary!$C$2:$Q$103,3+counta($F$1:H$1),false)</f>
        <v>-0.15</v>
      </c>
      <c r="I16" s="99">
        <f>$D16-vlookup(Summary!$C16,Summary!$C$2:$Q$103,3+counta($F$1:I$1),false)</f>
        <v>0.4</v>
      </c>
      <c r="J16" s="99">
        <f>$D16-vlookup(Summary!$C16,Summary!$C$2:$Q$103,3+counta($F$1:J$1),false)</f>
        <v>-0.05</v>
      </c>
      <c r="K16" s="99">
        <f>$D16-vlookup(Summary!$C16,Summary!$C$2:$Q$103,3+counta($F$1:K$1),false)</f>
        <v>-0.25</v>
      </c>
      <c r="L16" s="99">
        <f>$D16-vlookup(Summary!$C16,Summary!$C$2:$Q$103,3+counta($F$1:L$1),false)</f>
        <v>0.35</v>
      </c>
      <c r="M16" s="99">
        <f>$D16-vlookup(Summary!$C16,Summary!$C$2:$Q$103,3+counta($F$1:M$1),false)</f>
        <v>-0.15</v>
      </c>
      <c r="N16" s="99">
        <f>$D16-vlookup(Summary!$C16,Summary!$C$2:$Q$103,3+counta($F$1:N$1),false)</f>
        <v>-0.25</v>
      </c>
      <c r="O16" s="99">
        <f>$D16-vlookup(Summary!$C16,Summary!$C$2:$Q$103,3+counta($F$1:O$1),false)</f>
        <v>0.4</v>
      </c>
      <c r="P16" s="99">
        <f>$D16-vlookup(Summary!$C16,Summary!$C$2:$Q$103,3+counta($F$1:P$1),false)</f>
        <v>0.05</v>
      </c>
      <c r="Q16" s="99">
        <f>$D16-vlookup(Summary!$C16,Summary!$C$2:$Q$103,3+counta($F$1:Q$1),false)</f>
        <v>0.54</v>
      </c>
    </row>
    <row r="17" ht="15.75" customHeight="1">
      <c r="A17" s="15">
        <f>Main!A17</f>
        <v>16</v>
      </c>
      <c r="B17" s="15" t="str">
        <f>Main!B17</f>
        <v>Jane Campion will win the Oscar for Best Director</v>
      </c>
      <c r="C17" s="15" t="str">
        <f>Main!C17</f>
        <v>Celebrities</v>
      </c>
      <c r="D17" s="15">
        <v>0.8</v>
      </c>
      <c r="F17" s="99">
        <f>$D17-vlookup(Summary!$C17,Summary!$C$2:$Q$103,3+counta($F$1:F$1),false)</f>
        <v>0</v>
      </c>
      <c r="G17" s="99">
        <f>$D17-vlookup(Summary!$C17,Summary!$C$2:$Q$103,3+counta($F$1:G$1),false)</f>
        <v>0.2</v>
      </c>
      <c r="H17" s="99">
        <f>$D17-vlookup(Summary!$C17,Summary!$C$2:$Q$103,3+counta($F$1:H$1),false)</f>
        <v>0.6</v>
      </c>
      <c r="I17" s="99">
        <f>$D17-vlookup(Summary!$C17,Summary!$C$2:$Q$103,3+counta($F$1:I$1),false)</f>
        <v>-0.1</v>
      </c>
      <c r="J17" s="99">
        <f>$D17-vlookup(Summary!$C17,Summary!$C$2:$Q$103,3+counta($F$1:J$1),false)</f>
        <v>-0.1</v>
      </c>
      <c r="K17" s="99">
        <f>$D17-vlookup(Summary!$C17,Summary!$C$2:$Q$103,3+counta($F$1:K$1),false)</f>
        <v>-0.15</v>
      </c>
      <c r="L17" s="99">
        <f>$D17-vlookup(Summary!$C17,Summary!$C$2:$Q$103,3+counta($F$1:L$1),false)</f>
        <v>0.1</v>
      </c>
      <c r="M17" s="99">
        <f>$D17-vlookup(Summary!$C17,Summary!$C$2:$Q$103,3+counta($F$1:M$1),false)</f>
        <v>0.6</v>
      </c>
      <c r="N17" s="99">
        <f>$D17-vlookup(Summary!$C17,Summary!$C$2:$Q$103,3+counta($F$1:N$1),false)</f>
        <v>0.7</v>
      </c>
      <c r="O17" s="99">
        <f>$D17-vlookup(Summary!$C17,Summary!$C$2:$Q$103,3+counta($F$1:O$1),false)</f>
        <v>0.3</v>
      </c>
      <c r="P17" s="99">
        <f>$D17-vlookup(Summary!$C17,Summary!$C$2:$Q$103,3+counta($F$1:P$1),false)</f>
        <v>0.3</v>
      </c>
      <c r="Q17" s="99">
        <f>$D17-vlookup(Summary!$C17,Summary!$C$2:$Q$103,3+counta($F$1:Q$1),false)</f>
        <v>0.5</v>
      </c>
    </row>
    <row r="18" ht="15.75" customHeight="1">
      <c r="A18" s="15">
        <f>Main!A18</f>
        <v>17</v>
      </c>
      <c r="B18" s="15" t="str">
        <f>Main!B18</f>
        <v>Harry and Megan's animated series "Pearl" will be released and have over 50% on Rotten Tomatoes</v>
      </c>
      <c r="C18" s="15" t="str">
        <f>Main!C18</f>
        <v>Celebrities</v>
      </c>
      <c r="D18" s="15">
        <v>0.4</v>
      </c>
      <c r="F18" s="99">
        <f>$D18-vlookup(Summary!$C18,Summary!$C$2:$Q$103,3+counta($F$1:F$1),false)</f>
        <v>0</v>
      </c>
      <c r="G18" s="99">
        <f>$D18-vlookup(Summary!$C18,Summary!$C$2:$Q$103,3+counta($F$1:G$1),false)</f>
        <v>0.1</v>
      </c>
      <c r="H18" s="99">
        <f>$D18-vlookup(Summary!$C18,Summary!$C$2:$Q$103,3+counta($F$1:H$1),false)</f>
        <v>-0.4</v>
      </c>
      <c r="I18" s="99">
        <f>$D18-vlookup(Summary!$C18,Summary!$C$2:$Q$103,3+counta($F$1:I$1),false)</f>
        <v>0</v>
      </c>
      <c r="J18" s="99">
        <f>$D18-vlookup(Summary!$C18,Summary!$C$2:$Q$103,3+counta($F$1:J$1),false)</f>
        <v>0.3</v>
      </c>
      <c r="K18" s="99">
        <f>$D18-vlookup(Summary!$C18,Summary!$C$2:$Q$103,3+counta($F$1:K$1),false)</f>
        <v>-0.4</v>
      </c>
      <c r="L18" s="99">
        <f>$D18-vlookup(Summary!$C18,Summary!$C$2:$Q$103,3+counta($F$1:L$1),false)</f>
        <v>0.2</v>
      </c>
      <c r="M18" s="99">
        <f>$D18-vlookup(Summary!$C18,Summary!$C$2:$Q$103,3+counta($F$1:M$1),false)</f>
        <v>-0.4</v>
      </c>
      <c r="N18" s="99">
        <f>$D18-vlookup(Summary!$C18,Summary!$C$2:$Q$103,3+counta($F$1:N$1),false)</f>
        <v>-0.4</v>
      </c>
      <c r="O18" s="99">
        <f>$D18-vlookup(Summary!$C18,Summary!$C$2:$Q$103,3+counta($F$1:O$1),false)</f>
        <v>0.25</v>
      </c>
      <c r="P18" s="99">
        <f>$D18-vlookup(Summary!$C18,Summary!$C$2:$Q$103,3+counta($F$1:P$1),false)</f>
        <v>-0.1</v>
      </c>
      <c r="Q18" s="99">
        <f>$D18-vlookup(Summary!$C18,Summary!$C$2:$Q$103,3+counta($F$1:Q$1),false)</f>
        <v>0</v>
      </c>
    </row>
    <row r="19" ht="15.75" customHeight="1">
      <c r="A19" s="15">
        <f>Main!A19</f>
        <v>18</v>
      </c>
      <c r="B19" s="15" t="str">
        <f>Main!B19</f>
        <v>Prince Andrew will enter or exit a courtroom wearing an oxygen mask and/or sitting in a wheelchair</v>
      </c>
      <c r="C19" s="15" t="str">
        <f>Main!C19</f>
        <v>Celebrities</v>
      </c>
      <c r="D19" s="15">
        <v>0.3</v>
      </c>
      <c r="F19" s="99">
        <f>$D19-vlookup(Summary!$C19,Summary!$C$2:$Q$103,3+counta($F$1:F$1),false)</f>
        <v>0</v>
      </c>
      <c r="G19" s="99">
        <f>$D19-vlookup(Summary!$C19,Summary!$C$2:$Q$103,3+counta($F$1:G$1),false)</f>
        <v>0.1</v>
      </c>
      <c r="H19" s="99">
        <f>$D19-vlookup(Summary!$C19,Summary!$C$2:$Q$103,3+counta($F$1:H$1),false)</f>
        <v>-0.4</v>
      </c>
      <c r="I19" s="99">
        <f>$D19-vlookup(Summary!$C19,Summary!$C$2:$Q$103,3+counta($F$1:I$1),false)</f>
        <v>0.2</v>
      </c>
      <c r="J19" s="99">
        <f>$D19-vlookup(Summary!$C19,Summary!$C$2:$Q$103,3+counta($F$1:J$1),false)</f>
        <v>-0.1</v>
      </c>
      <c r="K19" s="99">
        <f>$D19-vlookup(Summary!$C19,Summary!$C$2:$Q$103,3+counta($F$1:K$1),false)</f>
        <v>0.1</v>
      </c>
      <c r="L19" s="99">
        <f>$D19-vlookup(Summary!$C19,Summary!$C$2:$Q$103,3+counta($F$1:L$1),false)</f>
        <v>0.2</v>
      </c>
      <c r="M19" s="99">
        <f>$D19-vlookup(Summary!$C19,Summary!$C$2:$Q$103,3+counta($F$1:M$1),false)</f>
        <v>0.25</v>
      </c>
      <c r="N19" s="99">
        <f>$D19-vlookup(Summary!$C19,Summary!$C$2:$Q$103,3+counta($F$1:N$1),false)</f>
        <v>0.2</v>
      </c>
      <c r="O19" s="99">
        <f>$D19-vlookup(Summary!$C19,Summary!$C$2:$Q$103,3+counta($F$1:O$1),false)</f>
        <v>0.15</v>
      </c>
      <c r="P19" s="99">
        <f>$D19-vlookup(Summary!$C19,Summary!$C$2:$Q$103,3+counta($F$1:P$1),false)</f>
        <v>0.2</v>
      </c>
      <c r="Q19" s="99">
        <f>$D19-vlookup(Summary!$C19,Summary!$C$2:$Q$103,3+counta($F$1:Q$1),false)</f>
        <v>0.1</v>
      </c>
    </row>
    <row r="20" ht="15.75" customHeight="1">
      <c r="A20" s="15">
        <f>Main!A20</f>
        <v>19</v>
      </c>
      <c r="B20" s="15" t="str">
        <f>Main!B20</f>
        <v>News Ltd will report on the emergence of a conspiracy theory relating to the Queen's death: that the palace is either secretly concealing her death or her continuing life</v>
      </c>
      <c r="C20" s="15" t="str">
        <f>Main!C20</f>
        <v>Celebrities</v>
      </c>
      <c r="D20" s="15">
        <v>0.25</v>
      </c>
      <c r="F20" s="99">
        <f>$D20-vlookup(Summary!$C20,Summary!$C$2:$Q$103,3+counta($F$1:F$1),false)</f>
        <v>0</v>
      </c>
      <c r="G20" s="99">
        <f>$D20-vlookup(Summary!$C20,Summary!$C$2:$Q$103,3+counta($F$1:G$1),false)</f>
        <v>-0.15</v>
      </c>
      <c r="H20" s="99">
        <f>$D20-vlookup(Summary!$C20,Summary!$C$2:$Q$103,3+counta($F$1:H$1),false)</f>
        <v>-0.55</v>
      </c>
      <c r="I20" s="99">
        <f>$D20-vlookup(Summary!$C20,Summary!$C$2:$Q$103,3+counta($F$1:I$1),false)</f>
        <v>0.2</v>
      </c>
      <c r="J20" s="99">
        <f>$D20-vlookup(Summary!$C20,Summary!$C$2:$Q$103,3+counta($F$1:J$1),false)</f>
        <v>-0.25</v>
      </c>
      <c r="K20" s="99">
        <f>$D20-vlookup(Summary!$C20,Summary!$C$2:$Q$103,3+counta($F$1:K$1),false)</f>
        <v>-0.6</v>
      </c>
      <c r="L20" s="99">
        <f>$D20-vlookup(Summary!$C20,Summary!$C$2:$Q$103,3+counta($F$1:L$1),false)</f>
        <v>0.2</v>
      </c>
      <c r="M20" s="99">
        <f>$D20-vlookup(Summary!$C20,Summary!$C$2:$Q$103,3+counta($F$1:M$1),false)</f>
        <v>-0.55</v>
      </c>
      <c r="N20" s="99">
        <f>$D20-vlookup(Summary!$C20,Summary!$C$2:$Q$103,3+counta($F$1:N$1),false)</f>
        <v>0.15</v>
      </c>
      <c r="O20" s="99">
        <f>$D20-vlookup(Summary!$C20,Summary!$C$2:$Q$103,3+counta($F$1:O$1),false)</f>
        <v>0.249</v>
      </c>
      <c r="P20" s="99">
        <f>$D20-vlookup(Summary!$C20,Summary!$C$2:$Q$103,3+counta($F$1:P$1),false)</f>
        <v>0.15</v>
      </c>
      <c r="Q20" s="99">
        <f>$D20-vlookup(Summary!$C20,Summary!$C$2:$Q$103,3+counta($F$1:Q$1),false)</f>
        <v>-0.25</v>
      </c>
    </row>
    <row r="21" ht="15.75" customHeight="1">
      <c r="A21" s="15">
        <f>Main!A21</f>
        <v>20</v>
      </c>
      <c r="B21" s="15" t="str">
        <f>Main!B21</f>
        <v>Julian Assange will be located in Australia</v>
      </c>
      <c r="C21" s="15" t="str">
        <f>Main!C21</f>
        <v>Celebrities</v>
      </c>
      <c r="D21" s="15">
        <v>0.2</v>
      </c>
      <c r="F21" s="99">
        <f>$D21-vlookup(Summary!$C21,Summary!$C$2:$Q$103,3+counta($F$1:F$1),false)</f>
        <v>0</v>
      </c>
      <c r="G21" s="99">
        <f>$D21-vlookup(Summary!$C21,Summary!$C$2:$Q$103,3+counta($F$1:G$1),false)</f>
        <v>0</v>
      </c>
      <c r="H21" s="99">
        <f>$D21-vlookup(Summary!$C21,Summary!$C$2:$Q$103,3+counta($F$1:H$1),false)</f>
        <v>0.1</v>
      </c>
      <c r="I21" s="99">
        <f>$D21-vlookup(Summary!$C21,Summary!$C$2:$Q$103,3+counta($F$1:I$1),false)</f>
        <v>0.15</v>
      </c>
      <c r="J21" s="99">
        <f>$D21-vlookup(Summary!$C21,Summary!$C$2:$Q$103,3+counta($F$1:J$1),false)</f>
        <v>-0.1</v>
      </c>
      <c r="K21" s="99">
        <f>$D21-vlookup(Summary!$C21,Summary!$C$2:$Q$103,3+counta($F$1:K$1),false)</f>
        <v>-0.35</v>
      </c>
      <c r="L21" s="99">
        <f>$D21-vlookup(Summary!$C21,Summary!$C$2:$Q$103,3+counta($F$1:L$1),false)</f>
        <v>0</v>
      </c>
      <c r="M21" s="99">
        <f>$D21-vlookup(Summary!$C21,Summary!$C$2:$Q$103,3+counta($F$1:M$1),false)</f>
        <v>0.1</v>
      </c>
      <c r="N21" s="99">
        <f>$D21-vlookup(Summary!$C21,Summary!$C$2:$Q$103,3+counta($F$1:N$1),false)</f>
        <v>0</v>
      </c>
      <c r="O21" s="99">
        <f>$D21-vlookup(Summary!$C21,Summary!$C$2:$Q$103,3+counta($F$1:O$1),false)</f>
        <v>0.05</v>
      </c>
      <c r="P21" s="99">
        <f>$D21-vlookup(Summary!$C21,Summary!$C$2:$Q$103,3+counta($F$1:P$1),false)</f>
        <v>0.1</v>
      </c>
      <c r="Q21" s="99">
        <f>$D21-vlookup(Summary!$C21,Summary!$C$2:$Q$103,3+counta($F$1:Q$1),false)</f>
        <v>-0.1</v>
      </c>
    </row>
    <row r="22" ht="15.75" customHeight="1">
      <c r="A22" s="15">
        <f>Main!A22</f>
        <v>21</v>
      </c>
      <c r="B22" s="15" t="str">
        <f>Main!B22</f>
        <v>An alleged sexual predator will recieve an Emmy or Oscar by mainstream media (Andrew’s system)</v>
      </c>
      <c r="C22" s="15" t="str">
        <f>Main!C22</f>
        <v>Celebrities</v>
      </c>
      <c r="D22" s="15">
        <v>0.4</v>
      </c>
      <c r="F22" s="99">
        <f>$D22-vlookup(Summary!$C22,Summary!$C$2:$Q$103,3+counta($F$1:F$1),false)</f>
        <v>0</v>
      </c>
      <c r="G22" s="99">
        <f>$D22-vlookup(Summary!$C22,Summary!$C$2:$Q$103,3+counta($F$1:G$1),false)</f>
        <v>0.1</v>
      </c>
      <c r="H22" s="99">
        <f>$D22-vlookup(Summary!$C22,Summary!$C$2:$Q$103,3+counta($F$1:H$1),false)</f>
        <v>0.1</v>
      </c>
      <c r="I22" s="99">
        <f>$D22-vlookup(Summary!$C22,Summary!$C$2:$Q$103,3+counta($F$1:I$1),false)</f>
        <v>0.2</v>
      </c>
      <c r="J22" s="99">
        <f>$D22-vlookup(Summary!$C22,Summary!$C$2:$Q$103,3+counta($F$1:J$1),false)</f>
        <v>-0.2</v>
      </c>
      <c r="K22" s="99">
        <f>$D22-vlookup(Summary!$C22,Summary!$C$2:$Q$103,3+counta($F$1:K$1),false)</f>
        <v>-0.3</v>
      </c>
      <c r="L22" s="99">
        <f>$D22-vlookup(Summary!$C22,Summary!$C$2:$Q$103,3+counta($F$1:L$1),false)</f>
        <v>0.2</v>
      </c>
      <c r="M22" s="99">
        <f>$D22-vlookup(Summary!$C22,Summary!$C$2:$Q$103,3+counta($F$1:M$1),false)</f>
        <v>0.1</v>
      </c>
      <c r="N22" s="99">
        <f>$D22-vlookup(Summary!$C22,Summary!$C$2:$Q$103,3+counta($F$1:N$1),false)</f>
        <v>-0.4</v>
      </c>
      <c r="O22" s="99">
        <f>$D22-vlookup(Summary!$C22,Summary!$C$2:$Q$103,3+counta($F$1:O$1),false)</f>
        <v>-0.25</v>
      </c>
      <c r="P22" s="99">
        <f>$D22-vlookup(Summary!$C22,Summary!$C$2:$Q$103,3+counta($F$1:P$1),false)</f>
        <v>0.3</v>
      </c>
      <c r="Q22" s="99">
        <f>$D22-vlookup(Summary!$C22,Summary!$C$2:$Q$103,3+counta($F$1:Q$1),false)</f>
        <v>-0.2</v>
      </c>
    </row>
    <row r="23" ht="15.75" customHeight="1">
      <c r="A23" s="15">
        <f>Main!A23</f>
        <v>22</v>
      </c>
      <c r="B23" s="15" t="str">
        <f>Main!B23</f>
        <v>The Queen will die</v>
      </c>
      <c r="C23" s="15" t="str">
        <f>Main!C23</f>
        <v>Celebrities</v>
      </c>
      <c r="D23" s="15">
        <v>0.4</v>
      </c>
      <c r="F23" s="99">
        <f>$D23-vlookup(Summary!$C23,Summary!$C$2:$Q$103,3+counta($F$1:F$1),false)</f>
        <v>0</v>
      </c>
      <c r="G23" s="99">
        <f>$D23-vlookup(Summary!$C23,Summary!$C$2:$Q$103,3+counta($F$1:G$1),false)</f>
        <v>0.2</v>
      </c>
      <c r="H23" s="99">
        <f>$D23-vlookup(Summary!$C23,Summary!$C$2:$Q$103,3+counta($F$1:H$1),false)</f>
        <v>-0.5</v>
      </c>
      <c r="I23" s="99">
        <f>$D23-vlookup(Summary!$C23,Summary!$C$2:$Q$103,3+counta($F$1:I$1),false)</f>
        <v>0.1</v>
      </c>
      <c r="J23" s="99">
        <f>$D23-vlookup(Summary!$C23,Summary!$C$2:$Q$103,3+counta($F$1:J$1),false)</f>
        <v>-0.3</v>
      </c>
      <c r="K23" s="99">
        <f>$D23-vlookup(Summary!$C23,Summary!$C$2:$Q$103,3+counta($F$1:K$1),false)</f>
        <v>-0.3</v>
      </c>
      <c r="L23" s="99">
        <f>$D23-vlookup(Summary!$C23,Summary!$C$2:$Q$103,3+counta($F$1:L$1),false)</f>
        <v>0.35</v>
      </c>
      <c r="M23" s="99">
        <f>$D23-vlookup(Summary!$C23,Summary!$C$2:$Q$103,3+counta($F$1:M$1),false)</f>
        <v>-0.5</v>
      </c>
      <c r="N23" s="99">
        <f>$D23-vlookup(Summary!$C23,Summary!$C$2:$Q$103,3+counta($F$1:N$1),false)</f>
        <v>-0.5</v>
      </c>
      <c r="O23" s="99">
        <f>$D23-vlookup(Summary!$C23,Summary!$C$2:$Q$103,3+counta($F$1:O$1),false)</f>
        <v>0.05</v>
      </c>
      <c r="P23" s="99">
        <f>$D23-vlookup(Summary!$C23,Summary!$C$2:$Q$103,3+counta($F$1:P$1),false)</f>
        <v>0.3</v>
      </c>
      <c r="Q23" s="99">
        <f>$D23-vlookup(Summary!$C23,Summary!$C$2:$Q$103,3+counta($F$1:Q$1),false)</f>
        <v>0.1</v>
      </c>
    </row>
    <row r="24" ht="15.75" customHeight="1">
      <c r="A24" s="15">
        <f>Main!A24</f>
        <v>23</v>
      </c>
      <c r="B24" s="15" t="str">
        <f>Main!B24</f>
        <v>Ghislaine Maxwell will successfully strike a plea deal and reduce her aggregate sentence to no greater than 10 years with parole no greater than 5 years.</v>
      </c>
      <c r="C24" s="15" t="str">
        <f>Main!C24</f>
        <v>Celebrities</v>
      </c>
      <c r="D24" s="15">
        <v>0.45</v>
      </c>
      <c r="F24" s="99">
        <f>$D24-vlookup(Summary!$C24,Summary!$C$2:$Q$103,3+counta($F$1:F$1),false)</f>
        <v>0</v>
      </c>
      <c r="G24" s="99">
        <f>$D24-vlookup(Summary!$C24,Summary!$C$2:$Q$103,3+counta($F$1:G$1),false)</f>
        <v>-0.25</v>
      </c>
      <c r="H24" s="99">
        <f>$D24-vlookup(Summary!$C24,Summary!$C$2:$Q$103,3+counta($F$1:H$1),false)</f>
        <v>-0.25</v>
      </c>
      <c r="I24" s="99">
        <f>$D24-vlookup(Summary!$C24,Summary!$C$2:$Q$103,3+counta($F$1:I$1),false)</f>
        <v>0.35</v>
      </c>
      <c r="J24" s="99">
        <f>$D24-vlookup(Summary!$C24,Summary!$C$2:$Q$103,3+counta($F$1:J$1),false)</f>
        <v>-0.45</v>
      </c>
      <c r="K24" s="99">
        <f>$D24-vlookup(Summary!$C24,Summary!$C$2:$Q$103,3+counta($F$1:K$1),false)</f>
        <v>-0.2</v>
      </c>
      <c r="L24" s="99">
        <f>$D24-vlookup(Summary!$C24,Summary!$C$2:$Q$103,3+counta($F$1:L$1),false)</f>
        <v>0.25</v>
      </c>
      <c r="M24" s="99">
        <f>$D24-vlookup(Summary!$C24,Summary!$C$2:$Q$103,3+counta($F$1:M$1),false)</f>
        <v>-0.25</v>
      </c>
      <c r="N24" s="99">
        <f>$D24-vlookup(Summary!$C24,Summary!$C$2:$Q$103,3+counta($F$1:N$1),false)</f>
        <v>0.35</v>
      </c>
      <c r="O24" s="99">
        <f>$D24-vlookup(Summary!$C24,Summary!$C$2:$Q$103,3+counta($F$1:O$1),false)</f>
        <v>-0.2</v>
      </c>
      <c r="P24" s="99">
        <f>$D24-vlookup(Summary!$C24,Summary!$C$2:$Q$103,3+counta($F$1:P$1),false)</f>
        <v>-0.25</v>
      </c>
      <c r="Q24" s="99">
        <f>$D24-vlookup(Summary!$C24,Summary!$C$2:$Q$103,3+counta($F$1:Q$1),false)</f>
        <v>-0.05</v>
      </c>
    </row>
    <row r="25" ht="15.75" customHeight="1">
      <c r="A25" s="15">
        <f>Main!A25</f>
        <v>24</v>
      </c>
      <c r="B25" s="15" t="str">
        <f>Main!B25</f>
        <v>Formal criminal charges will be laid against Prince Andrew for sex offenses</v>
      </c>
      <c r="C25" s="15" t="str">
        <f>Main!C25</f>
        <v>Celebrities</v>
      </c>
      <c r="D25" s="15">
        <v>0.6</v>
      </c>
      <c r="F25" s="99">
        <f>$D25-vlookup(Summary!$C25,Summary!$C$2:$Q$103,3+counta($F$1:F$1),false)</f>
        <v>0</v>
      </c>
      <c r="G25" s="99">
        <f>$D25-vlookup(Summary!$C25,Summary!$C$2:$Q$103,3+counta($F$1:G$1),false)</f>
        <v>0.4</v>
      </c>
      <c r="H25" s="99">
        <f>$D25-vlookup(Summary!$C25,Summary!$C$2:$Q$103,3+counta($F$1:H$1),false)</f>
        <v>-0.1</v>
      </c>
      <c r="I25" s="99">
        <f>$D25-vlookup(Summary!$C25,Summary!$C$2:$Q$103,3+counta($F$1:I$1),false)</f>
        <v>-0.3</v>
      </c>
      <c r="J25" s="99">
        <f>$D25-vlookup(Summary!$C25,Summary!$C$2:$Q$103,3+counta($F$1:J$1),false)</f>
        <v>0.5</v>
      </c>
      <c r="K25" s="99">
        <f>$D25-vlookup(Summary!$C25,Summary!$C$2:$Q$103,3+counta($F$1:K$1),false)</f>
        <v>-0.05</v>
      </c>
      <c r="L25" s="99">
        <f>$D25-vlookup(Summary!$C25,Summary!$C$2:$Q$103,3+counta($F$1:L$1),false)</f>
        <v>0.45</v>
      </c>
      <c r="M25" s="99">
        <f>$D25-vlookup(Summary!$C25,Summary!$C$2:$Q$103,3+counta($F$1:M$1),false)</f>
        <v>-0.1</v>
      </c>
      <c r="N25" s="99">
        <f>$D25-vlookup(Summary!$C25,Summary!$C$2:$Q$103,3+counta($F$1:N$1),false)</f>
        <v>0.4</v>
      </c>
      <c r="O25" s="99">
        <f>$D25-vlookup(Summary!$C25,Summary!$C$2:$Q$103,3+counta($F$1:O$1),false)</f>
        <v>0.45</v>
      </c>
      <c r="P25" s="99">
        <f>$D25-vlookup(Summary!$C25,Summary!$C$2:$Q$103,3+counta($F$1:P$1),false)</f>
        <v>0.1</v>
      </c>
      <c r="Q25" s="99">
        <f>$D25-vlookup(Summary!$C25,Summary!$C$2:$Q$103,3+counta($F$1:Q$1),false)</f>
        <v>0.1</v>
      </c>
    </row>
    <row r="26" ht="15.75" customHeight="1">
      <c r="A26" s="15">
        <f>Main!A26</f>
        <v>25</v>
      </c>
      <c r="B26" s="15" t="str">
        <f>Main!B26</f>
        <v>Elizabeth Holmes will be sentenced to no greater than 15 years imprisonment.</v>
      </c>
      <c r="C26" s="15" t="str">
        <f>Main!C26</f>
        <v>Celebrities</v>
      </c>
      <c r="D26" s="15">
        <v>0.6</v>
      </c>
      <c r="F26" s="99">
        <f>$D26-vlookup(Summary!$C26,Summary!$C$2:$Q$103,3+counta($F$1:F$1),false)</f>
        <v>0</v>
      </c>
      <c r="G26" s="99">
        <f>$D26-vlookup(Summary!$C26,Summary!$C$2:$Q$103,3+counta($F$1:G$1),false)</f>
        <v>-0.3</v>
      </c>
      <c r="H26" s="99">
        <f>$D26-vlookup(Summary!$C26,Summary!$C$2:$Q$103,3+counta($F$1:H$1),false)</f>
        <v>-0.2</v>
      </c>
      <c r="I26" s="99">
        <f>$D26-vlookup(Summary!$C26,Summary!$C$2:$Q$103,3+counta($F$1:I$1),false)</f>
        <v>0.1</v>
      </c>
      <c r="J26" s="99">
        <f>$D26-vlookup(Summary!$C26,Summary!$C$2:$Q$103,3+counta($F$1:J$1),false)</f>
        <v>-0.3</v>
      </c>
      <c r="K26" s="99">
        <f>$D26-vlookup(Summary!$C26,Summary!$C$2:$Q$103,3+counta($F$1:K$1),false)</f>
        <v>-0.1</v>
      </c>
      <c r="L26" s="99">
        <f>$D26-vlookup(Summary!$C26,Summary!$C$2:$Q$103,3+counta($F$1:L$1),false)</f>
        <v>-0.1</v>
      </c>
      <c r="M26" s="99">
        <f>$D26-vlookup(Summary!$C26,Summary!$C$2:$Q$103,3+counta($F$1:M$1),false)</f>
        <v>-0.2</v>
      </c>
      <c r="N26" s="99">
        <f>$D26-vlookup(Summary!$C26,Summary!$C$2:$Q$103,3+counta($F$1:N$1),false)</f>
        <v>-0.3</v>
      </c>
      <c r="O26" s="99">
        <f>$D26-vlookup(Summary!$C26,Summary!$C$2:$Q$103,3+counta($F$1:O$1),false)</f>
        <v>-0.25</v>
      </c>
      <c r="P26" s="99">
        <f>$D26-vlookup(Summary!$C26,Summary!$C$2:$Q$103,3+counta($F$1:P$1),false)</f>
        <v>0.1</v>
      </c>
      <c r="Q26" s="99">
        <f>$D26-vlookup(Summary!$C26,Summary!$C$2:$Q$103,3+counta($F$1:Q$1),false)</f>
        <v>-0.1</v>
      </c>
    </row>
    <row r="27" ht="15.75" customHeight="1">
      <c r="A27" s="15">
        <f>Main!A27</f>
        <v>26</v>
      </c>
      <c r="B27" s="15" t="str">
        <f>Main!B27</f>
        <v>Meghan and Harry will separate</v>
      </c>
      <c r="C27" s="15" t="str">
        <f>Main!C27</f>
        <v>Celebrities</v>
      </c>
      <c r="D27" s="15">
        <v>0.2</v>
      </c>
      <c r="F27" s="99">
        <f>$D27-vlookup(Summary!$C27,Summary!$C$2:$Q$103,3+counta($F$1:F$1),false)</f>
        <v>0</v>
      </c>
      <c r="G27" s="99">
        <f>$D27-vlookup(Summary!$C27,Summary!$C$2:$Q$103,3+counta($F$1:G$1),false)</f>
        <v>0.1</v>
      </c>
      <c r="H27" s="99">
        <f>$D27-vlookup(Summary!$C27,Summary!$C$2:$Q$103,3+counta($F$1:H$1),false)</f>
        <v>0</v>
      </c>
      <c r="I27" s="99">
        <f>$D27-vlookup(Summary!$C27,Summary!$C$2:$Q$103,3+counta($F$1:I$1),false)</f>
        <v>0.1</v>
      </c>
      <c r="J27" s="99">
        <f>$D27-vlookup(Summary!$C27,Summary!$C$2:$Q$103,3+counta($F$1:J$1),false)</f>
        <v>-0.3</v>
      </c>
      <c r="K27" s="99">
        <f>$D27-vlookup(Summary!$C27,Summary!$C$2:$Q$103,3+counta($F$1:K$1),false)</f>
        <v>0</v>
      </c>
      <c r="L27" s="99">
        <f>$D27-vlookup(Summary!$C27,Summary!$C$2:$Q$103,3+counta($F$1:L$1),false)</f>
        <v>0.15</v>
      </c>
      <c r="M27" s="99">
        <f>$D27-vlookup(Summary!$C27,Summary!$C$2:$Q$103,3+counta($F$1:M$1),false)</f>
        <v>0</v>
      </c>
      <c r="N27" s="99">
        <f>$D27-vlookup(Summary!$C27,Summary!$C$2:$Q$103,3+counta($F$1:N$1),false)</f>
        <v>-0.6</v>
      </c>
      <c r="O27" s="99">
        <f>$D27-vlookup(Summary!$C27,Summary!$C$2:$Q$103,3+counta($F$1:O$1),false)</f>
        <v>0.05</v>
      </c>
      <c r="P27" s="99">
        <f>$D27-vlookup(Summary!$C27,Summary!$C$2:$Q$103,3+counta($F$1:P$1),false)</f>
        <v>0.1</v>
      </c>
      <c r="Q27" s="99">
        <f>$D27-vlookup(Summary!$C27,Summary!$C$2:$Q$103,3+counta($F$1:Q$1),false)</f>
        <v>-0.1</v>
      </c>
    </row>
    <row r="28" ht="15.75" customHeight="1">
      <c r="A28" s="15">
        <f>Main!A28</f>
        <v>27</v>
      </c>
      <c r="B28" s="15" t="str">
        <f>Main!B28</f>
        <v>Tom Holland and Zendaya will separate.</v>
      </c>
      <c r="C28" s="15" t="str">
        <f>Main!C28</f>
        <v>Celebrities</v>
      </c>
      <c r="D28" s="15">
        <v>0.6</v>
      </c>
      <c r="F28" s="99">
        <f>$D28-vlookup(Summary!$C28,Summary!$C$2:$Q$103,3+counta($F$1:F$1),false)</f>
        <v>0</v>
      </c>
      <c r="G28" s="99">
        <f>$D28-vlookup(Summary!$C28,Summary!$C$2:$Q$103,3+counta($F$1:G$1),false)</f>
        <v>0</v>
      </c>
      <c r="H28" s="99">
        <f>$D28-vlookup(Summary!$C28,Summary!$C$2:$Q$103,3+counta($F$1:H$1),false)</f>
        <v>0.4</v>
      </c>
      <c r="I28" s="99">
        <f>$D28-vlookup(Summary!$C28,Summary!$C$2:$Q$103,3+counta($F$1:I$1),false)</f>
        <v>0.1</v>
      </c>
      <c r="J28" s="99">
        <f>$D28-vlookup(Summary!$C28,Summary!$C$2:$Q$103,3+counta($F$1:J$1),false)</f>
        <v>0.2</v>
      </c>
      <c r="K28" s="99">
        <f>$D28-vlookup(Summary!$C28,Summary!$C$2:$Q$103,3+counta($F$1:K$1),false)</f>
        <v>-0.05</v>
      </c>
      <c r="L28" s="99">
        <f>$D28-vlookup(Summary!$C28,Summary!$C$2:$Q$103,3+counta($F$1:L$1),false)</f>
        <v>0.4</v>
      </c>
      <c r="M28" s="99">
        <f>$D28-vlookup(Summary!$C28,Summary!$C$2:$Q$103,3+counta($F$1:M$1),false)</f>
        <v>0.4</v>
      </c>
      <c r="N28" s="99">
        <f>$D28-vlookup(Summary!$C28,Summary!$C$2:$Q$103,3+counta($F$1:N$1),false)</f>
        <v>-0.3</v>
      </c>
      <c r="O28" s="99">
        <f>$D28-vlookup(Summary!$C28,Summary!$C$2:$Q$103,3+counta($F$1:O$1),false)</f>
        <v>0.1</v>
      </c>
      <c r="P28" s="99">
        <f>$D28-vlookup(Summary!$C28,Summary!$C$2:$Q$103,3+counta($F$1:P$1),false)</f>
        <v>0.1</v>
      </c>
      <c r="Q28" s="99">
        <f>$D28-vlookup(Summary!$C28,Summary!$C$2:$Q$103,3+counta($F$1:Q$1),false)</f>
        <v>0.2</v>
      </c>
    </row>
    <row r="29" ht="15.75" customHeight="1">
      <c r="A29" s="15">
        <f>Main!A29</f>
        <v>28</v>
      </c>
      <c r="B29" s="15" t="str">
        <f>Main!B29</f>
        <v>Donald Trump endorses on social media a movement that is called White Lives Matter</v>
      </c>
      <c r="C29" s="15" t="str">
        <f>Main!C29</f>
        <v>Celebrities</v>
      </c>
      <c r="D29" s="15">
        <v>0.3</v>
      </c>
      <c r="F29" s="99">
        <f>$D29-vlookup(Summary!$C29,Summary!$C$2:$Q$103,3+counta($F$1:F$1),false)</f>
        <v>0</v>
      </c>
      <c r="G29" s="99">
        <f>$D29-vlookup(Summary!$C29,Summary!$C$2:$Q$103,3+counta($F$1:G$1),false)</f>
        <v>0</v>
      </c>
      <c r="H29" s="99">
        <f>$D29-vlookup(Summary!$C29,Summary!$C$2:$Q$103,3+counta($F$1:H$1),false)</f>
        <v>-0.5</v>
      </c>
      <c r="I29" s="99">
        <f>$D29-vlookup(Summary!$C29,Summary!$C$2:$Q$103,3+counta($F$1:I$1),false)</f>
        <v>0.2</v>
      </c>
      <c r="J29" s="99">
        <f>$D29-vlookup(Summary!$C29,Summary!$C$2:$Q$103,3+counta($F$1:J$1),false)</f>
        <v>-0.6</v>
      </c>
      <c r="K29" s="99">
        <f>$D29-vlookup(Summary!$C29,Summary!$C$2:$Q$103,3+counta($F$1:K$1),false)</f>
        <v>-0.15</v>
      </c>
      <c r="L29" s="99">
        <f>$D29-vlookup(Summary!$C29,Summary!$C$2:$Q$103,3+counta($F$1:L$1),false)</f>
        <v>0.299</v>
      </c>
      <c r="M29" s="99">
        <f>$D29-vlookup(Summary!$C29,Summary!$C$2:$Q$103,3+counta($F$1:M$1),false)</f>
        <v>-0.5</v>
      </c>
      <c r="N29" s="99">
        <f>$D29-vlookup(Summary!$C29,Summary!$C$2:$Q$103,3+counta($F$1:N$1),false)</f>
        <v>-0.6</v>
      </c>
      <c r="O29" s="99">
        <f>$D29-vlookup(Summary!$C29,Summary!$C$2:$Q$103,3+counta($F$1:O$1),false)</f>
        <v>0.299</v>
      </c>
      <c r="P29" s="99">
        <f>$D29-vlookup(Summary!$C29,Summary!$C$2:$Q$103,3+counta($F$1:P$1),false)</f>
        <v>0.2</v>
      </c>
      <c r="Q29" s="99">
        <f>$D29-vlookup(Summary!$C29,Summary!$C$2:$Q$103,3+counta($F$1:Q$1),false)</f>
        <v>-0.25</v>
      </c>
    </row>
    <row r="30" ht="15.75" customHeight="1">
      <c r="A30" s="15">
        <f>Main!A30</f>
        <v>29</v>
      </c>
      <c r="B30" s="15" t="str">
        <f>Main!B30</f>
        <v>Britney Spears returns under conservatorship</v>
      </c>
      <c r="C30" s="15" t="str">
        <f>Main!C30</f>
        <v>Celebrities</v>
      </c>
      <c r="D30" s="15">
        <v>0.1</v>
      </c>
      <c r="F30" s="99">
        <f>$D30-vlookup(Summary!$C30,Summary!$C$2:$Q$103,3+counta($F$1:F$1),false)</f>
        <v>0</v>
      </c>
      <c r="G30" s="99">
        <f>$D30-vlookup(Summary!$C30,Summary!$C$2:$Q$103,3+counta($F$1:G$1),false)</f>
        <v>0</v>
      </c>
      <c r="H30" s="99">
        <f>$D30-vlookup(Summary!$C30,Summary!$C$2:$Q$103,3+counta($F$1:H$1),false)</f>
        <v>0.05</v>
      </c>
      <c r="I30" s="99">
        <f>$D30-vlookup(Summary!$C30,Summary!$C$2:$Q$103,3+counta($F$1:I$1),false)</f>
        <v>0.05</v>
      </c>
      <c r="J30" s="99">
        <f>$D30-vlookup(Summary!$C30,Summary!$C$2:$Q$103,3+counta($F$1:J$1),false)</f>
        <v>0</v>
      </c>
      <c r="K30" s="99">
        <f>$D30-vlookup(Summary!$C30,Summary!$C$2:$Q$103,3+counta($F$1:K$1),false)</f>
        <v>0.1</v>
      </c>
      <c r="L30" s="99">
        <f>$D30-vlookup(Summary!$C30,Summary!$C$2:$Q$103,3+counta($F$1:L$1),false)</f>
        <v>0.05</v>
      </c>
      <c r="M30" s="99">
        <f>$D30-vlookup(Summary!$C30,Summary!$C$2:$Q$103,3+counta($F$1:M$1),false)</f>
        <v>0.05</v>
      </c>
      <c r="N30" s="99">
        <f>$D30-vlookup(Summary!$C30,Summary!$C$2:$Q$103,3+counta($F$1:N$1),false)</f>
        <v>0</v>
      </c>
      <c r="O30" s="99">
        <f>$D30-vlookup(Summary!$C30,Summary!$C$2:$Q$103,3+counta($F$1:O$1),false)</f>
        <v>0.099</v>
      </c>
      <c r="P30" s="99">
        <f>$D30-vlookup(Summary!$C30,Summary!$C$2:$Q$103,3+counta($F$1:P$1),false)</f>
        <v>0</v>
      </c>
      <c r="Q30" s="99">
        <f>$D30-vlookup(Summary!$C30,Summary!$C$2:$Q$103,3+counta($F$1:Q$1),false)</f>
        <v>-0.4</v>
      </c>
    </row>
    <row r="31" ht="15.75" customHeight="1">
      <c r="A31" s="15">
        <f>Main!A31</f>
        <v>30</v>
      </c>
      <c r="B31" s="15" t="str">
        <f>Main!B31</f>
        <v>Taylor Swift and her partner separate, or announce they're expecting a child</v>
      </c>
      <c r="C31" s="15" t="str">
        <f>Main!C31</f>
        <v>Celebrities</v>
      </c>
      <c r="D31" s="15">
        <v>0.4</v>
      </c>
      <c r="F31" s="99">
        <f>$D31-vlookup(Summary!$C31,Summary!$C$2:$Q$103,3+counta($F$1:F$1),false)</f>
        <v>0</v>
      </c>
      <c r="G31" s="99">
        <f>$D31-vlookup(Summary!$C31,Summary!$C$2:$Q$103,3+counta($F$1:G$1),false)</f>
        <v>0.1</v>
      </c>
      <c r="H31" s="99">
        <f>$D31-vlookup(Summary!$C31,Summary!$C$2:$Q$103,3+counta($F$1:H$1),false)</f>
        <v>-0.3</v>
      </c>
      <c r="I31" s="99">
        <f>$D31-vlookup(Summary!$C31,Summary!$C$2:$Q$103,3+counta($F$1:I$1),false)</f>
        <v>0.3</v>
      </c>
      <c r="J31" s="99">
        <f>$D31-vlookup(Summary!$C31,Summary!$C$2:$Q$103,3+counta($F$1:J$1),false)</f>
        <v>-0.3</v>
      </c>
      <c r="K31" s="99">
        <f>$D31-vlookup(Summary!$C31,Summary!$C$2:$Q$103,3+counta($F$1:K$1),false)</f>
        <v>-0.2</v>
      </c>
      <c r="L31" s="99">
        <f>$D31-vlookup(Summary!$C31,Summary!$C$2:$Q$103,3+counta($F$1:L$1),false)</f>
        <v>0.3</v>
      </c>
      <c r="M31" s="99">
        <f>$D31-vlookup(Summary!$C31,Summary!$C$2:$Q$103,3+counta($F$1:M$1),false)</f>
        <v>-0.3</v>
      </c>
      <c r="N31" s="99">
        <f>$D31-vlookup(Summary!$C31,Summary!$C$2:$Q$103,3+counta($F$1:N$1),false)</f>
        <v>-0.5</v>
      </c>
      <c r="O31" s="99">
        <f>$D31-vlookup(Summary!$C31,Summary!$C$2:$Q$103,3+counta($F$1:O$1),false)</f>
        <v>0.25</v>
      </c>
      <c r="P31" s="99">
        <f>$D31-vlookup(Summary!$C31,Summary!$C$2:$Q$103,3+counta($F$1:P$1),false)</f>
        <v>-0.1</v>
      </c>
      <c r="Q31" s="99">
        <f>$D31-vlookup(Summary!$C31,Summary!$C$2:$Q$103,3+counta($F$1:Q$1),false)</f>
        <v>0.2</v>
      </c>
    </row>
    <row r="32" ht="15.75" customHeight="1">
      <c r="A32" s="15">
        <f>Main!A32</f>
        <v>31</v>
      </c>
      <c r="B32" s="15" t="str">
        <f>Main!B32</f>
        <v>Aung San Suu Kyi dies or announces she has a terminal illness (terminal illness including cancer)</v>
      </c>
      <c r="C32" s="15" t="str">
        <f>Main!C32</f>
        <v>Celebrities</v>
      </c>
      <c r="D32" s="15">
        <v>0.5</v>
      </c>
      <c r="F32" s="99">
        <f>$D32-vlookup(Summary!$C32,Summary!$C$2:$Q$103,3+counta($F$1:F$1),false)</f>
        <v>0</v>
      </c>
      <c r="G32" s="99">
        <f>$D32-vlookup(Summary!$C32,Summary!$C$2:$Q$103,3+counta($F$1:G$1),false)</f>
        <v>0.1</v>
      </c>
      <c r="H32" s="99">
        <f>$D32-vlookup(Summary!$C32,Summary!$C$2:$Q$103,3+counta($F$1:H$1),false)</f>
        <v>0</v>
      </c>
      <c r="I32" s="99">
        <f>$D32-vlookup(Summary!$C32,Summary!$C$2:$Q$103,3+counta($F$1:I$1),false)</f>
        <v>0.3</v>
      </c>
      <c r="J32" s="99">
        <f>$D32-vlookup(Summary!$C32,Summary!$C$2:$Q$103,3+counta($F$1:J$1),false)</f>
        <v>0.2</v>
      </c>
      <c r="K32" s="99">
        <f>$D32-vlookup(Summary!$C32,Summary!$C$2:$Q$103,3+counta($F$1:K$1),false)</f>
        <v>0.05</v>
      </c>
      <c r="L32" s="99">
        <f>$D32-vlookup(Summary!$C32,Summary!$C$2:$Q$103,3+counta($F$1:L$1),false)</f>
        <v>0.3</v>
      </c>
      <c r="M32" s="99">
        <f>$D32-vlookup(Summary!$C32,Summary!$C$2:$Q$103,3+counta($F$1:M$1),false)</f>
        <v>0</v>
      </c>
      <c r="N32" s="99">
        <f>$D32-vlookup(Summary!$C32,Summary!$C$2:$Q$103,3+counta($F$1:N$1),false)</f>
        <v>0.4</v>
      </c>
      <c r="O32" s="99">
        <f>$D32-vlookup(Summary!$C32,Summary!$C$2:$Q$103,3+counta($F$1:O$1),false)</f>
        <v>0.15</v>
      </c>
      <c r="P32" s="99">
        <f>$D32-vlookup(Summary!$C32,Summary!$C$2:$Q$103,3+counta($F$1:P$1),false)</f>
        <v>0.4</v>
      </c>
      <c r="Q32" s="99">
        <f>$D32-vlookup(Summary!$C32,Summary!$C$2:$Q$103,3+counta($F$1:Q$1),false)</f>
        <v>0</v>
      </c>
    </row>
    <row r="33" ht="15.75" customHeight="1">
      <c r="A33" s="15">
        <f>Main!A33</f>
        <v>32</v>
      </c>
      <c r="B33" s="15" t="str">
        <f>Main!B33</f>
        <v>Henry Cavill marries</v>
      </c>
      <c r="C33" s="15" t="str">
        <f>Main!C33</f>
        <v>Celebrities</v>
      </c>
      <c r="D33" s="15">
        <v>0.55</v>
      </c>
      <c r="F33" s="99">
        <f>$D33-vlookup(Summary!$C33,Summary!$C$2:$Q$103,3+counta($F$1:F$1),false)</f>
        <v>0</v>
      </c>
      <c r="G33" s="99">
        <f>$D33-vlookup(Summary!$C33,Summary!$C$2:$Q$103,3+counta($F$1:G$1),false)</f>
        <v>-0.05</v>
      </c>
      <c r="H33" s="99">
        <f>$D33-vlookup(Summary!$C33,Summary!$C$2:$Q$103,3+counta($F$1:H$1),false)</f>
        <v>0.45</v>
      </c>
      <c r="I33" s="99">
        <f>$D33-vlookup(Summary!$C33,Summary!$C$2:$Q$103,3+counta($F$1:I$1),false)</f>
        <v>0.35</v>
      </c>
      <c r="J33" s="99">
        <f>$D33-vlookup(Summary!$C33,Summary!$C$2:$Q$103,3+counta($F$1:J$1),false)</f>
        <v>0.15</v>
      </c>
      <c r="K33" s="99">
        <f>$D33-vlookup(Summary!$C33,Summary!$C$2:$Q$103,3+counta($F$1:K$1),false)</f>
        <v>0.05</v>
      </c>
      <c r="L33" s="99">
        <f>$D33-vlookup(Summary!$C33,Summary!$C$2:$Q$103,3+counta($F$1:L$1),false)</f>
        <v>0.35</v>
      </c>
      <c r="M33" s="99">
        <f>$D33-vlookup(Summary!$C33,Summary!$C$2:$Q$103,3+counta($F$1:M$1),false)</f>
        <v>0.45</v>
      </c>
      <c r="N33" s="99">
        <f>$D33-vlookup(Summary!$C33,Summary!$C$2:$Q$103,3+counta($F$1:N$1),false)</f>
        <v>0.05</v>
      </c>
      <c r="O33" s="99">
        <f>$D33-vlookup(Summary!$C33,Summary!$C$2:$Q$103,3+counta($F$1:O$1),false)</f>
        <v>0.4</v>
      </c>
      <c r="P33" s="99">
        <f>$D33-vlookup(Summary!$C33,Summary!$C$2:$Q$103,3+counta($F$1:P$1),false)</f>
        <v>0.05</v>
      </c>
      <c r="Q33" s="99">
        <f>$D33-vlookup(Summary!$C33,Summary!$C$2:$Q$103,3+counta($F$1:Q$1),false)</f>
        <v>0.15</v>
      </c>
    </row>
    <row r="34" ht="15.75" customHeight="1">
      <c r="A34" s="15">
        <f>Main!A34</f>
        <v>33</v>
      </c>
      <c r="B34" s="15" t="str">
        <f>Main!B34</f>
        <v>Daily COVID cases in Australia will reach 150,000 at least once</v>
      </c>
      <c r="C34" s="15" t="str">
        <f>Main!C34</f>
        <v>Covid</v>
      </c>
      <c r="D34" s="15">
        <v>0.1</v>
      </c>
      <c r="F34" s="99">
        <f>$D34-vlookup(Summary!$C34,Summary!$C$2:$Q$103,3+counta($F$1:F$1),false)</f>
        <v>0</v>
      </c>
      <c r="G34" s="99">
        <f>$D34-vlookup(Summary!$C34,Summary!$C$2:$Q$103,3+counta($F$1:G$1),false)</f>
        <v>-0.1</v>
      </c>
      <c r="H34" s="99">
        <f>$D34-vlookup(Summary!$C34,Summary!$C$2:$Q$103,3+counta($F$1:H$1),false)</f>
        <v>0.09</v>
      </c>
      <c r="I34" s="99">
        <f>$D34-vlookup(Summary!$C34,Summary!$C$2:$Q$103,3+counta($F$1:I$1),false)</f>
        <v>0</v>
      </c>
      <c r="J34" s="99">
        <f>$D34-vlookup(Summary!$C34,Summary!$C$2:$Q$103,3+counta($F$1:J$1),false)</f>
        <v>-0.8</v>
      </c>
      <c r="K34" s="99">
        <f>$D34-vlookup(Summary!$C34,Summary!$C$2:$Q$103,3+counta($F$1:K$1),false)</f>
        <v>-0.5</v>
      </c>
      <c r="L34" s="99">
        <f>$D34-vlookup(Summary!$C34,Summary!$C$2:$Q$103,3+counta($F$1:L$1),false)</f>
        <v>0.05</v>
      </c>
      <c r="M34" s="99">
        <f>$D34-vlookup(Summary!$C34,Summary!$C$2:$Q$103,3+counta($F$1:M$1),false)</f>
        <v>0.09</v>
      </c>
      <c r="N34" s="99">
        <f>$D34-vlookup(Summary!$C34,Summary!$C$2:$Q$103,3+counta($F$1:N$1),false)</f>
        <v>-0.3</v>
      </c>
      <c r="O34" s="99">
        <f>$D34-vlookup(Summary!$C34,Summary!$C$2:$Q$103,3+counta($F$1:O$1),false)</f>
        <v>-0.05</v>
      </c>
      <c r="P34" s="99">
        <f>$D34-vlookup(Summary!$C34,Summary!$C$2:$Q$103,3+counta($F$1:P$1),false)</f>
        <v>-0.8</v>
      </c>
      <c r="Q34" s="99">
        <f>$D34-vlookup(Summary!$C34,Summary!$C$2:$Q$103,3+counta($F$1:Q$1),false)</f>
        <v>-0.8</v>
      </c>
    </row>
    <row r="35" ht="15.75" customHeight="1">
      <c r="A35" s="15">
        <f>Main!A35</f>
        <v>34</v>
      </c>
      <c r="B35" s="15" t="str">
        <f>Main!B35</f>
        <v>More deaths will be attributed to Omicron by the WHO than all other covid variants combined</v>
      </c>
      <c r="C35" s="15" t="str">
        <f>Main!C35</f>
        <v>Covid</v>
      </c>
      <c r="D35" s="15">
        <v>0.3</v>
      </c>
      <c r="F35" s="99">
        <f>$D35-vlookup(Summary!$C35,Summary!$C$2:$Q$103,3+counta($F$1:F$1),false)</f>
        <v>0</v>
      </c>
      <c r="G35" s="99">
        <f>$D35-vlookup(Summary!$C35,Summary!$C$2:$Q$103,3+counta($F$1:G$1),false)</f>
        <v>0.2</v>
      </c>
      <c r="H35" s="99">
        <f>$D35-vlookup(Summary!$C35,Summary!$C$2:$Q$103,3+counta($F$1:H$1),false)</f>
        <v>-0.5</v>
      </c>
      <c r="I35" s="99">
        <f>$D35-vlookup(Summary!$C35,Summary!$C$2:$Q$103,3+counta($F$1:I$1),false)</f>
        <v>0.2</v>
      </c>
      <c r="J35" s="99">
        <f>$D35-vlookup(Summary!$C35,Summary!$C$2:$Q$103,3+counta($F$1:J$1),false)</f>
        <v>-0.1</v>
      </c>
      <c r="K35" s="99">
        <f>$D35-vlookup(Summary!$C35,Summary!$C$2:$Q$103,3+counta($F$1:K$1),false)</f>
        <v>-0.45</v>
      </c>
      <c r="L35" s="99">
        <f>$D35-vlookup(Summary!$C35,Summary!$C$2:$Q$103,3+counta($F$1:L$1),false)</f>
        <v>0.299</v>
      </c>
      <c r="M35" s="99">
        <f>$D35-vlookup(Summary!$C35,Summary!$C$2:$Q$103,3+counta($F$1:M$1),false)</f>
        <v>-0.5</v>
      </c>
      <c r="N35" s="99">
        <f>$D35-vlookup(Summary!$C35,Summary!$C$2:$Q$103,3+counta($F$1:N$1),false)</f>
        <v>0</v>
      </c>
      <c r="O35" s="99">
        <f>$D35-vlookup(Summary!$C35,Summary!$C$2:$Q$103,3+counta($F$1:O$1),false)</f>
        <v>-0.55</v>
      </c>
      <c r="P35" s="99">
        <f>$D35-vlookup(Summary!$C35,Summary!$C$2:$Q$103,3+counta($F$1:P$1),false)</f>
        <v>-0.2</v>
      </c>
      <c r="Q35" s="99">
        <f>$D35-vlookup(Summary!$C35,Summary!$C$2:$Q$103,3+counta($F$1:Q$1),false)</f>
        <v>-0.4</v>
      </c>
    </row>
    <row r="36" ht="15.75" customHeight="1">
      <c r="A36" s="15">
        <f>Main!A36</f>
        <v>35</v>
      </c>
      <c r="B36" s="15" t="str">
        <f>Main!B36</f>
        <v>The average number of covid vaccinations per person amongst members of Xmas eve 2022 will be &gt; 3</v>
      </c>
      <c r="C36" s="15" t="str">
        <f>Main!C36</f>
        <v>Covid</v>
      </c>
      <c r="D36" s="15">
        <v>0.8</v>
      </c>
      <c r="F36" s="99">
        <f>$D36-vlookup(Summary!$C36,Summary!$C$2:$Q$103,3+counta($F$1:F$1),false)</f>
        <v>0</v>
      </c>
      <c r="G36" s="99">
        <f>$D36-vlookup(Summary!$C36,Summary!$C$2:$Q$103,3+counta($F$1:G$1),false)</f>
        <v>-0.1</v>
      </c>
      <c r="H36" s="99">
        <f>$D36-vlookup(Summary!$C36,Summary!$C$2:$Q$103,3+counta($F$1:H$1),false)</f>
        <v>-0.1</v>
      </c>
      <c r="I36" s="99">
        <f>$D36-vlookup(Summary!$C36,Summary!$C$2:$Q$103,3+counta($F$1:I$1),false)</f>
        <v>0.3</v>
      </c>
      <c r="J36" s="99">
        <f>$D36-vlookup(Summary!$C36,Summary!$C$2:$Q$103,3+counta($F$1:J$1),false)</f>
        <v>0.4</v>
      </c>
      <c r="K36" s="99">
        <f>$D36-vlookup(Summary!$C36,Summary!$C$2:$Q$103,3+counta($F$1:K$1),false)</f>
        <v>0</v>
      </c>
      <c r="L36" s="99">
        <f>$D36-vlookup(Summary!$C36,Summary!$C$2:$Q$103,3+counta($F$1:L$1),false)</f>
        <v>-0.199</v>
      </c>
      <c r="M36" s="99">
        <f>$D36-vlookup(Summary!$C36,Summary!$C$2:$Q$103,3+counta($F$1:M$1),false)</f>
        <v>-0.1</v>
      </c>
      <c r="N36" s="99">
        <f>$D36-vlookup(Summary!$C36,Summary!$C$2:$Q$103,3+counta($F$1:N$1),false)</f>
        <v>-0.1</v>
      </c>
      <c r="O36" s="99">
        <f>$D36-vlookup(Summary!$C36,Summary!$C$2:$Q$103,3+counta($F$1:O$1),false)</f>
        <v>-0.05</v>
      </c>
      <c r="P36" s="99">
        <f>$D36-vlookup(Summary!$C36,Summary!$C$2:$Q$103,3+counta($F$1:P$1),false)</f>
        <v>-0.1</v>
      </c>
      <c r="Q36" s="99">
        <f>$D36-vlookup(Summary!$C36,Summary!$C$2:$Q$103,3+counta($F$1:Q$1),false)</f>
        <v>0.4</v>
      </c>
    </row>
    <row r="37" ht="15.75" customHeight="1">
      <c r="A37" s="15">
        <f>Main!A37</f>
        <v>36</v>
      </c>
      <c r="B37" s="15" t="str">
        <f>Main!B37</f>
        <v>2 new variants of Covid will be invented/discovered during 2022</v>
      </c>
      <c r="C37" s="15" t="str">
        <f>Main!C37</f>
        <v>Covid</v>
      </c>
      <c r="D37" s="15">
        <v>0.3</v>
      </c>
      <c r="F37" s="99">
        <f>$D37-vlookup(Summary!$C37,Summary!$C$2:$Q$103,3+counta($F$1:F$1),false)</f>
        <v>0</v>
      </c>
      <c r="G37" s="99">
        <f>$D37-vlookup(Summary!$C37,Summary!$C$2:$Q$103,3+counta($F$1:G$1),false)</f>
        <v>0</v>
      </c>
      <c r="H37" s="99">
        <f>$D37-vlookup(Summary!$C37,Summary!$C$2:$Q$103,3+counta($F$1:H$1),false)</f>
        <v>-0.5</v>
      </c>
      <c r="I37" s="99">
        <f>$D37-vlookup(Summary!$C37,Summary!$C$2:$Q$103,3+counta($F$1:I$1),false)</f>
        <v>0</v>
      </c>
      <c r="J37" s="99">
        <f>$D37-vlookup(Summary!$C37,Summary!$C$2:$Q$103,3+counta($F$1:J$1),false)</f>
        <v>-0.6</v>
      </c>
      <c r="K37" s="99">
        <f>$D37-vlookup(Summary!$C37,Summary!$C$2:$Q$103,3+counta($F$1:K$1),false)</f>
        <v>-0.55</v>
      </c>
      <c r="L37" s="99">
        <f>$D37-vlookup(Summary!$C37,Summary!$C$2:$Q$103,3+counta($F$1:L$1),false)</f>
        <v>0.299</v>
      </c>
      <c r="M37" s="99">
        <f>$D37-vlookup(Summary!$C37,Summary!$C$2:$Q$103,3+counta($F$1:M$1),false)</f>
        <v>-0.5</v>
      </c>
      <c r="N37" s="99">
        <f>$D37-vlookup(Summary!$C37,Summary!$C$2:$Q$103,3+counta($F$1:N$1),false)</f>
        <v>-0.6</v>
      </c>
      <c r="O37" s="99">
        <f>$D37-vlookup(Summary!$C37,Summary!$C$2:$Q$103,3+counta($F$1:O$1),false)</f>
        <v>-0.05</v>
      </c>
      <c r="P37" s="99">
        <f>$D37-vlookup(Summary!$C37,Summary!$C$2:$Q$103,3+counta($F$1:P$1),false)</f>
        <v>-0.6</v>
      </c>
      <c r="Q37" s="99">
        <f>$D37-vlookup(Summary!$C37,Summary!$C$2:$Q$103,3+counta($F$1:Q$1),false)</f>
        <v>-0.1</v>
      </c>
    </row>
    <row r="38" ht="15.75" customHeight="1">
      <c r="A38" s="15">
        <f>Main!A38</f>
        <v>37</v>
      </c>
      <c r="B38" s="15" t="str">
        <f>Main!B38</f>
        <v>Tasmania will have experienced at least 10,000 new cases in 1 day</v>
      </c>
      <c r="C38" s="15" t="str">
        <f>Main!C38</f>
        <v>Covid</v>
      </c>
      <c r="D38" s="15">
        <v>0.15</v>
      </c>
      <c r="F38" s="99">
        <f>$D38-vlookup(Summary!$C38,Summary!$C$2:$Q$103,3+counta($F$1:F$1),false)</f>
        <v>0</v>
      </c>
      <c r="G38" s="99">
        <f>$D38-vlookup(Summary!$C38,Summary!$C$2:$Q$103,3+counta($F$1:G$1),false)</f>
        <v>0.05</v>
      </c>
      <c r="H38" s="99">
        <f>$D38-vlookup(Summary!$C38,Summary!$C$2:$Q$103,3+counta($F$1:H$1),false)</f>
        <v>0.1</v>
      </c>
      <c r="I38" s="99">
        <f>$D38-vlookup(Summary!$C38,Summary!$C$2:$Q$103,3+counta($F$1:I$1),false)</f>
        <v>0.05</v>
      </c>
      <c r="J38" s="99">
        <f>$D38-vlookup(Summary!$C38,Summary!$C$2:$Q$103,3+counta($F$1:J$1),false)</f>
        <v>-0.15</v>
      </c>
      <c r="K38" s="99">
        <f>$D38-vlookup(Summary!$C38,Summary!$C$2:$Q$103,3+counta($F$1:K$1),false)</f>
        <v>-0.3</v>
      </c>
      <c r="L38" s="99">
        <f>$D38-vlookup(Summary!$C38,Summary!$C$2:$Q$103,3+counta($F$1:L$1),false)</f>
        <v>0.149</v>
      </c>
      <c r="M38" s="99">
        <f>$D38-vlookup(Summary!$C38,Summary!$C$2:$Q$103,3+counta($F$1:M$1),false)</f>
        <v>0.13</v>
      </c>
      <c r="N38" s="99">
        <f>$D38-vlookup(Summary!$C38,Summary!$C$2:$Q$103,3+counta($F$1:N$1),false)</f>
        <v>0.05</v>
      </c>
      <c r="O38" s="99">
        <f>$D38-vlookup(Summary!$C38,Summary!$C$2:$Q$103,3+counta($F$1:O$1),false)</f>
        <v>0.149</v>
      </c>
      <c r="P38" s="99">
        <f>$D38-vlookup(Summary!$C38,Summary!$C$2:$Q$103,3+counta($F$1:P$1),false)</f>
        <v>-0.35</v>
      </c>
      <c r="Q38" s="99">
        <f>$D38-vlookup(Summary!$C38,Summary!$C$2:$Q$103,3+counta($F$1:Q$1),false)</f>
        <v>-0.4</v>
      </c>
    </row>
    <row r="39" ht="15.75" customHeight="1">
      <c r="A39" s="15">
        <f>Main!A39</f>
        <v>38</v>
      </c>
      <c r="B39" s="15" t="str">
        <f>Main!B39</f>
        <v>WHO switches to another alphabet than the Greek alphabet for Covid variants</v>
      </c>
      <c r="C39" s="15" t="str">
        <f>Main!C39</f>
        <v>Covid</v>
      </c>
      <c r="D39" s="15">
        <v>0.45</v>
      </c>
      <c r="F39" s="99">
        <f>$D39-vlookup(Summary!$C39,Summary!$C$2:$Q$103,3+counta($F$1:F$1),false)</f>
        <v>0</v>
      </c>
      <c r="G39" s="99">
        <f>$D39-vlookup(Summary!$C39,Summary!$C$2:$Q$103,3+counta($F$1:G$1),false)</f>
        <v>-0.35</v>
      </c>
      <c r="H39" s="99">
        <f>$D39-vlookup(Summary!$C39,Summary!$C$2:$Q$103,3+counta($F$1:H$1),false)</f>
        <v>0.25</v>
      </c>
      <c r="I39" s="99">
        <f>$D39-vlookup(Summary!$C39,Summary!$C$2:$Q$103,3+counta($F$1:I$1),false)</f>
        <v>0.35</v>
      </c>
      <c r="J39" s="99">
        <f>$D39-vlookup(Summary!$C39,Summary!$C$2:$Q$103,3+counta($F$1:J$1),false)</f>
        <v>-0.05</v>
      </c>
      <c r="K39" s="99">
        <f>$D39-vlookup(Summary!$C39,Summary!$C$2:$Q$103,3+counta($F$1:K$1),false)</f>
        <v>-0.45</v>
      </c>
      <c r="L39" s="99">
        <f>$D39-vlookup(Summary!$C39,Summary!$C$2:$Q$103,3+counta($F$1:L$1),false)</f>
        <v>-0.05</v>
      </c>
      <c r="M39" s="99">
        <f>$D39-vlookup(Summary!$C39,Summary!$C$2:$Q$103,3+counta($F$1:M$1),false)</f>
        <v>0.25</v>
      </c>
      <c r="N39" s="99">
        <f>$D39-vlookup(Summary!$C39,Summary!$C$2:$Q$103,3+counta($F$1:N$1),false)</f>
        <v>-0.45</v>
      </c>
      <c r="O39" s="99">
        <f>$D39-vlookup(Summary!$C39,Summary!$C$2:$Q$103,3+counta($F$1:O$1),false)</f>
        <v>0.3</v>
      </c>
      <c r="P39" s="99">
        <f>$D39-vlookup(Summary!$C39,Summary!$C$2:$Q$103,3+counta($F$1:P$1),false)</f>
        <v>0.35</v>
      </c>
      <c r="Q39" s="99">
        <f>$D39-vlookup(Summary!$C39,Summary!$C$2:$Q$103,3+counta($F$1:Q$1),false)</f>
        <v>0.1</v>
      </c>
    </row>
    <row r="40" ht="15.75" customHeight="1">
      <c r="A40" s="15">
        <f>Main!A40</f>
        <v>39</v>
      </c>
      <c r="B40" s="15" t="str">
        <f>Main!B40</f>
        <v>Lachy and Jac's extension will be completed</v>
      </c>
      <c r="C40" s="15" t="str">
        <f>Main!C40</f>
        <v>Family</v>
      </c>
      <c r="D40" s="15">
        <v>0.7</v>
      </c>
      <c r="F40" s="99">
        <f>$D40-vlookup(Summary!$C40,Summary!$C$2:$Q$103,3+counta($F$1:F$1),false)</f>
        <v>0</v>
      </c>
      <c r="G40" s="99">
        <f>$D40-vlookup(Summary!$C40,Summary!$C$2:$Q$103,3+counta($F$1:G$1),false)</f>
        <v>-0.1</v>
      </c>
      <c r="H40" s="99">
        <f>$D40-vlookup(Summary!$C40,Summary!$C$2:$Q$103,3+counta($F$1:H$1),false)</f>
        <v>0.6</v>
      </c>
      <c r="I40" s="99">
        <f>$D40-vlookup(Summary!$C40,Summary!$C$2:$Q$103,3+counta($F$1:I$1),false)</f>
        <v>0.2</v>
      </c>
      <c r="J40" s="99">
        <f>$D40-vlookup(Summary!$C40,Summary!$C$2:$Q$103,3+counta($F$1:J$1),false)</f>
        <v>-0.1</v>
      </c>
      <c r="K40" s="99">
        <f>$D40-vlookup(Summary!$C40,Summary!$C$2:$Q$103,3+counta($F$1:K$1),false)</f>
        <v>0.3</v>
      </c>
      <c r="L40" s="99">
        <f>$D40-vlookup(Summary!$C40,Summary!$C$2:$Q$103,3+counta($F$1:L$1),false)</f>
        <v>0.2</v>
      </c>
      <c r="M40" s="99">
        <f>$D40-vlookup(Summary!$C40,Summary!$C$2:$Q$103,3+counta($F$1:M$1),false)</f>
        <v>0.7</v>
      </c>
      <c r="N40" s="99">
        <f>$D40-vlookup(Summary!$C40,Summary!$C$2:$Q$103,3+counta($F$1:N$1),false)</f>
        <v>-0.2</v>
      </c>
      <c r="O40" s="99">
        <f>$D40-vlookup(Summary!$C40,Summary!$C$2:$Q$103,3+counta($F$1:O$1),false)</f>
        <v>-0.15</v>
      </c>
      <c r="P40" s="99">
        <f>$D40-vlookup(Summary!$C40,Summary!$C$2:$Q$103,3+counta($F$1:P$1),false)</f>
        <v>0.2</v>
      </c>
      <c r="Q40" s="99">
        <f>$D40-vlookup(Summary!$C40,Summary!$C$2:$Q$103,3+counta($F$1:Q$1),false)</f>
        <v>0.55</v>
      </c>
    </row>
    <row r="41" ht="15.75" customHeight="1">
      <c r="A41" s="15">
        <f>Main!A41</f>
        <v>40</v>
      </c>
      <c r="B41" s="15" t="str">
        <f>Main!B41</f>
        <v>Rohan will work for two different employers (not his own family members)</v>
      </c>
      <c r="C41" s="15" t="str">
        <f>Main!C41</f>
        <v>Family</v>
      </c>
      <c r="D41" s="15">
        <v>0.4</v>
      </c>
      <c r="F41" s="99">
        <f>$D41-vlookup(Summary!$C41,Summary!$C$2:$Q$103,3+counta($F$1:F$1),false)</f>
        <v>0</v>
      </c>
      <c r="G41" s="99">
        <f>$D41-vlookup(Summary!$C41,Summary!$C$2:$Q$103,3+counta($F$1:G$1),false)</f>
        <v>-0.2</v>
      </c>
      <c r="H41" s="99">
        <f>$D41-vlookup(Summary!$C41,Summary!$C$2:$Q$103,3+counta($F$1:H$1),false)</f>
        <v>0.3</v>
      </c>
      <c r="I41" s="99">
        <f>$D41-vlookup(Summary!$C41,Summary!$C$2:$Q$103,3+counta($F$1:I$1),false)</f>
        <v>0.1</v>
      </c>
      <c r="J41" s="99">
        <f>$D41-vlookup(Summary!$C41,Summary!$C$2:$Q$103,3+counta($F$1:J$1),false)</f>
        <v>-0.1</v>
      </c>
      <c r="K41" s="99">
        <f>$D41-vlookup(Summary!$C41,Summary!$C$2:$Q$103,3+counta($F$1:K$1),false)</f>
        <v>0.1</v>
      </c>
      <c r="L41" s="99">
        <f>$D41-vlookup(Summary!$C41,Summary!$C$2:$Q$103,3+counta($F$1:L$1),false)</f>
        <v>0.1</v>
      </c>
      <c r="M41" s="99">
        <f>$D41-vlookup(Summary!$C41,Summary!$C$2:$Q$103,3+counta($F$1:M$1),false)</f>
        <v>0.3</v>
      </c>
      <c r="N41" s="99">
        <f>$D41-vlookup(Summary!$C41,Summary!$C$2:$Q$103,3+counta($F$1:N$1),false)</f>
        <v>-0.2</v>
      </c>
      <c r="O41" s="99">
        <f>$D41-vlookup(Summary!$C41,Summary!$C$2:$Q$103,3+counta($F$1:O$1),false)</f>
        <v>0.25</v>
      </c>
      <c r="P41" s="99">
        <f>$D41-vlookup(Summary!$C41,Summary!$C$2:$Q$103,3+counta($F$1:P$1),false)</f>
        <v>-0.1</v>
      </c>
      <c r="Q41" s="99">
        <f>$D41-vlookup(Summary!$C41,Summary!$C$2:$Q$103,3+counta($F$1:Q$1),false)</f>
        <v>0.1</v>
      </c>
    </row>
    <row r="42" ht="15.75" customHeight="1">
      <c r="A42" s="15">
        <f>Main!A42</f>
        <v>41</v>
      </c>
      <c r="B42" s="15" t="str">
        <f>Main!B42</f>
        <v>Kate will swim the Broulee Bay to Breakers in March 2022 and improve her position from 9th in the 40s women’s age group</v>
      </c>
      <c r="C42" s="15" t="str">
        <f>Main!C42</f>
        <v>Family</v>
      </c>
      <c r="D42" s="15">
        <v>0.6</v>
      </c>
      <c r="F42" s="99">
        <f>$D42-vlookup(Summary!$C42,Summary!$C$2:$Q$103,3+counta($F$1:F$1),false)</f>
        <v>0</v>
      </c>
      <c r="G42" s="99">
        <f>$D42-vlookup(Summary!$C42,Summary!$C$2:$Q$103,3+counta($F$1:G$1),false)</f>
        <v>-0.2</v>
      </c>
      <c r="H42" s="99">
        <f>$D42-vlookup(Summary!$C42,Summary!$C$2:$Q$103,3+counta($F$1:H$1),false)</f>
        <v>-0.3</v>
      </c>
      <c r="I42" s="99">
        <f>$D42-vlookup(Summary!$C42,Summary!$C$2:$Q$103,3+counta($F$1:I$1),false)</f>
        <v>0.1</v>
      </c>
      <c r="J42" s="99">
        <f>$D42-vlookup(Summary!$C42,Summary!$C$2:$Q$103,3+counta($F$1:J$1),false)</f>
        <v>-0.3</v>
      </c>
      <c r="K42" s="99">
        <f>$D42-vlookup(Summary!$C42,Summary!$C$2:$Q$103,3+counta($F$1:K$1),false)</f>
        <v>-0.1</v>
      </c>
      <c r="L42" s="99">
        <f>$D42-vlookup(Summary!$C42,Summary!$C$2:$Q$103,3+counta($F$1:L$1),false)</f>
        <v>0</v>
      </c>
      <c r="M42" s="99">
        <f>$D42-vlookup(Summary!$C42,Summary!$C$2:$Q$103,3+counta($F$1:M$1),false)</f>
        <v>-0.3</v>
      </c>
      <c r="N42" s="99">
        <f>$D42-vlookup(Summary!$C42,Summary!$C$2:$Q$103,3+counta($F$1:N$1),false)</f>
        <v>0.4</v>
      </c>
      <c r="O42" s="99">
        <f>$D42-vlookup(Summary!$C42,Summary!$C$2:$Q$103,3+counta($F$1:O$1),false)</f>
        <v>-0.25</v>
      </c>
      <c r="P42" s="99">
        <f>$D42-vlookup(Summary!$C42,Summary!$C$2:$Q$103,3+counta($F$1:P$1),false)</f>
        <v>-0.3</v>
      </c>
      <c r="Q42" s="99">
        <f>$D42-vlookup(Summary!$C42,Summary!$C$2:$Q$103,3+counta($F$1:Q$1),false)</f>
        <v>0.1</v>
      </c>
    </row>
    <row r="43" ht="15.75" customHeight="1">
      <c r="A43" s="15">
        <f>Main!A43</f>
        <v>42</v>
      </c>
      <c r="B43" s="15" t="str">
        <f>Main!B43</f>
        <v>Rohan will be at least 6ft tall</v>
      </c>
      <c r="C43" s="15" t="str">
        <f>Main!C43</f>
        <v>Family</v>
      </c>
      <c r="D43" s="15">
        <v>0.5</v>
      </c>
      <c r="F43" s="99">
        <f>$D43-vlookup(Summary!$C43,Summary!$C$2:$Q$103,3+counta($F$1:F$1),false)</f>
        <v>0</v>
      </c>
      <c r="G43" s="99">
        <f>$D43-vlookup(Summary!$C43,Summary!$C$2:$Q$103,3+counta($F$1:G$1),false)</f>
        <v>-0.4</v>
      </c>
      <c r="H43" s="99">
        <f>$D43-vlookup(Summary!$C43,Summary!$C$2:$Q$103,3+counta($F$1:H$1),false)</f>
        <v>-0.4</v>
      </c>
      <c r="I43" s="99">
        <f>$D43-vlookup(Summary!$C43,Summary!$C$2:$Q$103,3+counta($F$1:I$1),false)</f>
        <v>0.1</v>
      </c>
      <c r="J43" s="99">
        <f>$D43-vlookup(Summary!$C43,Summary!$C$2:$Q$103,3+counta($F$1:J$1),false)</f>
        <v>-0.4</v>
      </c>
      <c r="K43" s="99">
        <f>$D43-vlookup(Summary!$C43,Summary!$C$2:$Q$103,3+counta($F$1:K$1),false)</f>
        <v>0.499</v>
      </c>
      <c r="L43" s="99">
        <f>$D43-vlookup(Summary!$C43,Summary!$C$2:$Q$103,3+counta($F$1:L$1),false)</f>
        <v>-0.49999</v>
      </c>
      <c r="M43" s="99">
        <f>$D43-vlookup(Summary!$C43,Summary!$C$2:$Q$103,3+counta($F$1:M$1),false)</f>
        <v>-0.4</v>
      </c>
      <c r="N43" s="99">
        <f>$D43-vlookup(Summary!$C43,Summary!$C$2:$Q$103,3+counta($F$1:N$1),false)</f>
        <v>-0.4</v>
      </c>
      <c r="O43" s="99">
        <f>$D43-vlookup(Summary!$C43,Summary!$C$2:$Q$103,3+counta($F$1:O$1),false)</f>
        <v>-0.499</v>
      </c>
      <c r="P43" s="99">
        <f>$D43-vlookup(Summary!$C43,Summary!$C$2:$Q$103,3+counta($F$1:P$1),false)</f>
        <v>-0.4</v>
      </c>
      <c r="Q43" s="99">
        <f>$D43-vlookup(Summary!$C43,Summary!$C$2:$Q$103,3+counta($F$1:Q$1),false)</f>
        <v>-0.49</v>
      </c>
    </row>
    <row r="44" ht="15.75" customHeight="1">
      <c r="A44" s="15">
        <f>Main!A44</f>
        <v>43</v>
      </c>
      <c r="B44" s="15" t="str">
        <f>Main!B44</f>
        <v>A participant in the prediction game will get a dog or another dog </v>
      </c>
      <c r="C44" s="15" t="str">
        <f>Main!C44</f>
        <v>Family</v>
      </c>
      <c r="D44" s="15">
        <v>0.5</v>
      </c>
      <c r="F44" s="99">
        <f>$D44-vlookup(Summary!$C44,Summary!$C$2:$Q$103,3+counta($F$1:F$1),false)</f>
        <v>0</v>
      </c>
      <c r="G44" s="99">
        <f>$D44-vlookup(Summary!$C44,Summary!$C$2:$Q$103,3+counta($F$1:G$1),false)</f>
        <v>-0.45</v>
      </c>
      <c r="H44" s="99">
        <f>$D44-vlookup(Summary!$C44,Summary!$C$2:$Q$103,3+counta($F$1:H$1),false)</f>
        <v>0.4</v>
      </c>
      <c r="I44" s="99">
        <f>$D44-vlookup(Summary!$C44,Summary!$C$2:$Q$103,3+counta($F$1:I$1),false)</f>
        <v>0.4</v>
      </c>
      <c r="J44" s="99">
        <f>$D44-vlookup(Summary!$C44,Summary!$C$2:$Q$103,3+counta($F$1:J$1),false)</f>
        <v>-0.4</v>
      </c>
      <c r="K44" s="99">
        <f>$D44-vlookup(Summary!$C44,Summary!$C$2:$Q$103,3+counta($F$1:K$1),false)</f>
        <v>-0.25</v>
      </c>
      <c r="L44" s="99">
        <f>$D44-vlookup(Summary!$C44,Summary!$C$2:$Q$103,3+counta($F$1:L$1),false)</f>
        <v>0.3</v>
      </c>
      <c r="M44" s="99">
        <f>$D44-vlookup(Summary!$C44,Summary!$C$2:$Q$103,3+counta($F$1:M$1),false)</f>
        <v>0.4</v>
      </c>
      <c r="N44" s="99">
        <f>$D44-vlookup(Summary!$C44,Summary!$C$2:$Q$103,3+counta($F$1:N$1),false)</f>
        <v>0.4</v>
      </c>
      <c r="O44" s="99">
        <f>$D44-vlookup(Summary!$C44,Summary!$C$2:$Q$103,3+counta($F$1:O$1),false)</f>
        <v>0.499</v>
      </c>
      <c r="P44" s="99">
        <f>$D44-vlookup(Summary!$C44,Summary!$C$2:$Q$103,3+counta($F$1:P$1),false)</f>
        <v>0</v>
      </c>
      <c r="Q44" s="99">
        <f>$D44-vlookup(Summary!$C44,Summary!$C$2:$Q$103,3+counta($F$1:Q$1),false)</f>
        <v>0.25</v>
      </c>
    </row>
    <row r="45" ht="15.75" customHeight="1">
      <c r="A45" s="15">
        <f>Main!A45</f>
        <v>44</v>
      </c>
      <c r="B45" s="15" t="str">
        <f>Main!B45</f>
        <v>There will be a flow of water into the Lake Eyre basin in 2022</v>
      </c>
      <c r="C45" s="15" t="str">
        <f>Main!C45</f>
        <v>Natural world</v>
      </c>
      <c r="D45" s="15">
        <v>0.75</v>
      </c>
      <c r="F45" s="99">
        <f>$D45-vlookup(Summary!$C45,Summary!$C$2:$Q$103,3+counta($F$1:F$1),false)</f>
        <v>0</v>
      </c>
      <c r="G45" s="99">
        <f>$D45-vlookup(Summary!$C45,Summary!$C$2:$Q$103,3+counta($F$1:G$1),false)</f>
        <v>-0.05</v>
      </c>
      <c r="H45" s="99">
        <f>$D45-vlookup(Summary!$C45,Summary!$C$2:$Q$103,3+counta($F$1:H$1),false)</f>
        <v>0.25</v>
      </c>
      <c r="I45" s="99">
        <f>$D45-vlookup(Summary!$C45,Summary!$C$2:$Q$103,3+counta($F$1:I$1),false)</f>
        <v>0.25</v>
      </c>
      <c r="J45" s="99">
        <f>$D45-vlookup(Summary!$C45,Summary!$C$2:$Q$103,3+counta($F$1:J$1),false)</f>
        <v>0.45</v>
      </c>
      <c r="K45" s="99">
        <f>$D45-vlookup(Summary!$C45,Summary!$C$2:$Q$103,3+counta($F$1:K$1),false)</f>
        <v>0.05</v>
      </c>
      <c r="L45" s="99">
        <f>$D45-vlookup(Summary!$C45,Summary!$C$2:$Q$103,3+counta($F$1:L$1),false)</f>
        <v>-0.05</v>
      </c>
      <c r="M45" s="99">
        <f>$D45-vlookup(Summary!$C45,Summary!$C$2:$Q$103,3+counta($F$1:M$1),false)</f>
        <v>0.25</v>
      </c>
      <c r="N45" s="99">
        <f>$D45-vlookup(Summary!$C45,Summary!$C$2:$Q$103,3+counta($F$1:N$1),false)</f>
        <v>0.15</v>
      </c>
      <c r="O45" s="99">
        <f>$D45-vlookup(Summary!$C45,Summary!$C$2:$Q$103,3+counta($F$1:O$1),false)</f>
        <v>0.1</v>
      </c>
      <c r="P45" s="99">
        <f>$D45-vlookup(Summary!$C45,Summary!$C$2:$Q$103,3+counta($F$1:P$1),false)</f>
        <v>-0.15</v>
      </c>
      <c r="Q45" s="99">
        <f>$D45-vlookup(Summary!$C45,Summary!$C$2:$Q$103,3+counta($F$1:Q$1),false)</f>
        <v>0.25</v>
      </c>
    </row>
    <row r="46" ht="15.75" customHeight="1">
      <c r="A46" s="15">
        <f>Main!A46</f>
        <v>45</v>
      </c>
      <c r="B46" s="15" t="str">
        <f>Main!B46</f>
        <v>Water from the Paroo will spill into the Darling in 2022</v>
      </c>
      <c r="C46" s="15" t="str">
        <f>Main!C46</f>
        <v>Natural world</v>
      </c>
      <c r="D46" s="15">
        <v>0.5</v>
      </c>
      <c r="F46" s="99">
        <f>$D46-vlookup(Summary!$C46,Summary!$C$2:$Q$103,3+counta($F$1:F$1),false)</f>
        <v>0</v>
      </c>
      <c r="G46" s="99">
        <f>$D46-vlookup(Summary!$C46,Summary!$C$2:$Q$103,3+counta($F$1:G$1),false)</f>
        <v>-0.2</v>
      </c>
      <c r="H46" s="99">
        <f>$D46-vlookup(Summary!$C46,Summary!$C$2:$Q$103,3+counta($F$1:H$1),false)</f>
        <v>0</v>
      </c>
      <c r="I46" s="99">
        <f>$D46-vlookup(Summary!$C46,Summary!$C$2:$Q$103,3+counta($F$1:I$1),false)</f>
        <v>0</v>
      </c>
      <c r="J46" s="99">
        <f>$D46-vlookup(Summary!$C46,Summary!$C$2:$Q$103,3+counta($F$1:J$1),false)</f>
        <v>-0.1</v>
      </c>
      <c r="K46" s="99">
        <f>$D46-vlookup(Summary!$C46,Summary!$C$2:$Q$103,3+counta($F$1:K$1),false)</f>
        <v>-0.1</v>
      </c>
      <c r="L46" s="99">
        <f>$D46-vlookup(Summary!$C46,Summary!$C$2:$Q$103,3+counta($F$1:L$1),false)</f>
        <v>-0.3</v>
      </c>
      <c r="M46" s="99">
        <f>$D46-vlookup(Summary!$C46,Summary!$C$2:$Q$103,3+counta($F$1:M$1),false)</f>
        <v>0</v>
      </c>
      <c r="N46" s="99">
        <f>$D46-vlookup(Summary!$C46,Summary!$C$2:$Q$103,3+counta($F$1:N$1),false)</f>
        <v>-0.1</v>
      </c>
      <c r="O46" s="99">
        <f>$D46-vlookup(Summary!$C46,Summary!$C$2:$Q$103,3+counta($F$1:O$1),false)</f>
        <v>0</v>
      </c>
      <c r="P46" s="99">
        <f>$D46-vlookup(Summary!$C46,Summary!$C$2:$Q$103,3+counta($F$1:P$1),false)</f>
        <v>0.4</v>
      </c>
      <c r="Q46" s="99">
        <f>$D46-vlookup(Summary!$C46,Summary!$C$2:$Q$103,3+counta($F$1:Q$1),false)</f>
        <v>0</v>
      </c>
    </row>
    <row r="47" ht="15.75" customHeight="1">
      <c r="A47" s="15">
        <f>Main!A47</f>
        <v>46</v>
      </c>
      <c r="B47" s="15" t="str">
        <f>Main!B47</f>
        <v>In the Antarctic the Thwaites Glacier ice-shelf will collapse in 2022</v>
      </c>
      <c r="C47" s="15" t="str">
        <f>Main!C47</f>
        <v>Natural world</v>
      </c>
      <c r="D47" s="15">
        <v>0.5</v>
      </c>
      <c r="F47" s="99">
        <f>$D47-vlookup(Summary!$C47,Summary!$C$2:$Q$103,3+counta($F$1:F$1),false)</f>
        <v>0</v>
      </c>
      <c r="G47" s="99">
        <f>$D47-vlookup(Summary!$C47,Summary!$C$2:$Q$103,3+counta($F$1:G$1),false)</f>
        <v>0.25</v>
      </c>
      <c r="H47" s="99">
        <f>$D47-vlookup(Summary!$C47,Summary!$C$2:$Q$103,3+counta($F$1:H$1),false)</f>
        <v>-0.2</v>
      </c>
      <c r="I47" s="99">
        <f>$D47-vlookup(Summary!$C47,Summary!$C$2:$Q$103,3+counta($F$1:I$1),false)</f>
        <v>0</v>
      </c>
      <c r="J47" s="99">
        <f>$D47-vlookup(Summary!$C47,Summary!$C$2:$Q$103,3+counta($F$1:J$1),false)</f>
        <v>-0.2</v>
      </c>
      <c r="K47" s="99">
        <f>$D47-vlookup(Summary!$C47,Summary!$C$2:$Q$103,3+counta($F$1:K$1),false)</f>
        <v>-0.2</v>
      </c>
      <c r="L47" s="99">
        <f>$D47-vlookup(Summary!$C47,Summary!$C$2:$Q$103,3+counta($F$1:L$1),false)</f>
        <v>0.4</v>
      </c>
      <c r="M47" s="99">
        <f>$D47-vlookup(Summary!$C47,Summary!$C$2:$Q$103,3+counta($F$1:M$1),false)</f>
        <v>-0.2</v>
      </c>
      <c r="N47" s="99">
        <f>$D47-vlookup(Summary!$C47,Summary!$C$2:$Q$103,3+counta($F$1:N$1),false)</f>
        <v>0.3</v>
      </c>
      <c r="O47" s="99">
        <f>$D47-vlookup(Summary!$C47,Summary!$C$2:$Q$103,3+counta($F$1:O$1),false)</f>
        <v>0.15</v>
      </c>
      <c r="P47" s="99">
        <f>$D47-vlookup(Summary!$C47,Summary!$C$2:$Q$103,3+counta($F$1:P$1),false)</f>
        <v>0</v>
      </c>
      <c r="Q47" s="99">
        <f>$D47-vlookup(Summary!$C47,Summary!$C$2:$Q$103,3+counta($F$1:Q$1),false)</f>
        <v>0</v>
      </c>
    </row>
    <row r="48" ht="15.75" customHeight="1">
      <c r="A48" s="15">
        <f>Main!A48</f>
        <v>47</v>
      </c>
      <c r="B48" s="15" t="str">
        <f>Main!B48</f>
        <v>At least three quarters of the Great Barrier Reef will be bleached as a result of warming seas.</v>
      </c>
      <c r="C48" s="15" t="str">
        <f>Main!C48</f>
        <v>Natural world</v>
      </c>
      <c r="D48" s="15">
        <v>0.5</v>
      </c>
      <c r="F48" s="99">
        <f>$D48-vlookup(Summary!$C48,Summary!$C$2:$Q$103,3+counta($F$1:F$1),false)</f>
        <v>0</v>
      </c>
      <c r="G48" s="99">
        <f>$D48-vlookup(Summary!$C48,Summary!$C$2:$Q$103,3+counta($F$1:G$1),false)</f>
        <v>-0.3</v>
      </c>
      <c r="H48" s="99">
        <f>$D48-vlookup(Summary!$C48,Summary!$C$2:$Q$103,3+counta($F$1:H$1),false)</f>
        <v>-0.2</v>
      </c>
      <c r="I48" s="99">
        <f>$D48-vlookup(Summary!$C48,Summary!$C$2:$Q$103,3+counta($F$1:I$1),false)</f>
        <v>0</v>
      </c>
      <c r="J48" s="99">
        <f>$D48-vlookup(Summary!$C48,Summary!$C$2:$Q$103,3+counta($F$1:J$1),false)</f>
        <v>-0.3</v>
      </c>
      <c r="K48" s="99">
        <f>$D48-vlookup(Summary!$C48,Summary!$C$2:$Q$103,3+counta($F$1:K$1),false)</f>
        <v>-0.35</v>
      </c>
      <c r="L48" s="99">
        <f>$D48-vlookup(Summary!$C48,Summary!$C$2:$Q$103,3+counta($F$1:L$1),false)</f>
        <v>0</v>
      </c>
      <c r="M48" s="99">
        <f>$D48-vlookup(Summary!$C48,Summary!$C$2:$Q$103,3+counta($F$1:M$1),false)</f>
        <v>-0.2</v>
      </c>
      <c r="N48" s="99">
        <f>$D48-vlookup(Summary!$C48,Summary!$C$2:$Q$103,3+counta($F$1:N$1),false)</f>
        <v>-0.2</v>
      </c>
      <c r="O48" s="99">
        <f>$D48-vlookup(Summary!$C48,Summary!$C$2:$Q$103,3+counta($F$1:O$1),false)</f>
        <v>0.15</v>
      </c>
      <c r="P48" s="99">
        <f>$D48-vlookup(Summary!$C48,Summary!$C$2:$Q$103,3+counta($F$1:P$1),false)</f>
        <v>0</v>
      </c>
      <c r="Q48" s="99">
        <f>$D48-vlookup(Summary!$C48,Summary!$C$2:$Q$103,3+counta($F$1:Q$1),false)</f>
        <v>0.1</v>
      </c>
    </row>
    <row r="49" ht="15.75" customHeight="1">
      <c r="A49" s="15">
        <f>Main!A49</f>
        <v>48</v>
      </c>
      <c r="B49" s="15" t="str">
        <f>Main!B49</f>
        <v>Sabine Hoffstader will release a Youtube video explaining that the nature of dark matter has been confirmed experimentally</v>
      </c>
      <c r="C49" s="15" t="str">
        <f>Main!C49</f>
        <v>Natural world</v>
      </c>
      <c r="D49" s="15">
        <v>0.5</v>
      </c>
      <c r="F49" s="99">
        <f>$D49-vlookup(Summary!$C49,Summary!$C$2:$Q$103,3+counta($F$1:F$1),false)</f>
        <v>0</v>
      </c>
      <c r="G49" s="99">
        <f>$D49-vlookup(Summary!$C49,Summary!$C$2:$Q$103,3+counta($F$1:G$1),false)</f>
        <v>0.25</v>
      </c>
      <c r="H49" s="99">
        <f>$D49-vlookup(Summary!$C49,Summary!$C$2:$Q$103,3+counta($F$1:H$1),false)</f>
        <v>0.4</v>
      </c>
      <c r="I49" s="99">
        <f>$D49-vlookup(Summary!$C49,Summary!$C$2:$Q$103,3+counta($F$1:I$1),false)</f>
        <v>0</v>
      </c>
      <c r="J49" s="99">
        <f>$D49-vlookup(Summary!$C49,Summary!$C$2:$Q$103,3+counta($F$1:J$1),false)</f>
        <v>0</v>
      </c>
      <c r="K49" s="99">
        <f>$D49-vlookup(Summary!$C49,Summary!$C$2:$Q$103,3+counta($F$1:K$1),false)</f>
        <v>-0.15</v>
      </c>
      <c r="L49" s="99">
        <f>$D49-vlookup(Summary!$C49,Summary!$C$2:$Q$103,3+counta($F$1:L$1),false)</f>
        <v>-0.1</v>
      </c>
      <c r="M49" s="99">
        <f>$D49-vlookup(Summary!$C49,Summary!$C$2:$Q$103,3+counta($F$1:M$1),false)</f>
        <v>0.4</v>
      </c>
      <c r="N49" s="99">
        <f>$D49-vlookup(Summary!$C49,Summary!$C$2:$Q$103,3+counta($F$1:N$1),false)</f>
        <v>0</v>
      </c>
      <c r="O49" s="99">
        <f>$D49-vlookup(Summary!$C49,Summary!$C$2:$Q$103,3+counta($F$1:O$1),false)</f>
        <v>0.499</v>
      </c>
      <c r="P49" s="99">
        <f>$D49-vlookup(Summary!$C49,Summary!$C$2:$Q$103,3+counta($F$1:P$1),false)</f>
        <v>0</v>
      </c>
      <c r="Q49" s="99">
        <f>$D49-vlookup(Summary!$C49,Summary!$C$2:$Q$103,3+counta($F$1:Q$1),false)</f>
        <v>0</v>
      </c>
    </row>
    <row r="50" ht="15.75" customHeight="1">
      <c r="A50" s="15">
        <f>Main!A50</f>
        <v>49</v>
      </c>
      <c r="B50" s="15" t="str">
        <f>Main!B50</f>
        <v>2022 will be the hottest year on record globally (via NASA)</v>
      </c>
      <c r="C50" s="15" t="str">
        <f>Main!C50</f>
        <v>Natural world</v>
      </c>
      <c r="D50" s="15">
        <v>0.3</v>
      </c>
      <c r="F50" s="99">
        <f>$D50-vlookup(Summary!$C50,Summary!$C$2:$Q$103,3+counta($F$1:F$1),false)</f>
        <v>0</v>
      </c>
      <c r="G50" s="99">
        <f>$D50-vlookup(Summary!$C50,Summary!$C$2:$Q$103,3+counta($F$1:G$1),false)</f>
        <v>-0.15</v>
      </c>
      <c r="H50" s="99">
        <f>$D50-vlookup(Summary!$C50,Summary!$C$2:$Q$103,3+counta($F$1:H$1),false)</f>
        <v>-0.65</v>
      </c>
      <c r="I50" s="99">
        <f>$D50-vlookup(Summary!$C50,Summary!$C$2:$Q$103,3+counta($F$1:I$1),false)</f>
        <v>0</v>
      </c>
      <c r="J50" s="99">
        <f>$D50-vlookup(Summary!$C50,Summary!$C$2:$Q$103,3+counta($F$1:J$1),false)</f>
        <v>-0.5</v>
      </c>
      <c r="K50" s="99">
        <f>$D50-vlookup(Summary!$C50,Summary!$C$2:$Q$103,3+counta($F$1:K$1),false)</f>
        <v>-0.52</v>
      </c>
      <c r="L50" s="99">
        <f>$D50-vlookup(Summary!$C50,Summary!$C$2:$Q$103,3+counta($F$1:L$1),false)</f>
        <v>0.1</v>
      </c>
      <c r="M50" s="99">
        <f>$D50-vlookup(Summary!$C50,Summary!$C$2:$Q$103,3+counta($F$1:M$1),false)</f>
        <v>-0.65</v>
      </c>
      <c r="N50" s="99">
        <f>$D50-vlookup(Summary!$C50,Summary!$C$2:$Q$103,3+counta($F$1:N$1),false)</f>
        <v>0</v>
      </c>
      <c r="O50" s="99">
        <f>$D50-vlookup(Summary!$C50,Summary!$C$2:$Q$103,3+counta($F$1:O$1),false)</f>
        <v>0.15</v>
      </c>
      <c r="P50" s="99">
        <f>$D50-vlookup(Summary!$C50,Summary!$C$2:$Q$103,3+counta($F$1:P$1),false)</f>
        <v>-0.3</v>
      </c>
      <c r="Q50" s="99">
        <f>$D50-vlookup(Summary!$C50,Summary!$C$2:$Q$103,3+counta($F$1:Q$1),false)</f>
        <v>-0.1</v>
      </c>
    </row>
    <row r="51" ht="15.75" customHeight="1">
      <c r="A51" s="15">
        <f>Main!A51</f>
        <v>50</v>
      </c>
      <c r="B51" s="15" t="str">
        <f>Main!B51</f>
        <v>A cultivated chilli will replace the Carolina Reaper as the world’s hottest, as measured in scoville units (GWR seems to be the source of this currently)</v>
      </c>
      <c r="C51" s="15" t="str">
        <f>Main!C51</f>
        <v>Natural world</v>
      </c>
      <c r="D51" s="15">
        <v>0.6</v>
      </c>
      <c r="F51" s="99">
        <f>$D51-vlookup(Summary!$C51,Summary!$C$2:$Q$103,3+counta($F$1:F$1),false)</f>
        <v>0</v>
      </c>
      <c r="G51" s="99">
        <f>$D51-vlookup(Summary!$C51,Summary!$C$2:$Q$103,3+counta($F$1:G$1),false)</f>
        <v>0.09</v>
      </c>
      <c r="H51" s="99">
        <f>$D51-vlookup(Summary!$C51,Summary!$C$2:$Q$103,3+counta($F$1:H$1),false)</f>
        <v>-0.1</v>
      </c>
      <c r="I51" s="99">
        <f>$D51-vlookup(Summary!$C51,Summary!$C$2:$Q$103,3+counta($F$1:I$1),false)</f>
        <v>-0.2</v>
      </c>
      <c r="J51" s="99">
        <f>$D51-vlookup(Summary!$C51,Summary!$C$2:$Q$103,3+counta($F$1:J$1),false)</f>
        <v>0.4</v>
      </c>
      <c r="K51" s="99">
        <f>$D51-vlookup(Summary!$C51,Summary!$C$2:$Q$103,3+counta($F$1:K$1),false)</f>
        <v>-0.15</v>
      </c>
      <c r="L51" s="99">
        <f>$D51-vlookup(Summary!$C51,Summary!$C$2:$Q$103,3+counta($F$1:L$1),false)</f>
        <v>0.1</v>
      </c>
      <c r="M51" s="99">
        <f>$D51-vlookup(Summary!$C51,Summary!$C$2:$Q$103,3+counta($F$1:M$1),false)</f>
        <v>-0.1</v>
      </c>
      <c r="N51" s="99">
        <f>$D51-vlookup(Summary!$C51,Summary!$C$2:$Q$103,3+counta($F$1:N$1),false)</f>
        <v>-0.2</v>
      </c>
      <c r="O51" s="99">
        <f>$D51-vlookup(Summary!$C51,Summary!$C$2:$Q$103,3+counta($F$1:O$1),false)</f>
        <v>-0.05</v>
      </c>
      <c r="P51" s="99">
        <f>$D51-vlookup(Summary!$C51,Summary!$C$2:$Q$103,3+counta($F$1:P$1),false)</f>
        <v>0.1</v>
      </c>
      <c r="Q51" s="99">
        <f>$D51-vlookup(Summary!$C51,Summary!$C$2:$Q$103,3+counta($F$1:Q$1),false)</f>
        <v>-0.2</v>
      </c>
    </row>
    <row r="52" ht="15.75" customHeight="1">
      <c r="A52" s="15">
        <f>Main!A52</f>
        <v>51</v>
      </c>
      <c r="B52" s="15" t="str">
        <f>Main!B52</f>
        <v>Christchurch will experience an earthquake of at least 4 on the Richter scale</v>
      </c>
      <c r="C52" s="15" t="str">
        <f>Main!C52</f>
        <v>Natural world</v>
      </c>
      <c r="D52" s="15">
        <v>0.4</v>
      </c>
      <c r="F52" s="99">
        <f>$D52-vlookup(Summary!$C52,Summary!$C$2:$Q$103,3+counta($F$1:F$1),false)</f>
        <v>0</v>
      </c>
      <c r="G52" s="99">
        <f>$D52-vlookup(Summary!$C52,Summary!$C$2:$Q$103,3+counta($F$1:G$1),false)</f>
        <v>0.15</v>
      </c>
      <c r="H52" s="99">
        <f>$D52-vlookup(Summary!$C52,Summary!$C$2:$Q$103,3+counta($F$1:H$1),false)</f>
        <v>-0.3</v>
      </c>
      <c r="I52" s="99">
        <f>$D52-vlookup(Summary!$C52,Summary!$C$2:$Q$103,3+counta($F$1:I$1),false)</f>
        <v>-0.3</v>
      </c>
      <c r="J52" s="99">
        <f>$D52-vlookup(Summary!$C52,Summary!$C$2:$Q$103,3+counta($F$1:J$1),false)</f>
        <v>-0.1</v>
      </c>
      <c r="K52" s="99">
        <f>$D52-vlookup(Summary!$C52,Summary!$C$2:$Q$103,3+counta($F$1:K$1),false)</f>
        <v>-0.25</v>
      </c>
      <c r="L52" s="99">
        <f>$D52-vlookup(Summary!$C52,Summary!$C$2:$Q$103,3+counta($F$1:L$1),false)</f>
        <v>0.1</v>
      </c>
      <c r="M52" s="99">
        <f>$D52-vlookup(Summary!$C52,Summary!$C$2:$Q$103,3+counta($F$1:M$1),false)</f>
        <v>-0.3</v>
      </c>
      <c r="N52" s="99">
        <f>$D52-vlookup(Summary!$C52,Summary!$C$2:$Q$103,3+counta($F$1:N$1),false)</f>
        <v>0</v>
      </c>
      <c r="O52" s="99">
        <f>$D52-vlookup(Summary!$C52,Summary!$C$2:$Q$103,3+counta($F$1:O$1),false)</f>
        <v>-0.25</v>
      </c>
      <c r="P52" s="99">
        <f>$D52-vlookup(Summary!$C52,Summary!$C$2:$Q$103,3+counta($F$1:P$1),false)</f>
        <v>0.3</v>
      </c>
      <c r="Q52" s="99">
        <f>$D52-vlookup(Summary!$C52,Summary!$C$2:$Q$103,3+counta($F$1:Q$1),false)</f>
        <v>-0.1</v>
      </c>
    </row>
    <row r="53" ht="15.75" customHeight="1">
      <c r="A53" s="15">
        <f>Main!A53</f>
        <v>52</v>
      </c>
      <c r="B53" s="15" t="str">
        <f>Main!B53</f>
        <v>Pope Francis will condemn the metaverse or warn of its potential damage</v>
      </c>
      <c r="C53" s="15" t="str">
        <f>Main!C53</f>
        <v>Society</v>
      </c>
      <c r="D53" s="15">
        <v>0.6</v>
      </c>
      <c r="F53" s="99">
        <f>$D53-vlookup(Summary!$C53,Summary!$C$2:$Q$103,3+counta($F$1:F$1),false)</f>
        <v>0</v>
      </c>
      <c r="G53" s="99">
        <f>$D53-vlookup(Summary!$C53,Summary!$C$2:$Q$103,3+counta($F$1:G$1),false)</f>
        <v>0.4</v>
      </c>
      <c r="H53" s="99">
        <f>$D53-vlookup(Summary!$C53,Summary!$C$2:$Q$103,3+counta($F$1:H$1),false)</f>
        <v>0.3</v>
      </c>
      <c r="I53" s="99">
        <f>$D53-vlookup(Summary!$C53,Summary!$C$2:$Q$103,3+counta($F$1:I$1),false)</f>
        <v>0.1</v>
      </c>
      <c r="J53" s="99">
        <f>$D53-vlookup(Summary!$C53,Summary!$C$2:$Q$103,3+counta($F$1:J$1),false)</f>
        <v>-0.3</v>
      </c>
      <c r="K53" s="99">
        <f>$D53-vlookup(Summary!$C53,Summary!$C$2:$Q$103,3+counta($F$1:K$1),false)</f>
        <v>-0.2</v>
      </c>
      <c r="L53" s="99">
        <f>$D53-vlookup(Summary!$C53,Summary!$C$2:$Q$103,3+counta($F$1:L$1),false)</f>
        <v>0.1</v>
      </c>
      <c r="M53" s="99">
        <f>$D53-vlookup(Summary!$C53,Summary!$C$2:$Q$103,3+counta($F$1:M$1),false)</f>
        <v>0.3</v>
      </c>
      <c r="N53" s="99">
        <f>$D53-vlookup(Summary!$C53,Summary!$C$2:$Q$103,3+counta($F$1:N$1),false)</f>
        <v>0.5</v>
      </c>
      <c r="O53" s="99">
        <f>$D53-vlookup(Summary!$C53,Summary!$C$2:$Q$103,3+counta($F$1:O$1),false)</f>
        <v>0.25</v>
      </c>
      <c r="P53" s="99">
        <f>$D53-vlookup(Summary!$C53,Summary!$C$2:$Q$103,3+counta($F$1:P$1),false)</f>
        <v>0.1</v>
      </c>
      <c r="Q53" s="99">
        <f>$D53-vlookup(Summary!$C53,Summary!$C$2:$Q$103,3+counta($F$1:Q$1),false)</f>
        <v>0.4</v>
      </c>
    </row>
    <row r="54" ht="15.75" customHeight="1">
      <c r="A54" s="15">
        <f>Main!A54</f>
        <v>53</v>
      </c>
      <c r="B54" s="15" t="str">
        <f>Main!B54</f>
        <v>The 4th most popular baby name for girls in Australia will be Isla according to the NSW Government popular baby names site</v>
      </c>
      <c r="C54" s="15" t="str">
        <f>Main!C54</f>
        <v>Society</v>
      </c>
      <c r="D54" s="15">
        <v>0.35</v>
      </c>
      <c r="F54" s="99">
        <f>$D54-vlookup(Summary!$C54,Summary!$C$2:$Q$103,3+counta($F$1:F$1),false)</f>
        <v>0</v>
      </c>
      <c r="G54" s="99">
        <f>$D54-vlookup(Summary!$C54,Summary!$C$2:$Q$103,3+counta($F$1:G$1),false)</f>
        <v>-0.05</v>
      </c>
      <c r="H54" s="99">
        <f>$D54-vlookup(Summary!$C54,Summary!$C$2:$Q$103,3+counta($F$1:H$1),false)</f>
        <v>-0.15</v>
      </c>
      <c r="I54" s="99">
        <f>$D54-vlookup(Summary!$C54,Summary!$C$2:$Q$103,3+counta($F$1:I$1),false)</f>
        <v>0.25</v>
      </c>
      <c r="J54" s="99">
        <f>$D54-vlookup(Summary!$C54,Summary!$C$2:$Q$103,3+counta($F$1:J$1),false)</f>
        <v>-0.45</v>
      </c>
      <c r="K54" s="99">
        <f>$D54-vlookup(Summary!$C54,Summary!$C$2:$Q$103,3+counta($F$1:K$1),false)</f>
        <v>-0.55</v>
      </c>
      <c r="L54" s="99">
        <f>$D54-vlookup(Summary!$C54,Summary!$C$2:$Q$103,3+counta($F$1:L$1),false)</f>
        <v>0.15</v>
      </c>
      <c r="M54" s="99">
        <f>$D54-vlookup(Summary!$C54,Summary!$C$2:$Q$103,3+counta($F$1:M$1),false)</f>
        <v>-0.15</v>
      </c>
      <c r="N54" s="99">
        <f>$D54-vlookup(Summary!$C54,Summary!$C$2:$Q$103,3+counta($F$1:N$1),false)</f>
        <v>-0.55</v>
      </c>
      <c r="O54" s="99">
        <f>$D54-vlookup(Summary!$C54,Summary!$C$2:$Q$103,3+counta($F$1:O$1),false)</f>
        <v>0</v>
      </c>
      <c r="P54" s="99">
        <f>$D54-vlookup(Summary!$C54,Summary!$C$2:$Q$103,3+counta($F$1:P$1),false)</f>
        <v>0.25</v>
      </c>
      <c r="Q54" s="99">
        <f>$D54-vlookup(Summary!$C54,Summary!$C$2:$Q$103,3+counta($F$1:Q$1),false)</f>
        <v>-0.45</v>
      </c>
    </row>
    <row r="55" ht="15.75" customHeight="1">
      <c r="A55" s="15">
        <f>Main!A55</f>
        <v>54</v>
      </c>
      <c r="B55" s="15" t="str">
        <f>Main!B55</f>
        <v>The 4th most popular baby name for boys in Australia will be Leo according to the NSW Government popular baby names site</v>
      </c>
      <c r="C55" s="15" t="str">
        <f>Main!C55</f>
        <v>Society</v>
      </c>
      <c r="D55" s="15">
        <v>0.35</v>
      </c>
      <c r="F55" s="99">
        <f>$D55-vlookup(Summary!$C55,Summary!$C$2:$Q$103,3+counta($F$1:F$1),false)</f>
        <v>0</v>
      </c>
      <c r="G55" s="99">
        <f>$D55-vlookup(Summary!$C55,Summary!$C$2:$Q$103,3+counta($F$1:G$1),false)</f>
        <v>-0.05</v>
      </c>
      <c r="H55" s="99">
        <f>$D55-vlookup(Summary!$C55,Summary!$C$2:$Q$103,3+counta($F$1:H$1),false)</f>
        <v>-0.15</v>
      </c>
      <c r="I55" s="99">
        <f>$D55-vlookup(Summary!$C55,Summary!$C$2:$Q$103,3+counta($F$1:I$1),false)</f>
        <v>0.25</v>
      </c>
      <c r="J55" s="99">
        <f>$D55-vlookup(Summary!$C55,Summary!$C$2:$Q$103,3+counta($F$1:J$1),false)</f>
        <v>-0.35</v>
      </c>
      <c r="K55" s="99">
        <f>$D55-vlookup(Summary!$C55,Summary!$C$2:$Q$103,3+counta($F$1:K$1),false)</f>
        <v>-0.55</v>
      </c>
      <c r="L55" s="99">
        <f>$D55-vlookup(Summary!$C55,Summary!$C$2:$Q$103,3+counta($F$1:L$1),false)</f>
        <v>0.15</v>
      </c>
      <c r="M55" s="99">
        <f>$D55-vlookup(Summary!$C55,Summary!$C$2:$Q$103,3+counta($F$1:M$1),false)</f>
        <v>-0.15</v>
      </c>
      <c r="N55" s="99">
        <f>$D55-vlookup(Summary!$C55,Summary!$C$2:$Q$103,3+counta($F$1:N$1),false)</f>
        <v>0.15</v>
      </c>
      <c r="O55" s="99">
        <f>$D55-vlookup(Summary!$C55,Summary!$C$2:$Q$103,3+counta($F$1:O$1),false)</f>
        <v>0</v>
      </c>
      <c r="P55" s="99">
        <f>$D55-vlookup(Summary!$C55,Summary!$C$2:$Q$103,3+counta($F$1:P$1),false)</f>
        <v>0.25</v>
      </c>
      <c r="Q55" s="99">
        <f>$D55-vlookup(Summary!$C55,Summary!$C$2:$Q$103,3+counta($F$1:Q$1),false)</f>
        <v>0.15</v>
      </c>
    </row>
    <row r="56" ht="15.75" customHeight="1">
      <c r="A56" s="15">
        <f>Main!A56</f>
        <v>55</v>
      </c>
      <c r="B56" s="15" t="str">
        <f>Main!B56</f>
        <v>A statue in Australia will be removed because of negative associations with its history or colonial ties.</v>
      </c>
      <c r="C56" s="15" t="str">
        <f>Main!C56</f>
        <v>Society</v>
      </c>
      <c r="D56" s="15">
        <v>0.2</v>
      </c>
      <c r="F56" s="99">
        <f>$D56-vlookup(Summary!$C56,Summary!$C$2:$Q$103,3+counta($F$1:F$1),false)</f>
        <v>0</v>
      </c>
      <c r="G56" s="99">
        <f>$D56-vlookup(Summary!$C56,Summary!$C$2:$Q$103,3+counta($F$1:G$1),false)</f>
        <v>-0.7</v>
      </c>
      <c r="H56" s="99">
        <f>$D56-vlookup(Summary!$C56,Summary!$C$2:$Q$103,3+counta($F$1:H$1),false)</f>
        <v>-0.6</v>
      </c>
      <c r="I56" s="99">
        <f>$D56-vlookup(Summary!$C56,Summary!$C$2:$Q$103,3+counta($F$1:I$1),false)</f>
        <v>0</v>
      </c>
      <c r="J56" s="99">
        <f>$D56-vlookup(Summary!$C56,Summary!$C$2:$Q$103,3+counta($F$1:J$1),false)</f>
        <v>-0.6</v>
      </c>
      <c r="K56" s="99">
        <f>$D56-vlookup(Summary!$C56,Summary!$C$2:$Q$103,3+counta($F$1:K$1),false)</f>
        <v>-0.4</v>
      </c>
      <c r="L56" s="99">
        <f>$D56-vlookup(Summary!$C56,Summary!$C$2:$Q$103,3+counta($F$1:L$1),false)</f>
        <v>-0.2</v>
      </c>
      <c r="M56" s="99">
        <f>$D56-vlookup(Summary!$C56,Summary!$C$2:$Q$103,3+counta($F$1:M$1),false)</f>
        <v>-0.6</v>
      </c>
      <c r="N56" s="99">
        <f>$D56-vlookup(Summary!$C56,Summary!$C$2:$Q$103,3+counta($F$1:N$1),false)</f>
        <v>0.1</v>
      </c>
      <c r="O56" s="99">
        <f>$D56-vlookup(Summary!$C56,Summary!$C$2:$Q$103,3+counta($F$1:O$1),false)</f>
        <v>0.05</v>
      </c>
      <c r="P56" s="99">
        <f>$D56-vlookup(Summary!$C56,Summary!$C$2:$Q$103,3+counta($F$1:P$1),false)</f>
        <v>-0.5</v>
      </c>
      <c r="Q56" s="99">
        <f>$D56-vlookup(Summary!$C56,Summary!$C$2:$Q$103,3+counta($F$1:Q$1),false)</f>
        <v>-0.4</v>
      </c>
    </row>
    <row r="57" ht="15.75" customHeight="1">
      <c r="A57" s="15">
        <f>Main!A57</f>
        <v>56</v>
      </c>
      <c r="B57" s="15" t="str">
        <f>Main!B57</f>
        <v>Dave Chapelle’s special ‘The Closer’ will be available to watch on Netflix (Aus or US)</v>
      </c>
      <c r="C57" s="15" t="str">
        <f>Main!C57</f>
        <v>Society</v>
      </c>
      <c r="D57" s="15">
        <v>0.8</v>
      </c>
      <c r="F57" s="99">
        <f>$D57-vlookup(Summary!$C57,Summary!$C$2:$Q$103,3+counta($F$1:F$1),false)</f>
        <v>0</v>
      </c>
      <c r="G57" s="99">
        <f>$D57-vlookup(Summary!$C57,Summary!$C$2:$Q$103,3+counta($F$1:G$1),false)</f>
        <v>0.2</v>
      </c>
      <c r="H57" s="99">
        <f>$D57-vlookup(Summary!$C57,Summary!$C$2:$Q$103,3+counta($F$1:H$1),false)</f>
        <v>0.3</v>
      </c>
      <c r="I57" s="99">
        <f>$D57-vlookup(Summary!$C57,Summary!$C$2:$Q$103,3+counta($F$1:I$1),false)</f>
        <v>0</v>
      </c>
      <c r="J57" s="99">
        <f>$D57-vlookup(Summary!$C57,Summary!$C$2:$Q$103,3+counta($F$1:J$1),false)</f>
        <v>0.2</v>
      </c>
      <c r="K57" s="99">
        <f>$D57-vlookup(Summary!$C57,Summary!$C$2:$Q$103,3+counta($F$1:K$1),false)</f>
        <v>0.3</v>
      </c>
      <c r="L57" s="99">
        <f>$D57-vlookup(Summary!$C57,Summary!$C$2:$Q$103,3+counta($F$1:L$1),false)</f>
        <v>0.2</v>
      </c>
      <c r="M57" s="99">
        <f>$D57-vlookup(Summary!$C57,Summary!$C$2:$Q$103,3+counta($F$1:M$1),false)</f>
        <v>0.3</v>
      </c>
      <c r="N57" s="99">
        <f>$D57-vlookup(Summary!$C57,Summary!$C$2:$Q$103,3+counta($F$1:N$1),false)</f>
        <v>0.6</v>
      </c>
      <c r="O57" s="99">
        <f>$D57-vlookup(Summary!$C57,Summary!$C$2:$Q$103,3+counta($F$1:O$1),false)</f>
        <v>-0.199</v>
      </c>
      <c r="P57" s="99">
        <f>$D57-vlookup(Summary!$C57,Summary!$C$2:$Q$103,3+counta($F$1:P$1),false)</f>
        <v>0.3</v>
      </c>
      <c r="Q57" s="99">
        <f>$D57-vlookup(Summary!$C57,Summary!$C$2:$Q$103,3+counta($F$1:Q$1),false)</f>
        <v>0.3</v>
      </c>
    </row>
    <row r="58" ht="15.75" customHeight="1">
      <c r="A58" s="15">
        <f>Main!A58</f>
        <v>57</v>
      </c>
      <c r="B58" s="15" t="str">
        <f>Main!B58</f>
        <v>An actor in a Disney film or TV show will have their contract ‘cancelled’ due to social pressure related to a social media post or opinion they have expressed publicly.</v>
      </c>
      <c r="C58" s="15" t="str">
        <f>Main!C58</f>
        <v>Society</v>
      </c>
      <c r="D58" s="15">
        <v>0.7</v>
      </c>
      <c r="F58" s="99">
        <f>$D58-vlookup(Summary!$C58,Summary!$C$2:$Q$103,3+counta($F$1:F$1),false)</f>
        <v>0</v>
      </c>
      <c r="G58" s="99">
        <f>$D58-vlookup(Summary!$C58,Summary!$C$2:$Q$103,3+counta($F$1:G$1),false)</f>
        <v>0.3</v>
      </c>
      <c r="H58" s="99">
        <f>$D58-vlookup(Summary!$C58,Summary!$C$2:$Q$103,3+counta($F$1:H$1),false)</f>
        <v>0.1</v>
      </c>
      <c r="I58" s="99">
        <f>$D58-vlookup(Summary!$C58,Summary!$C$2:$Q$103,3+counta($F$1:I$1),false)</f>
        <v>-0.1</v>
      </c>
      <c r="J58" s="99">
        <f>$D58-vlookup(Summary!$C58,Summary!$C$2:$Q$103,3+counta($F$1:J$1),false)</f>
        <v>-0.1</v>
      </c>
      <c r="K58" s="99">
        <f>$D58-vlookup(Summary!$C58,Summary!$C$2:$Q$103,3+counta($F$1:K$1),false)</f>
        <v>0</v>
      </c>
      <c r="L58" s="99">
        <f>$D58-vlookup(Summary!$C58,Summary!$C$2:$Q$103,3+counta($F$1:L$1),false)</f>
        <v>0.2</v>
      </c>
      <c r="M58" s="99">
        <f>$D58-vlookup(Summary!$C58,Summary!$C$2:$Q$103,3+counta($F$1:M$1),false)</f>
        <v>0.1</v>
      </c>
      <c r="N58" s="99">
        <f>$D58-vlookup(Summary!$C58,Summary!$C$2:$Q$103,3+counta($F$1:N$1),false)</f>
        <v>-0.1</v>
      </c>
      <c r="O58" s="99">
        <f>$D58-vlookup(Summary!$C58,Summary!$C$2:$Q$103,3+counta($F$1:O$1),false)</f>
        <v>0.05</v>
      </c>
      <c r="P58" s="99">
        <f>$D58-vlookup(Summary!$C58,Summary!$C$2:$Q$103,3+counta($F$1:P$1),false)</f>
        <v>0.2</v>
      </c>
      <c r="Q58" s="99">
        <f>$D58-vlookup(Summary!$C58,Summary!$C$2:$Q$103,3+counta($F$1:Q$1),false)</f>
        <v>0.3</v>
      </c>
    </row>
    <row r="59" ht="15.75" customHeight="1">
      <c r="A59" s="15">
        <f>Main!A59</f>
        <v>58</v>
      </c>
      <c r="B59" s="15" t="str">
        <f>Main!B59</f>
        <v>An Australian company or department will mandate the inclusion or visibility of preferred gender pronouns, whether through an HR directory or email signatures.</v>
      </c>
      <c r="C59" s="15" t="str">
        <f>Main!C59</f>
        <v>Society</v>
      </c>
      <c r="D59" s="15">
        <v>0.65</v>
      </c>
      <c r="F59" s="99">
        <f>$D59-vlookup(Summary!$C59,Summary!$C$2:$Q$103,3+counta($F$1:F$1),false)</f>
        <v>0</v>
      </c>
      <c r="G59" s="99">
        <f>$D59-vlookup(Summary!$C59,Summary!$C$2:$Q$103,3+counta($F$1:G$1),false)</f>
        <v>-0.3</v>
      </c>
      <c r="H59" s="99">
        <f>$D59-vlookup(Summary!$C59,Summary!$C$2:$Q$103,3+counta($F$1:H$1),false)</f>
        <v>0.05</v>
      </c>
      <c r="I59" s="99">
        <f>$D59-vlookup(Summary!$C59,Summary!$C$2:$Q$103,3+counta($F$1:I$1),false)</f>
        <v>-0.15</v>
      </c>
      <c r="J59" s="99">
        <f>$D59-vlookup(Summary!$C59,Summary!$C$2:$Q$103,3+counta($F$1:J$1),false)</f>
        <v>0.15</v>
      </c>
      <c r="K59" s="99">
        <f>$D59-vlookup(Summary!$C59,Summary!$C$2:$Q$103,3+counta($F$1:K$1),false)</f>
        <v>-0.1</v>
      </c>
      <c r="L59" s="99">
        <f>$D59-vlookup(Summary!$C59,Summary!$C$2:$Q$103,3+counta($F$1:L$1),false)</f>
        <v>0.15</v>
      </c>
      <c r="M59" s="99">
        <f>$D59-vlookup(Summary!$C59,Summary!$C$2:$Q$103,3+counta($F$1:M$1),false)</f>
        <v>0.05</v>
      </c>
      <c r="N59" s="99">
        <f>$D59-vlookup(Summary!$C59,Summary!$C$2:$Q$103,3+counta($F$1:N$1),false)</f>
        <v>-0.15</v>
      </c>
      <c r="O59" s="99">
        <f>$D59-vlookup(Summary!$C59,Summary!$C$2:$Q$103,3+counta($F$1:O$1),false)</f>
        <v>0.3</v>
      </c>
      <c r="P59" s="99">
        <f>$D59-vlookup(Summary!$C59,Summary!$C$2:$Q$103,3+counta($F$1:P$1),false)</f>
        <v>0.15</v>
      </c>
      <c r="Q59" s="99">
        <f>$D59-vlookup(Summary!$C59,Summary!$C$2:$Q$103,3+counta($F$1:Q$1),false)</f>
        <v>0.25</v>
      </c>
    </row>
    <row r="60" ht="15.75" customHeight="1">
      <c r="A60" s="15">
        <f>Main!A60</f>
        <v>59</v>
      </c>
      <c r="B60" s="15" t="str">
        <f>Main!B60</f>
        <v>More than 30% of Australians will have been born overseas (currently 29.8%)</v>
      </c>
      <c r="C60" s="15" t="str">
        <f>Main!C60</f>
        <v>Society</v>
      </c>
      <c r="D60" s="15">
        <v>0.2</v>
      </c>
      <c r="F60" s="99">
        <f>$D60-vlookup(Summary!$C60,Summary!$C$2:$Q$103,3+counta($F$1:F$1),false)</f>
        <v>0</v>
      </c>
      <c r="G60" s="99">
        <f>$D60-vlookup(Summary!$C60,Summary!$C$2:$Q$103,3+counta($F$1:G$1),false)</f>
        <v>-0.4</v>
      </c>
      <c r="H60" s="99">
        <f>$D60-vlookup(Summary!$C60,Summary!$C$2:$Q$103,3+counta($F$1:H$1),false)</f>
        <v>0.1</v>
      </c>
      <c r="I60" s="99">
        <f>$D60-vlookup(Summary!$C60,Summary!$C$2:$Q$103,3+counta($F$1:I$1),false)</f>
        <v>-0.4</v>
      </c>
      <c r="J60" s="99">
        <f>$D60-vlookup(Summary!$C60,Summary!$C$2:$Q$103,3+counta($F$1:J$1),false)</f>
        <v>-0.7</v>
      </c>
      <c r="K60" s="99">
        <f>$D60-vlookup(Summary!$C60,Summary!$C$2:$Q$103,3+counta($F$1:K$1),false)</f>
        <v>-0.7</v>
      </c>
      <c r="L60" s="99">
        <f>$D60-vlookup(Summary!$C60,Summary!$C$2:$Q$103,3+counta($F$1:L$1),false)</f>
        <v>-0.1</v>
      </c>
      <c r="M60" s="99">
        <f>$D60-vlookup(Summary!$C60,Summary!$C$2:$Q$103,3+counta($F$1:M$1),false)</f>
        <v>0.1</v>
      </c>
      <c r="N60" s="99">
        <f>$D60-vlookup(Summary!$C60,Summary!$C$2:$Q$103,3+counta($F$1:N$1),false)</f>
        <v>0</v>
      </c>
      <c r="O60" s="99">
        <f>$D60-vlookup(Summary!$C60,Summary!$C$2:$Q$103,3+counta($F$1:O$1),false)</f>
        <v>-0.45</v>
      </c>
      <c r="P60" s="99">
        <f>$D60-vlookup(Summary!$C60,Summary!$C$2:$Q$103,3+counta($F$1:P$1),false)</f>
        <v>0.1</v>
      </c>
      <c r="Q60" s="99">
        <f>$D60-vlookup(Summary!$C60,Summary!$C$2:$Q$103,3+counta($F$1:Q$1),false)</f>
        <v>-0.35</v>
      </c>
    </row>
    <row r="61" ht="15.75" customHeight="1">
      <c r="A61" s="15">
        <f>Main!A61</f>
        <v>60</v>
      </c>
      <c r="B61" s="15" t="str">
        <f>Main!B61</f>
        <v>LGBTIQ+ will be the acronym in widespread usage throughout Australia, as determined by the definition from LGBTIQ+ Health Australia (the peak body org for health and research related to that community)</v>
      </c>
      <c r="C61" s="15" t="str">
        <f>Main!C61</f>
        <v>Society</v>
      </c>
      <c r="D61" s="15">
        <v>0.45</v>
      </c>
      <c r="F61" s="99">
        <f>$D61-vlookup(Summary!$C61,Summary!$C$2:$Q$103,3+counta($F$1:F$1),false)</f>
        <v>0</v>
      </c>
      <c r="G61" s="99">
        <f>$D61-vlookup(Summary!$C61,Summary!$C$2:$Q$103,3+counta($F$1:G$1),false)</f>
        <v>-0.25</v>
      </c>
      <c r="H61" s="99">
        <f>$D61-vlookup(Summary!$C61,Summary!$C$2:$Q$103,3+counta($F$1:H$1),false)</f>
        <v>-0.05</v>
      </c>
      <c r="I61" s="99">
        <f>$D61-vlookup(Summary!$C61,Summary!$C$2:$Q$103,3+counta($F$1:I$1),false)</f>
        <v>-0.25</v>
      </c>
      <c r="J61" s="99">
        <f>$D61-vlookup(Summary!$C61,Summary!$C$2:$Q$103,3+counta($F$1:J$1),false)</f>
        <v>-0.25</v>
      </c>
      <c r="K61" s="99">
        <f>$D61-vlookup(Summary!$C61,Summary!$C$2:$Q$103,3+counta($F$1:K$1),false)</f>
        <v>-0.3</v>
      </c>
      <c r="L61" s="99">
        <f>$D61-vlookup(Summary!$C61,Summary!$C$2:$Q$103,3+counta($F$1:L$1),false)</f>
        <v>-0.45</v>
      </c>
      <c r="M61" s="99">
        <f>$D61-vlookup(Summary!$C61,Summary!$C$2:$Q$103,3+counta($F$1:M$1),false)</f>
        <v>-0.05</v>
      </c>
      <c r="N61" s="99">
        <f>$D61-vlookup(Summary!$C61,Summary!$C$2:$Q$103,3+counta($F$1:N$1),false)</f>
        <v>0.25</v>
      </c>
      <c r="O61" s="99">
        <f>$D61-vlookup(Summary!$C61,Summary!$C$2:$Q$103,3+counta($F$1:O$1),false)</f>
        <v>-0.549</v>
      </c>
      <c r="P61" s="99">
        <f>$D61-vlookup(Summary!$C61,Summary!$C$2:$Q$103,3+counta($F$1:P$1),false)</f>
        <v>-0.05</v>
      </c>
      <c r="Q61" s="99">
        <f>$D61-vlookup(Summary!$C61,Summary!$C$2:$Q$103,3+counta($F$1:Q$1),false)</f>
        <v>0.15</v>
      </c>
    </row>
    <row r="62" ht="15.75" customHeight="1">
      <c r="A62" s="15">
        <f>Main!A62</f>
        <v>61</v>
      </c>
      <c r="B62" s="15" t="str">
        <f>Main!B62</f>
        <v>The meat industry in Australia and/or the US will succeed in controlling the use of ‘meat terms’ (meat, beef etc.) for non-animal protein products</v>
      </c>
      <c r="C62" s="15" t="str">
        <f>Main!C62</f>
        <v>Society</v>
      </c>
      <c r="D62" s="15">
        <v>0.35</v>
      </c>
      <c r="F62" s="99">
        <f>$D62-vlookup(Summary!$C62,Summary!$C$2:$Q$103,3+counta($F$1:F$1),false)</f>
        <v>0</v>
      </c>
      <c r="G62" s="99">
        <f>$D62-vlookup(Summary!$C62,Summary!$C$2:$Q$103,3+counta($F$1:G$1),false)</f>
        <v>-0.25</v>
      </c>
      <c r="H62" s="99">
        <f>$D62-vlookup(Summary!$C62,Summary!$C$2:$Q$103,3+counta($F$1:H$1),false)</f>
        <v>0.15</v>
      </c>
      <c r="I62" s="99">
        <f>$D62-vlookup(Summary!$C62,Summary!$C$2:$Q$103,3+counta($F$1:I$1),false)</f>
        <v>-0.25</v>
      </c>
      <c r="J62" s="99">
        <f>$D62-vlookup(Summary!$C62,Summary!$C$2:$Q$103,3+counta($F$1:J$1),false)</f>
        <v>-0.45</v>
      </c>
      <c r="K62" s="99">
        <f>$D62-vlookup(Summary!$C62,Summary!$C$2:$Q$103,3+counta($F$1:K$1),false)</f>
        <v>-0.39</v>
      </c>
      <c r="L62" s="99">
        <f>$D62-vlookup(Summary!$C62,Summary!$C$2:$Q$103,3+counta($F$1:L$1),false)</f>
        <v>0.25</v>
      </c>
      <c r="M62" s="99">
        <f>$D62-vlookup(Summary!$C62,Summary!$C$2:$Q$103,3+counta($F$1:M$1),false)</f>
        <v>0.15</v>
      </c>
      <c r="N62" s="99">
        <f>$D62-vlookup(Summary!$C62,Summary!$C$2:$Q$103,3+counta($F$1:N$1),false)</f>
        <v>0.25</v>
      </c>
      <c r="O62" s="99">
        <f>$D62-vlookup(Summary!$C62,Summary!$C$2:$Q$103,3+counta($F$1:O$1),false)</f>
        <v>-0.649</v>
      </c>
      <c r="P62" s="99">
        <f>$D62-vlookup(Summary!$C62,Summary!$C$2:$Q$103,3+counta($F$1:P$1),false)</f>
        <v>-0.45</v>
      </c>
      <c r="Q62" s="99">
        <f>$D62-vlookup(Summary!$C62,Summary!$C$2:$Q$103,3+counta($F$1:Q$1),false)</f>
        <v>-0.15</v>
      </c>
    </row>
    <row r="63" ht="15.75" customHeight="1">
      <c r="A63" s="15">
        <f>Main!A63</f>
        <v>62</v>
      </c>
      <c r="B63" s="15" t="str">
        <f>Main!B63</f>
        <v>The median house price in Canberra will be over $1,200,000 (currently $1,015,833)</v>
      </c>
      <c r="C63" s="15" t="str">
        <f>Main!C63</f>
        <v>Society</v>
      </c>
      <c r="D63" s="15">
        <v>0.7</v>
      </c>
      <c r="F63" s="99">
        <f>$D63-vlookup(Summary!$C63,Summary!$C$2:$Q$103,3+counta($F$1:F$1),false)</f>
        <v>0</v>
      </c>
      <c r="G63" s="99">
        <f>$D63-vlookup(Summary!$C63,Summary!$C$2:$Q$103,3+counta($F$1:G$1),false)</f>
        <v>0.5</v>
      </c>
      <c r="H63" s="99">
        <f>$D63-vlookup(Summary!$C63,Summary!$C$2:$Q$103,3+counta($F$1:H$1),false)</f>
        <v>0.5</v>
      </c>
      <c r="I63" s="99">
        <f>$D63-vlookup(Summary!$C63,Summary!$C$2:$Q$103,3+counta($F$1:I$1),false)</f>
        <v>-0.1</v>
      </c>
      <c r="J63" s="99">
        <f>$D63-vlookup(Summary!$C63,Summary!$C$2:$Q$103,3+counta($F$1:J$1),false)</f>
        <v>-0.1</v>
      </c>
      <c r="K63" s="99">
        <f>$D63-vlookup(Summary!$C63,Summary!$C$2:$Q$103,3+counta($F$1:K$1),false)</f>
        <v>-0.1</v>
      </c>
      <c r="L63" s="99">
        <f>$D63-vlookup(Summary!$C63,Summary!$C$2:$Q$103,3+counta($F$1:L$1),false)</f>
        <v>-0.29999</v>
      </c>
      <c r="M63" s="99">
        <f>$D63-vlookup(Summary!$C63,Summary!$C$2:$Q$103,3+counta($F$1:M$1),false)</f>
        <v>0.5</v>
      </c>
      <c r="N63" s="99">
        <f>$D63-vlookup(Summary!$C63,Summary!$C$2:$Q$103,3+counta($F$1:N$1),false)</f>
        <v>-0.2</v>
      </c>
      <c r="O63" s="99">
        <f>$D63-vlookup(Summary!$C63,Summary!$C$2:$Q$103,3+counta($F$1:O$1),false)</f>
        <v>0.55</v>
      </c>
      <c r="P63" s="99">
        <f>$D63-vlookup(Summary!$C63,Summary!$C$2:$Q$103,3+counta($F$1:P$1),false)</f>
        <v>0.1</v>
      </c>
      <c r="Q63" s="99">
        <f>$D63-vlookup(Summary!$C63,Summary!$C$2:$Q$103,3+counta($F$1:Q$1),false)</f>
        <v>0.25</v>
      </c>
    </row>
    <row r="64" ht="15.75" customHeight="1">
      <c r="A64" s="15">
        <f>Main!A64</f>
        <v>63</v>
      </c>
      <c r="B64" s="15" t="str">
        <f>Main!B64</f>
        <v>An artist or band on the Rock and Roll Hall of Fame has a performance using digital avatar (source https://en.wikipedia.org/wiki/List_of_Rock_and_Roll_Hall_of_Fame_inductees)</v>
      </c>
      <c r="C64" s="15" t="str">
        <f>Main!C64</f>
        <v>Society</v>
      </c>
      <c r="D64" s="15">
        <v>0.4</v>
      </c>
      <c r="F64" s="99">
        <f>$D64-vlookup(Summary!$C64,Summary!$C$2:$Q$103,3+counta($F$1:F$1),false)</f>
        <v>0</v>
      </c>
      <c r="G64" s="99">
        <f>$D64-vlookup(Summary!$C64,Summary!$C$2:$Q$103,3+counta($F$1:G$1),false)</f>
        <v>-0.2</v>
      </c>
      <c r="H64" s="99">
        <f>$D64-vlookup(Summary!$C64,Summary!$C$2:$Q$103,3+counta($F$1:H$1),false)</f>
        <v>-0.3</v>
      </c>
      <c r="I64" s="99">
        <f>$D64-vlookup(Summary!$C64,Summary!$C$2:$Q$103,3+counta($F$1:I$1),false)</f>
        <v>0.1</v>
      </c>
      <c r="J64" s="99">
        <f>$D64-vlookup(Summary!$C64,Summary!$C$2:$Q$103,3+counta($F$1:J$1),false)</f>
        <v>-0.1</v>
      </c>
      <c r="K64" s="99">
        <f>$D64-vlookup(Summary!$C64,Summary!$C$2:$Q$103,3+counta($F$1:K$1),false)</f>
        <v>-0.2</v>
      </c>
      <c r="L64" s="99">
        <f>$D64-vlookup(Summary!$C64,Summary!$C$2:$Q$103,3+counta($F$1:L$1),false)</f>
        <v>-0.2</v>
      </c>
      <c r="M64" s="99">
        <f>$D64-vlookup(Summary!$C64,Summary!$C$2:$Q$103,3+counta($F$1:M$1),false)</f>
        <v>-0.3</v>
      </c>
      <c r="N64" s="99">
        <f>$D64-vlookup(Summary!$C64,Summary!$C$2:$Q$103,3+counta($F$1:N$1),false)</f>
        <v>0.2</v>
      </c>
      <c r="O64" s="99">
        <f>$D64-vlookup(Summary!$C64,Summary!$C$2:$Q$103,3+counta($F$1:O$1),false)</f>
        <v>0.25</v>
      </c>
      <c r="P64" s="99">
        <f>$D64-vlookup(Summary!$C64,Summary!$C$2:$Q$103,3+counta($F$1:P$1),false)</f>
        <v>0.3</v>
      </c>
      <c r="Q64" s="99">
        <f>$D64-vlookup(Summary!$C64,Summary!$C$2:$Q$103,3+counta($F$1:Q$1),false)</f>
        <v>-0.1</v>
      </c>
    </row>
    <row r="65" ht="15.75" customHeight="1">
      <c r="A65" s="15">
        <f>Main!A65</f>
        <v>64</v>
      </c>
      <c r="B65" s="15" t="str">
        <f>Main!B65</f>
        <v>No Australian tennis player will win a senior Championship event at the Australian Open in 2022</v>
      </c>
      <c r="C65" s="15" t="str">
        <f>Main!C65</f>
        <v>Sport</v>
      </c>
      <c r="D65" s="15">
        <v>0.0</v>
      </c>
      <c r="F65" s="99">
        <f>$D65-vlookup(Summary!$C65,Summary!$C$2:$Q$103,3+counta($F$1:F$1),false)</f>
        <v>0</v>
      </c>
      <c r="G65" s="99">
        <f>$D65-vlookup(Summary!$C65,Summary!$C$2:$Q$103,3+counta($F$1:G$1),false)</f>
        <v>0</v>
      </c>
      <c r="H65" s="99">
        <f>$D65-vlookup(Summary!$C65,Summary!$C$2:$Q$103,3+counta($F$1:H$1),false)</f>
        <v>0</v>
      </c>
      <c r="I65" s="99">
        <f>$D65-vlookup(Summary!$C65,Summary!$C$2:$Q$103,3+counta($F$1:I$1),false)</f>
        <v>0</v>
      </c>
      <c r="J65" s="99">
        <f>$D65-vlookup(Summary!$C65,Summary!$C$2:$Q$103,3+counta($F$1:J$1),false)</f>
        <v>-0.6</v>
      </c>
      <c r="K65" s="99">
        <f>$D65-vlookup(Summary!$C65,Summary!$C$2:$Q$103,3+counta($F$1:K$1),false)</f>
        <v>0</v>
      </c>
      <c r="L65" s="99">
        <f>$D65-vlookup(Summary!$C65,Summary!$C$2:$Q$103,3+counta($F$1:L$1),false)</f>
        <v>0</v>
      </c>
      <c r="M65" s="99">
        <f>$D65-vlookup(Summary!$C65,Summary!$C$2:$Q$103,3+counta($F$1:M$1),false)</f>
        <v>0</v>
      </c>
      <c r="N65" s="99">
        <f>$D65-vlookup(Summary!$C65,Summary!$C$2:$Q$103,3+counta($F$1:N$1),false)</f>
        <v>-0.1</v>
      </c>
      <c r="O65" s="99">
        <f>$D65-vlookup(Summary!$C65,Summary!$C$2:$Q$103,3+counta($F$1:O$1),false)</f>
        <v>0</v>
      </c>
      <c r="P65" s="99">
        <f>$D65-vlookup(Summary!$C65,Summary!$C$2:$Q$103,3+counta($F$1:P$1),false)</f>
        <v>-0.5</v>
      </c>
      <c r="Q65" s="99">
        <f>$D65-vlookup(Summary!$C65,Summary!$C$2:$Q$103,3+counta($F$1:Q$1),false)</f>
        <v>-0.2</v>
      </c>
    </row>
    <row r="66" ht="15.75" customHeight="1">
      <c r="A66" s="15">
        <f>Main!A66</f>
        <v>65</v>
      </c>
      <c r="B66" s="15" t="str">
        <f>Main!B66</f>
        <v>Daniel Ricciardo will win the Australian GP in 2022.</v>
      </c>
      <c r="C66" s="15" t="str">
        <f>Main!C66</f>
        <v>Sport</v>
      </c>
      <c r="D66" s="15">
        <v>0.5</v>
      </c>
      <c r="F66" s="99">
        <f>$D66-vlookup(Summary!$C66,Summary!$C$2:$Q$103,3+counta($F$1:F$1),false)</f>
        <v>0</v>
      </c>
      <c r="G66" s="99">
        <f>$D66-vlookup(Summary!$C66,Summary!$C$2:$Q$103,3+counta($F$1:G$1),false)</f>
        <v>0.4</v>
      </c>
      <c r="H66" s="99">
        <f>$D66-vlookup(Summary!$C66,Summary!$C$2:$Q$103,3+counta($F$1:H$1),false)</f>
        <v>0</v>
      </c>
      <c r="I66" s="99">
        <f>$D66-vlookup(Summary!$C66,Summary!$C$2:$Q$103,3+counta($F$1:I$1),false)</f>
        <v>0</v>
      </c>
      <c r="J66" s="99">
        <f>$D66-vlookup(Summary!$C66,Summary!$C$2:$Q$103,3+counta($F$1:J$1),false)</f>
        <v>0.2</v>
      </c>
      <c r="K66" s="99">
        <f>$D66-vlookup(Summary!$C66,Summary!$C$2:$Q$103,3+counta($F$1:K$1),false)</f>
        <v>-0.1</v>
      </c>
      <c r="L66" s="99">
        <f>$D66-vlookup(Summary!$C66,Summary!$C$2:$Q$103,3+counta($F$1:L$1),false)</f>
        <v>0.3</v>
      </c>
      <c r="M66" s="99">
        <f>$D66-vlookup(Summary!$C66,Summary!$C$2:$Q$103,3+counta($F$1:M$1),false)</f>
        <v>0</v>
      </c>
      <c r="N66" s="99">
        <f>$D66-vlookup(Summary!$C66,Summary!$C$2:$Q$103,3+counta($F$1:N$1),false)</f>
        <v>0.4</v>
      </c>
      <c r="O66" s="99">
        <f>$D66-vlookup(Summary!$C66,Summary!$C$2:$Q$103,3+counta($F$1:O$1),false)</f>
        <v>0</v>
      </c>
      <c r="P66" s="99">
        <f>$D66-vlookup(Summary!$C66,Summary!$C$2:$Q$103,3+counta($F$1:P$1),false)</f>
        <v>0.4</v>
      </c>
      <c r="Q66" s="99">
        <f>$D66-vlookup(Summary!$C66,Summary!$C$2:$Q$103,3+counta($F$1:Q$1),false)</f>
        <v>0.4</v>
      </c>
    </row>
    <row r="67" ht="15.75" customHeight="1">
      <c r="A67" s="15">
        <f>Main!A67</f>
        <v>66</v>
      </c>
      <c r="B67" s="15" t="str">
        <f>Main!B67</f>
        <v>Collingwood will make it into the top 8 at the end of the footy season</v>
      </c>
      <c r="C67" s="15" t="str">
        <f>Main!C67</f>
        <v>Sport</v>
      </c>
      <c r="D67" s="15">
        <v>0.5</v>
      </c>
      <c r="F67" s="99">
        <f>$D67-vlookup(Summary!$C67,Summary!$C$2:$Q$103,3+counta($F$1:F$1),false)</f>
        <v>0</v>
      </c>
      <c r="G67" s="99">
        <f>$D67-vlookup(Summary!$C67,Summary!$C$2:$Q$103,3+counta($F$1:G$1),false)</f>
        <v>0.4</v>
      </c>
      <c r="H67" s="99">
        <f>$D67-vlookup(Summary!$C67,Summary!$C$2:$Q$103,3+counta($F$1:H$1),false)</f>
        <v>0.05</v>
      </c>
      <c r="I67" s="99">
        <f>$D67-vlookup(Summary!$C67,Summary!$C$2:$Q$103,3+counta($F$1:I$1),false)</f>
        <v>0</v>
      </c>
      <c r="J67" s="99">
        <f>$D67-vlookup(Summary!$C67,Summary!$C$2:$Q$103,3+counta($F$1:J$1),false)</f>
        <v>-0.1</v>
      </c>
      <c r="K67" s="99">
        <f>$D67-vlookup(Summary!$C67,Summary!$C$2:$Q$103,3+counta($F$1:K$1),false)</f>
        <v>-0.1</v>
      </c>
      <c r="L67" s="99">
        <f>$D67-vlookup(Summary!$C67,Summary!$C$2:$Q$103,3+counta($F$1:L$1),false)</f>
        <v>0</v>
      </c>
      <c r="M67" s="99">
        <f>$D67-vlookup(Summary!$C67,Summary!$C$2:$Q$103,3+counta($F$1:M$1),false)</f>
        <v>0.05</v>
      </c>
      <c r="N67" s="99">
        <f>$D67-vlookup(Summary!$C67,Summary!$C$2:$Q$103,3+counta($F$1:N$1),false)</f>
        <v>-0.2</v>
      </c>
      <c r="O67" s="99">
        <f>$D67-vlookup(Summary!$C67,Summary!$C$2:$Q$103,3+counta($F$1:O$1),false)</f>
        <v>0</v>
      </c>
      <c r="P67" s="99">
        <f>$D67-vlookup(Summary!$C67,Summary!$C$2:$Q$103,3+counta($F$1:P$1),false)</f>
        <v>0.4</v>
      </c>
      <c r="Q67" s="99">
        <f>$D67-vlookup(Summary!$C67,Summary!$C$2:$Q$103,3+counta($F$1:Q$1),false)</f>
        <v>-0.1</v>
      </c>
    </row>
    <row r="68" ht="15.75" customHeight="1">
      <c r="A68" s="15">
        <f>Main!A68</f>
        <v>67</v>
      </c>
      <c r="B68" s="15" t="str">
        <f>Main!B68</f>
        <v>Italy will defeat Portugal in their qualifying match and reach the finals of the Football World Cup</v>
      </c>
      <c r="C68" s="15" t="str">
        <f>Main!C68</f>
        <v>Sport</v>
      </c>
      <c r="D68" s="15">
        <v>0.5</v>
      </c>
      <c r="F68" s="99">
        <f>$D68-vlookup(Summary!$C68,Summary!$C$2:$Q$103,3+counta($F$1:F$1),false)</f>
        <v>0</v>
      </c>
      <c r="G68" s="99">
        <f>$D68-vlookup(Summary!$C68,Summary!$C$2:$Q$103,3+counta($F$1:G$1),false)</f>
        <v>-0.1</v>
      </c>
      <c r="H68" s="99">
        <f>$D68-vlookup(Summary!$C68,Summary!$C$2:$Q$103,3+counta($F$1:H$1),false)</f>
        <v>-0.2</v>
      </c>
      <c r="I68" s="99">
        <f>$D68-vlookup(Summary!$C68,Summary!$C$2:$Q$103,3+counta($F$1:I$1),false)</f>
        <v>0</v>
      </c>
      <c r="J68" s="99">
        <f>$D68-vlookup(Summary!$C68,Summary!$C$2:$Q$103,3+counta($F$1:J$1),false)</f>
        <v>0</v>
      </c>
      <c r="K68" s="99">
        <f>$D68-vlookup(Summary!$C68,Summary!$C$2:$Q$103,3+counta($F$1:K$1),false)</f>
        <v>-0.35</v>
      </c>
      <c r="L68" s="99">
        <f>$D68-vlookup(Summary!$C68,Summary!$C$2:$Q$103,3+counta($F$1:L$1),false)</f>
        <v>0.45</v>
      </c>
      <c r="M68" s="99">
        <f>$D68-vlookup(Summary!$C68,Summary!$C$2:$Q$103,3+counta($F$1:M$1),false)</f>
        <v>-0.2</v>
      </c>
      <c r="N68" s="99">
        <f>$D68-vlookup(Summary!$C68,Summary!$C$2:$Q$103,3+counta($F$1:N$1),false)</f>
        <v>0</v>
      </c>
      <c r="O68" s="99">
        <f>$D68-vlookup(Summary!$C68,Summary!$C$2:$Q$103,3+counta($F$1:O$1),false)</f>
        <v>0</v>
      </c>
      <c r="P68" s="99">
        <f>$D68-vlookup(Summary!$C68,Summary!$C$2:$Q$103,3+counta($F$1:P$1),false)</f>
        <v>-0.4</v>
      </c>
      <c r="Q68" s="99">
        <f>$D68-vlookup(Summary!$C68,Summary!$C$2:$Q$103,3+counta($F$1:Q$1),false)</f>
        <v>-0.3</v>
      </c>
    </row>
    <row r="69" ht="15.75" customHeight="1">
      <c r="A69" s="15">
        <f>Main!A69</f>
        <v>68</v>
      </c>
      <c r="B69" s="15" t="str">
        <f>Main!B69</f>
        <v>Ash Barty will be world number 1 in the WRA rankings after the US Open</v>
      </c>
      <c r="C69" s="15" t="str">
        <f>Main!C69</f>
        <v>Sport</v>
      </c>
      <c r="D69" s="15">
        <v>0.8</v>
      </c>
      <c r="F69" s="99">
        <f>$D69-vlookup(Summary!$C69,Summary!$C$2:$Q$103,3+counta($F$1:F$1),false)</f>
        <v>0</v>
      </c>
      <c r="G69" s="99">
        <f>$D69-vlookup(Summary!$C69,Summary!$C$2:$Q$103,3+counta($F$1:G$1),false)</f>
        <v>-0.1</v>
      </c>
      <c r="H69" s="99">
        <f>$D69-vlookup(Summary!$C69,Summary!$C$2:$Q$103,3+counta($F$1:H$1),false)</f>
        <v>0</v>
      </c>
      <c r="I69" s="99">
        <f>$D69-vlookup(Summary!$C69,Summary!$C$2:$Q$103,3+counta($F$1:I$1),false)</f>
        <v>0</v>
      </c>
      <c r="J69" s="99">
        <f>$D69-vlookup(Summary!$C69,Summary!$C$2:$Q$103,3+counta($F$1:J$1),false)</f>
        <v>0</v>
      </c>
      <c r="K69" s="99">
        <f>$D69-vlookup(Summary!$C69,Summary!$C$2:$Q$103,3+counta($F$1:K$1),false)</f>
        <v>-0.18</v>
      </c>
      <c r="L69" s="99">
        <f>$D69-vlookup(Summary!$C69,Summary!$C$2:$Q$103,3+counta($F$1:L$1),false)</f>
        <v>-0.199</v>
      </c>
      <c r="M69" s="99">
        <f>$D69-vlookup(Summary!$C69,Summary!$C$2:$Q$103,3+counta($F$1:M$1),false)</f>
        <v>0</v>
      </c>
      <c r="N69" s="99">
        <f>$D69-vlookup(Summary!$C69,Summary!$C$2:$Q$103,3+counta($F$1:N$1),false)</f>
        <v>-0.1</v>
      </c>
      <c r="O69" s="99">
        <f>$D69-vlookup(Summary!$C69,Summary!$C$2:$Q$103,3+counta($F$1:O$1),false)</f>
        <v>0.3</v>
      </c>
      <c r="P69" s="99">
        <f>$D69-vlookup(Summary!$C69,Summary!$C$2:$Q$103,3+counta($F$1:P$1),false)</f>
        <v>-0.1</v>
      </c>
      <c r="Q69" s="99">
        <f>$D69-vlookup(Summary!$C69,Summary!$C$2:$Q$103,3+counta($F$1:Q$1),false)</f>
        <v>0.25</v>
      </c>
    </row>
    <row r="70" ht="15.75" customHeight="1">
      <c r="A70" s="15">
        <f>Main!A70</f>
        <v>69</v>
      </c>
      <c r="B70" s="15" t="str">
        <f>Main!B70</f>
        <v>Neither Roger Federer nor Serena Williams will win a Grand Slam tennis tournament</v>
      </c>
      <c r="C70" s="15" t="str">
        <f>Main!C70</f>
        <v>Sport</v>
      </c>
      <c r="D70" s="15">
        <v>0.65</v>
      </c>
      <c r="F70" s="99">
        <f>$D70-vlookup(Summary!$C70,Summary!$C$2:$Q$103,3+counta($F$1:F$1),false)</f>
        <v>0</v>
      </c>
      <c r="G70" s="99">
        <f>$D70-vlookup(Summary!$C70,Summary!$C$2:$Q$103,3+counta($F$1:G$1),false)</f>
        <v>-0.15</v>
      </c>
      <c r="H70" s="99">
        <f>$D70-vlookup(Summary!$C70,Summary!$C$2:$Q$103,3+counta($F$1:H$1),false)</f>
        <v>-0.3</v>
      </c>
      <c r="I70" s="99">
        <f>$D70-vlookup(Summary!$C70,Summary!$C$2:$Q$103,3+counta($F$1:I$1),false)</f>
        <v>0.25</v>
      </c>
      <c r="J70" s="99">
        <f>$D70-vlookup(Summary!$C70,Summary!$C$2:$Q$103,3+counta($F$1:J$1),false)</f>
        <v>-0.15</v>
      </c>
      <c r="K70" s="99">
        <f>$D70-vlookup(Summary!$C70,Summary!$C$2:$Q$103,3+counta($F$1:K$1),false)</f>
        <v>-0.25</v>
      </c>
      <c r="L70" s="99">
        <f>$D70-vlookup(Summary!$C70,Summary!$C$2:$Q$103,3+counta($F$1:L$1),false)</f>
        <v>-0.349</v>
      </c>
      <c r="M70" s="99">
        <f>$D70-vlookup(Summary!$C70,Summary!$C$2:$Q$103,3+counta($F$1:M$1),false)</f>
        <v>-0.3</v>
      </c>
      <c r="N70" s="99">
        <f>$D70-vlookup(Summary!$C70,Summary!$C$2:$Q$103,3+counta($F$1:N$1),false)</f>
        <v>-0.15</v>
      </c>
      <c r="O70" s="99">
        <f>$D70-vlookup(Summary!$C70,Summary!$C$2:$Q$103,3+counta($F$1:O$1),false)</f>
        <v>-0.2</v>
      </c>
      <c r="P70" s="99">
        <f>$D70-vlookup(Summary!$C70,Summary!$C$2:$Q$103,3+counta($F$1:P$1),false)</f>
        <v>0.55</v>
      </c>
      <c r="Q70" s="99">
        <f>$D70-vlookup(Summary!$C70,Summary!$C$2:$Q$103,3+counta($F$1:Q$1),false)</f>
        <v>0.15</v>
      </c>
    </row>
    <row r="71" ht="15.75" customHeight="1">
      <c r="A71" s="15">
        <f>Main!A71</f>
        <v>70</v>
      </c>
      <c r="B71" s="15" t="str">
        <f>Main!B71</f>
        <v>The Football World Cup will not go ahead on the scheduled dates in Qatar</v>
      </c>
      <c r="C71" s="15" t="str">
        <f>Main!C71</f>
        <v>Sport</v>
      </c>
      <c r="D71" s="15">
        <v>0.4</v>
      </c>
      <c r="F71" s="99">
        <f>$D71-vlookup(Summary!$C71,Summary!$C$2:$Q$103,3+counta($F$1:F$1),false)</f>
        <v>0</v>
      </c>
      <c r="G71" s="99">
        <f>$D71-vlookup(Summary!$C71,Summary!$C$2:$Q$103,3+counta($F$1:G$1),false)</f>
        <v>0.15</v>
      </c>
      <c r="H71" s="99">
        <f>$D71-vlookup(Summary!$C71,Summary!$C$2:$Q$103,3+counta($F$1:H$1),false)</f>
        <v>0.3</v>
      </c>
      <c r="I71" s="99">
        <f>$D71-vlookup(Summary!$C71,Summary!$C$2:$Q$103,3+counta($F$1:I$1),false)</f>
        <v>-0.1</v>
      </c>
      <c r="J71" s="99">
        <f>$D71-vlookup(Summary!$C71,Summary!$C$2:$Q$103,3+counta($F$1:J$1),false)</f>
        <v>-0.1</v>
      </c>
      <c r="K71" s="99">
        <f>$D71-vlookup(Summary!$C71,Summary!$C$2:$Q$103,3+counta($F$1:K$1),false)</f>
        <v>0.1</v>
      </c>
      <c r="L71" s="99">
        <f>$D71-vlookup(Summary!$C71,Summary!$C$2:$Q$103,3+counta($F$1:L$1),false)</f>
        <v>-0.15</v>
      </c>
      <c r="M71" s="99">
        <f>$D71-vlookup(Summary!$C71,Summary!$C$2:$Q$103,3+counta($F$1:M$1),false)</f>
        <v>0.3</v>
      </c>
      <c r="N71" s="99">
        <f>$D71-vlookup(Summary!$C71,Summary!$C$2:$Q$103,3+counta($F$1:N$1),false)</f>
        <v>0.3</v>
      </c>
      <c r="O71" s="99">
        <f>$D71-vlookup(Summary!$C71,Summary!$C$2:$Q$103,3+counta($F$1:O$1),false)</f>
        <v>-0.25</v>
      </c>
      <c r="P71" s="99">
        <f>$D71-vlookup(Summary!$C71,Summary!$C$2:$Q$103,3+counta($F$1:P$1),false)</f>
        <v>-0.5</v>
      </c>
      <c r="Q71" s="99">
        <f>$D71-vlookup(Summary!$C71,Summary!$C$2:$Q$103,3+counta($F$1:Q$1),false)</f>
        <v>0.2</v>
      </c>
    </row>
    <row r="72" ht="15.75" customHeight="1">
      <c r="A72" s="15">
        <f>Main!A72</f>
        <v>71</v>
      </c>
      <c r="B72" s="15" t="str">
        <f>Main!B72</f>
        <v>Lewis hamilton will win the 2022 world championship in Formula 1</v>
      </c>
      <c r="C72" s="15" t="str">
        <f>Main!C72</f>
        <v>Sport</v>
      </c>
      <c r="D72" s="15">
        <v>0.6</v>
      </c>
      <c r="F72" s="99">
        <f>$D72-vlookup(Summary!$C72,Summary!$C$2:$Q$103,3+counta($F$1:F$1),false)</f>
        <v>0</v>
      </c>
      <c r="G72" s="99">
        <f>$D72-vlookup(Summary!$C72,Summary!$C$2:$Q$103,3+counta($F$1:G$1),false)</f>
        <v>0.4</v>
      </c>
      <c r="H72" s="99">
        <f>$D72-vlookup(Summary!$C72,Summary!$C$2:$Q$103,3+counta($F$1:H$1),false)</f>
        <v>0</v>
      </c>
      <c r="I72" s="99">
        <f>$D72-vlookup(Summary!$C72,Summary!$C$2:$Q$103,3+counta($F$1:I$1),false)</f>
        <v>0.1</v>
      </c>
      <c r="J72" s="99">
        <f>$D72-vlookup(Summary!$C72,Summary!$C$2:$Q$103,3+counta($F$1:J$1),false)</f>
        <v>-0.2</v>
      </c>
      <c r="K72" s="99">
        <f>$D72-vlookup(Summary!$C72,Summary!$C$2:$Q$103,3+counta($F$1:K$1),false)</f>
        <v>-0.2</v>
      </c>
      <c r="L72" s="99">
        <f>$D72-vlookup(Summary!$C72,Summary!$C$2:$Q$103,3+counta($F$1:L$1),false)</f>
        <v>0</v>
      </c>
      <c r="M72" s="99">
        <f>$D72-vlookup(Summary!$C72,Summary!$C$2:$Q$103,3+counta($F$1:M$1),false)</f>
        <v>0</v>
      </c>
      <c r="N72" s="99">
        <f>$D72-vlookup(Summary!$C72,Summary!$C$2:$Q$103,3+counta($F$1:N$1),false)</f>
        <v>-0.2</v>
      </c>
      <c r="O72" s="99">
        <f>$D72-vlookup(Summary!$C72,Summary!$C$2:$Q$103,3+counta($F$1:O$1),false)</f>
        <v>0.25</v>
      </c>
      <c r="P72" s="99">
        <f>$D72-vlookup(Summary!$C72,Summary!$C$2:$Q$103,3+counta($F$1:P$1),false)</f>
        <v>-0.3</v>
      </c>
      <c r="Q72" s="99">
        <f>$D72-vlookup(Summary!$C72,Summary!$C$2:$Q$103,3+counta($F$1:Q$1),false)</f>
        <v>-0.05</v>
      </c>
    </row>
    <row r="73" ht="15.75" customHeight="1">
      <c r="A73" s="15">
        <f>Main!A73</f>
        <v>72</v>
      </c>
      <c r="B73" s="15" t="str">
        <f>Main!B73</f>
        <v>The Haas F1 team will score 0 points in the 2022 season</v>
      </c>
      <c r="C73" s="15" t="str">
        <f>Main!C73</f>
        <v>Sport</v>
      </c>
      <c r="D73" s="15">
        <v>0.5</v>
      </c>
      <c r="F73" s="99">
        <f>$D73-vlookup(Summary!$C73,Summary!$C$2:$Q$103,3+counta($F$1:F$1),false)</f>
        <v>0</v>
      </c>
      <c r="G73" s="99">
        <f>$D73-vlookup(Summary!$C73,Summary!$C$2:$Q$103,3+counta($F$1:G$1),false)</f>
        <v>-0.2</v>
      </c>
      <c r="H73" s="99">
        <f>$D73-vlookup(Summary!$C73,Summary!$C$2:$Q$103,3+counta($F$1:H$1),false)</f>
        <v>0</v>
      </c>
      <c r="I73" s="99">
        <f>$D73-vlookup(Summary!$C73,Summary!$C$2:$Q$103,3+counta($F$1:I$1),false)</f>
        <v>0</v>
      </c>
      <c r="J73" s="99">
        <f>$D73-vlookup(Summary!$C73,Summary!$C$2:$Q$103,3+counta($F$1:J$1),false)</f>
        <v>0.2</v>
      </c>
      <c r="K73" s="99">
        <f>$D73-vlookup(Summary!$C73,Summary!$C$2:$Q$103,3+counta($F$1:K$1),false)</f>
        <v>0</v>
      </c>
      <c r="L73" s="99">
        <f>$D73-vlookup(Summary!$C73,Summary!$C$2:$Q$103,3+counta($F$1:L$1),false)</f>
        <v>0</v>
      </c>
      <c r="M73" s="99">
        <f>$D73-vlookup(Summary!$C73,Summary!$C$2:$Q$103,3+counta($F$1:M$1),false)</f>
        <v>0</v>
      </c>
      <c r="N73" s="99">
        <f>$D73-vlookup(Summary!$C73,Summary!$C$2:$Q$103,3+counta($F$1:N$1),false)</f>
        <v>0</v>
      </c>
      <c r="O73" s="99">
        <f>$D73-vlookup(Summary!$C73,Summary!$C$2:$Q$103,3+counta($F$1:O$1),false)</f>
        <v>-0.15</v>
      </c>
      <c r="P73" s="99">
        <f>$D73-vlookup(Summary!$C73,Summary!$C$2:$Q$103,3+counta($F$1:P$1),false)</f>
        <v>0.4</v>
      </c>
      <c r="Q73" s="99">
        <f>$D73-vlookup(Summary!$C73,Summary!$C$2:$Q$103,3+counta($F$1:Q$1),false)</f>
        <v>-0.1</v>
      </c>
    </row>
    <row r="74" ht="15.75" customHeight="1">
      <c r="A74" s="15">
        <f>Main!A74</f>
        <v>73</v>
      </c>
      <c r="B74" s="15" t="str">
        <f>Main!B74</f>
        <v>ULA's vulcan centaur will launch succesfully (places a payload into orbit)</v>
      </c>
      <c r="C74" s="15" t="str">
        <f>Main!C74</f>
        <v>Technology</v>
      </c>
      <c r="D74" s="15">
        <v>0.6</v>
      </c>
      <c r="F74" s="99">
        <f>$D74-vlookup(Summary!$C74,Summary!$C$2:$Q$103,3+counta($F$1:F$1),false)</f>
        <v>0</v>
      </c>
      <c r="G74" s="99">
        <f>$D74-vlookup(Summary!$C74,Summary!$C$2:$Q$103,3+counta($F$1:G$1),false)</f>
        <v>-0.1</v>
      </c>
      <c r="H74" s="99">
        <f>$D74-vlookup(Summary!$C74,Summary!$C$2:$Q$103,3+counta($F$1:H$1),false)</f>
        <v>-0.1</v>
      </c>
      <c r="I74" s="99">
        <f>$D74-vlookup(Summary!$C74,Summary!$C$2:$Q$103,3+counta($F$1:I$1),false)</f>
        <v>0</v>
      </c>
      <c r="J74" s="99">
        <f>$D74-vlookup(Summary!$C74,Summary!$C$2:$Q$103,3+counta($F$1:J$1),false)</f>
        <v>0</v>
      </c>
      <c r="K74" s="99">
        <f>$D74-vlookup(Summary!$C74,Summary!$C$2:$Q$103,3+counta($F$1:K$1),false)</f>
        <v>0</v>
      </c>
      <c r="L74" s="99">
        <f>$D74-vlookup(Summary!$C74,Summary!$C$2:$Q$103,3+counta($F$1:L$1),false)</f>
        <v>0.4</v>
      </c>
      <c r="M74" s="99">
        <f>$D74-vlookup(Summary!$C74,Summary!$C$2:$Q$103,3+counta($F$1:M$1),false)</f>
        <v>-0.1</v>
      </c>
      <c r="N74" s="99">
        <f>$D74-vlookup(Summary!$C74,Summary!$C$2:$Q$103,3+counta($F$1:N$1),false)</f>
        <v>0.2</v>
      </c>
      <c r="O74" s="99">
        <f>$D74-vlookup(Summary!$C74,Summary!$C$2:$Q$103,3+counta($F$1:O$1),false)</f>
        <v>-0.25</v>
      </c>
      <c r="P74" s="99">
        <f>$D74-vlookup(Summary!$C74,Summary!$C$2:$Q$103,3+counta($F$1:P$1),false)</f>
        <v>0.1</v>
      </c>
      <c r="Q74" s="99">
        <f>$D74-vlookup(Summary!$C74,Summary!$C$2:$Q$103,3+counta($F$1:Q$1),false)</f>
        <v>0.1</v>
      </c>
    </row>
    <row r="75" ht="15.75" customHeight="1">
      <c r="A75" s="15">
        <f>Main!A75</f>
        <v>74</v>
      </c>
      <c r="B75" s="15" t="str">
        <f>Main!B75</f>
        <v>NASA will declare its Artemis 1 mission a success</v>
      </c>
      <c r="C75" s="15" t="str">
        <f>Main!C75</f>
        <v>Technology</v>
      </c>
      <c r="D75" s="15">
        <v>0.7</v>
      </c>
      <c r="F75" s="99">
        <f>$D75-vlookup(Summary!$C75,Summary!$C$2:$Q$103,3+counta($F$1:F$1),false)</f>
        <v>0</v>
      </c>
      <c r="G75" s="99">
        <f>$D75-vlookup(Summary!$C75,Summary!$C$2:$Q$103,3+counta($F$1:G$1),false)</f>
        <v>-0.1</v>
      </c>
      <c r="H75" s="99">
        <f>$D75-vlookup(Summary!$C75,Summary!$C$2:$Q$103,3+counta($F$1:H$1),false)</f>
        <v>0</v>
      </c>
      <c r="I75" s="99">
        <f>$D75-vlookup(Summary!$C75,Summary!$C$2:$Q$103,3+counta($F$1:I$1),false)</f>
        <v>0</v>
      </c>
      <c r="J75" s="99">
        <f>$D75-vlookup(Summary!$C75,Summary!$C$2:$Q$103,3+counta($F$1:J$1),false)</f>
        <v>0</v>
      </c>
      <c r="K75" s="99">
        <f>$D75-vlookup(Summary!$C75,Summary!$C$2:$Q$103,3+counta($F$1:K$1),false)</f>
        <v>-0.1</v>
      </c>
      <c r="L75" s="99">
        <f>$D75-vlookup(Summary!$C75,Summary!$C$2:$Q$103,3+counta($F$1:L$1),false)</f>
        <v>0.1</v>
      </c>
      <c r="M75" s="99">
        <f>$D75-vlookup(Summary!$C75,Summary!$C$2:$Q$103,3+counta($F$1:M$1),false)</f>
        <v>0</v>
      </c>
      <c r="N75" s="99">
        <f>$D75-vlookup(Summary!$C75,Summary!$C$2:$Q$103,3+counta($F$1:N$1),false)</f>
        <v>0.2</v>
      </c>
      <c r="O75" s="99">
        <f>$D75-vlookup(Summary!$C75,Summary!$C$2:$Q$103,3+counta($F$1:O$1),false)</f>
        <v>0.05</v>
      </c>
      <c r="P75" s="99">
        <f>$D75-vlookup(Summary!$C75,Summary!$C$2:$Q$103,3+counta($F$1:P$1),false)</f>
        <v>0.2</v>
      </c>
      <c r="Q75" s="99">
        <f>$D75-vlookup(Summary!$C75,Summary!$C$2:$Q$103,3+counta($F$1:Q$1),false)</f>
        <v>0</v>
      </c>
    </row>
    <row r="76" ht="15.75" customHeight="1">
      <c r="A76" s="15">
        <f>Main!A76</f>
        <v>75</v>
      </c>
      <c r="B76" s="15" t="str">
        <f>Main!B76</f>
        <v>Starship/Superheavy will place Starship into a (partial) orbital trajectory</v>
      </c>
      <c r="C76" s="15" t="str">
        <f>Main!C76</f>
        <v>Technology</v>
      </c>
      <c r="D76" s="15">
        <v>0.65</v>
      </c>
      <c r="F76" s="99">
        <f>$D76-vlookup(Summary!$C76,Summary!$C$2:$Q$103,3+counta($F$1:F$1),false)</f>
        <v>0</v>
      </c>
      <c r="G76" s="99">
        <f>$D76-vlookup(Summary!$C76,Summary!$C$2:$Q$103,3+counta($F$1:G$1),false)</f>
        <v>0.05</v>
      </c>
      <c r="H76" s="99">
        <f>$D76-vlookup(Summary!$C76,Summary!$C$2:$Q$103,3+counta($F$1:H$1),false)</f>
        <v>0.05</v>
      </c>
      <c r="I76" s="99">
        <f>$D76-vlookup(Summary!$C76,Summary!$C$2:$Q$103,3+counta($F$1:I$1),false)</f>
        <v>0</v>
      </c>
      <c r="J76" s="99">
        <f>$D76-vlookup(Summary!$C76,Summary!$C$2:$Q$103,3+counta($F$1:J$1),false)</f>
        <v>-0.05</v>
      </c>
      <c r="K76" s="99">
        <f>$D76-vlookup(Summary!$C76,Summary!$C$2:$Q$103,3+counta($F$1:K$1),false)</f>
        <v>0.15</v>
      </c>
      <c r="L76" s="99">
        <f>$D76-vlookup(Summary!$C76,Summary!$C$2:$Q$103,3+counta($F$1:L$1),false)</f>
        <v>0.15</v>
      </c>
      <c r="M76" s="99">
        <f>$D76-vlookup(Summary!$C76,Summary!$C$2:$Q$103,3+counta($F$1:M$1),false)</f>
        <v>0.05</v>
      </c>
      <c r="N76" s="99">
        <f>$D76-vlookup(Summary!$C76,Summary!$C$2:$Q$103,3+counta($F$1:N$1),false)</f>
        <v>0.15</v>
      </c>
      <c r="O76" s="99">
        <f>$D76-vlookup(Summary!$C76,Summary!$C$2:$Q$103,3+counta($F$1:O$1),false)</f>
        <v>-0.2</v>
      </c>
      <c r="P76" s="99">
        <f>$D76-vlookup(Summary!$C76,Summary!$C$2:$Q$103,3+counta($F$1:P$1),false)</f>
        <v>0.15</v>
      </c>
      <c r="Q76" s="99">
        <f>$D76-vlookup(Summary!$C76,Summary!$C$2:$Q$103,3+counta($F$1:Q$1),false)</f>
        <v>0.15</v>
      </c>
    </row>
    <row r="77" ht="15.75" customHeight="1">
      <c r="A77" s="15">
        <f>Main!A77</f>
        <v>76</v>
      </c>
      <c r="B77" s="15" t="str">
        <f>Main!B77</f>
        <v>James Webb telescope will deploy at L2 and 1 image from its Near-Infrared Camera (NIRCam) will be available on the internet for viewing by the public</v>
      </c>
      <c r="C77" s="15" t="str">
        <f>Main!C77</f>
        <v>Technology</v>
      </c>
      <c r="D77" s="15">
        <v>0.7</v>
      </c>
      <c r="F77" s="99">
        <f>$D77-vlookup(Summary!$C77,Summary!$C$2:$Q$103,3+counta($F$1:F$1),false)</f>
        <v>0</v>
      </c>
      <c r="G77" s="99">
        <f>$D77-vlookup(Summary!$C77,Summary!$C$2:$Q$103,3+counta($F$1:G$1),false)</f>
        <v>-0.1</v>
      </c>
      <c r="H77" s="99">
        <f>$D77-vlookup(Summary!$C77,Summary!$C$2:$Q$103,3+counta($F$1:H$1),false)</f>
        <v>-0.2</v>
      </c>
      <c r="I77" s="99">
        <f>$D77-vlookup(Summary!$C77,Summary!$C$2:$Q$103,3+counta($F$1:I$1),false)</f>
        <v>0</v>
      </c>
      <c r="J77" s="99">
        <f>$D77-vlookup(Summary!$C77,Summary!$C$2:$Q$103,3+counta($F$1:J$1),false)</f>
        <v>-0.1</v>
      </c>
      <c r="K77" s="99">
        <f>$D77-vlookup(Summary!$C77,Summary!$C$2:$Q$103,3+counta($F$1:K$1),false)</f>
        <v>0.05</v>
      </c>
      <c r="L77" s="99">
        <f>$D77-vlookup(Summary!$C77,Summary!$C$2:$Q$103,3+counta($F$1:L$1),false)</f>
        <v>0</v>
      </c>
      <c r="M77" s="99">
        <f>$D77-vlookup(Summary!$C77,Summary!$C$2:$Q$103,3+counta($F$1:M$1),false)</f>
        <v>-0.2</v>
      </c>
      <c r="N77" s="99">
        <f>$D77-vlookup(Summary!$C77,Summary!$C$2:$Q$103,3+counta($F$1:N$1),false)</f>
        <v>0.2</v>
      </c>
      <c r="O77" s="99">
        <f>$D77-vlookup(Summary!$C77,Summary!$C$2:$Q$103,3+counta($F$1:O$1),false)</f>
        <v>-0.299</v>
      </c>
      <c r="P77" s="99">
        <f>$D77-vlookup(Summary!$C77,Summary!$C$2:$Q$103,3+counta($F$1:P$1),false)</f>
        <v>-0.2</v>
      </c>
      <c r="Q77" s="99">
        <f>$D77-vlookup(Summary!$C77,Summary!$C$2:$Q$103,3+counta($F$1:Q$1),false)</f>
        <v>0.2</v>
      </c>
    </row>
    <row r="78" ht="15.75" customHeight="1">
      <c r="A78" s="15">
        <f>Main!A78</f>
        <v>77</v>
      </c>
      <c r="B78" s="15" t="str">
        <f>Main!B78</f>
        <v>Facebook connect 2022 (or its 'meta' equivalent) will be hosted in virtual reality / a ('the'?) metaverse</v>
      </c>
      <c r="C78" s="15" t="str">
        <f>Main!C78</f>
        <v>Technology</v>
      </c>
      <c r="D78" s="15">
        <v>0.3</v>
      </c>
      <c r="F78" s="99">
        <f>$D78-vlookup(Summary!$C78,Summary!$C$2:$Q$103,3+counta($F$1:F$1),false)</f>
        <v>0</v>
      </c>
      <c r="G78" s="99">
        <f>$D78-vlookup(Summary!$C78,Summary!$C$2:$Q$103,3+counta($F$1:G$1),false)</f>
        <v>-0.3</v>
      </c>
      <c r="H78" s="99">
        <f>$D78-vlookup(Summary!$C78,Summary!$C$2:$Q$103,3+counta($F$1:H$1),false)</f>
        <v>-0.6</v>
      </c>
      <c r="I78" s="99">
        <f>$D78-vlookup(Summary!$C78,Summary!$C$2:$Q$103,3+counta($F$1:I$1),false)</f>
        <v>0.2</v>
      </c>
      <c r="J78" s="99">
        <f>$D78-vlookup(Summary!$C78,Summary!$C$2:$Q$103,3+counta($F$1:J$1),false)</f>
        <v>-0.6</v>
      </c>
      <c r="K78" s="99">
        <f>$D78-vlookup(Summary!$C78,Summary!$C$2:$Q$103,3+counta($F$1:K$1),false)</f>
        <v>-0.2</v>
      </c>
      <c r="L78" s="99">
        <f>$D78-vlookup(Summary!$C78,Summary!$C$2:$Q$103,3+counta($F$1:L$1),false)</f>
        <v>-0.2</v>
      </c>
      <c r="M78" s="99">
        <f>$D78-vlookup(Summary!$C78,Summary!$C$2:$Q$103,3+counta($F$1:M$1),false)</f>
        <v>-0.6</v>
      </c>
      <c r="N78" s="99">
        <f>$D78-vlookup(Summary!$C78,Summary!$C$2:$Q$103,3+counta($F$1:N$1),false)</f>
        <v>0.1</v>
      </c>
      <c r="O78" s="99">
        <f>$D78-vlookup(Summary!$C78,Summary!$C$2:$Q$103,3+counta($F$1:O$1),false)</f>
        <v>-0.05</v>
      </c>
      <c r="P78" s="99">
        <f>$D78-vlookup(Summary!$C78,Summary!$C$2:$Q$103,3+counta($F$1:P$1),false)</f>
        <v>-0.2</v>
      </c>
      <c r="Q78" s="99">
        <f>$D78-vlookup(Summary!$C78,Summary!$C$2:$Q$103,3+counta($F$1:Q$1),false)</f>
        <v>-0.4</v>
      </c>
    </row>
    <row r="79" ht="15.75" customHeight="1">
      <c r="A79" s="15">
        <f>Main!A79</f>
        <v>78</v>
      </c>
      <c r="B79" s="15" t="str">
        <f>Main!B79</f>
        <v>Apple will announce mixed reality glasses</v>
      </c>
      <c r="C79" s="15" t="str">
        <f>Main!C79</f>
        <v>Technology</v>
      </c>
      <c r="D79" s="15">
        <v>0.25</v>
      </c>
      <c r="F79" s="99">
        <f>$D79-vlookup(Summary!$C79,Summary!$C$2:$Q$103,3+counta($F$1:F$1),false)</f>
        <v>0</v>
      </c>
      <c r="G79" s="99">
        <f>$D79-vlookup(Summary!$C79,Summary!$C$2:$Q$103,3+counta($F$1:G$1),false)</f>
        <v>-0.15</v>
      </c>
      <c r="H79" s="99">
        <f>$D79-vlookup(Summary!$C79,Summary!$C$2:$Q$103,3+counta($F$1:H$1),false)</f>
        <v>0.05</v>
      </c>
      <c r="I79" s="99">
        <f>$D79-vlookup(Summary!$C79,Summary!$C$2:$Q$103,3+counta($F$1:I$1),false)</f>
        <v>0.15</v>
      </c>
      <c r="J79" s="99">
        <f>$D79-vlookup(Summary!$C79,Summary!$C$2:$Q$103,3+counta($F$1:J$1),false)</f>
        <v>-0.65</v>
      </c>
      <c r="K79" s="99">
        <f>$D79-vlookup(Summary!$C79,Summary!$C$2:$Q$103,3+counta($F$1:K$1),false)</f>
        <v>-0.425</v>
      </c>
      <c r="L79" s="99">
        <f>$D79-vlookup(Summary!$C79,Summary!$C$2:$Q$103,3+counta($F$1:L$1),false)</f>
        <v>-0.2</v>
      </c>
      <c r="M79" s="99">
        <f>$D79-vlookup(Summary!$C79,Summary!$C$2:$Q$103,3+counta($F$1:M$1),false)</f>
        <v>0.05</v>
      </c>
      <c r="N79" s="99">
        <f>$D79-vlookup(Summary!$C79,Summary!$C$2:$Q$103,3+counta($F$1:N$1),false)</f>
        <v>-0.45</v>
      </c>
      <c r="O79" s="99">
        <f>$D79-vlookup(Summary!$C79,Summary!$C$2:$Q$103,3+counta($F$1:O$1),false)</f>
        <v>-0.1</v>
      </c>
      <c r="P79" s="99">
        <f>$D79-vlookup(Summary!$C79,Summary!$C$2:$Q$103,3+counta($F$1:P$1),false)</f>
        <v>0.15</v>
      </c>
      <c r="Q79" s="99">
        <f>$D79-vlookup(Summary!$C79,Summary!$C$2:$Q$103,3+counta($F$1:Q$1),false)</f>
        <v>-0.55</v>
      </c>
    </row>
    <row r="80" ht="15.75" customHeight="1">
      <c r="A80" s="15">
        <f>Main!A80</f>
        <v>79</v>
      </c>
      <c r="B80" s="15" t="str">
        <f>Main!B80</f>
        <v> In-app purchases of Kindle books will be possible in the Kindle iphone app</v>
      </c>
      <c r="C80" s="15" t="str">
        <f>Main!C80</f>
        <v>Technology</v>
      </c>
      <c r="D80" s="15">
        <v>0.5</v>
      </c>
      <c r="F80" s="99">
        <f>$D80-vlookup(Summary!$C80,Summary!$C$2:$Q$103,3+counta($F$1:F$1),false)</f>
        <v>0</v>
      </c>
      <c r="G80" s="99">
        <f>$D80-vlookup(Summary!$C80,Summary!$C$2:$Q$103,3+counta($F$1:G$1),false)</f>
        <v>-0.05</v>
      </c>
      <c r="H80" s="99">
        <f>$D80-vlookup(Summary!$C80,Summary!$C$2:$Q$103,3+counta($F$1:H$1),false)</f>
        <v>0.3</v>
      </c>
      <c r="I80" s="99">
        <f>$D80-vlookup(Summary!$C80,Summary!$C$2:$Q$103,3+counta($F$1:I$1),false)</f>
        <v>0</v>
      </c>
      <c r="J80" s="99">
        <f>$D80-vlookup(Summary!$C80,Summary!$C$2:$Q$103,3+counta($F$1:J$1),false)</f>
        <v>-0.4</v>
      </c>
      <c r="K80" s="99">
        <f>$D80-vlookup(Summary!$C80,Summary!$C$2:$Q$103,3+counta($F$1:K$1),false)</f>
        <v>-0.35</v>
      </c>
      <c r="L80" s="99">
        <f>$D80-vlookup(Summary!$C80,Summary!$C$2:$Q$103,3+counta($F$1:L$1),false)</f>
        <v>0.3</v>
      </c>
      <c r="M80" s="99">
        <f>$D80-vlookup(Summary!$C80,Summary!$C$2:$Q$103,3+counta($F$1:M$1),false)</f>
        <v>0.3</v>
      </c>
      <c r="N80" s="99">
        <f>$D80-vlookup(Summary!$C80,Summary!$C$2:$Q$103,3+counta($F$1:N$1),false)</f>
        <v>-0.3</v>
      </c>
      <c r="O80" s="99">
        <f>$D80-vlookup(Summary!$C80,Summary!$C$2:$Q$103,3+counta($F$1:O$1),false)</f>
        <v>0.35</v>
      </c>
      <c r="P80" s="99">
        <f>$D80-vlookup(Summary!$C80,Summary!$C$2:$Q$103,3+counta($F$1:P$1),false)</f>
        <v>0</v>
      </c>
      <c r="Q80" s="99">
        <f>$D80-vlookup(Summary!$C80,Summary!$C$2:$Q$103,3+counta($F$1:Q$1),false)</f>
        <v>0</v>
      </c>
    </row>
    <row r="81" ht="15.75" customHeight="1">
      <c r="A81" s="15">
        <f>Main!A81</f>
        <v>80</v>
      </c>
      <c r="B81" s="15" t="str">
        <f>Main!B81</f>
        <v>It will be possible for at least one of the prediction participants to have food delivered by drone to their place of residence as a mainstream service, without it being part of a specific trial.</v>
      </c>
      <c r="C81" s="15" t="str">
        <f>Main!C81</f>
        <v>Technology</v>
      </c>
      <c r="D81" s="15">
        <v>0.2</v>
      </c>
      <c r="F81" s="99">
        <f>$D81-vlookup(Summary!$C81,Summary!$C$2:$Q$103,3+counta($F$1:F$1),false)</f>
        <v>0</v>
      </c>
      <c r="G81" s="99">
        <f>$D81-vlookup(Summary!$C81,Summary!$C$2:$Q$103,3+counta($F$1:G$1),false)</f>
        <v>-0.1</v>
      </c>
      <c r="H81" s="99">
        <f>$D81-vlookup(Summary!$C81,Summary!$C$2:$Q$103,3+counta($F$1:H$1),false)</f>
        <v>0.1</v>
      </c>
      <c r="I81" s="99">
        <f>$D81-vlookup(Summary!$C81,Summary!$C$2:$Q$103,3+counta($F$1:I$1),false)</f>
        <v>0.1</v>
      </c>
      <c r="J81" s="99">
        <f>$D81-vlookup(Summary!$C81,Summary!$C$2:$Q$103,3+counta($F$1:J$1),false)</f>
        <v>-0.2</v>
      </c>
      <c r="K81" s="99">
        <f>$D81-vlookup(Summary!$C81,Summary!$C$2:$Q$103,3+counta($F$1:K$1),false)</f>
        <v>-0.45</v>
      </c>
      <c r="L81" s="99">
        <f>$D81-vlookup(Summary!$C81,Summary!$C$2:$Q$103,3+counta($F$1:L$1),false)</f>
        <v>-0.3</v>
      </c>
      <c r="M81" s="99">
        <f>$D81-vlookup(Summary!$C81,Summary!$C$2:$Q$103,3+counta($F$1:M$1),false)</f>
        <v>0.1</v>
      </c>
      <c r="N81" s="99">
        <f>$D81-vlookup(Summary!$C81,Summary!$C$2:$Q$103,3+counta($F$1:N$1),false)</f>
        <v>-0.5</v>
      </c>
      <c r="O81" s="99">
        <f>$D81-vlookup(Summary!$C81,Summary!$C$2:$Q$103,3+counta($F$1:O$1),false)</f>
        <v>-0.45</v>
      </c>
      <c r="P81" s="99">
        <f>$D81-vlookup(Summary!$C81,Summary!$C$2:$Q$103,3+counta($F$1:P$1),false)</f>
        <v>-0.7</v>
      </c>
      <c r="Q81" s="99">
        <f>$D81-vlookup(Summary!$C81,Summary!$C$2:$Q$103,3+counta($F$1:Q$1),false)</f>
        <v>-0.45</v>
      </c>
    </row>
    <row r="82" ht="15.75" customHeight="1">
      <c r="A82" s="15">
        <f>Main!A82</f>
        <v>81</v>
      </c>
      <c r="B82" s="15" t="str">
        <f>Main!B82</f>
        <v>TMTG, the company that owns Trump’s “TRUTH Social” platform, will have a market cap of over $20 billion USD. (Twitter is around 35b)</v>
      </c>
      <c r="C82" s="15" t="str">
        <f>Main!C82</f>
        <v>Technology</v>
      </c>
      <c r="D82" s="15">
        <v>0.9</v>
      </c>
      <c r="F82" s="99">
        <f>$D82-vlookup(Summary!$C82,Summary!$C$2:$Q$103,3+counta($F$1:F$1),false)</f>
        <v>0</v>
      </c>
      <c r="G82" s="99">
        <f>$D82-vlookup(Summary!$C82,Summary!$C$2:$Q$103,3+counta($F$1:G$1),false)</f>
        <v>-0.09</v>
      </c>
      <c r="H82" s="99">
        <f>$D82-vlookup(Summary!$C82,Summary!$C$2:$Q$103,3+counta($F$1:H$1),false)</f>
        <v>0.7</v>
      </c>
      <c r="I82" s="99">
        <f>$D82-vlookup(Summary!$C82,Summary!$C$2:$Q$103,3+counta($F$1:I$1),false)</f>
        <v>0</v>
      </c>
      <c r="J82" s="99">
        <f>$D82-vlookup(Summary!$C82,Summary!$C$2:$Q$103,3+counta($F$1:J$1),false)</f>
        <v>0.6</v>
      </c>
      <c r="K82" s="99">
        <f>$D82-vlookup(Summary!$C82,Summary!$C$2:$Q$103,3+counta($F$1:K$1),false)</f>
        <v>0.1</v>
      </c>
      <c r="L82" s="99">
        <f>$D82-vlookup(Summary!$C82,Summary!$C$2:$Q$103,3+counta($F$1:L$1),false)</f>
        <v>0.7</v>
      </c>
      <c r="M82" s="99">
        <f>$D82-vlookup(Summary!$C82,Summary!$C$2:$Q$103,3+counta($F$1:M$1),false)</f>
        <v>0.7</v>
      </c>
      <c r="N82" s="99">
        <f>$D82-vlookup(Summary!$C82,Summary!$C$2:$Q$103,3+counta($F$1:N$1),false)</f>
        <v>0.8</v>
      </c>
      <c r="O82" s="99">
        <f>$D82-vlookup(Summary!$C82,Summary!$C$2:$Q$103,3+counta($F$1:O$1),false)</f>
        <v>0.75</v>
      </c>
      <c r="P82" s="99">
        <f>$D82-vlookup(Summary!$C82,Summary!$C$2:$Q$103,3+counta($F$1:P$1),false)</f>
        <v>0.4</v>
      </c>
      <c r="Q82" s="99">
        <f>$D82-vlookup(Summary!$C82,Summary!$C$2:$Q$103,3+counta($F$1:Q$1),false)</f>
        <v>0.6</v>
      </c>
    </row>
    <row r="83" ht="15.75" customHeight="1">
      <c r="A83" s="15">
        <f>Main!A83</f>
        <v>82</v>
      </c>
      <c r="B83" s="15" t="str">
        <f>Main!B83</f>
        <v>It will not be financially viable to mine ethereum using commercial GPUs.</v>
      </c>
      <c r="C83" s="15" t="str">
        <f>Main!C83</f>
        <v>Technology</v>
      </c>
      <c r="D83" s="15">
        <v>0.65</v>
      </c>
      <c r="F83" s="99">
        <f>$D83-vlookup(Summary!$C83,Summary!$C$2:$Q$103,3+counta($F$1:F$1),false)</f>
        <v>0</v>
      </c>
      <c r="G83" s="99">
        <f>$D83-vlookup(Summary!$C83,Summary!$C$2:$Q$103,3+counta($F$1:G$1),false)</f>
        <v>-0.15</v>
      </c>
      <c r="H83" s="99">
        <f>$D83-vlookup(Summary!$C83,Summary!$C$2:$Q$103,3+counta($F$1:H$1),false)</f>
        <v>-0.25</v>
      </c>
      <c r="I83" s="99">
        <f>$D83-vlookup(Summary!$C83,Summary!$C$2:$Q$103,3+counta($F$1:I$1),false)</f>
        <v>0.15</v>
      </c>
      <c r="J83" s="99">
        <f>$D83-vlookup(Summary!$C83,Summary!$C$2:$Q$103,3+counta($F$1:J$1),false)</f>
        <v>0.15</v>
      </c>
      <c r="K83" s="99">
        <f>$D83-vlookup(Summary!$C83,Summary!$C$2:$Q$103,3+counta($F$1:K$1),false)</f>
        <v>0.15</v>
      </c>
      <c r="L83" s="99">
        <f>$D83-vlookup(Summary!$C83,Summary!$C$2:$Q$103,3+counta($F$1:L$1),false)</f>
        <v>0.2</v>
      </c>
      <c r="M83" s="99">
        <f>$D83-vlookup(Summary!$C83,Summary!$C$2:$Q$103,3+counta($F$1:M$1),false)</f>
        <v>-0.25</v>
      </c>
      <c r="N83" s="99">
        <f>$D83-vlookup(Summary!$C83,Summary!$C$2:$Q$103,3+counta($F$1:N$1),false)</f>
        <v>-0.15</v>
      </c>
      <c r="O83" s="99">
        <f>$D83-vlookup(Summary!$C83,Summary!$C$2:$Q$103,3+counta($F$1:O$1),false)</f>
        <v>-0.2</v>
      </c>
      <c r="P83" s="99">
        <f>$D83-vlookup(Summary!$C83,Summary!$C$2:$Q$103,3+counta($F$1:P$1),false)</f>
        <v>0.15</v>
      </c>
      <c r="Q83" s="99">
        <f>$D83-vlookup(Summary!$C83,Summary!$C$2:$Q$103,3+counta($F$1:Q$1),false)</f>
        <v>0.05</v>
      </c>
    </row>
    <row r="84" ht="15.75" customHeight="1">
      <c r="A84" s="15">
        <f>Main!A84</f>
        <v>83</v>
      </c>
      <c r="B84" s="15" t="str">
        <f>Main!B84</f>
        <v>China will have more than 800 satellites in orbit (currently around 500)</v>
      </c>
      <c r="C84" s="15" t="str">
        <f>Main!C84</f>
        <v>Technology</v>
      </c>
      <c r="D84" s="15">
        <v>0.4</v>
      </c>
      <c r="F84" s="99">
        <f>$D84-vlookup(Summary!$C84,Summary!$C$2:$Q$103,3+counta($F$1:F$1),false)</f>
        <v>0</v>
      </c>
      <c r="G84" s="99">
        <f>$D84-vlookup(Summary!$C84,Summary!$C$2:$Q$103,3+counta($F$1:G$1),false)</f>
        <v>-0.25</v>
      </c>
      <c r="H84" s="99">
        <f>$D84-vlookup(Summary!$C84,Summary!$C$2:$Q$103,3+counta($F$1:H$1),false)</f>
        <v>0.35</v>
      </c>
      <c r="I84" s="99">
        <f>$D84-vlookup(Summary!$C84,Summary!$C$2:$Q$103,3+counta($F$1:I$1),false)</f>
        <v>0.2</v>
      </c>
      <c r="J84" s="99">
        <f>$D84-vlookup(Summary!$C84,Summary!$C$2:$Q$103,3+counta($F$1:J$1),false)</f>
        <v>-0.3</v>
      </c>
      <c r="K84" s="99">
        <f>$D84-vlookup(Summary!$C84,Summary!$C$2:$Q$103,3+counta($F$1:K$1),false)</f>
        <v>-0.45</v>
      </c>
      <c r="L84" s="99">
        <f>$D84-vlookup(Summary!$C84,Summary!$C$2:$Q$103,3+counta($F$1:L$1),false)</f>
        <v>0.399</v>
      </c>
      <c r="M84" s="99">
        <f>$D84-vlookup(Summary!$C84,Summary!$C$2:$Q$103,3+counta($F$1:M$1),false)</f>
        <v>0.35</v>
      </c>
      <c r="N84" s="99">
        <f>$D84-vlookup(Summary!$C84,Summary!$C$2:$Q$103,3+counta($F$1:N$1),false)</f>
        <v>0.3</v>
      </c>
      <c r="O84" s="99">
        <f>$D84-vlookup(Summary!$C84,Summary!$C$2:$Q$103,3+counta($F$1:O$1),false)</f>
        <v>0.399</v>
      </c>
      <c r="P84" s="99">
        <f>$D84-vlookup(Summary!$C84,Summary!$C$2:$Q$103,3+counta($F$1:P$1),false)</f>
        <v>-0.1</v>
      </c>
      <c r="Q84" s="99">
        <f>$D84-vlookup(Summary!$C84,Summary!$C$2:$Q$103,3+counta($F$1:Q$1),false)</f>
        <v>-0.25</v>
      </c>
    </row>
    <row r="85" ht="15.75" customHeight="1">
      <c r="A85" s="15">
        <f>Main!A85</f>
        <v>84</v>
      </c>
      <c r="B85" s="15" t="str">
        <f>Main!B85</f>
        <v>Australia will be in the top 40 countries for broadband speed (as tracked in wiki page)</v>
      </c>
      <c r="C85" s="15" t="str">
        <f>Main!C85</f>
        <v>Technology</v>
      </c>
      <c r="D85" s="15">
        <v>0.2</v>
      </c>
      <c r="F85" s="99">
        <f>$D85-vlookup(Summary!$C85,Summary!$C$2:$Q$103,3+counta($F$1:F$1),false)</f>
        <v>0</v>
      </c>
      <c r="G85" s="99">
        <f>$D85-vlookup(Summary!$C85,Summary!$C$2:$Q$103,3+counta($F$1:G$1),false)</f>
        <v>-0.7</v>
      </c>
      <c r="H85" s="99">
        <f>$D85-vlookup(Summary!$C85,Summary!$C$2:$Q$103,3+counta($F$1:H$1),false)</f>
        <v>0.15</v>
      </c>
      <c r="I85" s="99">
        <f>$D85-vlookup(Summary!$C85,Summary!$C$2:$Q$103,3+counta($F$1:I$1),false)</f>
        <v>-0.1</v>
      </c>
      <c r="J85" s="99">
        <f>$D85-vlookup(Summary!$C85,Summary!$C$2:$Q$103,3+counta($F$1:J$1),false)</f>
        <v>0</v>
      </c>
      <c r="K85" s="99">
        <f>$D85-vlookup(Summary!$C85,Summary!$C$2:$Q$103,3+counta($F$1:K$1),false)</f>
        <v>-0.5</v>
      </c>
      <c r="L85" s="99">
        <f>$D85-vlookup(Summary!$C85,Summary!$C$2:$Q$103,3+counta($F$1:L$1),false)</f>
        <v>0.15</v>
      </c>
      <c r="M85" s="99">
        <f>$D85-vlookup(Summary!$C85,Summary!$C$2:$Q$103,3+counta($F$1:M$1),false)</f>
        <v>0.15</v>
      </c>
      <c r="N85" s="99">
        <f>$D85-vlookup(Summary!$C85,Summary!$C$2:$Q$103,3+counta($F$1:N$1),false)</f>
        <v>-0.5</v>
      </c>
      <c r="O85" s="99">
        <f>$D85-vlookup(Summary!$C85,Summary!$C$2:$Q$103,3+counta($F$1:O$1),false)</f>
        <v>0.05</v>
      </c>
      <c r="P85" s="99">
        <f>$D85-vlookup(Summary!$C85,Summary!$C$2:$Q$103,3+counta($F$1:P$1),false)</f>
        <v>-0.6</v>
      </c>
      <c r="Q85" s="99">
        <f>$D85-vlookup(Summary!$C85,Summary!$C$2:$Q$103,3+counta($F$1:Q$1),false)</f>
        <v>-0.5</v>
      </c>
    </row>
    <row r="86" ht="15.75" customHeight="1">
      <c r="A86" s="15">
        <f>Main!A86</f>
        <v>85</v>
      </c>
      <c r="B86" s="15" t="str">
        <f>Main!B86</f>
        <v>India will produce more total CO2 emissions than the US</v>
      </c>
      <c r="C86" s="15" t="str">
        <f>Main!C86</f>
        <v>Technology</v>
      </c>
      <c r="D86" s="15">
        <v>0.3</v>
      </c>
      <c r="F86" s="99">
        <f>$D86-vlookup(Summary!$C86,Summary!$C$2:$Q$103,3+counta($F$1:F$1),false)</f>
        <v>0</v>
      </c>
      <c r="G86" s="99">
        <f>$D86-vlookup(Summary!$C86,Summary!$C$2:$Q$103,3+counta($F$1:G$1),false)</f>
        <v>0.1</v>
      </c>
      <c r="H86" s="99">
        <f>$D86-vlookup(Summary!$C86,Summary!$C$2:$Q$103,3+counta($F$1:H$1),false)</f>
        <v>0.2</v>
      </c>
      <c r="I86" s="99">
        <f>$D86-vlookup(Summary!$C86,Summary!$C$2:$Q$103,3+counta($F$1:I$1),false)</f>
        <v>0.2</v>
      </c>
      <c r="J86" s="99">
        <f>$D86-vlookup(Summary!$C86,Summary!$C$2:$Q$103,3+counta($F$1:J$1),false)</f>
        <v>-0.2</v>
      </c>
      <c r="K86" s="99">
        <f>$D86-vlookup(Summary!$C86,Summary!$C$2:$Q$103,3+counta($F$1:K$1),false)</f>
        <v>-0.5</v>
      </c>
      <c r="L86" s="99">
        <f>$D86-vlookup(Summary!$C86,Summary!$C$2:$Q$103,3+counta($F$1:L$1),false)</f>
        <v>0.299</v>
      </c>
      <c r="M86" s="99">
        <f>$D86-vlookup(Summary!$C86,Summary!$C$2:$Q$103,3+counta($F$1:M$1),false)</f>
        <v>0.2</v>
      </c>
      <c r="N86" s="99">
        <f>$D86-vlookup(Summary!$C86,Summary!$C$2:$Q$103,3+counta($F$1:N$1),false)</f>
        <v>-0.5</v>
      </c>
      <c r="O86" s="99">
        <f>$D86-vlookup(Summary!$C86,Summary!$C$2:$Q$103,3+counta($F$1:O$1),false)</f>
        <v>-0.05</v>
      </c>
      <c r="P86" s="99">
        <f>$D86-vlookup(Summary!$C86,Summary!$C$2:$Q$103,3+counta($F$1:P$1),false)</f>
        <v>-0.5</v>
      </c>
      <c r="Q86" s="99">
        <f>$D86-vlookup(Summary!$C86,Summary!$C$2:$Q$103,3+counta($F$1:Q$1),false)</f>
        <v>-0.3</v>
      </c>
    </row>
    <row r="87" ht="15.75" customHeight="1">
      <c r="A87" s="15">
        <f>Main!A87</f>
        <v>86</v>
      </c>
      <c r="B87" s="15" t="str">
        <f>Main!B87</f>
        <v>The number of electric vehicles under $50K (excl on road costs) grows 67% or more in Australia, as listed on carsguide.com.au. Currently there are three cars: Hyundai Ioniq, Nissan Leaf and MG ZS EV</v>
      </c>
      <c r="C87" s="15" t="str">
        <f>Main!C87</f>
        <v>Technology</v>
      </c>
      <c r="D87" s="15">
        <v>0.4</v>
      </c>
      <c r="F87" s="99">
        <f>$D87-vlookup(Summary!$C87,Summary!$C$2:$Q$103,3+counta($F$1:F$1),false)</f>
        <v>0</v>
      </c>
      <c r="G87" s="99">
        <f>$D87-vlookup(Summary!$C87,Summary!$C$2:$Q$103,3+counta($F$1:G$1),false)</f>
        <v>-0.4</v>
      </c>
      <c r="H87" s="99">
        <f>$D87-vlookup(Summary!$C87,Summary!$C$2:$Q$103,3+counta($F$1:H$1),false)</f>
        <v>-0.3</v>
      </c>
      <c r="I87" s="99">
        <f>$D87-vlookup(Summary!$C87,Summary!$C$2:$Q$103,3+counta($F$1:I$1),false)</f>
        <v>0.2</v>
      </c>
      <c r="J87" s="99">
        <f>$D87-vlookup(Summary!$C87,Summary!$C$2:$Q$103,3+counta($F$1:J$1),false)</f>
        <v>0.1</v>
      </c>
      <c r="K87" s="99">
        <f>$D87-vlookup(Summary!$C87,Summary!$C$2:$Q$103,3+counta($F$1:K$1),false)</f>
        <v>-0.25</v>
      </c>
      <c r="L87" s="99">
        <f>$D87-vlookup(Summary!$C87,Summary!$C$2:$Q$103,3+counta($F$1:L$1),false)</f>
        <v>-0.15</v>
      </c>
      <c r="M87" s="99">
        <f>$D87-vlookup(Summary!$C87,Summary!$C$2:$Q$103,3+counta($F$1:M$1),false)</f>
        <v>-0.3</v>
      </c>
      <c r="N87" s="99">
        <f>$D87-vlookup(Summary!$C87,Summary!$C$2:$Q$103,3+counta($F$1:N$1),false)</f>
        <v>-0.5</v>
      </c>
      <c r="O87" s="99">
        <f>$D87-vlookup(Summary!$C87,Summary!$C$2:$Q$103,3+counta($F$1:O$1),false)</f>
        <v>0.05</v>
      </c>
      <c r="P87" s="99">
        <f>$D87-vlookup(Summary!$C87,Summary!$C$2:$Q$103,3+counta($F$1:P$1),false)</f>
        <v>-0.3</v>
      </c>
      <c r="Q87" s="99">
        <f>$D87-vlookup(Summary!$C87,Summary!$C$2:$Q$103,3+counta($F$1:Q$1),false)</f>
        <v>0.05</v>
      </c>
    </row>
    <row r="88" ht="15.75" customHeight="1">
      <c r="A88" s="15">
        <f>Main!A88</f>
        <v>87</v>
      </c>
      <c r="B88" s="15" t="str">
        <f>Main!B88</f>
        <v>Boris Johnson will be replaced as Prime Minister by the Tory Party</v>
      </c>
      <c r="C88" s="15" t="str">
        <f>Main!C88</f>
        <v>World Politics</v>
      </c>
      <c r="D88" s="15">
        <v>0.85</v>
      </c>
      <c r="F88" s="99">
        <f>$D88-vlookup(Summary!$C88,Summary!$C$2:$Q$103,3+counta($F$1:F$1),false)</f>
        <v>0</v>
      </c>
      <c r="G88" s="99">
        <f>$D88-vlookup(Summary!$C88,Summary!$C$2:$Q$103,3+counta($F$1:G$1),false)</f>
        <v>0.05</v>
      </c>
      <c r="H88" s="99">
        <f>$D88-vlookup(Summary!$C88,Summary!$C$2:$Q$103,3+counta($F$1:H$1),false)</f>
        <v>0.55</v>
      </c>
      <c r="I88" s="99">
        <f>$D88-vlookup(Summary!$C88,Summary!$C$2:$Q$103,3+counta($F$1:I$1),false)</f>
        <v>0.05</v>
      </c>
      <c r="J88" s="99">
        <f>$D88-vlookup(Summary!$C88,Summary!$C$2:$Q$103,3+counta($F$1:J$1),false)</f>
        <v>0.45</v>
      </c>
      <c r="K88" s="99">
        <f>$D88-vlookup(Summary!$C88,Summary!$C$2:$Q$103,3+counta($F$1:K$1),false)</f>
        <v>0</v>
      </c>
      <c r="L88" s="99">
        <f>$D88-vlookup(Summary!$C88,Summary!$C$2:$Q$103,3+counta($F$1:L$1),false)</f>
        <v>0.75</v>
      </c>
      <c r="M88" s="99">
        <f>$D88-vlookup(Summary!$C88,Summary!$C$2:$Q$103,3+counta($F$1:M$1),false)</f>
        <v>0.55</v>
      </c>
      <c r="N88" s="99">
        <f>$D88-vlookup(Summary!$C88,Summary!$C$2:$Q$103,3+counta($F$1:N$1),false)</f>
        <v>-0.05</v>
      </c>
      <c r="O88" s="99">
        <f>$D88-vlookup(Summary!$C88,Summary!$C$2:$Q$103,3+counta($F$1:O$1),false)</f>
        <v>0.2</v>
      </c>
      <c r="P88" s="99">
        <f>$D88-vlookup(Summary!$C88,Summary!$C$2:$Q$103,3+counta($F$1:P$1),false)</f>
        <v>-0.05</v>
      </c>
      <c r="Q88" s="99">
        <f>$D88-vlookup(Summary!$C88,Summary!$C$2:$Q$103,3+counta($F$1:Q$1),false)</f>
        <v>0.35</v>
      </c>
    </row>
    <row r="89" ht="15.75" customHeight="1">
      <c r="A89" s="15">
        <f>Main!A89</f>
        <v>88</v>
      </c>
      <c r="B89" s="15" t="str">
        <f>Main!B89</f>
        <v>Boris Johnson will be the Prime Minister of the UK</v>
      </c>
      <c r="C89" s="15" t="str">
        <f>Main!C89</f>
        <v>World Politics</v>
      </c>
      <c r="D89" s="15">
        <v>0.15</v>
      </c>
      <c r="F89" s="99">
        <f>$D89-vlookup(Summary!$C89,Summary!$C$2:$Q$103,3+counta($F$1:F$1),false)</f>
        <v>0</v>
      </c>
      <c r="G89" s="99">
        <f>$D89-vlookup(Summary!$C89,Summary!$C$2:$Q$103,3+counta($F$1:G$1),false)</f>
        <v>-0.05</v>
      </c>
      <c r="H89" s="99">
        <f>$D89-vlookup(Summary!$C89,Summary!$C$2:$Q$103,3+counta($F$1:H$1),false)</f>
        <v>-0.55</v>
      </c>
      <c r="I89" s="99">
        <f>$D89-vlookup(Summary!$C89,Summary!$C$2:$Q$103,3+counta($F$1:I$1),false)</f>
        <v>-0.05</v>
      </c>
      <c r="J89" s="99">
        <f>$D89-vlookup(Summary!$C89,Summary!$C$2:$Q$103,3+counta($F$1:J$1),false)</f>
        <v>-0.45</v>
      </c>
      <c r="K89" s="99">
        <f>$D89-vlookup(Summary!$C89,Summary!$C$2:$Q$103,3+counta($F$1:K$1),false)</f>
        <v>-0.1</v>
      </c>
      <c r="L89" s="99">
        <f>$D89-vlookup(Summary!$C89,Summary!$C$2:$Q$103,3+counta($F$1:L$1),false)</f>
        <v>-0.7</v>
      </c>
      <c r="M89" s="99">
        <f>$D89-vlookup(Summary!$C89,Summary!$C$2:$Q$103,3+counta($F$1:M$1),false)</f>
        <v>-0.55</v>
      </c>
      <c r="N89" s="99">
        <f>$D89-vlookup(Summary!$C89,Summary!$C$2:$Q$103,3+counta($F$1:N$1),false)</f>
        <v>-0.05</v>
      </c>
      <c r="O89" s="99">
        <f>$D89-vlookup(Summary!$C89,Summary!$C$2:$Q$103,3+counta($F$1:O$1),false)</f>
        <v>-0.2</v>
      </c>
      <c r="P89" s="99">
        <f>$D89-vlookup(Summary!$C89,Summary!$C$2:$Q$103,3+counta($F$1:P$1),false)</f>
        <v>0.05</v>
      </c>
      <c r="Q89" s="99">
        <f>$D89-vlookup(Summary!$C89,Summary!$C$2:$Q$103,3+counta($F$1:Q$1),false)</f>
        <v>-0.25</v>
      </c>
    </row>
    <row r="90" ht="15.75" customHeight="1">
      <c r="A90" s="15">
        <f>Main!A90</f>
        <v>89</v>
      </c>
      <c r="B90" s="15" t="str">
        <f>Main!B90</f>
        <v>At least some American states will resort to proclaimed and violent civil war rather that accept democratic elections</v>
      </c>
      <c r="C90" s="15" t="str">
        <f>Main!C90</f>
        <v>World Politics</v>
      </c>
      <c r="D90" s="15">
        <v>0.3</v>
      </c>
      <c r="F90" s="99">
        <f>$D90-vlookup(Summary!$C90,Summary!$C$2:$Q$103,3+counta($F$1:F$1),false)</f>
        <v>0</v>
      </c>
      <c r="G90" s="99">
        <f>$D90-vlookup(Summary!$C90,Summary!$C$2:$Q$103,3+counta($F$1:G$1),false)</f>
        <v>0.2</v>
      </c>
      <c r="H90" s="99">
        <f>$D90-vlookup(Summary!$C90,Summary!$C$2:$Q$103,3+counta($F$1:H$1),false)</f>
        <v>0.2</v>
      </c>
      <c r="I90" s="99">
        <f>$D90-vlookup(Summary!$C90,Summary!$C$2:$Q$103,3+counta($F$1:I$1),false)</f>
        <v>0.2</v>
      </c>
      <c r="J90" s="99">
        <f>$D90-vlookup(Summary!$C90,Summary!$C$2:$Q$103,3+counta($F$1:J$1),false)</f>
        <v>-0.4</v>
      </c>
      <c r="K90" s="99">
        <f>$D90-vlookup(Summary!$C90,Summary!$C$2:$Q$103,3+counta($F$1:K$1),false)</f>
        <v>0.1</v>
      </c>
      <c r="L90" s="99">
        <f>$D90-vlookup(Summary!$C90,Summary!$C$2:$Q$103,3+counta($F$1:L$1),false)</f>
        <v>0.25</v>
      </c>
      <c r="M90" s="99">
        <f>$D90-vlookup(Summary!$C90,Summary!$C$2:$Q$103,3+counta($F$1:M$1),false)</f>
        <v>0.2</v>
      </c>
      <c r="N90" s="99">
        <f>$D90-vlookup(Summary!$C90,Summary!$C$2:$Q$103,3+counta($F$1:N$1),false)</f>
        <v>0.2</v>
      </c>
      <c r="O90" s="99">
        <f>$D90-vlookup(Summary!$C90,Summary!$C$2:$Q$103,3+counta($F$1:O$1),false)</f>
        <v>0.299</v>
      </c>
      <c r="P90" s="99">
        <f>$D90-vlookup(Summary!$C90,Summary!$C$2:$Q$103,3+counta($F$1:P$1),false)</f>
        <v>0.2</v>
      </c>
      <c r="Q90" s="99">
        <f>$D90-vlookup(Summary!$C90,Summary!$C$2:$Q$103,3+counta($F$1:Q$1),false)</f>
        <v>0.05</v>
      </c>
    </row>
    <row r="91" ht="15.75" customHeight="1">
      <c r="A91" s="15">
        <f>Main!A91</f>
        <v>90</v>
      </c>
      <c r="B91" s="15" t="str">
        <f>Main!B91</f>
        <v>Democrats will lose control of the US House of Representatives at the midterm elections</v>
      </c>
      <c r="C91" s="15" t="str">
        <f>Main!C91</f>
        <v>World Politics</v>
      </c>
      <c r="D91" s="15">
        <v>0.8</v>
      </c>
      <c r="F91" s="99">
        <f>$D91-vlookup(Summary!$C91,Summary!$C$2:$Q$103,3+counta($F$1:F$1),false)</f>
        <v>0</v>
      </c>
      <c r="G91" s="99">
        <f>$D91-vlookup(Summary!$C91,Summary!$C$2:$Q$103,3+counta($F$1:G$1),false)</f>
        <v>-0.1</v>
      </c>
      <c r="H91" s="99">
        <f>$D91-vlookup(Summary!$C91,Summary!$C$2:$Q$103,3+counta($F$1:H$1),false)</f>
        <v>0.1</v>
      </c>
      <c r="I91" s="99">
        <f>$D91-vlookup(Summary!$C91,Summary!$C$2:$Q$103,3+counta($F$1:I$1),false)</f>
        <v>0.2</v>
      </c>
      <c r="J91" s="99">
        <f>$D91-vlookup(Summary!$C91,Summary!$C$2:$Q$103,3+counta($F$1:J$1),false)</f>
        <v>-0.1</v>
      </c>
      <c r="K91" s="99">
        <f>$D91-vlookup(Summary!$C91,Summary!$C$2:$Q$103,3+counta($F$1:K$1),false)</f>
        <v>0.1</v>
      </c>
      <c r="L91" s="99">
        <f>$D91-vlookup(Summary!$C91,Summary!$C$2:$Q$103,3+counta($F$1:L$1),false)</f>
        <v>0.1</v>
      </c>
      <c r="M91" s="99">
        <f>$D91-vlookup(Summary!$C91,Summary!$C$2:$Q$103,3+counta($F$1:M$1),false)</f>
        <v>0.1</v>
      </c>
      <c r="N91" s="99">
        <f>$D91-vlookup(Summary!$C91,Summary!$C$2:$Q$103,3+counta($F$1:N$1),false)</f>
        <v>0</v>
      </c>
      <c r="O91" s="99">
        <f>$D91-vlookup(Summary!$C91,Summary!$C$2:$Q$103,3+counta($F$1:O$1),false)</f>
        <v>-0.199</v>
      </c>
      <c r="P91" s="99">
        <f>$D91-vlookup(Summary!$C91,Summary!$C$2:$Q$103,3+counta($F$1:P$1),false)</f>
        <v>0.7</v>
      </c>
      <c r="Q91" s="99">
        <f>$D91-vlookup(Summary!$C91,Summary!$C$2:$Q$103,3+counta($F$1:Q$1),false)</f>
        <v>0.4</v>
      </c>
    </row>
    <row r="92" ht="15.75" customHeight="1">
      <c r="A92" s="15">
        <f>Main!A92</f>
        <v>91</v>
      </c>
      <c r="B92" s="15" t="str">
        <f>Main!B92</f>
        <v>Democrats will not have control of the US Senate after the midterm election</v>
      </c>
      <c r="C92" s="15" t="str">
        <f>Main!C92</f>
        <v>World Politics</v>
      </c>
      <c r="D92" s="15">
        <v>0.8</v>
      </c>
      <c r="F92" s="99">
        <f>$D92-vlookup(Summary!$C92,Summary!$C$2:$Q$103,3+counta($F$1:F$1),false)</f>
        <v>0</v>
      </c>
      <c r="G92" s="99">
        <f>$D92-vlookup(Summary!$C92,Summary!$C$2:$Q$103,3+counta($F$1:G$1),false)</f>
        <v>-0.1</v>
      </c>
      <c r="H92" s="99">
        <f>$D92-vlookup(Summary!$C92,Summary!$C$2:$Q$103,3+counta($F$1:H$1),false)</f>
        <v>0.1</v>
      </c>
      <c r="I92" s="99">
        <f>$D92-vlookup(Summary!$C92,Summary!$C$2:$Q$103,3+counta($F$1:I$1),false)</f>
        <v>0.2</v>
      </c>
      <c r="J92" s="99">
        <f>$D92-vlookup(Summary!$C92,Summary!$C$2:$Q$103,3+counta($F$1:J$1),false)</f>
        <v>-0.1</v>
      </c>
      <c r="K92" s="99">
        <f>$D92-vlookup(Summary!$C92,Summary!$C$2:$Q$103,3+counta($F$1:K$1),false)</f>
        <v>0</v>
      </c>
      <c r="L92" s="99">
        <f>$D92-vlookup(Summary!$C92,Summary!$C$2:$Q$103,3+counta($F$1:L$1),false)</f>
        <v>0</v>
      </c>
      <c r="M92" s="99">
        <f>$D92-vlookup(Summary!$C92,Summary!$C$2:$Q$103,3+counta($F$1:M$1),false)</f>
        <v>0.1</v>
      </c>
      <c r="N92" s="99">
        <f>$D92-vlookup(Summary!$C92,Summary!$C$2:$Q$103,3+counta($F$1:N$1),false)</f>
        <v>0</v>
      </c>
      <c r="O92" s="99">
        <f>$D92-vlookup(Summary!$C92,Summary!$C$2:$Q$103,3+counta($F$1:O$1),false)</f>
        <v>-0.199</v>
      </c>
      <c r="P92" s="99">
        <f>$D92-vlookup(Summary!$C92,Summary!$C$2:$Q$103,3+counta($F$1:P$1),false)</f>
        <v>0.7</v>
      </c>
      <c r="Q92" s="99">
        <f>$D92-vlookup(Summary!$C92,Summary!$C$2:$Q$103,3+counta($F$1:Q$1),false)</f>
        <v>0.6</v>
      </c>
    </row>
    <row r="93" ht="15.75" customHeight="1">
      <c r="A93" s="15">
        <f>Main!A93</f>
        <v>92</v>
      </c>
      <c r="B93" s="15" t="str">
        <f>Main!B93</f>
        <v>Donald Trump will recieve at least 1 vote in the selection of the Speaker of the US house of Representatives (Congress)</v>
      </c>
      <c r="C93" s="15" t="str">
        <f>Main!C93</f>
        <v>World Politics</v>
      </c>
      <c r="D93" s="15">
        <v>0.3</v>
      </c>
      <c r="F93" s="99">
        <f>$D93-vlookup(Summary!$C93,Summary!$C$2:$Q$103,3+counta($F$1:F$1),false)</f>
        <v>0</v>
      </c>
      <c r="G93" s="99">
        <f>$D93-vlookup(Summary!$C93,Summary!$C$2:$Q$103,3+counta($F$1:G$1),false)</f>
        <v>0</v>
      </c>
      <c r="H93" s="99">
        <f>$D93-vlookup(Summary!$C93,Summary!$C$2:$Q$103,3+counta($F$1:H$1),false)</f>
        <v>-0.4</v>
      </c>
      <c r="I93" s="99">
        <f>$D93-vlookup(Summary!$C93,Summary!$C$2:$Q$103,3+counta($F$1:I$1),false)</f>
        <v>0.2</v>
      </c>
      <c r="J93" s="99">
        <f>$D93-vlookup(Summary!$C93,Summary!$C$2:$Q$103,3+counta($F$1:J$1),false)</f>
        <v>-0.6</v>
      </c>
      <c r="K93" s="99">
        <f>$D93-vlookup(Summary!$C93,Summary!$C$2:$Q$103,3+counta($F$1:K$1),false)</f>
        <v>-0.05</v>
      </c>
      <c r="L93" s="99">
        <f>$D93-vlookup(Summary!$C93,Summary!$C$2:$Q$103,3+counta($F$1:L$1),false)</f>
        <v>-0.4</v>
      </c>
      <c r="M93" s="99">
        <f>$D93-vlookup(Summary!$C93,Summary!$C$2:$Q$103,3+counta($F$1:M$1),false)</f>
        <v>-0.4</v>
      </c>
      <c r="N93" s="99">
        <f>$D93-vlookup(Summary!$C93,Summary!$C$2:$Q$103,3+counta($F$1:N$1),false)</f>
        <v>-0.6</v>
      </c>
      <c r="O93" s="99">
        <f>$D93-vlookup(Summary!$C93,Summary!$C$2:$Q$103,3+counta($F$1:O$1),false)</f>
        <v>-0.35</v>
      </c>
      <c r="P93" s="99">
        <f>$D93-vlookup(Summary!$C93,Summary!$C$2:$Q$103,3+counta($F$1:P$1),false)</f>
        <v>0.2</v>
      </c>
      <c r="Q93" s="99">
        <f>$D93-vlookup(Summary!$C93,Summary!$C$2:$Q$103,3+counta($F$1:Q$1),false)</f>
        <v>-0.2</v>
      </c>
    </row>
    <row r="94" ht="15.75" customHeight="1">
      <c r="A94" s="15">
        <f>Main!A94</f>
        <v>93</v>
      </c>
      <c r="B94" s="15" t="str">
        <f>Main!B94</f>
        <v>Donald Trump will release a book in 2022</v>
      </c>
      <c r="C94" s="15" t="str">
        <f>Main!C94</f>
        <v>World Politics</v>
      </c>
      <c r="D94" s="15">
        <v>0.55</v>
      </c>
      <c r="F94" s="99">
        <f>$D94-vlookup(Summary!$C94,Summary!$C$2:$Q$103,3+counta($F$1:F$1),false)</f>
        <v>0</v>
      </c>
      <c r="G94" s="99">
        <f>$D94-vlookup(Summary!$C94,Summary!$C$2:$Q$103,3+counta($F$1:G$1),false)</f>
        <v>-0.15</v>
      </c>
      <c r="H94" s="99">
        <f>$D94-vlookup(Summary!$C94,Summary!$C$2:$Q$103,3+counta($F$1:H$1),false)</f>
        <v>-0.25</v>
      </c>
      <c r="I94" s="99">
        <f>$D94-vlookup(Summary!$C94,Summary!$C$2:$Q$103,3+counta($F$1:I$1),false)</f>
        <v>0.35</v>
      </c>
      <c r="J94" s="99">
        <f>$D94-vlookup(Summary!$C94,Summary!$C$2:$Q$103,3+counta($F$1:J$1),false)</f>
        <v>-0.35</v>
      </c>
      <c r="K94" s="99">
        <f>$D94-vlookup(Summary!$C94,Summary!$C$2:$Q$103,3+counta($F$1:K$1),false)</f>
        <v>-0.25</v>
      </c>
      <c r="L94" s="99">
        <f>$D94-vlookup(Summary!$C94,Summary!$C$2:$Q$103,3+counta($F$1:L$1),false)</f>
        <v>0</v>
      </c>
      <c r="M94" s="99">
        <f>$D94-vlookup(Summary!$C94,Summary!$C$2:$Q$103,3+counta($F$1:M$1),false)</f>
        <v>-0.25</v>
      </c>
      <c r="N94" s="99">
        <f>$D94-vlookup(Summary!$C94,Summary!$C$2:$Q$103,3+counta($F$1:N$1),false)</f>
        <v>-0.35</v>
      </c>
      <c r="O94" s="99">
        <f>$D94-vlookup(Summary!$C94,Summary!$C$2:$Q$103,3+counta($F$1:O$1),false)</f>
        <v>0.4</v>
      </c>
      <c r="P94" s="99">
        <f>$D94-vlookup(Summary!$C94,Summary!$C$2:$Q$103,3+counta($F$1:P$1),false)</f>
        <v>0.05</v>
      </c>
      <c r="Q94" s="99">
        <f>$D94-vlookup(Summary!$C94,Summary!$C$2:$Q$103,3+counta($F$1:Q$1),false)</f>
        <v>0</v>
      </c>
    </row>
    <row r="95" ht="15.75" customHeight="1">
      <c r="A95" s="15">
        <f>Main!A95</f>
        <v>94</v>
      </c>
      <c r="B95" s="15" t="str">
        <f>Main!B95</f>
        <v>Trump will announce he will contest the Republican presidential candidacy and launch an NFT</v>
      </c>
      <c r="C95" s="15" t="str">
        <f>Main!C95</f>
        <v>World Politics</v>
      </c>
      <c r="D95" s="15">
        <v>0.3</v>
      </c>
      <c r="F95" s="99">
        <f>$D95-vlookup(Summary!$C95,Summary!$C$2:$Q$103,3+counta($F$1:F$1),false)</f>
        <v>0</v>
      </c>
      <c r="G95" s="99">
        <f>$D95-vlookup(Summary!$C95,Summary!$C$2:$Q$103,3+counta($F$1:G$1),false)</f>
        <v>-0.1</v>
      </c>
      <c r="H95" s="99">
        <f>$D95-vlookup(Summary!$C95,Summary!$C$2:$Q$103,3+counta($F$1:H$1),false)</f>
        <v>-0.4</v>
      </c>
      <c r="I95" s="99">
        <f>$D95-vlookup(Summary!$C95,Summary!$C$2:$Q$103,3+counta($F$1:I$1),false)</f>
        <v>0.25</v>
      </c>
      <c r="J95" s="99">
        <f>$D95-vlookup(Summary!$C95,Summary!$C$2:$Q$103,3+counta($F$1:J$1),false)</f>
        <v>-0.3</v>
      </c>
      <c r="K95" s="99">
        <f>$D95-vlookup(Summary!$C95,Summary!$C$2:$Q$103,3+counta($F$1:K$1),false)</f>
        <v>-0.6</v>
      </c>
      <c r="L95" s="99">
        <f>$D95-vlookup(Summary!$C95,Summary!$C$2:$Q$103,3+counta($F$1:L$1),false)</f>
        <v>-0.2</v>
      </c>
      <c r="M95" s="99">
        <f>$D95-vlookup(Summary!$C95,Summary!$C$2:$Q$103,3+counta($F$1:M$1),false)</f>
        <v>-0.4</v>
      </c>
      <c r="N95" s="99">
        <f>$D95-vlookup(Summary!$C95,Summary!$C$2:$Q$103,3+counta($F$1:N$1),false)</f>
        <v>0.1</v>
      </c>
      <c r="O95" s="99">
        <f>$D95-vlookup(Summary!$C95,Summary!$C$2:$Q$103,3+counta($F$1:O$1),false)</f>
        <v>0.299</v>
      </c>
      <c r="P95" s="99">
        <f>$D95-vlookup(Summary!$C95,Summary!$C$2:$Q$103,3+counta($F$1:P$1),false)</f>
        <v>-0.2</v>
      </c>
      <c r="Q95" s="99">
        <f>$D95-vlookup(Summary!$C95,Summary!$C$2:$Q$103,3+counta($F$1:Q$1),false)</f>
        <v>0.2</v>
      </c>
    </row>
    <row r="96" ht="15.75" customHeight="1">
      <c r="A96" s="15">
        <f>Main!A96</f>
        <v>95</v>
      </c>
      <c r="B96" s="15" t="str">
        <f>Main!B96</f>
        <v>China will invade Taiwan</v>
      </c>
      <c r="C96" s="15" t="str">
        <f>Main!C96</f>
        <v>World Politics</v>
      </c>
      <c r="D96" s="15">
        <v>0.35</v>
      </c>
      <c r="F96" s="99">
        <f>$D96-vlookup(Summary!$C96,Summary!$C$2:$Q$103,3+counta($F$1:F$1),false)</f>
        <v>0</v>
      </c>
      <c r="G96" s="99">
        <f>$D96-vlookup(Summary!$C96,Summary!$C$2:$Q$103,3+counta($F$1:G$1),false)</f>
        <v>0.15</v>
      </c>
      <c r="H96" s="99">
        <f>$D96-vlookup(Summary!$C96,Summary!$C$2:$Q$103,3+counta($F$1:H$1),false)</f>
        <v>-0.35</v>
      </c>
      <c r="I96" s="99">
        <f>$D96-vlookup(Summary!$C96,Summary!$C$2:$Q$103,3+counta($F$1:I$1),false)</f>
        <v>-0.25</v>
      </c>
      <c r="J96" s="99">
        <f>$D96-vlookup(Summary!$C96,Summary!$C$2:$Q$103,3+counta($F$1:J$1),false)</f>
        <v>-0.35</v>
      </c>
      <c r="K96" s="99">
        <f>$D96-vlookup(Summary!$C96,Summary!$C$2:$Q$103,3+counta($F$1:K$1),false)</f>
        <v>-0.05</v>
      </c>
      <c r="L96" s="99">
        <f>$D96-vlookup(Summary!$C96,Summary!$C$2:$Q$103,3+counta($F$1:L$1),false)</f>
        <v>0.3</v>
      </c>
      <c r="M96" s="99">
        <f>$D96-vlookup(Summary!$C96,Summary!$C$2:$Q$103,3+counta($F$1:M$1),false)</f>
        <v>-0.35</v>
      </c>
      <c r="N96" s="99">
        <f>$D96-vlookup(Summary!$C96,Summary!$C$2:$Q$103,3+counta($F$1:N$1),false)</f>
        <v>0.15</v>
      </c>
      <c r="O96" s="99">
        <f>$D96-vlookup(Summary!$C96,Summary!$C$2:$Q$103,3+counta($F$1:O$1),false)</f>
        <v>0.349</v>
      </c>
      <c r="P96" s="99">
        <f>$D96-vlookup(Summary!$C96,Summary!$C$2:$Q$103,3+counta($F$1:P$1),false)</f>
        <v>0.25</v>
      </c>
      <c r="Q96" s="99">
        <f>$D96-vlookup(Summary!$C96,Summary!$C$2:$Q$103,3+counta($F$1:Q$1),false)</f>
        <v>-0.15</v>
      </c>
    </row>
    <row r="97" ht="15.75" customHeight="1">
      <c r="A97" s="15">
        <f>Main!A97</f>
        <v>96</v>
      </c>
      <c r="B97" s="15" t="str">
        <f>Main!B97</f>
        <v>A nuclear weapon will be detonated for any purpose (including a test) somewhere on earth or in space</v>
      </c>
      <c r="C97" s="15" t="str">
        <f>Main!C97</f>
        <v>World Politics</v>
      </c>
      <c r="D97" s="15">
        <v>0.1</v>
      </c>
      <c r="F97" s="99">
        <f>$D97-vlookup(Summary!$C97,Summary!$C$2:$Q$103,3+counta($F$1:F$1),false)</f>
        <v>0</v>
      </c>
      <c r="G97" s="99">
        <f>$D97-vlookup(Summary!$C97,Summary!$C$2:$Q$103,3+counta($F$1:G$1),false)</f>
        <v>-0.3</v>
      </c>
      <c r="H97" s="99">
        <f>$D97-vlookup(Summary!$C97,Summary!$C$2:$Q$103,3+counta($F$1:H$1),false)</f>
        <v>0</v>
      </c>
      <c r="I97" s="99">
        <f>$D97-vlookup(Summary!$C97,Summary!$C$2:$Q$103,3+counta($F$1:I$1),false)</f>
        <v>-0.1</v>
      </c>
      <c r="J97" s="99">
        <f>$D97-vlookup(Summary!$C97,Summary!$C$2:$Q$103,3+counta($F$1:J$1),false)</f>
        <v>-0.7</v>
      </c>
      <c r="K97" s="99">
        <f>$D97-vlookup(Summary!$C97,Summary!$C$2:$Q$103,3+counta($F$1:K$1),false)</f>
        <v>-0.6</v>
      </c>
      <c r="L97" s="99">
        <f>$D97-vlookup(Summary!$C97,Summary!$C$2:$Q$103,3+counta($F$1:L$1),false)</f>
        <v>-0.2</v>
      </c>
      <c r="M97" s="99">
        <f>$D97-vlookup(Summary!$C97,Summary!$C$2:$Q$103,3+counta($F$1:M$1),false)</f>
        <v>0</v>
      </c>
      <c r="N97" s="99">
        <f>$D97-vlookup(Summary!$C97,Summary!$C$2:$Q$103,3+counta($F$1:N$1),false)</f>
        <v>0</v>
      </c>
      <c r="O97" s="99">
        <f>$D97-vlookup(Summary!$C97,Summary!$C$2:$Q$103,3+counta($F$1:O$1),false)</f>
        <v>-0.05</v>
      </c>
      <c r="P97" s="99">
        <f>$D97-vlookup(Summary!$C97,Summary!$C$2:$Q$103,3+counta($F$1:P$1),false)</f>
        <v>-0.4</v>
      </c>
      <c r="Q97" s="99">
        <f>$D97-vlookup(Summary!$C97,Summary!$C$2:$Q$103,3+counta($F$1:Q$1),false)</f>
        <v>-0.5</v>
      </c>
    </row>
    <row r="98" ht="15.75" customHeight="1">
      <c r="A98" s="15">
        <f>Main!A98</f>
        <v>97</v>
      </c>
      <c r="B98" s="15" t="str">
        <f>Main!B98</f>
        <v>Iran will announce it has produced a nuclear weapon</v>
      </c>
      <c r="C98" s="15" t="str">
        <f>Main!C98</f>
        <v>World Politics</v>
      </c>
      <c r="D98" s="15">
        <v>0.45</v>
      </c>
      <c r="F98" s="99">
        <f>$D98-vlookup(Summary!$C98,Summary!$C$2:$Q$103,3+counta($F$1:F$1),false)</f>
        <v>0</v>
      </c>
      <c r="G98" s="99">
        <f>$D98-vlookup(Summary!$C98,Summary!$C$2:$Q$103,3+counta($F$1:G$1),false)</f>
        <v>0.15</v>
      </c>
      <c r="H98" s="99">
        <f>$D98-vlookup(Summary!$C98,Summary!$C$2:$Q$103,3+counta($F$1:H$1),false)</f>
        <v>0.35</v>
      </c>
      <c r="I98" s="99">
        <f>$D98-vlookup(Summary!$C98,Summary!$C$2:$Q$103,3+counta($F$1:I$1),false)</f>
        <v>0.25</v>
      </c>
      <c r="J98" s="99">
        <f>$D98-vlookup(Summary!$C98,Summary!$C$2:$Q$103,3+counta($F$1:J$1),false)</f>
        <v>-0.15</v>
      </c>
      <c r="K98" s="99">
        <f>$D98-vlookup(Summary!$C98,Summary!$C$2:$Q$103,3+counta($F$1:K$1),false)</f>
        <v>-0.25</v>
      </c>
      <c r="L98" s="99">
        <f>$D98-vlookup(Summary!$C98,Summary!$C$2:$Q$103,3+counta($F$1:L$1),false)</f>
        <v>0.15</v>
      </c>
      <c r="M98" s="99">
        <f>$D98-vlookup(Summary!$C98,Summary!$C$2:$Q$103,3+counta($F$1:M$1),false)</f>
        <v>0.35</v>
      </c>
      <c r="N98" s="99">
        <f>$D98-vlookup(Summary!$C98,Summary!$C$2:$Q$103,3+counta($F$1:N$1),false)</f>
        <v>0.35</v>
      </c>
      <c r="O98" s="99">
        <f>$D98-vlookup(Summary!$C98,Summary!$C$2:$Q$103,3+counta($F$1:O$1),false)</f>
        <v>0.3</v>
      </c>
      <c r="P98" s="99">
        <f>$D98-vlookup(Summary!$C98,Summary!$C$2:$Q$103,3+counta($F$1:P$1),false)</f>
        <v>-0.05</v>
      </c>
      <c r="Q98" s="99">
        <f>$D98-vlookup(Summary!$C98,Summary!$C$2:$Q$103,3+counta($F$1:Q$1),false)</f>
        <v>-0.15</v>
      </c>
    </row>
    <row r="99" ht="15.75" customHeight="1">
      <c r="A99" s="15">
        <f>Main!A99</f>
        <v>98</v>
      </c>
      <c r="B99" s="15" t="str">
        <f>Main!B99</f>
        <v>One or more of the G12 member countries will have diplomatically recognised Taiwan</v>
      </c>
      <c r="C99" s="15" t="str">
        <f>Main!C99</f>
        <v>World Politics</v>
      </c>
      <c r="D99" s="15">
        <v>0.15</v>
      </c>
      <c r="F99" s="99">
        <f>$D99-vlookup(Summary!$C99,Summary!$C$2:$Q$103,3+counta($F$1:F$1),false)</f>
        <v>0</v>
      </c>
      <c r="G99" s="99">
        <f>$D99-vlookup(Summary!$C99,Summary!$C$2:$Q$103,3+counta($F$1:G$1),false)</f>
        <v>-0.05</v>
      </c>
      <c r="H99" s="99">
        <f>$D99-vlookup(Summary!$C99,Summary!$C$2:$Q$103,3+counta($F$1:H$1),false)</f>
        <v>0.05</v>
      </c>
      <c r="I99" s="99">
        <f>$D99-vlookup(Summary!$C99,Summary!$C$2:$Q$103,3+counta($F$1:I$1),false)</f>
        <v>-0.05</v>
      </c>
      <c r="J99" s="99">
        <f>$D99-vlookup(Summary!$C99,Summary!$C$2:$Q$103,3+counta($F$1:J$1),false)</f>
        <v>-0.25</v>
      </c>
      <c r="K99" s="99">
        <f>$D99-vlookup(Summary!$C99,Summary!$C$2:$Q$103,3+counta($F$1:K$1),false)</f>
        <v>-0.6</v>
      </c>
      <c r="L99" s="99">
        <f>$D99-vlookup(Summary!$C99,Summary!$C$2:$Q$103,3+counta($F$1:L$1),false)</f>
        <v>-0.15</v>
      </c>
      <c r="M99" s="99">
        <f>$D99-vlookup(Summary!$C99,Summary!$C$2:$Q$103,3+counta($F$1:M$1),false)</f>
        <v>0.05</v>
      </c>
      <c r="N99" s="99">
        <f>$D99-vlookup(Summary!$C99,Summary!$C$2:$Q$103,3+counta($F$1:N$1),false)</f>
        <v>-0.45</v>
      </c>
      <c r="O99" s="99">
        <f>$D99-vlookup(Summary!$C99,Summary!$C$2:$Q$103,3+counta($F$1:O$1),false)</f>
        <v>0</v>
      </c>
      <c r="P99" s="99">
        <f>$D99-vlookup(Summary!$C99,Summary!$C$2:$Q$103,3+counta($F$1:P$1),false)</f>
        <v>-0.35</v>
      </c>
      <c r="Q99" s="99">
        <f>$D99-vlookup(Summary!$C99,Summary!$C$2:$Q$103,3+counta($F$1:Q$1),false)</f>
        <v>-0.45</v>
      </c>
    </row>
    <row r="100" ht="15.75" customHeight="1">
      <c r="A100" s="15">
        <f>Main!A100</f>
        <v>99</v>
      </c>
      <c r="B100" s="15" t="str">
        <f>Main!B100</f>
        <v>Russia will have invaded Ukraine (as reported by CNN, BBC, Guardian or NYT)</v>
      </c>
      <c r="C100" s="15" t="str">
        <f>Main!C100</f>
        <v>World Politics</v>
      </c>
      <c r="D100" s="15">
        <v>0.6</v>
      </c>
      <c r="F100" s="99">
        <f>$D100-vlookup(Summary!$C100,Summary!$C$2:$Q$103,3+counta($F$1:F$1),false)</f>
        <v>0</v>
      </c>
      <c r="G100" s="99">
        <f>$D100-vlookup(Summary!$C100,Summary!$C$2:$Q$103,3+counta($F$1:G$1),false)</f>
        <v>0.2</v>
      </c>
      <c r="H100" s="99">
        <f>$D100-vlookup(Summary!$C100,Summary!$C$2:$Q$103,3+counta($F$1:H$1),false)</f>
        <v>-0.35</v>
      </c>
      <c r="I100" s="99">
        <f>$D100-vlookup(Summary!$C100,Summary!$C$2:$Q$103,3+counta($F$1:I$1),false)</f>
        <v>-0.2</v>
      </c>
      <c r="J100" s="99">
        <f>$D100-vlookup(Summary!$C100,Summary!$C$2:$Q$103,3+counta($F$1:J$1),false)</f>
        <v>-0.2</v>
      </c>
      <c r="K100" s="99">
        <f>$D100-vlookup(Summary!$C100,Summary!$C$2:$Q$103,3+counta($F$1:K$1),false)</f>
        <v>-0.1</v>
      </c>
      <c r="L100" s="99">
        <f>$D100-vlookup(Summary!$C100,Summary!$C$2:$Q$103,3+counta($F$1:L$1),false)</f>
        <v>-0.2</v>
      </c>
      <c r="M100" s="99">
        <f>$D100-vlookup(Summary!$C100,Summary!$C$2:$Q$103,3+counta($F$1:M$1),false)</f>
        <v>-0.35</v>
      </c>
      <c r="N100" s="99">
        <f>$D100-vlookup(Summary!$C100,Summary!$C$2:$Q$103,3+counta($F$1:N$1),false)</f>
        <v>-0.1</v>
      </c>
      <c r="O100" s="99">
        <f>$D100-vlookup(Summary!$C100,Summary!$C$2:$Q$103,3+counta($F$1:O$1),false)</f>
        <v>-0.05</v>
      </c>
      <c r="P100" s="99">
        <f>$D100-vlookup(Summary!$C100,Summary!$C$2:$Q$103,3+counta($F$1:P$1),false)</f>
        <v>0.5</v>
      </c>
      <c r="Q100" s="99">
        <f>$D100-vlookup(Summary!$C100,Summary!$C$2:$Q$103,3+counta($F$1:Q$1),false)</f>
        <v>0</v>
      </c>
    </row>
    <row r="101" ht="15.75" customHeight="1">
      <c r="A101" s="15">
        <f>Main!A101</f>
        <v>100</v>
      </c>
      <c r="B101" s="15" t="str">
        <f>Main!B101</f>
        <v>The US will have gone to battle with China or Russia ( nuclear battle acceptable) agreed upon by at least half the people attending 2022 predictions</v>
      </c>
      <c r="C101" s="15" t="str">
        <f>Main!C101</f>
        <v>World Politics</v>
      </c>
      <c r="D101" s="15">
        <v>0.3</v>
      </c>
      <c r="F101" s="99">
        <f>$D101-vlookup(Summary!$C101,Summary!$C$2:$Q$103,3+counta($F$1:F$1),false)</f>
        <v>0</v>
      </c>
      <c r="G101" s="99">
        <f>$D101-vlookup(Summary!$C101,Summary!$C$2:$Q$103,3+counta($F$1:G$1),false)</f>
        <v>0.2</v>
      </c>
      <c r="H101" s="99">
        <f>$D101-vlookup(Summary!$C101,Summary!$C$2:$Q$103,3+counta($F$1:H$1),false)</f>
        <v>0.2</v>
      </c>
      <c r="I101" s="99">
        <f>$D101-vlookup(Summary!$C101,Summary!$C$2:$Q$103,3+counta($F$1:I$1),false)</f>
        <v>0.2</v>
      </c>
      <c r="J101" s="99">
        <f>$D101-vlookup(Summary!$C101,Summary!$C$2:$Q$103,3+counta($F$1:J$1),false)</f>
        <v>-0.2</v>
      </c>
      <c r="K101" s="99">
        <f>$D101-vlookup(Summary!$C101,Summary!$C$2:$Q$103,3+counta($F$1:K$1),false)</f>
        <v>-0.3</v>
      </c>
      <c r="L101" s="99">
        <f>$D101-vlookup(Summary!$C101,Summary!$C$2:$Q$103,3+counta($F$1:L$1),false)</f>
        <v>0.2</v>
      </c>
      <c r="M101" s="99">
        <f>$D101-vlookup(Summary!$C101,Summary!$C$2:$Q$103,3+counta($F$1:M$1),false)</f>
        <v>0.2</v>
      </c>
      <c r="N101" s="99">
        <f>$D101-vlookup(Summary!$C101,Summary!$C$2:$Q$103,3+counta($F$1:N$1),false)</f>
        <v>0.1</v>
      </c>
      <c r="O101" s="99">
        <f>$D101-vlookup(Summary!$C101,Summary!$C$2:$Q$103,3+counta($F$1:O$1),false)</f>
        <v>0.299</v>
      </c>
      <c r="P101" s="99">
        <f>$D101-vlookup(Summary!$C101,Summary!$C$2:$Q$103,3+counta($F$1:P$1),false)</f>
        <v>0.2</v>
      </c>
      <c r="Q101" s="99">
        <f>$D101-vlookup(Summary!$C101,Summary!$C$2:$Q$103,3+counta($F$1:Q$1),false)</f>
        <v>0.1</v>
      </c>
    </row>
    <row r="102" ht="15.75" customHeight="1">
      <c r="A102" s="15">
        <f>Main!A102</f>
        <v>101</v>
      </c>
      <c r="B102" s="15" t="str">
        <f>Main!B102</f>
        <v>There is an assassination attempt on Xi Jinping as reported in The Guardian</v>
      </c>
      <c r="C102" s="15" t="str">
        <f>Main!C102</f>
        <v>World Politics</v>
      </c>
      <c r="D102" s="15">
        <v>0.15</v>
      </c>
      <c r="F102" s="99">
        <f>$D102-vlookup(Summary!$C102,Summary!$C$2:$Q$103,3+counta($F$1:F$1),false)</f>
        <v>0</v>
      </c>
      <c r="G102" s="99">
        <f>$D102-vlookup(Summary!$C102,Summary!$C$2:$Q$103,3+counta($F$1:G$1),false)</f>
        <v>-0.25</v>
      </c>
      <c r="H102" s="99">
        <f>$D102-vlookup(Summary!$C102,Summary!$C$2:$Q$103,3+counta($F$1:H$1),false)</f>
        <v>0.1</v>
      </c>
      <c r="I102" s="99">
        <f>$D102-vlookup(Summary!$C102,Summary!$C$2:$Q$103,3+counta($F$1:I$1),false)</f>
        <v>0.05</v>
      </c>
      <c r="J102" s="99">
        <f>$D102-vlookup(Summary!$C102,Summary!$C$2:$Q$103,3+counta($F$1:J$1),false)</f>
        <v>-0.15</v>
      </c>
      <c r="K102" s="99">
        <f>$D102-vlookup(Summary!$C102,Summary!$C$2:$Q$103,3+counta($F$1:K$1),false)</f>
        <v>-0.2</v>
      </c>
      <c r="L102" s="99">
        <f>$D102-vlookup(Summary!$C102,Summary!$C$2:$Q$103,3+counta($F$1:L$1),false)</f>
        <v>-0.35</v>
      </c>
      <c r="M102" s="99">
        <f>$D102-vlookup(Summary!$C102,Summary!$C$2:$Q$103,3+counta($F$1:M$1),false)</f>
        <v>0.1</v>
      </c>
      <c r="N102" s="99">
        <f>$D102-vlookup(Summary!$C102,Summary!$C$2:$Q$103,3+counta($F$1:N$1),false)</f>
        <v>0.05</v>
      </c>
      <c r="O102" s="99">
        <f>$D102-vlookup(Summary!$C102,Summary!$C$2:$Q$103,3+counta($F$1:O$1),false)</f>
        <v>0.149</v>
      </c>
      <c r="P102" s="99">
        <f>$D102-vlookup(Summary!$C102,Summary!$C$2:$Q$103,3+counta($F$1:P$1),false)</f>
        <v>0.05</v>
      </c>
      <c r="Q102" s="99">
        <f>$D102-vlookup(Summary!$C102,Summary!$C$2:$Q$103,3+counta($F$1:Q$1),false)</f>
        <v>-0.3</v>
      </c>
    </row>
    <row r="103" ht="15.75" customHeight="1">
      <c r="A103" s="15">
        <f>Main!A103</f>
        <v>102</v>
      </c>
      <c r="B103" s="15" t="str">
        <f>Main!B103</f>
        <v>Bolsanaro wins the next Brazilian elections</v>
      </c>
      <c r="C103" s="15" t="str">
        <f>Main!C103</f>
        <v>World Politics</v>
      </c>
      <c r="D103" s="15">
        <v>0.4</v>
      </c>
      <c r="F103" s="99">
        <f>$D103-vlookup(Summary!$C103,Summary!$C$2:$Q$103,3+counta($F$1:F$1),false)</f>
        <v>0</v>
      </c>
      <c r="G103" s="99">
        <f>$D103-vlookup(Summary!$C103,Summary!$C$2:$Q$103,3+counta($F$1:G$1),false)</f>
        <v>0.1</v>
      </c>
      <c r="H103" s="99">
        <f>$D103-vlookup(Summary!$C103,Summary!$C$2:$Q$103,3+counta($F$1:H$1),false)</f>
        <v>0</v>
      </c>
      <c r="I103" s="99">
        <f>$D103-vlookup(Summary!$C103,Summary!$C$2:$Q$103,3+counta($F$1:I$1),false)</f>
        <v>0</v>
      </c>
      <c r="J103" s="99">
        <f>$D103-vlookup(Summary!$C103,Summary!$C$2:$Q$103,3+counta($F$1:J$1),false)</f>
        <v>-0.4</v>
      </c>
      <c r="K103" s="99">
        <f>$D103-vlookup(Summary!$C103,Summary!$C$2:$Q$103,3+counta($F$1:K$1),false)</f>
        <v>-0.35</v>
      </c>
      <c r="L103" s="99">
        <f>$D103-vlookup(Summary!$C103,Summary!$C$2:$Q$103,3+counta($F$1:L$1),false)</f>
        <v>0.1</v>
      </c>
      <c r="M103" s="99">
        <f>$D103-vlookup(Summary!$C103,Summary!$C$2:$Q$103,3+counta($F$1:M$1),false)</f>
        <v>0</v>
      </c>
      <c r="N103" s="99">
        <f>$D103-vlookup(Summary!$C103,Summary!$C$2:$Q$103,3+counta($F$1:N$1),false)</f>
        <v>0.2</v>
      </c>
      <c r="O103" s="99">
        <f>$D103-vlookup(Summary!$C103,Summary!$C$2:$Q$103,3+counta($F$1:O$1),false)</f>
        <v>-0.25</v>
      </c>
      <c r="P103" s="99">
        <f>$D103-vlookup(Summary!$C103,Summary!$C$2:$Q$103,3+counta($F$1:P$1),false)</f>
        <v>0.3</v>
      </c>
      <c r="Q103" s="99">
        <f>$D103-vlookup(Summary!$C103,Summary!$C$2:$Q$103,3+counta($F$1:Q$1),false)</f>
        <v>-0.2</v>
      </c>
    </row>
    <row r="104" ht="15.75" customHeight="1">
      <c r="A104" s="15" t="str">
        <f>Main!A104</f>
        <v/>
      </c>
      <c r="B104" s="15" t="str">
        <f>Main!B104</f>
        <v/>
      </c>
      <c r="C104" s="15" t="str">
        <f>Main!C104</f>
        <v/>
      </c>
      <c r="E104" s="100" t="s">
        <v>197</v>
      </c>
      <c r="F104" s="101">
        <f t="shared" ref="F104:Q104" si="1">countif(F$2:F$103,"&gt;=0.5")+countif(F$2:F$103,"&lt;=-0.5")</f>
        <v>0</v>
      </c>
      <c r="G104" s="102">
        <f t="shared" si="1"/>
        <v>3</v>
      </c>
      <c r="H104" s="103">
        <f t="shared" si="1"/>
        <v>19</v>
      </c>
      <c r="I104" s="101">
        <f t="shared" si="1"/>
        <v>1</v>
      </c>
      <c r="J104" s="101">
        <f t="shared" si="1"/>
        <v>14</v>
      </c>
      <c r="K104" s="101">
        <f t="shared" si="1"/>
        <v>12</v>
      </c>
      <c r="L104" s="101">
        <f t="shared" si="1"/>
        <v>4</v>
      </c>
      <c r="M104" s="103">
        <f t="shared" si="1"/>
        <v>19</v>
      </c>
      <c r="N104" s="101">
        <f t="shared" si="1"/>
        <v>18</v>
      </c>
      <c r="O104" s="101">
        <f t="shared" si="1"/>
        <v>6</v>
      </c>
      <c r="P104" s="101">
        <f t="shared" si="1"/>
        <v>12</v>
      </c>
      <c r="Q104" s="101">
        <f t="shared" si="1"/>
        <v>9</v>
      </c>
    </row>
    <row r="105" ht="15.75" customHeight="1">
      <c r="A105" s="15" t="str">
        <f>Main!A105</f>
        <v/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14:B1000">
    <cfRule type="notContainsBlanks" dxfId="2" priority="1">
      <formula>LEN(TRIM(B114))&gt;0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137.88"/>
    <col customWidth="1" min="3" max="3" width="12.63"/>
    <col customWidth="1" min="4" max="4" width="19.75"/>
    <col customWidth="1" min="5" max="5" width="19.88"/>
    <col customWidth="1" min="6" max="7" width="12.63"/>
  </cols>
  <sheetData>
    <row r="1" ht="15.75" customHeight="1">
      <c r="A1" s="92" t="s">
        <v>4</v>
      </c>
      <c r="B1" s="92" t="s">
        <v>6</v>
      </c>
      <c r="C1" s="92" t="s">
        <v>5</v>
      </c>
      <c r="D1" s="92" t="s">
        <v>194</v>
      </c>
      <c r="E1" s="92" t="s">
        <v>195</v>
      </c>
      <c r="F1" s="8" t="s">
        <v>9</v>
      </c>
      <c r="G1" s="10" t="s">
        <v>21</v>
      </c>
      <c r="H1" s="8" t="s">
        <v>11</v>
      </c>
      <c r="I1" s="10" t="s">
        <v>12</v>
      </c>
      <c r="J1" s="8" t="s">
        <v>13</v>
      </c>
      <c r="K1" s="98" t="s">
        <v>196</v>
      </c>
      <c r="L1" s="8" t="s">
        <v>15</v>
      </c>
      <c r="M1" s="10" t="s">
        <v>16</v>
      </c>
      <c r="N1" s="8" t="s">
        <v>17</v>
      </c>
      <c r="O1" s="10" t="s">
        <v>18</v>
      </c>
      <c r="P1" s="8" t="s">
        <v>19</v>
      </c>
      <c r="Q1" s="10" t="s">
        <v>20</v>
      </c>
    </row>
    <row r="2" ht="15.75" customHeight="1">
      <c r="A2" s="15">
        <f>Main!A2</f>
        <v>1</v>
      </c>
      <c r="B2" s="15" t="str">
        <f>Main!B2</f>
        <v>That there will be a hung parliament at the next election and Labor will take office</v>
      </c>
      <c r="C2" s="15" t="str">
        <f>Main!C2</f>
        <v>Aus Politics</v>
      </c>
      <c r="D2" s="15">
        <v>0.7</v>
      </c>
      <c r="F2" s="99">
        <f>$D2-vlookup(Summary!$C2,Summary!$C$2:$Q$103,3+counta($F$1:F$1),false)</f>
        <v>0.3</v>
      </c>
      <c r="G2" s="99">
        <f>$D2-vlookup(Summary!$C2,Summary!$C$2:$Q$103,3+counta($F$1:G$1),false)</f>
        <v>0</v>
      </c>
      <c r="H2" s="99">
        <f>$D2-vlookup(Summary!$C2,Summary!$C$2:$Q$103,3+counta($F$1:H$1),false)</f>
        <v>0.6</v>
      </c>
      <c r="I2" s="99">
        <f>$D2-vlookup(Summary!$C2,Summary!$C$2:$Q$103,3+counta($F$1:I$1),false)</f>
        <v>0.5</v>
      </c>
      <c r="J2" s="99">
        <f>$D2-vlookup(Summary!$C2,Summary!$C$2:$Q$103,3+counta($F$1:J$1),false)</f>
        <v>0.2</v>
      </c>
      <c r="K2" s="99">
        <f>$D2-vlookup(Summary!$C2,Summary!$C$2:$Q$103,3+counta($F$1:K$1),false)</f>
        <v>0.05</v>
      </c>
      <c r="L2" s="99">
        <f>$D2-vlookup(Summary!$C2,Summary!$C$2:$Q$103,3+counta($F$1:L$1),false)</f>
        <v>0.5</v>
      </c>
      <c r="M2" s="99">
        <f>$D2-vlookup(Summary!$C2,Summary!$C$2:$Q$103,3+counta($F$1:M$1),false)</f>
        <v>0.6</v>
      </c>
      <c r="N2" s="99">
        <f>$D2-vlookup(Summary!$C2,Summary!$C$2:$Q$103,3+counta($F$1:N$1),false)</f>
        <v>-0.1</v>
      </c>
      <c r="O2" s="99">
        <f>$D2-vlookup(Summary!$C2,Summary!$C$2:$Q$103,3+counta($F$1:O$1),false)</f>
        <v>0.35</v>
      </c>
      <c r="P2" s="99">
        <f>$D2-vlookup(Summary!$C2,Summary!$C$2:$Q$103,3+counta($F$1:P$1),false)</f>
        <v>0.6</v>
      </c>
      <c r="Q2" s="99">
        <f>$D2-vlookup(Summary!$C2,Summary!$C$2:$Q$103,3+counta($F$1:Q$1),false)</f>
        <v>0.25</v>
      </c>
    </row>
    <row r="3" ht="15.75" customHeight="1">
      <c r="A3" s="15">
        <f>Main!A3</f>
        <v>2</v>
      </c>
      <c r="B3" s="15" t="str">
        <f>Main!B3</f>
        <v>Dan Andrews will become leader of the Australian Labor Party</v>
      </c>
      <c r="C3" s="15" t="str">
        <f>Main!C3</f>
        <v>Aus Politics</v>
      </c>
      <c r="D3" s="15">
        <v>0.1</v>
      </c>
      <c r="F3" s="99">
        <f>$D3-vlookup(Summary!$C3,Summary!$C$2:$Q$103,3+counta($F$1:F$1),false)</f>
        <v>-0.1</v>
      </c>
      <c r="G3" s="99">
        <f>$D3-vlookup(Summary!$C3,Summary!$C$2:$Q$103,3+counta($F$1:G$1),false)</f>
        <v>0</v>
      </c>
      <c r="H3" s="99">
        <f>$D3-vlookup(Summary!$C3,Summary!$C$2:$Q$103,3+counta($F$1:H$1),false)</f>
        <v>0.05</v>
      </c>
      <c r="I3" s="99">
        <f>$D3-vlookup(Summary!$C3,Summary!$C$2:$Q$103,3+counta($F$1:I$1),false)</f>
        <v>-0.1</v>
      </c>
      <c r="J3" s="99">
        <f>$D3-vlookup(Summary!$C3,Summary!$C$2:$Q$103,3+counta($F$1:J$1),false)</f>
        <v>0</v>
      </c>
      <c r="K3" s="99">
        <f>$D3-vlookup(Summary!$C3,Summary!$C$2:$Q$103,3+counta($F$1:K$1),false)</f>
        <v>0.1</v>
      </c>
      <c r="L3" s="99">
        <f>$D3-vlookup(Summary!$C3,Summary!$C$2:$Q$103,3+counta($F$1:L$1),false)</f>
        <v>0.099</v>
      </c>
      <c r="M3" s="99">
        <f>$D3-vlookup(Summary!$C3,Summary!$C$2:$Q$103,3+counta($F$1:M$1),false)</f>
        <v>0.05</v>
      </c>
      <c r="N3" s="99">
        <f>$D3-vlookup(Summary!$C3,Summary!$C$2:$Q$103,3+counta($F$1:N$1),false)</f>
        <v>0</v>
      </c>
      <c r="O3" s="99">
        <f>$D3-vlookup(Summary!$C3,Summary!$C$2:$Q$103,3+counta($F$1:O$1),false)</f>
        <v>0.099</v>
      </c>
      <c r="P3" s="99">
        <f>$D3-vlookup(Summary!$C3,Summary!$C$2:$Q$103,3+counta($F$1:P$1),false)</f>
        <v>0</v>
      </c>
      <c r="Q3" s="99">
        <f>$D3-vlookup(Summary!$C3,Summary!$C$2:$Q$103,3+counta($F$1:Q$1),false)</f>
        <v>0.09</v>
      </c>
    </row>
    <row r="4" ht="15.75" customHeight="1">
      <c r="A4" s="15">
        <f>Main!A4</f>
        <v>3</v>
      </c>
      <c r="B4" s="15" t="str">
        <f>Main!B4</f>
        <v>The Greens will get more than 9 senators in the next federal election</v>
      </c>
      <c r="C4" s="15" t="str">
        <f>Main!C4</f>
        <v>Aus Politics</v>
      </c>
      <c r="D4" s="15">
        <v>0.3</v>
      </c>
      <c r="F4" s="99">
        <f>$D4-vlookup(Summary!$C4,Summary!$C$2:$Q$103,3+counta($F$1:F$1),false)</f>
        <v>-0.3</v>
      </c>
      <c r="G4" s="99">
        <f>$D4-vlookup(Summary!$C4,Summary!$C$2:$Q$103,3+counta($F$1:G$1),false)</f>
        <v>0</v>
      </c>
      <c r="H4" s="99">
        <f>$D4-vlookup(Summary!$C4,Summary!$C$2:$Q$103,3+counta($F$1:H$1),false)</f>
        <v>0.2</v>
      </c>
      <c r="I4" s="99">
        <f>$D4-vlookup(Summary!$C4,Summary!$C$2:$Q$103,3+counta($F$1:I$1),false)</f>
        <v>-0.3</v>
      </c>
      <c r="J4" s="99">
        <f>$D4-vlookup(Summary!$C4,Summary!$C$2:$Q$103,3+counta($F$1:J$1),false)</f>
        <v>-0.4</v>
      </c>
      <c r="K4" s="99">
        <f>$D4-vlookup(Summary!$C4,Summary!$C$2:$Q$103,3+counta($F$1:K$1),false)</f>
        <v>-0.3</v>
      </c>
      <c r="L4" s="99">
        <f>$D4-vlookup(Summary!$C4,Summary!$C$2:$Q$103,3+counta($F$1:L$1),false)</f>
        <v>-0.4</v>
      </c>
      <c r="M4" s="99">
        <f>$D4-vlookup(Summary!$C4,Summary!$C$2:$Q$103,3+counta($F$1:M$1),false)</f>
        <v>0.2</v>
      </c>
      <c r="N4" s="99">
        <f>$D4-vlookup(Summary!$C4,Summary!$C$2:$Q$103,3+counta($F$1:N$1),false)</f>
        <v>0.2</v>
      </c>
      <c r="O4" s="99">
        <f>$D4-vlookup(Summary!$C4,Summary!$C$2:$Q$103,3+counta($F$1:O$1),false)</f>
        <v>-0.2</v>
      </c>
      <c r="P4" s="99">
        <f>$D4-vlookup(Summary!$C4,Summary!$C$2:$Q$103,3+counta($F$1:P$1),false)</f>
        <v>-0.2</v>
      </c>
      <c r="Q4" s="99">
        <f>$D4-vlookup(Summary!$C4,Summary!$C$2:$Q$103,3+counta($F$1:Q$1),false)</f>
        <v>-0.25</v>
      </c>
    </row>
    <row r="5" ht="15.75" customHeight="1">
      <c r="A5" s="15">
        <f>Main!A5</f>
        <v>4</v>
      </c>
      <c r="B5" s="15" t="str">
        <f>Main!B5</f>
        <v>The House of Reps will include 5 independents by the end of the federal election</v>
      </c>
      <c r="C5" s="15" t="str">
        <f>Main!C5</f>
        <v>Aus Politics</v>
      </c>
      <c r="D5" s="15">
        <v>0.3</v>
      </c>
      <c r="F5" s="99">
        <f>$D5-vlookup(Summary!$C5,Summary!$C$2:$Q$103,3+counta($F$1:F$1),false)</f>
        <v>-0.4</v>
      </c>
      <c r="G5" s="99">
        <f>$D5-vlookup(Summary!$C5,Summary!$C$2:$Q$103,3+counta($F$1:G$1),false)</f>
        <v>0</v>
      </c>
      <c r="H5" s="99">
        <f>$D5-vlookup(Summary!$C5,Summary!$C$2:$Q$103,3+counta($F$1:H$1),false)</f>
        <v>0.2</v>
      </c>
      <c r="I5" s="99">
        <f>$D5-vlookup(Summary!$C5,Summary!$C$2:$Q$103,3+counta($F$1:I$1),false)</f>
        <v>-0.4</v>
      </c>
      <c r="J5" s="99">
        <f>$D5-vlookup(Summary!$C5,Summary!$C$2:$Q$103,3+counta($F$1:J$1),false)</f>
        <v>-0.6</v>
      </c>
      <c r="K5" s="99">
        <f>$D5-vlookup(Summary!$C5,Summary!$C$2:$Q$103,3+counta($F$1:K$1),false)</f>
        <v>-0.45</v>
      </c>
      <c r="L5" s="99">
        <f>$D5-vlookup(Summary!$C5,Summary!$C$2:$Q$103,3+counta($F$1:L$1),false)</f>
        <v>0.299</v>
      </c>
      <c r="M5" s="99">
        <f>$D5-vlookup(Summary!$C5,Summary!$C$2:$Q$103,3+counta($F$1:M$1),false)</f>
        <v>0.2</v>
      </c>
      <c r="N5" s="99">
        <f>$D5-vlookup(Summary!$C5,Summary!$C$2:$Q$103,3+counta($F$1:N$1),false)</f>
        <v>-0.6</v>
      </c>
      <c r="O5" s="99">
        <f>$D5-vlookup(Summary!$C5,Summary!$C$2:$Q$103,3+counta($F$1:O$1),false)</f>
        <v>-0.2</v>
      </c>
      <c r="P5" s="99">
        <f>$D5-vlookup(Summary!$C5,Summary!$C$2:$Q$103,3+counta($F$1:P$1),false)</f>
        <v>-0.5</v>
      </c>
      <c r="Q5" s="99">
        <f>$D5-vlookup(Summary!$C5,Summary!$C$2:$Q$103,3+counta($F$1:Q$1),false)</f>
        <v>-0.4</v>
      </c>
    </row>
    <row r="6" ht="15.75" customHeight="1">
      <c r="A6" s="15">
        <f>Main!A6</f>
        <v>5</v>
      </c>
      <c r="B6" s="15" t="str">
        <f>Main!B6</f>
        <v>The Australian Labor Party will not pledge to reverse the uni fee structure introduced in 2020</v>
      </c>
      <c r="C6" s="15" t="str">
        <f>Main!C6</f>
        <v>Aus Politics</v>
      </c>
      <c r="D6" s="15">
        <v>0.8</v>
      </c>
      <c r="F6" s="99">
        <f>$D6-vlookup(Summary!$C6,Summary!$C$2:$Q$103,3+counta($F$1:F$1),false)</f>
        <v>0.2</v>
      </c>
      <c r="G6" s="99">
        <f>$D6-vlookup(Summary!$C6,Summary!$C$2:$Q$103,3+counta($F$1:G$1),false)</f>
        <v>0</v>
      </c>
      <c r="H6" s="99">
        <f>$D6-vlookup(Summary!$C6,Summary!$C$2:$Q$103,3+counta($F$1:H$1),false)</f>
        <v>-0.1</v>
      </c>
      <c r="I6" s="99">
        <f>$D6-vlookup(Summary!$C6,Summary!$C$2:$Q$103,3+counta($F$1:I$1),false)</f>
        <v>0.1</v>
      </c>
      <c r="J6" s="99">
        <f>$D6-vlookup(Summary!$C6,Summary!$C$2:$Q$103,3+counta($F$1:J$1),false)</f>
        <v>0.3</v>
      </c>
      <c r="K6" s="99">
        <f>$D6-vlookup(Summary!$C6,Summary!$C$2:$Q$103,3+counta($F$1:K$1),false)</f>
        <v>-0.05</v>
      </c>
      <c r="L6" s="99">
        <f>$D6-vlookup(Summary!$C6,Summary!$C$2:$Q$103,3+counta($F$1:L$1),false)</f>
        <v>-0.1</v>
      </c>
      <c r="M6" s="99">
        <f>$D6-vlookup(Summary!$C6,Summary!$C$2:$Q$103,3+counta($F$1:M$1),false)</f>
        <v>-0.1</v>
      </c>
      <c r="N6" s="99">
        <f>$D6-vlookup(Summary!$C6,Summary!$C$2:$Q$103,3+counta($F$1:N$1),false)</f>
        <v>-0.1</v>
      </c>
      <c r="O6" s="99">
        <f>$D6-vlookup(Summary!$C6,Summary!$C$2:$Q$103,3+counta($F$1:O$1),false)</f>
        <v>-0.05</v>
      </c>
      <c r="P6" s="99">
        <f>$D6-vlookup(Summary!$C6,Summary!$C$2:$Q$103,3+counta($F$1:P$1),false)</f>
        <v>0</v>
      </c>
      <c r="Q6" s="99">
        <f>$D6-vlookup(Summary!$C6,Summary!$C$2:$Q$103,3+counta($F$1:Q$1),false)</f>
        <v>0.05</v>
      </c>
    </row>
    <row r="7" ht="15.75" customHeight="1">
      <c r="A7" s="15">
        <f>Main!A7</f>
        <v>6</v>
      </c>
      <c r="B7" s="15" t="str">
        <f>Main!B7</f>
        <v>Zali Steggal and Helen Haines will both retain their seats in Federal Parliament</v>
      </c>
      <c r="C7" s="15" t="str">
        <f>Main!C7</f>
        <v>Aus Politics</v>
      </c>
      <c r="D7" s="15">
        <v>0.9</v>
      </c>
      <c r="F7" s="99">
        <f>$D7-vlookup(Summary!$C7,Summary!$C$2:$Q$103,3+counta($F$1:F$1),false)</f>
        <v>0.4</v>
      </c>
      <c r="G7" s="99">
        <f>$D7-vlookup(Summary!$C7,Summary!$C$2:$Q$103,3+counta($F$1:G$1),false)</f>
        <v>0</v>
      </c>
      <c r="H7" s="99">
        <f>$D7-vlookup(Summary!$C7,Summary!$C$2:$Q$103,3+counta($F$1:H$1),false)</f>
        <v>0.4</v>
      </c>
      <c r="I7" s="99">
        <f>$D7-vlookup(Summary!$C7,Summary!$C$2:$Q$103,3+counta($F$1:I$1),false)</f>
        <v>0.2</v>
      </c>
      <c r="J7" s="99">
        <f>$D7-vlookup(Summary!$C7,Summary!$C$2:$Q$103,3+counta($F$1:J$1),false)</f>
        <v>0</v>
      </c>
      <c r="K7" s="99">
        <f>$D7-vlookup(Summary!$C7,Summary!$C$2:$Q$103,3+counta($F$1:K$1),false)</f>
        <v>-0.05</v>
      </c>
      <c r="L7" s="99">
        <f>$D7-vlookup(Summary!$C7,Summary!$C$2:$Q$103,3+counta($F$1:L$1),false)</f>
        <v>0.5</v>
      </c>
      <c r="M7" s="99">
        <f>$D7-vlookup(Summary!$C7,Summary!$C$2:$Q$103,3+counta($F$1:M$1),false)</f>
        <v>0.4</v>
      </c>
      <c r="N7" s="99">
        <f>$D7-vlookup(Summary!$C7,Summary!$C$2:$Q$103,3+counta($F$1:N$1),false)</f>
        <v>0</v>
      </c>
      <c r="O7" s="99">
        <f>$D7-vlookup(Summary!$C7,Summary!$C$2:$Q$103,3+counta($F$1:O$1),false)</f>
        <v>0.05</v>
      </c>
      <c r="P7" s="99">
        <f>$D7-vlookup(Summary!$C7,Summary!$C$2:$Q$103,3+counta($F$1:P$1),false)</f>
        <v>0</v>
      </c>
      <c r="Q7" s="99">
        <f>$D7-vlookup(Summary!$C7,Summary!$C$2:$Q$103,3+counta($F$1:Q$1),false)</f>
        <v>0.4</v>
      </c>
    </row>
    <row r="8" ht="15.75" customHeight="1">
      <c r="A8" s="15">
        <f>Main!A8</f>
        <v>7</v>
      </c>
      <c r="B8" s="15" t="str">
        <f>Main!B8</f>
        <v>Scott Morrison will lose leadership of the Liberal Party at least once</v>
      </c>
      <c r="C8" s="15" t="str">
        <f>Main!C8</f>
        <v>Aus Politics</v>
      </c>
      <c r="D8" s="15">
        <v>0.7</v>
      </c>
      <c r="F8" s="99">
        <f>$D8-vlookup(Summary!$C8,Summary!$C$2:$Q$103,3+counta($F$1:F$1),false)</f>
        <v>-0.1</v>
      </c>
      <c r="G8" s="99">
        <f>$D8-vlookup(Summary!$C8,Summary!$C$2:$Q$103,3+counta($F$1:G$1),false)</f>
        <v>0</v>
      </c>
      <c r="H8" s="99">
        <f>$D8-vlookup(Summary!$C8,Summary!$C$2:$Q$103,3+counta($F$1:H$1),false)</f>
        <v>0.55</v>
      </c>
      <c r="I8" s="99">
        <f>$D8-vlookup(Summary!$C8,Summary!$C$2:$Q$103,3+counta($F$1:I$1),false)</f>
        <v>0.4</v>
      </c>
      <c r="J8" s="99">
        <f>$D8-vlookup(Summary!$C8,Summary!$C$2:$Q$103,3+counta($F$1:J$1),false)</f>
        <v>0.1</v>
      </c>
      <c r="K8" s="99">
        <f>$D8-vlookup(Summary!$C8,Summary!$C$2:$Q$103,3+counta($F$1:K$1),false)</f>
        <v>-0.05</v>
      </c>
      <c r="L8" s="99">
        <f>$D8-vlookup(Summary!$C8,Summary!$C$2:$Q$103,3+counta($F$1:L$1),false)</f>
        <v>0.2</v>
      </c>
      <c r="M8" s="99">
        <f>$D8-vlookup(Summary!$C8,Summary!$C$2:$Q$103,3+counta($F$1:M$1),false)</f>
        <v>0.65</v>
      </c>
      <c r="N8" s="99">
        <f>$D8-vlookup(Summary!$C8,Summary!$C$2:$Q$103,3+counta($F$1:N$1),false)</f>
        <v>-0.2</v>
      </c>
      <c r="O8" s="99">
        <f>$D8-vlookup(Summary!$C8,Summary!$C$2:$Q$103,3+counta($F$1:O$1),false)</f>
        <v>0.35</v>
      </c>
      <c r="P8" s="99">
        <f>$D8-vlookup(Summary!$C8,Summary!$C$2:$Q$103,3+counta($F$1:P$1),false)</f>
        <v>0</v>
      </c>
      <c r="Q8" s="99">
        <f>$D8-vlookup(Summary!$C8,Summary!$C$2:$Q$103,3+counta($F$1:Q$1),false)</f>
        <v>-0.2</v>
      </c>
    </row>
    <row r="9" ht="15.75" customHeight="1">
      <c r="A9" s="15">
        <f>Main!A9</f>
        <v>8</v>
      </c>
      <c r="B9" s="15" t="str">
        <f>Main!B9</f>
        <v>Anthony Albanese will be Prime Minister on at least one day</v>
      </c>
      <c r="C9" s="15" t="str">
        <f>Main!C9</f>
        <v>Aus Politics</v>
      </c>
      <c r="D9" s="15">
        <v>0.9</v>
      </c>
      <c r="F9" s="99">
        <f>$D9-vlookup(Summary!$C9,Summary!$C$2:$Q$103,3+counta($F$1:F$1),false)</f>
        <v>0.3</v>
      </c>
      <c r="G9" s="99">
        <f>$D9-vlookup(Summary!$C9,Summary!$C$2:$Q$103,3+counta($F$1:G$1),false)</f>
        <v>0</v>
      </c>
      <c r="H9" s="99">
        <f>$D9-vlookup(Summary!$C9,Summary!$C$2:$Q$103,3+counta($F$1:H$1),false)</f>
        <v>0.85</v>
      </c>
      <c r="I9" s="99">
        <f>$D9-vlookup(Summary!$C9,Summary!$C$2:$Q$103,3+counta($F$1:I$1),false)</f>
        <v>0.6</v>
      </c>
      <c r="J9" s="99">
        <f>$D9-vlookup(Summary!$C9,Summary!$C$2:$Q$103,3+counta($F$1:J$1),false)</f>
        <v>0.8</v>
      </c>
      <c r="K9" s="99">
        <f>$D9-vlookup(Summary!$C9,Summary!$C$2:$Q$103,3+counta($F$1:K$1),false)</f>
        <v>0.15</v>
      </c>
      <c r="L9" s="99">
        <f>$D9-vlookup(Summary!$C9,Summary!$C$2:$Q$103,3+counta($F$1:L$1),false)</f>
        <v>0.6</v>
      </c>
      <c r="M9" s="99">
        <f>$D9-vlookup(Summary!$C9,Summary!$C$2:$Q$103,3+counta($F$1:M$1),false)</f>
        <v>0.85</v>
      </c>
      <c r="N9" s="99">
        <f>$D9-vlookup(Summary!$C9,Summary!$C$2:$Q$103,3+counta($F$1:N$1),false)</f>
        <v>0</v>
      </c>
      <c r="O9" s="99">
        <f>$D9-vlookup(Summary!$C9,Summary!$C$2:$Q$103,3+counta($F$1:O$1),false)</f>
        <v>0.55</v>
      </c>
      <c r="P9" s="99">
        <f>$D9-vlookup(Summary!$C9,Summary!$C$2:$Q$103,3+counta($F$1:P$1),false)</f>
        <v>0.1</v>
      </c>
      <c r="Q9" s="99">
        <f>$D9-vlookup(Summary!$C9,Summary!$C$2:$Q$103,3+counta($F$1:Q$1),false)</f>
        <v>0.5</v>
      </c>
    </row>
    <row r="10" ht="15.75" customHeight="1">
      <c r="A10" s="15">
        <f>Main!A10</f>
        <v>9</v>
      </c>
      <c r="B10" s="15" t="str">
        <f>Main!B10</f>
        <v>A sitting MP will make allegations of possible voter fraud or election 'rigging' in the 2022 Australian federal election</v>
      </c>
      <c r="C10" s="15" t="str">
        <f>Main!C10</f>
        <v>Aus Politics</v>
      </c>
      <c r="D10" s="15">
        <v>0.3</v>
      </c>
      <c r="F10" s="99">
        <f>$D10-vlookup(Summary!$C10,Summary!$C$2:$Q$103,3+counta($F$1:F$1),false)</f>
        <v>-0.25</v>
      </c>
      <c r="G10" s="99">
        <f>$D10-vlookup(Summary!$C10,Summary!$C$2:$Q$103,3+counta($F$1:G$1),false)</f>
        <v>0</v>
      </c>
      <c r="H10" s="99">
        <f>$D10-vlookup(Summary!$C10,Summary!$C$2:$Q$103,3+counta($F$1:H$1),false)</f>
        <v>0</v>
      </c>
      <c r="I10" s="99">
        <f>$D10-vlookup(Summary!$C10,Summary!$C$2:$Q$103,3+counta($F$1:I$1),false)</f>
        <v>-0.1</v>
      </c>
      <c r="J10" s="99">
        <f>$D10-vlookup(Summary!$C10,Summary!$C$2:$Q$103,3+counta($F$1:J$1),false)</f>
        <v>-0.6</v>
      </c>
      <c r="K10" s="99">
        <f>$D10-vlookup(Summary!$C10,Summary!$C$2:$Q$103,3+counta($F$1:K$1),false)</f>
        <v>-0.05</v>
      </c>
      <c r="L10" s="99">
        <f>$D10-vlookup(Summary!$C10,Summary!$C$2:$Q$103,3+counta($F$1:L$1),false)</f>
        <v>-0.6</v>
      </c>
      <c r="M10" s="99">
        <f>$D10-vlookup(Summary!$C10,Summary!$C$2:$Q$103,3+counta($F$1:M$1),false)</f>
        <v>0</v>
      </c>
      <c r="N10" s="99">
        <f>$D10-vlookup(Summary!$C10,Summary!$C$2:$Q$103,3+counta($F$1:N$1),false)</f>
        <v>-0.4</v>
      </c>
      <c r="O10" s="99">
        <f>$D10-vlookup(Summary!$C10,Summary!$C$2:$Q$103,3+counta($F$1:O$1),false)</f>
        <v>-0.55</v>
      </c>
      <c r="P10" s="99">
        <f>$D10-vlookup(Summary!$C10,Summary!$C$2:$Q$103,3+counta($F$1:P$1),false)</f>
        <v>-0.1</v>
      </c>
      <c r="Q10" s="99">
        <f>$D10-vlookup(Summary!$C10,Summary!$C$2:$Q$103,3+counta($F$1:Q$1),false)</f>
        <v>-0.5</v>
      </c>
    </row>
    <row r="11" ht="15.75" customHeight="1">
      <c r="A11" s="15">
        <f>Main!A11</f>
        <v>10</v>
      </c>
      <c r="B11" s="15" t="str">
        <f>Main!B11</f>
        <v>The Australian Intelligence Community will release a statement contradicting a Government minister or MP during the 2022 election campaign</v>
      </c>
      <c r="C11" s="15" t="str">
        <f>Main!C11</f>
        <v>Aus Politics</v>
      </c>
      <c r="D11" s="15">
        <v>0.2</v>
      </c>
      <c r="F11" s="99">
        <f>$D11-vlookup(Summary!$C11,Summary!$C$2:$Q$103,3+counta($F$1:F$1),false)</f>
        <v>-0.2</v>
      </c>
      <c r="G11" s="99">
        <f>$D11-vlookup(Summary!$C11,Summary!$C$2:$Q$103,3+counta($F$1:G$1),false)</f>
        <v>0</v>
      </c>
      <c r="H11" s="99">
        <f>$D11-vlookup(Summary!$C11,Summary!$C$2:$Q$103,3+counta($F$1:H$1),false)</f>
        <v>0.1</v>
      </c>
      <c r="I11" s="99">
        <f>$D11-vlookup(Summary!$C11,Summary!$C$2:$Q$103,3+counta($F$1:I$1),false)</f>
        <v>0</v>
      </c>
      <c r="J11" s="99">
        <f>$D11-vlookup(Summary!$C11,Summary!$C$2:$Q$103,3+counta($F$1:J$1),false)</f>
        <v>0.1</v>
      </c>
      <c r="K11" s="99">
        <f>$D11-vlookup(Summary!$C11,Summary!$C$2:$Q$103,3+counta($F$1:K$1),false)</f>
        <v>-0.35</v>
      </c>
      <c r="L11" s="99">
        <f>$D11-vlookup(Summary!$C11,Summary!$C$2:$Q$103,3+counta($F$1:L$1),false)</f>
        <v>0.05</v>
      </c>
      <c r="M11" s="99">
        <f>$D11-vlookup(Summary!$C11,Summary!$C$2:$Q$103,3+counta($F$1:M$1),false)</f>
        <v>0.1</v>
      </c>
      <c r="N11" s="99">
        <f>$D11-vlookup(Summary!$C11,Summary!$C$2:$Q$103,3+counta($F$1:N$1),false)</f>
        <v>-0.7</v>
      </c>
      <c r="O11" s="99">
        <f>$D11-vlookup(Summary!$C11,Summary!$C$2:$Q$103,3+counta($F$1:O$1),false)</f>
        <v>0.199</v>
      </c>
      <c r="P11" s="99">
        <f>$D11-vlookup(Summary!$C11,Summary!$C$2:$Q$103,3+counta($F$1:P$1),false)</f>
        <v>0.1</v>
      </c>
      <c r="Q11" s="99">
        <f>$D11-vlookup(Summary!$C11,Summary!$C$2:$Q$103,3+counta($F$1:Q$1),false)</f>
        <v>-0.55</v>
      </c>
    </row>
    <row r="12" ht="15.75" customHeight="1">
      <c r="A12" s="15">
        <f>Main!A12</f>
        <v>11</v>
      </c>
      <c r="B12" s="15" t="str">
        <f>Main!B12</f>
        <v>Scott Morrison will still be the Prime Minister of Australia</v>
      </c>
      <c r="C12" s="15" t="str">
        <f>Main!C12</f>
        <v>Aus Politics</v>
      </c>
      <c r="D12" s="15">
        <v>0.2</v>
      </c>
      <c r="F12" s="99">
        <f>$D12-vlookup(Summary!$C12,Summary!$C$2:$Q$103,3+counta($F$1:F$1),false)</f>
        <v>-0.2</v>
      </c>
      <c r="G12" s="99">
        <f>$D12-vlookup(Summary!$C12,Summary!$C$2:$Q$103,3+counta($F$1:G$1),false)</f>
        <v>0</v>
      </c>
      <c r="H12" s="99">
        <f>$D12-vlookup(Summary!$C12,Summary!$C$2:$Q$103,3+counta($F$1:H$1),false)</f>
        <v>0</v>
      </c>
      <c r="I12" s="99">
        <f>$D12-vlookup(Summary!$C12,Summary!$C$2:$Q$103,3+counta($F$1:I$1),false)</f>
        <v>-0.6</v>
      </c>
      <c r="J12" s="99">
        <f>$D12-vlookup(Summary!$C12,Summary!$C$2:$Q$103,3+counta($F$1:J$1),false)</f>
        <v>-0.3</v>
      </c>
      <c r="K12" s="99">
        <f>$D12-vlookup(Summary!$C12,Summary!$C$2:$Q$103,3+counta($F$1:K$1),false)</f>
        <v>-0.55</v>
      </c>
      <c r="L12" s="99">
        <f>$D12-vlookup(Summary!$C12,Summary!$C$2:$Q$103,3+counta($F$1:L$1),false)</f>
        <v>-0.5</v>
      </c>
      <c r="M12" s="99">
        <f>$D12-vlookup(Summary!$C12,Summary!$C$2:$Q$103,3+counta($F$1:M$1),false)</f>
        <v>0.15</v>
      </c>
      <c r="N12" s="99">
        <f>$D12-vlookup(Summary!$C12,Summary!$C$2:$Q$103,3+counta($F$1:N$1),false)</f>
        <v>0.1</v>
      </c>
      <c r="O12" s="99">
        <f>$D12-vlookup(Summary!$C12,Summary!$C$2:$Q$103,3+counta($F$1:O$1),false)</f>
        <v>-0.45</v>
      </c>
      <c r="P12" s="99">
        <f>$D12-vlookup(Summary!$C12,Summary!$C$2:$Q$103,3+counta($F$1:P$1),false)</f>
        <v>-0.1</v>
      </c>
      <c r="Q12" s="99">
        <f>$D12-vlookup(Summary!$C12,Summary!$C$2:$Q$103,3+counta($F$1:Q$1),false)</f>
        <v>0.1</v>
      </c>
    </row>
    <row r="13" ht="15.75" customHeight="1">
      <c r="A13" s="15">
        <f>Main!A13</f>
        <v>12</v>
      </c>
      <c r="B13" s="15" t="str">
        <f>Main!B13</f>
        <v>An Australian federal Minister will step down from their position due to direct involvement (proven or otherwise) in sexual misconduct at some point in the year.</v>
      </c>
      <c r="C13" s="15" t="str">
        <f>Main!C13</f>
        <v>Aus Politics</v>
      </c>
      <c r="D13" s="15">
        <v>0.4</v>
      </c>
      <c r="F13" s="99">
        <f>$D13-vlookup(Summary!$C13,Summary!$C$2:$Q$103,3+counta($F$1:F$1),false)</f>
        <v>-0.25</v>
      </c>
      <c r="G13" s="99">
        <f>$D13-vlookup(Summary!$C13,Summary!$C$2:$Q$103,3+counta($F$1:G$1),false)</f>
        <v>0</v>
      </c>
      <c r="H13" s="99">
        <f>$D13-vlookup(Summary!$C13,Summary!$C$2:$Q$103,3+counta($F$1:H$1),false)</f>
        <v>0.3</v>
      </c>
      <c r="I13" s="99">
        <f>$D13-vlookup(Summary!$C13,Summary!$C$2:$Q$103,3+counta($F$1:I$1),false)</f>
        <v>-0.5</v>
      </c>
      <c r="J13" s="99">
        <f>$D13-vlookup(Summary!$C13,Summary!$C$2:$Q$103,3+counta($F$1:J$1),false)</f>
        <v>-0.5</v>
      </c>
      <c r="K13" s="99">
        <f>$D13-vlookup(Summary!$C13,Summary!$C$2:$Q$103,3+counta($F$1:K$1),false)</f>
        <v>0.05</v>
      </c>
      <c r="L13" s="99">
        <f>$D13-vlookup(Summary!$C13,Summary!$C$2:$Q$103,3+counta($F$1:L$1),false)</f>
        <v>0.2</v>
      </c>
      <c r="M13" s="99">
        <f>$D13-vlookup(Summary!$C13,Summary!$C$2:$Q$103,3+counta($F$1:M$1),false)</f>
        <v>0.3</v>
      </c>
      <c r="N13" s="99">
        <f>$D13-vlookup(Summary!$C13,Summary!$C$2:$Q$103,3+counta($F$1:N$1),false)</f>
        <v>-0.2</v>
      </c>
      <c r="O13" s="99">
        <f>$D13-vlookup(Summary!$C13,Summary!$C$2:$Q$103,3+counta($F$1:O$1),false)</f>
        <v>0.25</v>
      </c>
      <c r="P13" s="99">
        <f>$D13-vlookup(Summary!$C13,Summary!$C$2:$Q$103,3+counta($F$1:P$1),false)</f>
        <v>0.1</v>
      </c>
      <c r="Q13" s="99">
        <f>$D13-vlookup(Summary!$C13,Summary!$C$2:$Q$103,3+counta($F$1:Q$1),false)</f>
        <v>-0.2</v>
      </c>
    </row>
    <row r="14" ht="15.75" customHeight="1">
      <c r="A14" s="15">
        <f>Main!A14</f>
        <v>13</v>
      </c>
      <c r="B14" s="15" t="str">
        <f>Main!B14</f>
        <v>Friendlyjordies, or evidence he has brought to light, will feature in a court case or ICAC inquiry.</v>
      </c>
      <c r="C14" s="15" t="str">
        <f>Main!C14</f>
        <v>Aus Politics</v>
      </c>
      <c r="D14" s="15">
        <v>0.7</v>
      </c>
      <c r="F14" s="99">
        <f>$D14-vlookup(Summary!$C14,Summary!$C$2:$Q$103,3+counta($F$1:F$1),false)</f>
        <v>0.15</v>
      </c>
      <c r="G14" s="99">
        <f>$D14-vlookup(Summary!$C14,Summary!$C$2:$Q$103,3+counta($F$1:G$1),false)</f>
        <v>0</v>
      </c>
      <c r="H14" s="99">
        <f>$D14-vlookup(Summary!$C14,Summary!$C$2:$Q$103,3+counta($F$1:H$1),false)</f>
        <v>0.4</v>
      </c>
      <c r="I14" s="99">
        <f>$D14-vlookup(Summary!$C14,Summary!$C$2:$Q$103,3+counta($F$1:I$1),false)</f>
        <v>0.1</v>
      </c>
      <c r="J14" s="99">
        <f>$D14-vlookup(Summary!$C14,Summary!$C$2:$Q$103,3+counta($F$1:J$1),false)</f>
        <v>0</v>
      </c>
      <c r="K14" s="99">
        <f>$D14-vlookup(Summary!$C14,Summary!$C$2:$Q$103,3+counta($F$1:K$1),false)</f>
        <v>0.05</v>
      </c>
      <c r="L14" s="99">
        <f>$D14-vlookup(Summary!$C14,Summary!$C$2:$Q$103,3+counta($F$1:L$1),false)</f>
        <v>0.2</v>
      </c>
      <c r="M14" s="99">
        <f>$D14-vlookup(Summary!$C14,Summary!$C$2:$Q$103,3+counta($F$1:M$1),false)</f>
        <v>0.4</v>
      </c>
      <c r="N14" s="99">
        <f>$D14-vlookup(Summary!$C14,Summary!$C$2:$Q$103,3+counta($F$1:N$1),false)</f>
        <v>0.6</v>
      </c>
      <c r="O14" s="99">
        <f>$D14-vlookup(Summary!$C14,Summary!$C$2:$Q$103,3+counta($F$1:O$1),false)</f>
        <v>0.55</v>
      </c>
      <c r="P14" s="99">
        <f>$D14-vlookup(Summary!$C14,Summary!$C$2:$Q$103,3+counta($F$1:P$1),false)</f>
        <v>0.2</v>
      </c>
      <c r="Q14" s="99">
        <f>$D14-vlookup(Summary!$C14,Summary!$C$2:$Q$103,3+counta($F$1:Q$1),false)</f>
        <v>0.2</v>
      </c>
    </row>
    <row r="15" ht="15.75" customHeight="1">
      <c r="A15" s="15">
        <f>Main!A15</f>
        <v>14</v>
      </c>
      <c r="B15" s="15" t="str">
        <f>Main!B15</f>
        <v>At least one person commits suicide as an effect of the Royal Commission into Defence and Veteran Suicide, as reported in The Guardian</v>
      </c>
      <c r="C15" s="15" t="str">
        <f>Main!C15</f>
        <v>Aus Politics</v>
      </c>
      <c r="D15" s="15">
        <v>0.8</v>
      </c>
      <c r="F15" s="99">
        <f>$D15-vlookup(Summary!$C15,Summary!$C$2:$Q$103,3+counta($F$1:F$1),false)</f>
        <v>0.4</v>
      </c>
      <c r="G15" s="99">
        <f>$D15-vlookup(Summary!$C15,Summary!$C$2:$Q$103,3+counta($F$1:G$1),false)</f>
        <v>0</v>
      </c>
      <c r="H15" s="99">
        <f>$D15-vlookup(Summary!$C15,Summary!$C$2:$Q$103,3+counta($F$1:H$1),false)</f>
        <v>0.1</v>
      </c>
      <c r="I15" s="99">
        <f>$D15-vlookup(Summary!$C15,Summary!$C$2:$Q$103,3+counta($F$1:I$1),false)</f>
        <v>0.4</v>
      </c>
      <c r="J15" s="99">
        <f>$D15-vlookup(Summary!$C15,Summary!$C$2:$Q$103,3+counta($F$1:J$1),false)</f>
        <v>0.5</v>
      </c>
      <c r="K15" s="99">
        <f>$D15-vlookup(Summary!$C15,Summary!$C$2:$Q$103,3+counta($F$1:K$1),false)</f>
        <v>-0.05</v>
      </c>
      <c r="L15" s="99">
        <f>$D15-vlookup(Summary!$C15,Summary!$C$2:$Q$103,3+counta($F$1:L$1),false)</f>
        <v>0.2</v>
      </c>
      <c r="M15" s="99">
        <f>$D15-vlookup(Summary!$C15,Summary!$C$2:$Q$103,3+counta($F$1:M$1),false)</f>
        <v>0.1</v>
      </c>
      <c r="N15" s="99">
        <f>$D15-vlookup(Summary!$C15,Summary!$C$2:$Q$103,3+counta($F$1:N$1),false)</f>
        <v>-0.1</v>
      </c>
      <c r="O15" s="99">
        <f>$D15-vlookup(Summary!$C15,Summary!$C$2:$Q$103,3+counta($F$1:O$1),false)</f>
        <v>0.65</v>
      </c>
      <c r="P15" s="99">
        <f>$D15-vlookup(Summary!$C15,Summary!$C$2:$Q$103,3+counta($F$1:P$1),false)</f>
        <v>0.3</v>
      </c>
      <c r="Q15" s="99">
        <f>$D15-vlookup(Summary!$C15,Summary!$C$2:$Q$103,3+counta($F$1:Q$1),false)</f>
        <v>0.4</v>
      </c>
    </row>
    <row r="16" ht="15.75" customHeight="1">
      <c r="A16" s="15">
        <f>Main!A16</f>
        <v>15</v>
      </c>
      <c r="B16" s="15" t="str">
        <f>Main!B16</f>
        <v>Taylor Swift will get married</v>
      </c>
      <c r="C16" s="15" t="str">
        <f>Main!C16</f>
        <v>Celebrities</v>
      </c>
      <c r="D16" s="15">
        <v>0.4</v>
      </c>
      <c r="F16" s="99">
        <f>$D16-vlookup(Summary!$C16,Summary!$C$2:$Q$103,3+counta($F$1:F$1),false)</f>
        <v>-0.15</v>
      </c>
      <c r="G16" s="99">
        <f>$D16-vlookup(Summary!$C16,Summary!$C$2:$Q$103,3+counta($F$1:G$1),false)</f>
        <v>0</v>
      </c>
      <c r="H16" s="99">
        <f>$D16-vlookup(Summary!$C16,Summary!$C$2:$Q$103,3+counta($F$1:H$1),false)</f>
        <v>-0.3</v>
      </c>
      <c r="I16" s="99">
        <f>$D16-vlookup(Summary!$C16,Summary!$C$2:$Q$103,3+counta($F$1:I$1),false)</f>
        <v>0.25</v>
      </c>
      <c r="J16" s="99">
        <f>$D16-vlookup(Summary!$C16,Summary!$C$2:$Q$103,3+counta($F$1:J$1),false)</f>
        <v>-0.2</v>
      </c>
      <c r="K16" s="99">
        <f>$D16-vlookup(Summary!$C16,Summary!$C$2:$Q$103,3+counta($F$1:K$1),false)</f>
        <v>-0.4</v>
      </c>
      <c r="L16" s="99">
        <f>$D16-vlookup(Summary!$C16,Summary!$C$2:$Q$103,3+counta($F$1:L$1),false)</f>
        <v>0.2</v>
      </c>
      <c r="M16" s="99">
        <f>$D16-vlookup(Summary!$C16,Summary!$C$2:$Q$103,3+counta($F$1:M$1),false)</f>
        <v>-0.3</v>
      </c>
      <c r="N16" s="99">
        <f>$D16-vlookup(Summary!$C16,Summary!$C$2:$Q$103,3+counta($F$1:N$1),false)</f>
        <v>-0.4</v>
      </c>
      <c r="O16" s="99">
        <f>$D16-vlookup(Summary!$C16,Summary!$C$2:$Q$103,3+counta($F$1:O$1),false)</f>
        <v>0.25</v>
      </c>
      <c r="P16" s="99">
        <f>$D16-vlookup(Summary!$C16,Summary!$C$2:$Q$103,3+counta($F$1:P$1),false)</f>
        <v>-0.1</v>
      </c>
      <c r="Q16" s="99">
        <f>$D16-vlookup(Summary!$C16,Summary!$C$2:$Q$103,3+counta($F$1:Q$1),false)</f>
        <v>0.39</v>
      </c>
    </row>
    <row r="17" ht="15.75" customHeight="1">
      <c r="A17" s="15">
        <f>Main!A17</f>
        <v>16</v>
      </c>
      <c r="B17" s="15" t="str">
        <f>Main!B17</f>
        <v>Jane Campion will win the Oscar for Best Director</v>
      </c>
      <c r="C17" s="15" t="str">
        <f>Main!C17</f>
        <v>Celebrities</v>
      </c>
      <c r="D17" s="15">
        <v>0.6</v>
      </c>
      <c r="F17" s="99">
        <f>$D17-vlookup(Summary!$C17,Summary!$C$2:$Q$103,3+counta($F$1:F$1),false)</f>
        <v>-0.2</v>
      </c>
      <c r="G17" s="99">
        <f>$D17-vlookup(Summary!$C17,Summary!$C$2:$Q$103,3+counta($F$1:G$1),false)</f>
        <v>0</v>
      </c>
      <c r="H17" s="99">
        <f>$D17-vlookup(Summary!$C17,Summary!$C$2:$Q$103,3+counta($F$1:H$1),false)</f>
        <v>0.4</v>
      </c>
      <c r="I17" s="99">
        <f>$D17-vlookup(Summary!$C17,Summary!$C$2:$Q$103,3+counta($F$1:I$1),false)</f>
        <v>-0.3</v>
      </c>
      <c r="J17" s="99">
        <f>$D17-vlookup(Summary!$C17,Summary!$C$2:$Q$103,3+counta($F$1:J$1),false)</f>
        <v>-0.3</v>
      </c>
      <c r="K17" s="99">
        <f>$D17-vlookup(Summary!$C17,Summary!$C$2:$Q$103,3+counta($F$1:K$1),false)</f>
        <v>-0.35</v>
      </c>
      <c r="L17" s="99">
        <f>$D17-vlookup(Summary!$C17,Summary!$C$2:$Q$103,3+counta($F$1:L$1),false)</f>
        <v>-0.1</v>
      </c>
      <c r="M17" s="99">
        <f>$D17-vlookup(Summary!$C17,Summary!$C$2:$Q$103,3+counta($F$1:M$1),false)</f>
        <v>0.4</v>
      </c>
      <c r="N17" s="99">
        <f>$D17-vlookup(Summary!$C17,Summary!$C$2:$Q$103,3+counta($F$1:N$1),false)</f>
        <v>0.5</v>
      </c>
      <c r="O17" s="99">
        <f>$D17-vlookup(Summary!$C17,Summary!$C$2:$Q$103,3+counta($F$1:O$1),false)</f>
        <v>0.1</v>
      </c>
      <c r="P17" s="99">
        <f>$D17-vlookup(Summary!$C17,Summary!$C$2:$Q$103,3+counta($F$1:P$1),false)</f>
        <v>0.1</v>
      </c>
      <c r="Q17" s="99">
        <f>$D17-vlookup(Summary!$C17,Summary!$C$2:$Q$103,3+counta($F$1:Q$1),false)</f>
        <v>0.3</v>
      </c>
    </row>
    <row r="18" ht="15.75" customHeight="1">
      <c r="A18" s="15">
        <f>Main!A18</f>
        <v>17</v>
      </c>
      <c r="B18" s="15" t="str">
        <f>Main!B18</f>
        <v>Harry and Megan's animated series "Pearl" will be released and have over 50% on Rotten Tomatoes</v>
      </c>
      <c r="C18" s="15" t="str">
        <f>Main!C18</f>
        <v>Celebrities</v>
      </c>
      <c r="D18" s="15">
        <v>0.3</v>
      </c>
      <c r="F18" s="99">
        <f>$D18-vlookup(Summary!$C18,Summary!$C$2:$Q$103,3+counta($F$1:F$1),false)</f>
        <v>-0.1</v>
      </c>
      <c r="G18" s="99">
        <f>$D18-vlookup(Summary!$C18,Summary!$C$2:$Q$103,3+counta($F$1:G$1),false)</f>
        <v>0</v>
      </c>
      <c r="H18" s="99">
        <f>$D18-vlookup(Summary!$C18,Summary!$C$2:$Q$103,3+counta($F$1:H$1),false)</f>
        <v>-0.5</v>
      </c>
      <c r="I18" s="99">
        <f>$D18-vlookup(Summary!$C18,Summary!$C$2:$Q$103,3+counta($F$1:I$1),false)</f>
        <v>-0.1</v>
      </c>
      <c r="J18" s="99">
        <f>$D18-vlookup(Summary!$C18,Summary!$C$2:$Q$103,3+counta($F$1:J$1),false)</f>
        <v>0.2</v>
      </c>
      <c r="K18" s="99">
        <f>$D18-vlookup(Summary!$C18,Summary!$C$2:$Q$103,3+counta($F$1:K$1),false)</f>
        <v>-0.5</v>
      </c>
      <c r="L18" s="99">
        <f>$D18-vlookup(Summary!$C18,Summary!$C$2:$Q$103,3+counta($F$1:L$1),false)</f>
        <v>0.1</v>
      </c>
      <c r="M18" s="99">
        <f>$D18-vlookup(Summary!$C18,Summary!$C$2:$Q$103,3+counta($F$1:M$1),false)</f>
        <v>-0.5</v>
      </c>
      <c r="N18" s="99">
        <f>$D18-vlookup(Summary!$C18,Summary!$C$2:$Q$103,3+counta($F$1:N$1),false)</f>
        <v>-0.5</v>
      </c>
      <c r="O18" s="99">
        <f>$D18-vlookup(Summary!$C18,Summary!$C$2:$Q$103,3+counta($F$1:O$1),false)</f>
        <v>0.15</v>
      </c>
      <c r="P18" s="99">
        <f>$D18-vlookup(Summary!$C18,Summary!$C$2:$Q$103,3+counta($F$1:P$1),false)</f>
        <v>-0.2</v>
      </c>
      <c r="Q18" s="99">
        <f>$D18-vlookup(Summary!$C18,Summary!$C$2:$Q$103,3+counta($F$1:Q$1),false)</f>
        <v>-0.1</v>
      </c>
    </row>
    <row r="19" ht="15.75" customHeight="1">
      <c r="A19" s="15">
        <f>Main!A19</f>
        <v>18</v>
      </c>
      <c r="B19" s="15" t="str">
        <f>Main!B19</f>
        <v>Prince Andrew will enter or exit a courtroom wearing an oxygen mask and/or sitting in a wheelchair</v>
      </c>
      <c r="C19" s="15" t="str">
        <f>Main!C19</f>
        <v>Celebrities</v>
      </c>
      <c r="D19" s="15">
        <v>0.2</v>
      </c>
      <c r="F19" s="99">
        <f>$D19-vlookup(Summary!$C19,Summary!$C$2:$Q$103,3+counta($F$1:F$1),false)</f>
        <v>-0.1</v>
      </c>
      <c r="G19" s="99">
        <f>$D19-vlookup(Summary!$C19,Summary!$C$2:$Q$103,3+counta($F$1:G$1),false)</f>
        <v>0</v>
      </c>
      <c r="H19" s="99">
        <f>$D19-vlookup(Summary!$C19,Summary!$C$2:$Q$103,3+counta($F$1:H$1),false)</f>
        <v>-0.5</v>
      </c>
      <c r="I19" s="99">
        <f>$D19-vlookup(Summary!$C19,Summary!$C$2:$Q$103,3+counta($F$1:I$1),false)</f>
        <v>0.1</v>
      </c>
      <c r="J19" s="99">
        <f>$D19-vlookup(Summary!$C19,Summary!$C$2:$Q$103,3+counta($F$1:J$1),false)</f>
        <v>-0.2</v>
      </c>
      <c r="K19" s="99">
        <f>$D19-vlookup(Summary!$C19,Summary!$C$2:$Q$103,3+counta($F$1:K$1),false)</f>
        <v>0</v>
      </c>
      <c r="L19" s="99">
        <f>$D19-vlookup(Summary!$C19,Summary!$C$2:$Q$103,3+counta($F$1:L$1),false)</f>
        <v>0.1</v>
      </c>
      <c r="M19" s="99">
        <f>$D19-vlookup(Summary!$C19,Summary!$C$2:$Q$103,3+counta($F$1:M$1),false)</f>
        <v>0.15</v>
      </c>
      <c r="N19" s="99">
        <f>$D19-vlookup(Summary!$C19,Summary!$C$2:$Q$103,3+counta($F$1:N$1),false)</f>
        <v>0.1</v>
      </c>
      <c r="O19" s="99">
        <f>$D19-vlookup(Summary!$C19,Summary!$C$2:$Q$103,3+counta($F$1:O$1),false)</f>
        <v>0.05</v>
      </c>
      <c r="P19" s="99">
        <f>$D19-vlookup(Summary!$C19,Summary!$C$2:$Q$103,3+counta($F$1:P$1),false)</f>
        <v>0.1</v>
      </c>
      <c r="Q19" s="99">
        <f>$D19-vlookup(Summary!$C19,Summary!$C$2:$Q$103,3+counta($F$1:Q$1),false)</f>
        <v>0</v>
      </c>
    </row>
    <row r="20" ht="15.75" customHeight="1">
      <c r="A20" s="15">
        <f>Main!A20</f>
        <v>19</v>
      </c>
      <c r="B20" s="15" t="str">
        <f>Main!B20</f>
        <v>News Ltd will report on the emergence of a conspiracy theory relating to the Queen's death: that the palace is either secretly concealing her death or her continuing life</v>
      </c>
      <c r="C20" s="15" t="str">
        <f>Main!C20</f>
        <v>Celebrities</v>
      </c>
      <c r="D20" s="15">
        <v>0.4</v>
      </c>
      <c r="F20" s="99">
        <f>$D20-vlookup(Summary!$C20,Summary!$C$2:$Q$103,3+counta($F$1:F$1),false)</f>
        <v>0.15</v>
      </c>
      <c r="G20" s="99">
        <f>$D20-vlookup(Summary!$C20,Summary!$C$2:$Q$103,3+counta($F$1:G$1),false)</f>
        <v>0</v>
      </c>
      <c r="H20" s="99">
        <f>$D20-vlookup(Summary!$C20,Summary!$C$2:$Q$103,3+counta($F$1:H$1),false)</f>
        <v>-0.4</v>
      </c>
      <c r="I20" s="99">
        <f>$D20-vlookup(Summary!$C20,Summary!$C$2:$Q$103,3+counta($F$1:I$1),false)</f>
        <v>0.35</v>
      </c>
      <c r="J20" s="99">
        <f>$D20-vlookup(Summary!$C20,Summary!$C$2:$Q$103,3+counta($F$1:J$1),false)</f>
        <v>-0.1</v>
      </c>
      <c r="K20" s="99">
        <f>$D20-vlookup(Summary!$C20,Summary!$C$2:$Q$103,3+counta($F$1:K$1),false)</f>
        <v>-0.45</v>
      </c>
      <c r="L20" s="99">
        <f>$D20-vlookup(Summary!$C20,Summary!$C$2:$Q$103,3+counta($F$1:L$1),false)</f>
        <v>0.35</v>
      </c>
      <c r="M20" s="99">
        <f>$D20-vlookup(Summary!$C20,Summary!$C$2:$Q$103,3+counta($F$1:M$1),false)</f>
        <v>-0.4</v>
      </c>
      <c r="N20" s="99">
        <f>$D20-vlookup(Summary!$C20,Summary!$C$2:$Q$103,3+counta($F$1:N$1),false)</f>
        <v>0.3</v>
      </c>
      <c r="O20" s="99">
        <f>$D20-vlookup(Summary!$C20,Summary!$C$2:$Q$103,3+counta($F$1:O$1),false)</f>
        <v>0.399</v>
      </c>
      <c r="P20" s="99">
        <f>$D20-vlookup(Summary!$C20,Summary!$C$2:$Q$103,3+counta($F$1:P$1),false)</f>
        <v>0.3</v>
      </c>
      <c r="Q20" s="99">
        <f>$D20-vlookup(Summary!$C20,Summary!$C$2:$Q$103,3+counta($F$1:Q$1),false)</f>
        <v>-0.1</v>
      </c>
    </row>
    <row r="21" ht="15.75" customHeight="1">
      <c r="A21" s="15">
        <f>Main!A21</f>
        <v>20</v>
      </c>
      <c r="B21" s="15" t="str">
        <f>Main!B21</f>
        <v>Julian Assange will be located in Australia</v>
      </c>
      <c r="C21" s="15" t="str">
        <f>Main!C21</f>
        <v>Celebrities</v>
      </c>
      <c r="D21" s="15">
        <v>0.2</v>
      </c>
      <c r="F21" s="99">
        <f>$D21-vlookup(Summary!$C21,Summary!$C$2:$Q$103,3+counta($F$1:F$1),false)</f>
        <v>0</v>
      </c>
      <c r="G21" s="99">
        <f>$D21-vlookup(Summary!$C21,Summary!$C$2:$Q$103,3+counta($F$1:G$1),false)</f>
        <v>0</v>
      </c>
      <c r="H21" s="99">
        <f>$D21-vlookup(Summary!$C21,Summary!$C$2:$Q$103,3+counta($F$1:H$1),false)</f>
        <v>0.1</v>
      </c>
      <c r="I21" s="99">
        <f>$D21-vlookup(Summary!$C21,Summary!$C$2:$Q$103,3+counta($F$1:I$1),false)</f>
        <v>0.15</v>
      </c>
      <c r="J21" s="99">
        <f>$D21-vlookup(Summary!$C21,Summary!$C$2:$Q$103,3+counta($F$1:J$1),false)</f>
        <v>-0.1</v>
      </c>
      <c r="K21" s="99">
        <f>$D21-vlookup(Summary!$C21,Summary!$C$2:$Q$103,3+counta($F$1:K$1),false)</f>
        <v>-0.35</v>
      </c>
      <c r="L21" s="99">
        <f>$D21-vlookup(Summary!$C21,Summary!$C$2:$Q$103,3+counta($F$1:L$1),false)</f>
        <v>0</v>
      </c>
      <c r="M21" s="99">
        <f>$D21-vlookup(Summary!$C21,Summary!$C$2:$Q$103,3+counta($F$1:M$1),false)</f>
        <v>0.1</v>
      </c>
      <c r="N21" s="99">
        <f>$D21-vlookup(Summary!$C21,Summary!$C$2:$Q$103,3+counta($F$1:N$1),false)</f>
        <v>0</v>
      </c>
      <c r="O21" s="99">
        <f>$D21-vlookup(Summary!$C21,Summary!$C$2:$Q$103,3+counta($F$1:O$1),false)</f>
        <v>0.05</v>
      </c>
      <c r="P21" s="99">
        <f>$D21-vlookup(Summary!$C21,Summary!$C$2:$Q$103,3+counta($F$1:P$1),false)</f>
        <v>0.1</v>
      </c>
      <c r="Q21" s="99">
        <f>$D21-vlookup(Summary!$C21,Summary!$C$2:$Q$103,3+counta($F$1:Q$1),false)</f>
        <v>-0.1</v>
      </c>
    </row>
    <row r="22" ht="15.75" customHeight="1">
      <c r="A22" s="15">
        <f>Main!A22</f>
        <v>21</v>
      </c>
      <c r="B22" s="15" t="str">
        <f>Main!B22</f>
        <v>An alleged sexual predator will recieve an Emmy or Oscar by mainstream media (Andrew’s system)</v>
      </c>
      <c r="C22" s="15" t="str">
        <f>Main!C22</f>
        <v>Celebrities</v>
      </c>
      <c r="D22" s="15">
        <v>0.3</v>
      </c>
      <c r="F22" s="99">
        <f>$D22-vlookup(Summary!$C22,Summary!$C$2:$Q$103,3+counta($F$1:F$1),false)</f>
        <v>-0.1</v>
      </c>
      <c r="G22" s="99">
        <f>$D22-vlookup(Summary!$C22,Summary!$C$2:$Q$103,3+counta($F$1:G$1),false)</f>
        <v>0</v>
      </c>
      <c r="H22" s="99">
        <f>$D22-vlookup(Summary!$C22,Summary!$C$2:$Q$103,3+counta($F$1:H$1),false)</f>
        <v>0</v>
      </c>
      <c r="I22" s="99">
        <f>$D22-vlookup(Summary!$C22,Summary!$C$2:$Q$103,3+counta($F$1:I$1),false)</f>
        <v>0.1</v>
      </c>
      <c r="J22" s="99">
        <f>$D22-vlookup(Summary!$C22,Summary!$C$2:$Q$103,3+counta($F$1:J$1),false)</f>
        <v>-0.3</v>
      </c>
      <c r="K22" s="99">
        <f>$D22-vlookup(Summary!$C22,Summary!$C$2:$Q$103,3+counta($F$1:K$1),false)</f>
        <v>-0.4</v>
      </c>
      <c r="L22" s="99">
        <f>$D22-vlookup(Summary!$C22,Summary!$C$2:$Q$103,3+counta($F$1:L$1),false)</f>
        <v>0.1</v>
      </c>
      <c r="M22" s="99">
        <f>$D22-vlookup(Summary!$C22,Summary!$C$2:$Q$103,3+counta($F$1:M$1),false)</f>
        <v>0</v>
      </c>
      <c r="N22" s="99">
        <f>$D22-vlookup(Summary!$C22,Summary!$C$2:$Q$103,3+counta($F$1:N$1),false)</f>
        <v>-0.5</v>
      </c>
      <c r="O22" s="99">
        <f>$D22-vlookup(Summary!$C22,Summary!$C$2:$Q$103,3+counta($F$1:O$1),false)</f>
        <v>-0.35</v>
      </c>
      <c r="P22" s="99">
        <f>$D22-vlookup(Summary!$C22,Summary!$C$2:$Q$103,3+counta($F$1:P$1),false)</f>
        <v>0.2</v>
      </c>
      <c r="Q22" s="99">
        <f>$D22-vlookup(Summary!$C22,Summary!$C$2:$Q$103,3+counta($F$1:Q$1),false)</f>
        <v>-0.3</v>
      </c>
    </row>
    <row r="23" ht="15.75" customHeight="1">
      <c r="A23" s="15">
        <f>Main!A23</f>
        <v>22</v>
      </c>
      <c r="B23" s="15" t="str">
        <f>Main!B23</f>
        <v>The Queen will die</v>
      </c>
      <c r="C23" s="15" t="str">
        <f>Main!C23</f>
        <v>Celebrities</v>
      </c>
      <c r="D23" s="15">
        <v>0.2</v>
      </c>
      <c r="F23" s="99">
        <f>$D23-vlookup(Summary!$C23,Summary!$C$2:$Q$103,3+counta($F$1:F$1),false)</f>
        <v>-0.2</v>
      </c>
      <c r="G23" s="99">
        <f>$D23-vlookup(Summary!$C23,Summary!$C$2:$Q$103,3+counta($F$1:G$1),false)</f>
        <v>0</v>
      </c>
      <c r="H23" s="99">
        <f>$D23-vlookup(Summary!$C23,Summary!$C$2:$Q$103,3+counta($F$1:H$1),false)</f>
        <v>-0.7</v>
      </c>
      <c r="I23" s="99">
        <f>$D23-vlookup(Summary!$C23,Summary!$C$2:$Q$103,3+counta($F$1:I$1),false)</f>
        <v>-0.1</v>
      </c>
      <c r="J23" s="99">
        <f>$D23-vlookup(Summary!$C23,Summary!$C$2:$Q$103,3+counta($F$1:J$1),false)</f>
        <v>-0.5</v>
      </c>
      <c r="K23" s="99">
        <f>$D23-vlookup(Summary!$C23,Summary!$C$2:$Q$103,3+counta($F$1:K$1),false)</f>
        <v>-0.5</v>
      </c>
      <c r="L23" s="99">
        <f>$D23-vlookup(Summary!$C23,Summary!$C$2:$Q$103,3+counta($F$1:L$1),false)</f>
        <v>0.15</v>
      </c>
      <c r="M23" s="99">
        <f>$D23-vlookup(Summary!$C23,Summary!$C$2:$Q$103,3+counta($F$1:M$1),false)</f>
        <v>-0.7</v>
      </c>
      <c r="N23" s="99">
        <f>$D23-vlookup(Summary!$C23,Summary!$C$2:$Q$103,3+counta($F$1:N$1),false)</f>
        <v>-0.7</v>
      </c>
      <c r="O23" s="99">
        <f>$D23-vlookup(Summary!$C23,Summary!$C$2:$Q$103,3+counta($F$1:O$1),false)</f>
        <v>-0.15</v>
      </c>
      <c r="P23" s="99">
        <f>$D23-vlookup(Summary!$C23,Summary!$C$2:$Q$103,3+counta($F$1:P$1),false)</f>
        <v>0.1</v>
      </c>
      <c r="Q23" s="99">
        <f>$D23-vlookup(Summary!$C23,Summary!$C$2:$Q$103,3+counta($F$1:Q$1),false)</f>
        <v>-0.1</v>
      </c>
    </row>
    <row r="24" ht="15.75" customHeight="1">
      <c r="A24" s="15">
        <f>Main!A24</f>
        <v>23</v>
      </c>
      <c r="B24" s="15" t="str">
        <f>Main!B24</f>
        <v>Ghislaine Maxwell will successfully strike a plea deal and reduce her aggregate sentence to no greater than 10 years with parole no greater than 5 years.</v>
      </c>
      <c r="C24" s="15" t="str">
        <f>Main!C24</f>
        <v>Celebrities</v>
      </c>
      <c r="D24" s="15">
        <v>0.7</v>
      </c>
      <c r="F24" s="99">
        <f>$D24-vlookup(Summary!$C24,Summary!$C$2:$Q$103,3+counta($F$1:F$1),false)</f>
        <v>0.25</v>
      </c>
      <c r="G24" s="99">
        <f>$D24-vlookup(Summary!$C24,Summary!$C$2:$Q$103,3+counta($F$1:G$1),false)</f>
        <v>0</v>
      </c>
      <c r="H24" s="99">
        <f>$D24-vlookup(Summary!$C24,Summary!$C$2:$Q$103,3+counta($F$1:H$1),false)</f>
        <v>0</v>
      </c>
      <c r="I24" s="99">
        <f>$D24-vlookup(Summary!$C24,Summary!$C$2:$Q$103,3+counta($F$1:I$1),false)</f>
        <v>0.6</v>
      </c>
      <c r="J24" s="99">
        <f>$D24-vlookup(Summary!$C24,Summary!$C$2:$Q$103,3+counta($F$1:J$1),false)</f>
        <v>-0.2</v>
      </c>
      <c r="K24" s="99">
        <f>$D24-vlookup(Summary!$C24,Summary!$C$2:$Q$103,3+counta($F$1:K$1),false)</f>
        <v>0.05</v>
      </c>
      <c r="L24" s="99">
        <f>$D24-vlookup(Summary!$C24,Summary!$C$2:$Q$103,3+counta($F$1:L$1),false)</f>
        <v>0.5</v>
      </c>
      <c r="M24" s="99">
        <f>$D24-vlookup(Summary!$C24,Summary!$C$2:$Q$103,3+counta($F$1:M$1),false)</f>
        <v>0</v>
      </c>
      <c r="N24" s="99">
        <f>$D24-vlookup(Summary!$C24,Summary!$C$2:$Q$103,3+counta($F$1:N$1),false)</f>
        <v>0.6</v>
      </c>
      <c r="O24" s="99">
        <f>$D24-vlookup(Summary!$C24,Summary!$C$2:$Q$103,3+counta($F$1:O$1),false)</f>
        <v>0.05</v>
      </c>
      <c r="P24" s="99">
        <f>$D24-vlookup(Summary!$C24,Summary!$C$2:$Q$103,3+counta($F$1:P$1),false)</f>
        <v>0</v>
      </c>
      <c r="Q24" s="99">
        <f>$D24-vlookup(Summary!$C24,Summary!$C$2:$Q$103,3+counta($F$1:Q$1),false)</f>
        <v>0.2</v>
      </c>
    </row>
    <row r="25" ht="15.75" customHeight="1">
      <c r="A25" s="15">
        <f>Main!A25</f>
        <v>24</v>
      </c>
      <c r="B25" s="15" t="str">
        <f>Main!B25</f>
        <v>Formal criminal charges will be laid against Prince Andrew for sex offenses</v>
      </c>
      <c r="C25" s="15" t="str">
        <f>Main!C25</f>
        <v>Celebrities</v>
      </c>
      <c r="D25" s="15">
        <v>0.2</v>
      </c>
      <c r="F25" s="99">
        <f>$D25-vlookup(Summary!$C25,Summary!$C$2:$Q$103,3+counta($F$1:F$1),false)</f>
        <v>-0.4</v>
      </c>
      <c r="G25" s="99">
        <f>$D25-vlookup(Summary!$C25,Summary!$C$2:$Q$103,3+counta($F$1:G$1),false)</f>
        <v>0</v>
      </c>
      <c r="H25" s="99">
        <f>$D25-vlookup(Summary!$C25,Summary!$C$2:$Q$103,3+counta($F$1:H$1),false)</f>
        <v>-0.5</v>
      </c>
      <c r="I25" s="99">
        <f>$D25-vlookup(Summary!$C25,Summary!$C$2:$Q$103,3+counta($F$1:I$1),false)</f>
        <v>-0.7</v>
      </c>
      <c r="J25" s="99">
        <f>$D25-vlookup(Summary!$C25,Summary!$C$2:$Q$103,3+counta($F$1:J$1),false)</f>
        <v>0.1</v>
      </c>
      <c r="K25" s="99">
        <f>$D25-vlookup(Summary!$C25,Summary!$C$2:$Q$103,3+counta($F$1:K$1),false)</f>
        <v>-0.45</v>
      </c>
      <c r="L25" s="99">
        <f>$D25-vlookup(Summary!$C25,Summary!$C$2:$Q$103,3+counta($F$1:L$1),false)</f>
        <v>0.05</v>
      </c>
      <c r="M25" s="99">
        <f>$D25-vlookup(Summary!$C25,Summary!$C$2:$Q$103,3+counta($F$1:M$1),false)</f>
        <v>-0.5</v>
      </c>
      <c r="N25" s="99">
        <f>$D25-vlookup(Summary!$C25,Summary!$C$2:$Q$103,3+counta($F$1:N$1),false)</f>
        <v>0</v>
      </c>
      <c r="O25" s="99">
        <f>$D25-vlookup(Summary!$C25,Summary!$C$2:$Q$103,3+counta($F$1:O$1),false)</f>
        <v>0.05</v>
      </c>
      <c r="P25" s="99">
        <f>$D25-vlookup(Summary!$C25,Summary!$C$2:$Q$103,3+counta($F$1:P$1),false)</f>
        <v>-0.3</v>
      </c>
      <c r="Q25" s="99">
        <f>$D25-vlookup(Summary!$C25,Summary!$C$2:$Q$103,3+counta($F$1:Q$1),false)</f>
        <v>-0.3</v>
      </c>
    </row>
    <row r="26" ht="15.75" customHeight="1">
      <c r="A26" s="15">
        <f>Main!A26</f>
        <v>25</v>
      </c>
      <c r="B26" s="15" t="str">
        <f>Main!B26</f>
        <v>Elizabeth Holmes will be sentenced to no greater than 15 years imprisonment.</v>
      </c>
      <c r="C26" s="15" t="str">
        <f>Main!C26</f>
        <v>Celebrities</v>
      </c>
      <c r="D26" s="15">
        <v>0.9</v>
      </c>
      <c r="F26" s="99">
        <f>$D26-vlookup(Summary!$C26,Summary!$C$2:$Q$103,3+counta($F$1:F$1),false)</f>
        <v>0.3</v>
      </c>
      <c r="G26" s="99">
        <f>$D26-vlookup(Summary!$C26,Summary!$C$2:$Q$103,3+counta($F$1:G$1),false)</f>
        <v>0</v>
      </c>
      <c r="H26" s="99">
        <f>$D26-vlookup(Summary!$C26,Summary!$C$2:$Q$103,3+counta($F$1:H$1),false)</f>
        <v>0.1</v>
      </c>
      <c r="I26" s="99">
        <f>$D26-vlookup(Summary!$C26,Summary!$C$2:$Q$103,3+counta($F$1:I$1),false)</f>
        <v>0.4</v>
      </c>
      <c r="J26" s="99">
        <f>$D26-vlookup(Summary!$C26,Summary!$C$2:$Q$103,3+counta($F$1:J$1),false)</f>
        <v>0</v>
      </c>
      <c r="K26" s="99">
        <f>$D26-vlookup(Summary!$C26,Summary!$C$2:$Q$103,3+counta($F$1:K$1),false)</f>
        <v>0.2</v>
      </c>
      <c r="L26" s="99">
        <f>$D26-vlookup(Summary!$C26,Summary!$C$2:$Q$103,3+counta($F$1:L$1),false)</f>
        <v>0.2</v>
      </c>
      <c r="M26" s="99">
        <f>$D26-vlookup(Summary!$C26,Summary!$C$2:$Q$103,3+counta($F$1:M$1),false)</f>
        <v>0.1</v>
      </c>
      <c r="N26" s="99">
        <f>$D26-vlookup(Summary!$C26,Summary!$C$2:$Q$103,3+counta($F$1:N$1),false)</f>
        <v>0</v>
      </c>
      <c r="O26" s="99">
        <f>$D26-vlookup(Summary!$C26,Summary!$C$2:$Q$103,3+counta($F$1:O$1),false)</f>
        <v>0.05</v>
      </c>
      <c r="P26" s="99">
        <f>$D26-vlookup(Summary!$C26,Summary!$C$2:$Q$103,3+counta($F$1:P$1),false)</f>
        <v>0.4</v>
      </c>
      <c r="Q26" s="99">
        <f>$D26-vlookup(Summary!$C26,Summary!$C$2:$Q$103,3+counta($F$1:Q$1),false)</f>
        <v>0.2</v>
      </c>
    </row>
    <row r="27" ht="15.75" customHeight="1">
      <c r="A27" s="15">
        <f>Main!A27</f>
        <v>26</v>
      </c>
      <c r="B27" s="15" t="str">
        <f>Main!B27</f>
        <v>Meghan and Harry will separate</v>
      </c>
      <c r="C27" s="15" t="str">
        <f>Main!C27</f>
        <v>Celebrities</v>
      </c>
      <c r="D27" s="15">
        <v>0.1</v>
      </c>
      <c r="F27" s="99">
        <f>$D27-vlookup(Summary!$C27,Summary!$C$2:$Q$103,3+counta($F$1:F$1),false)</f>
        <v>-0.1</v>
      </c>
      <c r="G27" s="99">
        <f>$D27-vlookup(Summary!$C27,Summary!$C$2:$Q$103,3+counta($F$1:G$1),false)</f>
        <v>0</v>
      </c>
      <c r="H27" s="99">
        <f>$D27-vlookup(Summary!$C27,Summary!$C$2:$Q$103,3+counta($F$1:H$1),false)</f>
        <v>-0.1</v>
      </c>
      <c r="I27" s="99">
        <f>$D27-vlookup(Summary!$C27,Summary!$C$2:$Q$103,3+counta($F$1:I$1),false)</f>
        <v>0</v>
      </c>
      <c r="J27" s="99">
        <f>$D27-vlookup(Summary!$C27,Summary!$C$2:$Q$103,3+counta($F$1:J$1),false)</f>
        <v>-0.4</v>
      </c>
      <c r="K27" s="99">
        <f>$D27-vlookup(Summary!$C27,Summary!$C$2:$Q$103,3+counta($F$1:K$1),false)</f>
        <v>-0.1</v>
      </c>
      <c r="L27" s="99">
        <f>$D27-vlookup(Summary!$C27,Summary!$C$2:$Q$103,3+counta($F$1:L$1),false)</f>
        <v>0.05</v>
      </c>
      <c r="M27" s="99">
        <f>$D27-vlookup(Summary!$C27,Summary!$C$2:$Q$103,3+counta($F$1:M$1),false)</f>
        <v>-0.1</v>
      </c>
      <c r="N27" s="99">
        <f>$D27-vlookup(Summary!$C27,Summary!$C$2:$Q$103,3+counta($F$1:N$1),false)</f>
        <v>-0.7</v>
      </c>
      <c r="O27" s="99">
        <f>$D27-vlookup(Summary!$C27,Summary!$C$2:$Q$103,3+counta($F$1:O$1),false)</f>
        <v>-0.05</v>
      </c>
      <c r="P27" s="99">
        <f>$D27-vlookup(Summary!$C27,Summary!$C$2:$Q$103,3+counta($F$1:P$1),false)</f>
        <v>0</v>
      </c>
      <c r="Q27" s="99">
        <f>$D27-vlookup(Summary!$C27,Summary!$C$2:$Q$103,3+counta($F$1:Q$1),false)</f>
        <v>-0.2</v>
      </c>
    </row>
    <row r="28" ht="15.75" customHeight="1">
      <c r="A28" s="15">
        <f>Main!A28</f>
        <v>27</v>
      </c>
      <c r="B28" s="15" t="str">
        <f>Main!B28</f>
        <v>Tom Holland and Zendaya will separate.</v>
      </c>
      <c r="C28" s="15" t="str">
        <f>Main!C28</f>
        <v>Celebrities</v>
      </c>
      <c r="D28" s="15">
        <v>0.6</v>
      </c>
      <c r="F28" s="99">
        <f>$D28-vlookup(Summary!$C28,Summary!$C$2:$Q$103,3+counta($F$1:F$1),false)</f>
        <v>0</v>
      </c>
      <c r="G28" s="99">
        <f>$D28-vlookup(Summary!$C28,Summary!$C$2:$Q$103,3+counta($F$1:G$1),false)</f>
        <v>0</v>
      </c>
      <c r="H28" s="99">
        <f>$D28-vlookup(Summary!$C28,Summary!$C$2:$Q$103,3+counta($F$1:H$1),false)</f>
        <v>0.4</v>
      </c>
      <c r="I28" s="99">
        <f>$D28-vlookup(Summary!$C28,Summary!$C$2:$Q$103,3+counta($F$1:I$1),false)</f>
        <v>0.1</v>
      </c>
      <c r="J28" s="99">
        <f>$D28-vlookup(Summary!$C28,Summary!$C$2:$Q$103,3+counta($F$1:J$1),false)</f>
        <v>0.2</v>
      </c>
      <c r="K28" s="99">
        <f>$D28-vlookup(Summary!$C28,Summary!$C$2:$Q$103,3+counta($F$1:K$1),false)</f>
        <v>-0.05</v>
      </c>
      <c r="L28" s="99">
        <f>$D28-vlookup(Summary!$C28,Summary!$C$2:$Q$103,3+counta($F$1:L$1),false)</f>
        <v>0.4</v>
      </c>
      <c r="M28" s="99">
        <f>$D28-vlookup(Summary!$C28,Summary!$C$2:$Q$103,3+counta($F$1:M$1),false)</f>
        <v>0.4</v>
      </c>
      <c r="N28" s="99">
        <f>$D28-vlookup(Summary!$C28,Summary!$C$2:$Q$103,3+counta($F$1:N$1),false)</f>
        <v>-0.3</v>
      </c>
      <c r="O28" s="99">
        <f>$D28-vlookup(Summary!$C28,Summary!$C$2:$Q$103,3+counta($F$1:O$1),false)</f>
        <v>0.1</v>
      </c>
      <c r="P28" s="99">
        <f>$D28-vlookup(Summary!$C28,Summary!$C$2:$Q$103,3+counta($F$1:P$1),false)</f>
        <v>0.1</v>
      </c>
      <c r="Q28" s="99">
        <f>$D28-vlookup(Summary!$C28,Summary!$C$2:$Q$103,3+counta($F$1:Q$1),false)</f>
        <v>0.2</v>
      </c>
    </row>
    <row r="29" ht="15.75" customHeight="1">
      <c r="A29" s="15">
        <f>Main!A29</f>
        <v>28</v>
      </c>
      <c r="B29" s="15" t="str">
        <f>Main!B29</f>
        <v>Donald Trump endorses on social media a movement that is called White Lives Matter</v>
      </c>
      <c r="C29" s="15" t="str">
        <f>Main!C29</f>
        <v>Celebrities</v>
      </c>
      <c r="D29" s="15">
        <v>0.3</v>
      </c>
      <c r="F29" s="99">
        <f>$D29-vlookup(Summary!$C29,Summary!$C$2:$Q$103,3+counta($F$1:F$1),false)</f>
        <v>0</v>
      </c>
      <c r="G29" s="99">
        <f>$D29-vlookup(Summary!$C29,Summary!$C$2:$Q$103,3+counta($F$1:G$1),false)</f>
        <v>0</v>
      </c>
      <c r="H29" s="99">
        <f>$D29-vlookup(Summary!$C29,Summary!$C$2:$Q$103,3+counta($F$1:H$1),false)</f>
        <v>-0.5</v>
      </c>
      <c r="I29" s="99">
        <f>$D29-vlookup(Summary!$C29,Summary!$C$2:$Q$103,3+counta($F$1:I$1),false)</f>
        <v>0.2</v>
      </c>
      <c r="J29" s="99">
        <f>$D29-vlookup(Summary!$C29,Summary!$C$2:$Q$103,3+counta($F$1:J$1),false)</f>
        <v>-0.6</v>
      </c>
      <c r="K29" s="99">
        <f>$D29-vlookup(Summary!$C29,Summary!$C$2:$Q$103,3+counta($F$1:K$1),false)</f>
        <v>-0.15</v>
      </c>
      <c r="L29" s="99">
        <f>$D29-vlookup(Summary!$C29,Summary!$C$2:$Q$103,3+counta($F$1:L$1),false)</f>
        <v>0.299</v>
      </c>
      <c r="M29" s="99">
        <f>$D29-vlookup(Summary!$C29,Summary!$C$2:$Q$103,3+counta($F$1:M$1),false)</f>
        <v>-0.5</v>
      </c>
      <c r="N29" s="99">
        <f>$D29-vlookup(Summary!$C29,Summary!$C$2:$Q$103,3+counta($F$1:N$1),false)</f>
        <v>-0.6</v>
      </c>
      <c r="O29" s="99">
        <f>$D29-vlookup(Summary!$C29,Summary!$C$2:$Q$103,3+counta($F$1:O$1),false)</f>
        <v>0.299</v>
      </c>
      <c r="P29" s="99">
        <f>$D29-vlookup(Summary!$C29,Summary!$C$2:$Q$103,3+counta($F$1:P$1),false)</f>
        <v>0.2</v>
      </c>
      <c r="Q29" s="99">
        <f>$D29-vlookup(Summary!$C29,Summary!$C$2:$Q$103,3+counta($F$1:Q$1),false)</f>
        <v>-0.25</v>
      </c>
    </row>
    <row r="30" ht="15.75" customHeight="1">
      <c r="A30" s="15">
        <f>Main!A30</f>
        <v>29</v>
      </c>
      <c r="B30" s="15" t="str">
        <f>Main!B30</f>
        <v>Britney Spears returns under conservatorship</v>
      </c>
      <c r="C30" s="15" t="str">
        <f>Main!C30</f>
        <v>Celebrities</v>
      </c>
      <c r="D30" s="15">
        <v>0.1</v>
      </c>
      <c r="F30" s="99">
        <f>$D30-vlookup(Summary!$C30,Summary!$C$2:$Q$103,3+counta($F$1:F$1),false)</f>
        <v>0</v>
      </c>
      <c r="G30" s="99">
        <f>$D30-vlookup(Summary!$C30,Summary!$C$2:$Q$103,3+counta($F$1:G$1),false)</f>
        <v>0</v>
      </c>
      <c r="H30" s="99">
        <f>$D30-vlookup(Summary!$C30,Summary!$C$2:$Q$103,3+counta($F$1:H$1),false)</f>
        <v>0.05</v>
      </c>
      <c r="I30" s="99">
        <f>$D30-vlookup(Summary!$C30,Summary!$C$2:$Q$103,3+counta($F$1:I$1),false)</f>
        <v>0.05</v>
      </c>
      <c r="J30" s="99">
        <f>$D30-vlookup(Summary!$C30,Summary!$C$2:$Q$103,3+counta($F$1:J$1),false)</f>
        <v>0</v>
      </c>
      <c r="K30" s="99">
        <f>$D30-vlookup(Summary!$C30,Summary!$C$2:$Q$103,3+counta($F$1:K$1),false)</f>
        <v>0.1</v>
      </c>
      <c r="L30" s="99">
        <f>$D30-vlookup(Summary!$C30,Summary!$C$2:$Q$103,3+counta($F$1:L$1),false)</f>
        <v>0.05</v>
      </c>
      <c r="M30" s="99">
        <f>$D30-vlookup(Summary!$C30,Summary!$C$2:$Q$103,3+counta($F$1:M$1),false)</f>
        <v>0.05</v>
      </c>
      <c r="N30" s="99">
        <f>$D30-vlookup(Summary!$C30,Summary!$C$2:$Q$103,3+counta($F$1:N$1),false)</f>
        <v>0</v>
      </c>
      <c r="O30" s="99">
        <f>$D30-vlookup(Summary!$C30,Summary!$C$2:$Q$103,3+counta($F$1:O$1),false)</f>
        <v>0.099</v>
      </c>
      <c r="P30" s="99">
        <f>$D30-vlookup(Summary!$C30,Summary!$C$2:$Q$103,3+counta($F$1:P$1),false)</f>
        <v>0</v>
      </c>
      <c r="Q30" s="99">
        <f>$D30-vlookup(Summary!$C30,Summary!$C$2:$Q$103,3+counta($F$1:Q$1),false)</f>
        <v>-0.4</v>
      </c>
    </row>
    <row r="31" ht="15.75" customHeight="1">
      <c r="A31" s="15">
        <f>Main!A31</f>
        <v>30</v>
      </c>
      <c r="B31" s="15" t="str">
        <f>Main!B31</f>
        <v>Taylor Swift and her partner separate, or announce they're expecting a child</v>
      </c>
      <c r="C31" s="15" t="str">
        <f>Main!C31</f>
        <v>Celebrities</v>
      </c>
      <c r="D31" s="15">
        <v>0.3</v>
      </c>
      <c r="F31" s="99">
        <f>$D31-vlookup(Summary!$C31,Summary!$C$2:$Q$103,3+counta($F$1:F$1),false)</f>
        <v>-0.1</v>
      </c>
      <c r="G31" s="99">
        <f>$D31-vlookup(Summary!$C31,Summary!$C$2:$Q$103,3+counta($F$1:G$1),false)</f>
        <v>0</v>
      </c>
      <c r="H31" s="99">
        <f>$D31-vlookup(Summary!$C31,Summary!$C$2:$Q$103,3+counta($F$1:H$1),false)</f>
        <v>-0.4</v>
      </c>
      <c r="I31" s="99">
        <f>$D31-vlookup(Summary!$C31,Summary!$C$2:$Q$103,3+counta($F$1:I$1),false)</f>
        <v>0.2</v>
      </c>
      <c r="J31" s="99">
        <f>$D31-vlookup(Summary!$C31,Summary!$C$2:$Q$103,3+counta($F$1:J$1),false)</f>
        <v>-0.4</v>
      </c>
      <c r="K31" s="99">
        <f>$D31-vlookup(Summary!$C31,Summary!$C$2:$Q$103,3+counta($F$1:K$1),false)</f>
        <v>-0.3</v>
      </c>
      <c r="L31" s="99">
        <f>$D31-vlookup(Summary!$C31,Summary!$C$2:$Q$103,3+counta($F$1:L$1),false)</f>
        <v>0.2</v>
      </c>
      <c r="M31" s="99">
        <f>$D31-vlookup(Summary!$C31,Summary!$C$2:$Q$103,3+counta($F$1:M$1),false)</f>
        <v>-0.4</v>
      </c>
      <c r="N31" s="99">
        <f>$D31-vlookup(Summary!$C31,Summary!$C$2:$Q$103,3+counta($F$1:N$1),false)</f>
        <v>-0.6</v>
      </c>
      <c r="O31" s="99">
        <f>$D31-vlookup(Summary!$C31,Summary!$C$2:$Q$103,3+counta($F$1:O$1),false)</f>
        <v>0.15</v>
      </c>
      <c r="P31" s="99">
        <f>$D31-vlookup(Summary!$C31,Summary!$C$2:$Q$103,3+counta($F$1:P$1),false)</f>
        <v>-0.2</v>
      </c>
      <c r="Q31" s="99">
        <f>$D31-vlookup(Summary!$C31,Summary!$C$2:$Q$103,3+counta($F$1:Q$1),false)</f>
        <v>0.1</v>
      </c>
    </row>
    <row r="32" ht="15.75" customHeight="1">
      <c r="A32" s="15">
        <f>Main!A32</f>
        <v>31</v>
      </c>
      <c r="B32" s="15" t="str">
        <f>Main!B32</f>
        <v>Aung San Suu Kyi dies or announces she has a terminal illness (terminal illness including cancer)</v>
      </c>
      <c r="C32" s="15" t="str">
        <f>Main!C32</f>
        <v>Celebrities</v>
      </c>
      <c r="D32" s="15">
        <v>0.4</v>
      </c>
      <c r="F32" s="99">
        <f>$D32-vlookup(Summary!$C32,Summary!$C$2:$Q$103,3+counta($F$1:F$1),false)</f>
        <v>-0.1</v>
      </c>
      <c r="G32" s="99">
        <f>$D32-vlookup(Summary!$C32,Summary!$C$2:$Q$103,3+counta($F$1:G$1),false)</f>
        <v>0</v>
      </c>
      <c r="H32" s="99">
        <f>$D32-vlookup(Summary!$C32,Summary!$C$2:$Q$103,3+counta($F$1:H$1),false)</f>
        <v>-0.1</v>
      </c>
      <c r="I32" s="99">
        <f>$D32-vlookup(Summary!$C32,Summary!$C$2:$Q$103,3+counta($F$1:I$1),false)</f>
        <v>0.2</v>
      </c>
      <c r="J32" s="99">
        <f>$D32-vlookup(Summary!$C32,Summary!$C$2:$Q$103,3+counta($F$1:J$1),false)</f>
        <v>0.1</v>
      </c>
      <c r="K32" s="99">
        <f>$D32-vlookup(Summary!$C32,Summary!$C$2:$Q$103,3+counta($F$1:K$1),false)</f>
        <v>-0.05</v>
      </c>
      <c r="L32" s="99">
        <f>$D32-vlookup(Summary!$C32,Summary!$C$2:$Q$103,3+counta($F$1:L$1),false)</f>
        <v>0.2</v>
      </c>
      <c r="M32" s="99">
        <f>$D32-vlookup(Summary!$C32,Summary!$C$2:$Q$103,3+counta($F$1:M$1),false)</f>
        <v>-0.1</v>
      </c>
      <c r="N32" s="99">
        <f>$D32-vlookup(Summary!$C32,Summary!$C$2:$Q$103,3+counta($F$1:N$1),false)</f>
        <v>0.3</v>
      </c>
      <c r="O32" s="99">
        <f>$D32-vlookup(Summary!$C32,Summary!$C$2:$Q$103,3+counta($F$1:O$1),false)</f>
        <v>0.05</v>
      </c>
      <c r="P32" s="99">
        <f>$D32-vlookup(Summary!$C32,Summary!$C$2:$Q$103,3+counta($F$1:P$1),false)</f>
        <v>0.3</v>
      </c>
      <c r="Q32" s="99">
        <f>$D32-vlookup(Summary!$C32,Summary!$C$2:$Q$103,3+counta($F$1:Q$1),false)</f>
        <v>-0.1</v>
      </c>
    </row>
    <row r="33" ht="15.75" customHeight="1">
      <c r="A33" s="15">
        <f>Main!A33</f>
        <v>32</v>
      </c>
      <c r="B33" s="15" t="str">
        <f>Main!B33</f>
        <v>Henry Cavill marries</v>
      </c>
      <c r="C33" s="15" t="str">
        <f>Main!C33</f>
        <v>Celebrities</v>
      </c>
      <c r="D33" s="15">
        <v>0.6</v>
      </c>
      <c r="F33" s="99">
        <f>$D33-vlookup(Summary!$C33,Summary!$C$2:$Q$103,3+counta($F$1:F$1),false)</f>
        <v>0.05</v>
      </c>
      <c r="G33" s="99">
        <f>$D33-vlookup(Summary!$C33,Summary!$C$2:$Q$103,3+counta($F$1:G$1),false)</f>
        <v>0</v>
      </c>
      <c r="H33" s="99">
        <f>$D33-vlookup(Summary!$C33,Summary!$C$2:$Q$103,3+counta($F$1:H$1),false)</f>
        <v>0.5</v>
      </c>
      <c r="I33" s="99">
        <f>$D33-vlookup(Summary!$C33,Summary!$C$2:$Q$103,3+counta($F$1:I$1),false)</f>
        <v>0.4</v>
      </c>
      <c r="J33" s="99">
        <f>$D33-vlookup(Summary!$C33,Summary!$C$2:$Q$103,3+counta($F$1:J$1),false)</f>
        <v>0.2</v>
      </c>
      <c r="K33" s="99">
        <f>$D33-vlookup(Summary!$C33,Summary!$C$2:$Q$103,3+counta($F$1:K$1),false)</f>
        <v>0.1</v>
      </c>
      <c r="L33" s="99">
        <f>$D33-vlookup(Summary!$C33,Summary!$C$2:$Q$103,3+counta($F$1:L$1),false)</f>
        <v>0.4</v>
      </c>
      <c r="M33" s="99">
        <f>$D33-vlookup(Summary!$C33,Summary!$C$2:$Q$103,3+counta($F$1:M$1),false)</f>
        <v>0.5</v>
      </c>
      <c r="N33" s="99">
        <f>$D33-vlookup(Summary!$C33,Summary!$C$2:$Q$103,3+counta($F$1:N$1),false)</f>
        <v>0.1</v>
      </c>
      <c r="O33" s="99">
        <f>$D33-vlookup(Summary!$C33,Summary!$C$2:$Q$103,3+counta($F$1:O$1),false)</f>
        <v>0.45</v>
      </c>
      <c r="P33" s="99">
        <f>$D33-vlookup(Summary!$C33,Summary!$C$2:$Q$103,3+counta($F$1:P$1),false)</f>
        <v>0.1</v>
      </c>
      <c r="Q33" s="99">
        <f>$D33-vlookup(Summary!$C33,Summary!$C$2:$Q$103,3+counta($F$1:Q$1),false)</f>
        <v>0.2</v>
      </c>
    </row>
    <row r="34" ht="15.75" customHeight="1">
      <c r="A34" s="15">
        <f>Main!A34</f>
        <v>33</v>
      </c>
      <c r="B34" s="15" t="str">
        <f>Main!B34</f>
        <v>Daily COVID cases in Australia will reach 150,000 at least once</v>
      </c>
      <c r="C34" s="15" t="str">
        <f>Main!C34</f>
        <v>Covid</v>
      </c>
      <c r="D34" s="15">
        <v>0.2</v>
      </c>
      <c r="F34" s="99">
        <f>$D34-vlookup(Summary!$C34,Summary!$C$2:$Q$103,3+counta($F$1:F$1),false)</f>
        <v>0.1</v>
      </c>
      <c r="G34" s="99">
        <f>$D34-vlookup(Summary!$C34,Summary!$C$2:$Q$103,3+counta($F$1:G$1),false)</f>
        <v>0</v>
      </c>
      <c r="H34" s="99">
        <f>$D34-vlookup(Summary!$C34,Summary!$C$2:$Q$103,3+counta($F$1:H$1),false)</f>
        <v>0.19</v>
      </c>
      <c r="I34" s="99">
        <f>$D34-vlookup(Summary!$C34,Summary!$C$2:$Q$103,3+counta($F$1:I$1),false)</f>
        <v>0.1</v>
      </c>
      <c r="J34" s="99">
        <f>$D34-vlookup(Summary!$C34,Summary!$C$2:$Q$103,3+counta($F$1:J$1),false)</f>
        <v>-0.7</v>
      </c>
      <c r="K34" s="99">
        <f>$D34-vlookup(Summary!$C34,Summary!$C$2:$Q$103,3+counta($F$1:K$1),false)</f>
        <v>-0.4</v>
      </c>
      <c r="L34" s="99">
        <f>$D34-vlookup(Summary!$C34,Summary!$C$2:$Q$103,3+counta($F$1:L$1),false)</f>
        <v>0.15</v>
      </c>
      <c r="M34" s="99">
        <f>$D34-vlookup(Summary!$C34,Summary!$C$2:$Q$103,3+counta($F$1:M$1),false)</f>
        <v>0.19</v>
      </c>
      <c r="N34" s="99">
        <f>$D34-vlookup(Summary!$C34,Summary!$C$2:$Q$103,3+counta($F$1:N$1),false)</f>
        <v>-0.2</v>
      </c>
      <c r="O34" s="99">
        <f>$D34-vlookup(Summary!$C34,Summary!$C$2:$Q$103,3+counta($F$1:O$1),false)</f>
        <v>0.05</v>
      </c>
      <c r="P34" s="99">
        <f>$D34-vlookup(Summary!$C34,Summary!$C$2:$Q$103,3+counta($F$1:P$1),false)</f>
        <v>-0.7</v>
      </c>
      <c r="Q34" s="99">
        <f>$D34-vlookup(Summary!$C34,Summary!$C$2:$Q$103,3+counta($F$1:Q$1),false)</f>
        <v>-0.7</v>
      </c>
    </row>
    <row r="35" ht="15.75" customHeight="1">
      <c r="A35" s="15">
        <f>Main!A35</f>
        <v>34</v>
      </c>
      <c r="B35" s="15" t="str">
        <f>Main!B35</f>
        <v>More deaths will be attributed to Omicron by the WHO than all other covid variants combined</v>
      </c>
      <c r="C35" s="15" t="str">
        <f>Main!C35</f>
        <v>Covid</v>
      </c>
      <c r="D35" s="15">
        <v>0.1</v>
      </c>
      <c r="F35" s="99">
        <f>$D35-vlookup(Summary!$C35,Summary!$C$2:$Q$103,3+counta($F$1:F$1),false)</f>
        <v>-0.2</v>
      </c>
      <c r="G35" s="99">
        <f>$D35-vlookup(Summary!$C35,Summary!$C$2:$Q$103,3+counta($F$1:G$1),false)</f>
        <v>0</v>
      </c>
      <c r="H35" s="99">
        <f>$D35-vlookup(Summary!$C35,Summary!$C$2:$Q$103,3+counta($F$1:H$1),false)</f>
        <v>-0.7</v>
      </c>
      <c r="I35" s="99">
        <f>$D35-vlookup(Summary!$C35,Summary!$C$2:$Q$103,3+counta($F$1:I$1),false)</f>
        <v>0</v>
      </c>
      <c r="J35" s="99">
        <f>$D35-vlookup(Summary!$C35,Summary!$C$2:$Q$103,3+counta($F$1:J$1),false)</f>
        <v>-0.3</v>
      </c>
      <c r="K35" s="99">
        <f>$D35-vlookup(Summary!$C35,Summary!$C$2:$Q$103,3+counta($F$1:K$1),false)</f>
        <v>-0.65</v>
      </c>
      <c r="L35" s="99">
        <f>$D35-vlookup(Summary!$C35,Summary!$C$2:$Q$103,3+counta($F$1:L$1),false)</f>
        <v>0.099</v>
      </c>
      <c r="M35" s="99">
        <f>$D35-vlookup(Summary!$C35,Summary!$C$2:$Q$103,3+counta($F$1:M$1),false)</f>
        <v>-0.7</v>
      </c>
      <c r="N35" s="99">
        <f>$D35-vlookup(Summary!$C35,Summary!$C$2:$Q$103,3+counta($F$1:N$1),false)</f>
        <v>-0.2</v>
      </c>
      <c r="O35" s="99">
        <f>$D35-vlookup(Summary!$C35,Summary!$C$2:$Q$103,3+counta($F$1:O$1),false)</f>
        <v>-0.75</v>
      </c>
      <c r="P35" s="99">
        <f>$D35-vlookup(Summary!$C35,Summary!$C$2:$Q$103,3+counta($F$1:P$1),false)</f>
        <v>-0.4</v>
      </c>
      <c r="Q35" s="99">
        <f>$D35-vlookup(Summary!$C35,Summary!$C$2:$Q$103,3+counta($F$1:Q$1),false)</f>
        <v>-0.6</v>
      </c>
    </row>
    <row r="36" ht="15.75" customHeight="1">
      <c r="A36" s="15">
        <f>Main!A36</f>
        <v>35</v>
      </c>
      <c r="B36" s="15" t="str">
        <f>Main!B36</f>
        <v>The average number of covid vaccinations per person amongst members of Xmas eve 2022 will be &gt; 3</v>
      </c>
      <c r="C36" s="15" t="str">
        <f>Main!C36</f>
        <v>Covid</v>
      </c>
      <c r="D36" s="15">
        <v>0.9</v>
      </c>
      <c r="F36" s="99">
        <f>$D36-vlookup(Summary!$C36,Summary!$C$2:$Q$103,3+counta($F$1:F$1),false)</f>
        <v>0.1</v>
      </c>
      <c r="G36" s="99">
        <f>$D36-vlookup(Summary!$C36,Summary!$C$2:$Q$103,3+counta($F$1:G$1),false)</f>
        <v>0</v>
      </c>
      <c r="H36" s="99">
        <f>$D36-vlookup(Summary!$C36,Summary!$C$2:$Q$103,3+counta($F$1:H$1),false)</f>
        <v>0</v>
      </c>
      <c r="I36" s="99">
        <f>$D36-vlookup(Summary!$C36,Summary!$C$2:$Q$103,3+counta($F$1:I$1),false)</f>
        <v>0.4</v>
      </c>
      <c r="J36" s="99">
        <f>$D36-vlookup(Summary!$C36,Summary!$C$2:$Q$103,3+counta($F$1:J$1),false)</f>
        <v>0.5</v>
      </c>
      <c r="K36" s="99">
        <f>$D36-vlookup(Summary!$C36,Summary!$C$2:$Q$103,3+counta($F$1:K$1),false)</f>
        <v>0.1</v>
      </c>
      <c r="L36" s="99">
        <f>$D36-vlookup(Summary!$C36,Summary!$C$2:$Q$103,3+counta($F$1:L$1),false)</f>
        <v>-0.099</v>
      </c>
      <c r="M36" s="99">
        <f>$D36-vlookup(Summary!$C36,Summary!$C$2:$Q$103,3+counta($F$1:M$1),false)</f>
        <v>0</v>
      </c>
      <c r="N36" s="99">
        <f>$D36-vlookup(Summary!$C36,Summary!$C$2:$Q$103,3+counta($F$1:N$1),false)</f>
        <v>0</v>
      </c>
      <c r="O36" s="99">
        <f>$D36-vlookup(Summary!$C36,Summary!$C$2:$Q$103,3+counta($F$1:O$1),false)</f>
        <v>0.05</v>
      </c>
      <c r="P36" s="99">
        <f>$D36-vlookup(Summary!$C36,Summary!$C$2:$Q$103,3+counta($F$1:P$1),false)</f>
        <v>0</v>
      </c>
      <c r="Q36" s="99">
        <f>$D36-vlookup(Summary!$C36,Summary!$C$2:$Q$103,3+counta($F$1:Q$1),false)</f>
        <v>0.5</v>
      </c>
    </row>
    <row r="37" ht="15.75" customHeight="1">
      <c r="A37" s="15">
        <f>Main!A37</f>
        <v>36</v>
      </c>
      <c r="B37" s="15" t="str">
        <f>Main!B37</f>
        <v>2 new variants of Covid will be invented/discovered during 2022</v>
      </c>
      <c r="C37" s="15" t="str">
        <f>Main!C37</f>
        <v>Covid</v>
      </c>
      <c r="D37" s="15">
        <v>0.3</v>
      </c>
      <c r="F37" s="99">
        <f>$D37-vlookup(Summary!$C37,Summary!$C$2:$Q$103,3+counta($F$1:F$1),false)</f>
        <v>0</v>
      </c>
      <c r="G37" s="99">
        <f>$D37-vlookup(Summary!$C37,Summary!$C$2:$Q$103,3+counta($F$1:G$1),false)</f>
        <v>0</v>
      </c>
      <c r="H37" s="99">
        <f>$D37-vlookup(Summary!$C37,Summary!$C$2:$Q$103,3+counta($F$1:H$1),false)</f>
        <v>-0.5</v>
      </c>
      <c r="I37" s="99">
        <f>$D37-vlookup(Summary!$C37,Summary!$C$2:$Q$103,3+counta($F$1:I$1),false)</f>
        <v>0</v>
      </c>
      <c r="J37" s="99">
        <f>$D37-vlookup(Summary!$C37,Summary!$C$2:$Q$103,3+counta($F$1:J$1),false)</f>
        <v>-0.6</v>
      </c>
      <c r="K37" s="99">
        <f>$D37-vlookup(Summary!$C37,Summary!$C$2:$Q$103,3+counta($F$1:K$1),false)</f>
        <v>-0.55</v>
      </c>
      <c r="L37" s="99">
        <f>$D37-vlookup(Summary!$C37,Summary!$C$2:$Q$103,3+counta($F$1:L$1),false)</f>
        <v>0.299</v>
      </c>
      <c r="M37" s="99">
        <f>$D37-vlookup(Summary!$C37,Summary!$C$2:$Q$103,3+counta($F$1:M$1),false)</f>
        <v>-0.5</v>
      </c>
      <c r="N37" s="99">
        <f>$D37-vlookup(Summary!$C37,Summary!$C$2:$Q$103,3+counta($F$1:N$1),false)</f>
        <v>-0.6</v>
      </c>
      <c r="O37" s="99">
        <f>$D37-vlookup(Summary!$C37,Summary!$C$2:$Q$103,3+counta($F$1:O$1),false)</f>
        <v>-0.05</v>
      </c>
      <c r="P37" s="99">
        <f>$D37-vlookup(Summary!$C37,Summary!$C$2:$Q$103,3+counta($F$1:P$1),false)</f>
        <v>-0.6</v>
      </c>
      <c r="Q37" s="99">
        <f>$D37-vlookup(Summary!$C37,Summary!$C$2:$Q$103,3+counta($F$1:Q$1),false)</f>
        <v>-0.1</v>
      </c>
    </row>
    <row r="38" ht="15.75" customHeight="1">
      <c r="A38" s="15">
        <f>Main!A38</f>
        <v>37</v>
      </c>
      <c r="B38" s="15" t="str">
        <f>Main!B38</f>
        <v>Tasmania will have experienced at least 10,000 new cases in 1 day</v>
      </c>
      <c r="C38" s="15" t="str">
        <f>Main!C38</f>
        <v>Covid</v>
      </c>
      <c r="D38" s="15">
        <v>0.1</v>
      </c>
      <c r="F38" s="99">
        <f>$D38-vlookup(Summary!$C38,Summary!$C$2:$Q$103,3+counta($F$1:F$1),false)</f>
        <v>-0.05</v>
      </c>
      <c r="G38" s="99">
        <f>$D38-vlookup(Summary!$C38,Summary!$C$2:$Q$103,3+counta($F$1:G$1),false)</f>
        <v>0</v>
      </c>
      <c r="H38" s="99">
        <f>$D38-vlookup(Summary!$C38,Summary!$C$2:$Q$103,3+counta($F$1:H$1),false)</f>
        <v>0.05</v>
      </c>
      <c r="I38" s="99">
        <f>$D38-vlookup(Summary!$C38,Summary!$C$2:$Q$103,3+counta($F$1:I$1),false)</f>
        <v>0</v>
      </c>
      <c r="J38" s="99">
        <f>$D38-vlookup(Summary!$C38,Summary!$C$2:$Q$103,3+counta($F$1:J$1),false)</f>
        <v>-0.2</v>
      </c>
      <c r="K38" s="99">
        <f>$D38-vlookup(Summary!$C38,Summary!$C$2:$Q$103,3+counta($F$1:K$1),false)</f>
        <v>-0.35</v>
      </c>
      <c r="L38" s="99">
        <f>$D38-vlookup(Summary!$C38,Summary!$C$2:$Q$103,3+counta($F$1:L$1),false)</f>
        <v>0.099</v>
      </c>
      <c r="M38" s="99">
        <f>$D38-vlookup(Summary!$C38,Summary!$C$2:$Q$103,3+counta($F$1:M$1),false)</f>
        <v>0.08</v>
      </c>
      <c r="N38" s="99">
        <f>$D38-vlookup(Summary!$C38,Summary!$C$2:$Q$103,3+counta($F$1:N$1),false)</f>
        <v>0</v>
      </c>
      <c r="O38" s="99">
        <f>$D38-vlookup(Summary!$C38,Summary!$C$2:$Q$103,3+counta($F$1:O$1),false)</f>
        <v>0.099</v>
      </c>
      <c r="P38" s="99">
        <f>$D38-vlookup(Summary!$C38,Summary!$C$2:$Q$103,3+counta($F$1:P$1),false)</f>
        <v>-0.4</v>
      </c>
      <c r="Q38" s="99">
        <f>$D38-vlookup(Summary!$C38,Summary!$C$2:$Q$103,3+counta($F$1:Q$1),false)</f>
        <v>-0.45</v>
      </c>
    </row>
    <row r="39" ht="15.75" customHeight="1">
      <c r="A39" s="15">
        <f>Main!A39</f>
        <v>38</v>
      </c>
      <c r="B39" s="15" t="str">
        <f>Main!B39</f>
        <v>WHO switches to another alphabet than the Greek alphabet for Covid variants</v>
      </c>
      <c r="C39" s="15" t="str">
        <f>Main!C39</f>
        <v>Covid</v>
      </c>
      <c r="D39" s="15">
        <v>0.8</v>
      </c>
      <c r="F39" s="99">
        <f>$D39-vlookup(Summary!$C39,Summary!$C$2:$Q$103,3+counta($F$1:F$1),false)</f>
        <v>0.35</v>
      </c>
      <c r="G39" s="99">
        <f>$D39-vlookup(Summary!$C39,Summary!$C$2:$Q$103,3+counta($F$1:G$1),false)</f>
        <v>0</v>
      </c>
      <c r="H39" s="99">
        <f>$D39-vlookup(Summary!$C39,Summary!$C$2:$Q$103,3+counta($F$1:H$1),false)</f>
        <v>0.6</v>
      </c>
      <c r="I39" s="99">
        <f>$D39-vlookup(Summary!$C39,Summary!$C$2:$Q$103,3+counta($F$1:I$1),false)</f>
        <v>0.7</v>
      </c>
      <c r="J39" s="99">
        <f>$D39-vlookup(Summary!$C39,Summary!$C$2:$Q$103,3+counta($F$1:J$1),false)</f>
        <v>0.3</v>
      </c>
      <c r="K39" s="99">
        <f>$D39-vlookup(Summary!$C39,Summary!$C$2:$Q$103,3+counta($F$1:K$1),false)</f>
        <v>-0.1</v>
      </c>
      <c r="L39" s="99">
        <f>$D39-vlookup(Summary!$C39,Summary!$C$2:$Q$103,3+counta($F$1:L$1),false)</f>
        <v>0.3</v>
      </c>
      <c r="M39" s="99">
        <f>$D39-vlookup(Summary!$C39,Summary!$C$2:$Q$103,3+counta($F$1:M$1),false)</f>
        <v>0.6</v>
      </c>
      <c r="N39" s="99">
        <f>$D39-vlookup(Summary!$C39,Summary!$C$2:$Q$103,3+counta($F$1:N$1),false)</f>
        <v>-0.1</v>
      </c>
      <c r="O39" s="99">
        <f>$D39-vlookup(Summary!$C39,Summary!$C$2:$Q$103,3+counta($F$1:O$1),false)</f>
        <v>0.65</v>
      </c>
      <c r="P39" s="99">
        <f>$D39-vlookup(Summary!$C39,Summary!$C$2:$Q$103,3+counta($F$1:P$1),false)</f>
        <v>0.7</v>
      </c>
      <c r="Q39" s="99">
        <f>$D39-vlookup(Summary!$C39,Summary!$C$2:$Q$103,3+counta($F$1:Q$1),false)</f>
        <v>0.45</v>
      </c>
    </row>
    <row r="40" ht="15.75" customHeight="1">
      <c r="A40" s="15">
        <f>Main!A40</f>
        <v>39</v>
      </c>
      <c r="B40" s="15" t="str">
        <f>Main!B40</f>
        <v>Lachy and Jac's extension will be completed</v>
      </c>
      <c r="C40" s="15" t="str">
        <f>Main!C40</f>
        <v>Family</v>
      </c>
      <c r="D40" s="15">
        <v>0.8</v>
      </c>
      <c r="F40" s="99">
        <f>$D40-vlookup(Summary!$C40,Summary!$C$2:$Q$103,3+counta($F$1:F$1),false)</f>
        <v>0.1</v>
      </c>
      <c r="G40" s="99">
        <f>$D40-vlookup(Summary!$C40,Summary!$C$2:$Q$103,3+counta($F$1:G$1),false)</f>
        <v>0</v>
      </c>
      <c r="H40" s="99">
        <f>$D40-vlookup(Summary!$C40,Summary!$C$2:$Q$103,3+counta($F$1:H$1),false)</f>
        <v>0.7</v>
      </c>
      <c r="I40" s="99">
        <f>$D40-vlookup(Summary!$C40,Summary!$C$2:$Q$103,3+counta($F$1:I$1),false)</f>
        <v>0.3</v>
      </c>
      <c r="J40" s="99">
        <f>$D40-vlookup(Summary!$C40,Summary!$C$2:$Q$103,3+counta($F$1:J$1),false)</f>
        <v>0</v>
      </c>
      <c r="K40" s="99">
        <f>$D40-vlookup(Summary!$C40,Summary!$C$2:$Q$103,3+counta($F$1:K$1),false)</f>
        <v>0.4</v>
      </c>
      <c r="L40" s="99">
        <f>$D40-vlookup(Summary!$C40,Summary!$C$2:$Q$103,3+counta($F$1:L$1),false)</f>
        <v>0.3</v>
      </c>
      <c r="M40" s="99">
        <f>$D40-vlookup(Summary!$C40,Summary!$C$2:$Q$103,3+counta($F$1:M$1),false)</f>
        <v>0.8</v>
      </c>
      <c r="N40" s="99">
        <f>$D40-vlookup(Summary!$C40,Summary!$C$2:$Q$103,3+counta($F$1:N$1),false)</f>
        <v>-0.1</v>
      </c>
      <c r="O40" s="99">
        <f>$D40-vlookup(Summary!$C40,Summary!$C$2:$Q$103,3+counta($F$1:O$1),false)</f>
        <v>-0.05</v>
      </c>
      <c r="P40" s="99">
        <f>$D40-vlookup(Summary!$C40,Summary!$C$2:$Q$103,3+counta($F$1:P$1),false)</f>
        <v>0.3</v>
      </c>
      <c r="Q40" s="99">
        <f>$D40-vlookup(Summary!$C40,Summary!$C$2:$Q$103,3+counta($F$1:Q$1),false)</f>
        <v>0.65</v>
      </c>
    </row>
    <row r="41" ht="15.75" customHeight="1">
      <c r="A41" s="15">
        <f>Main!A41</f>
        <v>40</v>
      </c>
      <c r="B41" s="15" t="str">
        <f>Main!B41</f>
        <v>Rohan will work for two different employers (not his own family members)</v>
      </c>
      <c r="C41" s="15" t="str">
        <f>Main!C41</f>
        <v>Family</v>
      </c>
      <c r="D41" s="15">
        <v>0.6</v>
      </c>
      <c r="F41" s="99">
        <f>$D41-vlookup(Summary!$C41,Summary!$C$2:$Q$103,3+counta($F$1:F$1),false)</f>
        <v>0.2</v>
      </c>
      <c r="G41" s="99">
        <f>$D41-vlookup(Summary!$C41,Summary!$C$2:$Q$103,3+counta($F$1:G$1),false)</f>
        <v>0</v>
      </c>
      <c r="H41" s="99">
        <f>$D41-vlookup(Summary!$C41,Summary!$C$2:$Q$103,3+counta($F$1:H$1),false)</f>
        <v>0.5</v>
      </c>
      <c r="I41" s="99">
        <f>$D41-vlookup(Summary!$C41,Summary!$C$2:$Q$103,3+counta($F$1:I$1),false)</f>
        <v>0.3</v>
      </c>
      <c r="J41" s="99">
        <f>$D41-vlookup(Summary!$C41,Summary!$C$2:$Q$103,3+counta($F$1:J$1),false)</f>
        <v>0.1</v>
      </c>
      <c r="K41" s="99">
        <f>$D41-vlookup(Summary!$C41,Summary!$C$2:$Q$103,3+counta($F$1:K$1),false)</f>
        <v>0.3</v>
      </c>
      <c r="L41" s="99">
        <f>$D41-vlookup(Summary!$C41,Summary!$C$2:$Q$103,3+counta($F$1:L$1),false)</f>
        <v>0.3</v>
      </c>
      <c r="M41" s="99">
        <f>$D41-vlookup(Summary!$C41,Summary!$C$2:$Q$103,3+counta($F$1:M$1),false)</f>
        <v>0.5</v>
      </c>
      <c r="N41" s="99">
        <f>$D41-vlookup(Summary!$C41,Summary!$C$2:$Q$103,3+counta($F$1:N$1),false)</f>
        <v>0</v>
      </c>
      <c r="O41" s="99">
        <f>$D41-vlookup(Summary!$C41,Summary!$C$2:$Q$103,3+counta($F$1:O$1),false)</f>
        <v>0.45</v>
      </c>
      <c r="P41" s="99">
        <f>$D41-vlookup(Summary!$C41,Summary!$C$2:$Q$103,3+counta($F$1:P$1),false)</f>
        <v>0.1</v>
      </c>
      <c r="Q41" s="99">
        <f>$D41-vlookup(Summary!$C41,Summary!$C$2:$Q$103,3+counta($F$1:Q$1),false)</f>
        <v>0.3</v>
      </c>
    </row>
    <row r="42" ht="15.75" customHeight="1">
      <c r="A42" s="15">
        <f>Main!A42</f>
        <v>41</v>
      </c>
      <c r="B42" s="15" t="str">
        <f>Main!B42</f>
        <v>Kate will swim the Broulee Bay to Breakers in March 2022 and improve her position from 9th in the 40s women’s age group</v>
      </c>
      <c r="C42" s="15" t="str">
        <f>Main!C42</f>
        <v>Family</v>
      </c>
      <c r="D42" s="15">
        <v>0.8</v>
      </c>
      <c r="F42" s="99">
        <f>$D42-vlookup(Summary!$C42,Summary!$C$2:$Q$103,3+counta($F$1:F$1),false)</f>
        <v>0.2</v>
      </c>
      <c r="G42" s="99">
        <f>$D42-vlookup(Summary!$C42,Summary!$C$2:$Q$103,3+counta($F$1:G$1),false)</f>
        <v>0</v>
      </c>
      <c r="H42" s="99">
        <f>$D42-vlookup(Summary!$C42,Summary!$C$2:$Q$103,3+counta($F$1:H$1),false)</f>
        <v>-0.1</v>
      </c>
      <c r="I42" s="99">
        <f>$D42-vlookup(Summary!$C42,Summary!$C$2:$Q$103,3+counta($F$1:I$1),false)</f>
        <v>0.3</v>
      </c>
      <c r="J42" s="99">
        <f>$D42-vlookup(Summary!$C42,Summary!$C$2:$Q$103,3+counta($F$1:J$1),false)</f>
        <v>-0.1</v>
      </c>
      <c r="K42" s="99">
        <f>$D42-vlookup(Summary!$C42,Summary!$C$2:$Q$103,3+counta($F$1:K$1),false)</f>
        <v>0.1</v>
      </c>
      <c r="L42" s="99">
        <f>$D42-vlookup(Summary!$C42,Summary!$C$2:$Q$103,3+counta($F$1:L$1),false)</f>
        <v>0.2</v>
      </c>
      <c r="M42" s="99">
        <f>$D42-vlookup(Summary!$C42,Summary!$C$2:$Q$103,3+counta($F$1:M$1),false)</f>
        <v>-0.1</v>
      </c>
      <c r="N42" s="99">
        <f>$D42-vlookup(Summary!$C42,Summary!$C$2:$Q$103,3+counta($F$1:N$1),false)</f>
        <v>0.6</v>
      </c>
      <c r="O42" s="99">
        <f>$D42-vlookup(Summary!$C42,Summary!$C$2:$Q$103,3+counta($F$1:O$1),false)</f>
        <v>-0.05</v>
      </c>
      <c r="P42" s="99">
        <f>$D42-vlookup(Summary!$C42,Summary!$C$2:$Q$103,3+counta($F$1:P$1),false)</f>
        <v>-0.1</v>
      </c>
      <c r="Q42" s="99">
        <f>$D42-vlookup(Summary!$C42,Summary!$C$2:$Q$103,3+counta($F$1:Q$1),false)</f>
        <v>0.3</v>
      </c>
    </row>
    <row r="43" ht="15.75" customHeight="1">
      <c r="A43" s="15">
        <f>Main!A43</f>
        <v>42</v>
      </c>
      <c r="B43" s="15" t="str">
        <f>Main!B43</f>
        <v>Rohan will be at least 6ft tall</v>
      </c>
      <c r="C43" s="15" t="str">
        <f>Main!C43</f>
        <v>Family</v>
      </c>
      <c r="D43" s="15">
        <v>0.9</v>
      </c>
      <c r="F43" s="99">
        <f>$D43-vlookup(Summary!$C43,Summary!$C$2:$Q$103,3+counta($F$1:F$1),false)</f>
        <v>0.4</v>
      </c>
      <c r="G43" s="99">
        <f>$D43-vlookup(Summary!$C43,Summary!$C$2:$Q$103,3+counta($F$1:G$1),false)</f>
        <v>0</v>
      </c>
      <c r="H43" s="99">
        <f>$D43-vlookup(Summary!$C43,Summary!$C$2:$Q$103,3+counta($F$1:H$1),false)</f>
        <v>0</v>
      </c>
      <c r="I43" s="99">
        <f>$D43-vlookup(Summary!$C43,Summary!$C$2:$Q$103,3+counta($F$1:I$1),false)</f>
        <v>0.5</v>
      </c>
      <c r="J43" s="99">
        <f>$D43-vlookup(Summary!$C43,Summary!$C$2:$Q$103,3+counta($F$1:J$1),false)</f>
        <v>0</v>
      </c>
      <c r="K43" s="99">
        <f>$D43-vlookup(Summary!$C43,Summary!$C$2:$Q$103,3+counta($F$1:K$1),false)</f>
        <v>0.899</v>
      </c>
      <c r="L43" s="99">
        <f>$D43-vlookup(Summary!$C43,Summary!$C$2:$Q$103,3+counta($F$1:L$1),false)</f>
        <v>-0.09999</v>
      </c>
      <c r="M43" s="99">
        <f>$D43-vlookup(Summary!$C43,Summary!$C$2:$Q$103,3+counta($F$1:M$1),false)</f>
        <v>0</v>
      </c>
      <c r="N43" s="99">
        <f>$D43-vlookup(Summary!$C43,Summary!$C$2:$Q$103,3+counta($F$1:N$1),false)</f>
        <v>0</v>
      </c>
      <c r="O43" s="99">
        <f>$D43-vlookup(Summary!$C43,Summary!$C$2:$Q$103,3+counta($F$1:O$1),false)</f>
        <v>-0.099</v>
      </c>
      <c r="P43" s="99">
        <f>$D43-vlookup(Summary!$C43,Summary!$C$2:$Q$103,3+counta($F$1:P$1),false)</f>
        <v>0</v>
      </c>
      <c r="Q43" s="99">
        <f>$D43-vlookup(Summary!$C43,Summary!$C$2:$Q$103,3+counta($F$1:Q$1),false)</f>
        <v>-0.09</v>
      </c>
    </row>
    <row r="44" ht="15.75" customHeight="1">
      <c r="A44" s="15">
        <f>Main!A44</f>
        <v>43</v>
      </c>
      <c r="B44" s="15" t="str">
        <f>Main!B44</f>
        <v>A participant in the prediction game will get a dog or another dog </v>
      </c>
      <c r="C44" s="15" t="str">
        <f>Main!C44</f>
        <v>Family</v>
      </c>
      <c r="D44" s="15">
        <v>0.95</v>
      </c>
      <c r="F44" s="99">
        <f>$D44-vlookup(Summary!$C44,Summary!$C$2:$Q$103,3+counta($F$1:F$1),false)</f>
        <v>0.45</v>
      </c>
      <c r="G44" s="99">
        <f>$D44-vlookup(Summary!$C44,Summary!$C$2:$Q$103,3+counta($F$1:G$1),false)</f>
        <v>0</v>
      </c>
      <c r="H44" s="99">
        <f>$D44-vlookup(Summary!$C44,Summary!$C$2:$Q$103,3+counta($F$1:H$1),false)</f>
        <v>0.85</v>
      </c>
      <c r="I44" s="99">
        <f>$D44-vlookup(Summary!$C44,Summary!$C$2:$Q$103,3+counta($F$1:I$1),false)</f>
        <v>0.85</v>
      </c>
      <c r="J44" s="99">
        <f>$D44-vlookup(Summary!$C44,Summary!$C$2:$Q$103,3+counta($F$1:J$1),false)</f>
        <v>0.05</v>
      </c>
      <c r="K44" s="99">
        <f>$D44-vlookup(Summary!$C44,Summary!$C$2:$Q$103,3+counta($F$1:K$1),false)</f>
        <v>0.2</v>
      </c>
      <c r="L44" s="99">
        <f>$D44-vlookup(Summary!$C44,Summary!$C$2:$Q$103,3+counta($F$1:L$1),false)</f>
        <v>0.75</v>
      </c>
      <c r="M44" s="99">
        <f>$D44-vlookup(Summary!$C44,Summary!$C$2:$Q$103,3+counta($F$1:M$1),false)</f>
        <v>0.85</v>
      </c>
      <c r="N44" s="99">
        <f>$D44-vlookup(Summary!$C44,Summary!$C$2:$Q$103,3+counta($F$1:N$1),false)</f>
        <v>0.85</v>
      </c>
      <c r="O44" s="99">
        <f>$D44-vlookup(Summary!$C44,Summary!$C$2:$Q$103,3+counta($F$1:O$1),false)</f>
        <v>0.949</v>
      </c>
      <c r="P44" s="99">
        <f>$D44-vlookup(Summary!$C44,Summary!$C$2:$Q$103,3+counta($F$1:P$1),false)</f>
        <v>0.45</v>
      </c>
      <c r="Q44" s="99">
        <f>$D44-vlookup(Summary!$C44,Summary!$C$2:$Q$103,3+counta($F$1:Q$1),false)</f>
        <v>0.7</v>
      </c>
    </row>
    <row r="45" ht="15.75" customHeight="1">
      <c r="A45" s="15">
        <f>Main!A45</f>
        <v>44</v>
      </c>
      <c r="B45" s="15" t="str">
        <f>Main!B45</f>
        <v>There will be a flow of water into the Lake Eyre basin in 2022</v>
      </c>
      <c r="C45" s="15" t="str">
        <f>Main!C45</f>
        <v>Natural world</v>
      </c>
      <c r="D45" s="15">
        <v>0.8</v>
      </c>
      <c r="F45" s="99">
        <f>$D45-vlookup(Summary!$C45,Summary!$C$2:$Q$103,3+counta($F$1:F$1),false)</f>
        <v>0.05</v>
      </c>
      <c r="G45" s="99">
        <f>$D45-vlookup(Summary!$C45,Summary!$C$2:$Q$103,3+counta($F$1:G$1),false)</f>
        <v>0</v>
      </c>
      <c r="H45" s="99">
        <f>$D45-vlookup(Summary!$C45,Summary!$C$2:$Q$103,3+counta($F$1:H$1),false)</f>
        <v>0.3</v>
      </c>
      <c r="I45" s="99">
        <f>$D45-vlookup(Summary!$C45,Summary!$C$2:$Q$103,3+counta($F$1:I$1),false)</f>
        <v>0.3</v>
      </c>
      <c r="J45" s="99">
        <f>$D45-vlookup(Summary!$C45,Summary!$C$2:$Q$103,3+counta($F$1:J$1),false)</f>
        <v>0.5</v>
      </c>
      <c r="K45" s="99">
        <f>$D45-vlookup(Summary!$C45,Summary!$C$2:$Q$103,3+counta($F$1:K$1),false)</f>
        <v>0.1</v>
      </c>
      <c r="L45" s="99">
        <f>$D45-vlookup(Summary!$C45,Summary!$C$2:$Q$103,3+counta($F$1:L$1),false)</f>
        <v>0</v>
      </c>
      <c r="M45" s="99">
        <f>$D45-vlookup(Summary!$C45,Summary!$C$2:$Q$103,3+counta($F$1:M$1),false)</f>
        <v>0.3</v>
      </c>
      <c r="N45" s="99">
        <f>$D45-vlookup(Summary!$C45,Summary!$C$2:$Q$103,3+counta($F$1:N$1),false)</f>
        <v>0.2</v>
      </c>
      <c r="O45" s="99">
        <f>$D45-vlookup(Summary!$C45,Summary!$C$2:$Q$103,3+counta($F$1:O$1),false)</f>
        <v>0.15</v>
      </c>
      <c r="P45" s="99">
        <f>$D45-vlookup(Summary!$C45,Summary!$C$2:$Q$103,3+counta($F$1:P$1),false)</f>
        <v>-0.1</v>
      </c>
      <c r="Q45" s="99">
        <f>$D45-vlookup(Summary!$C45,Summary!$C$2:$Q$103,3+counta($F$1:Q$1),false)</f>
        <v>0.3</v>
      </c>
    </row>
    <row r="46" ht="15.75" customHeight="1">
      <c r="A46" s="15">
        <f>Main!A46</f>
        <v>45</v>
      </c>
      <c r="B46" s="15" t="str">
        <f>Main!B46</f>
        <v>Water from the Paroo will spill into the Darling in 2022</v>
      </c>
      <c r="C46" s="15" t="str">
        <f>Main!C46</f>
        <v>Natural world</v>
      </c>
      <c r="D46" s="15">
        <v>0.7</v>
      </c>
      <c r="F46" s="99">
        <f>$D46-vlookup(Summary!$C46,Summary!$C$2:$Q$103,3+counta($F$1:F$1),false)</f>
        <v>0.2</v>
      </c>
      <c r="G46" s="99">
        <f>$D46-vlookup(Summary!$C46,Summary!$C$2:$Q$103,3+counta($F$1:G$1),false)</f>
        <v>0</v>
      </c>
      <c r="H46" s="99">
        <f>$D46-vlookup(Summary!$C46,Summary!$C$2:$Q$103,3+counta($F$1:H$1),false)</f>
        <v>0.2</v>
      </c>
      <c r="I46" s="99">
        <f>$D46-vlookup(Summary!$C46,Summary!$C$2:$Q$103,3+counta($F$1:I$1),false)</f>
        <v>0.2</v>
      </c>
      <c r="J46" s="99">
        <f>$D46-vlookup(Summary!$C46,Summary!$C$2:$Q$103,3+counta($F$1:J$1),false)</f>
        <v>0.1</v>
      </c>
      <c r="K46" s="99">
        <f>$D46-vlookup(Summary!$C46,Summary!$C$2:$Q$103,3+counta($F$1:K$1),false)</f>
        <v>0.1</v>
      </c>
      <c r="L46" s="99">
        <f>$D46-vlookup(Summary!$C46,Summary!$C$2:$Q$103,3+counta($F$1:L$1),false)</f>
        <v>-0.1</v>
      </c>
      <c r="M46" s="99">
        <f>$D46-vlookup(Summary!$C46,Summary!$C$2:$Q$103,3+counta($F$1:M$1),false)</f>
        <v>0.2</v>
      </c>
      <c r="N46" s="99">
        <f>$D46-vlookup(Summary!$C46,Summary!$C$2:$Q$103,3+counta($F$1:N$1),false)</f>
        <v>0.1</v>
      </c>
      <c r="O46" s="99">
        <f>$D46-vlookup(Summary!$C46,Summary!$C$2:$Q$103,3+counta($F$1:O$1),false)</f>
        <v>0.2</v>
      </c>
      <c r="P46" s="99">
        <f>$D46-vlookup(Summary!$C46,Summary!$C$2:$Q$103,3+counta($F$1:P$1),false)</f>
        <v>0.6</v>
      </c>
      <c r="Q46" s="99">
        <f>$D46-vlookup(Summary!$C46,Summary!$C$2:$Q$103,3+counta($F$1:Q$1),false)</f>
        <v>0.2</v>
      </c>
    </row>
    <row r="47" ht="15.75" customHeight="1">
      <c r="A47" s="15">
        <f>Main!A47</f>
        <v>46</v>
      </c>
      <c r="B47" s="15" t="str">
        <f>Main!B47</f>
        <v>In the Antarctic the Thwaites Glacier ice-shelf will collapse in 2022</v>
      </c>
      <c r="C47" s="15" t="str">
        <f>Main!C47</f>
        <v>Natural world</v>
      </c>
      <c r="D47" s="15">
        <v>0.25</v>
      </c>
      <c r="F47" s="99">
        <f>$D47-vlookup(Summary!$C47,Summary!$C$2:$Q$103,3+counta($F$1:F$1),false)</f>
        <v>-0.25</v>
      </c>
      <c r="G47" s="99">
        <f>$D47-vlookup(Summary!$C47,Summary!$C$2:$Q$103,3+counta($F$1:G$1),false)</f>
        <v>0</v>
      </c>
      <c r="H47" s="99">
        <f>$D47-vlookup(Summary!$C47,Summary!$C$2:$Q$103,3+counta($F$1:H$1),false)</f>
        <v>-0.45</v>
      </c>
      <c r="I47" s="99">
        <f>$D47-vlookup(Summary!$C47,Summary!$C$2:$Q$103,3+counta($F$1:I$1),false)</f>
        <v>-0.25</v>
      </c>
      <c r="J47" s="99">
        <f>$D47-vlookup(Summary!$C47,Summary!$C$2:$Q$103,3+counta($F$1:J$1),false)</f>
        <v>-0.45</v>
      </c>
      <c r="K47" s="99">
        <f>$D47-vlookup(Summary!$C47,Summary!$C$2:$Q$103,3+counta($F$1:K$1),false)</f>
        <v>-0.45</v>
      </c>
      <c r="L47" s="99">
        <f>$D47-vlookup(Summary!$C47,Summary!$C$2:$Q$103,3+counta($F$1:L$1),false)</f>
        <v>0.15</v>
      </c>
      <c r="M47" s="99">
        <f>$D47-vlookup(Summary!$C47,Summary!$C$2:$Q$103,3+counta($F$1:M$1),false)</f>
        <v>-0.45</v>
      </c>
      <c r="N47" s="99">
        <f>$D47-vlookup(Summary!$C47,Summary!$C$2:$Q$103,3+counta($F$1:N$1),false)</f>
        <v>0.05</v>
      </c>
      <c r="O47" s="99">
        <f>$D47-vlookup(Summary!$C47,Summary!$C$2:$Q$103,3+counta($F$1:O$1),false)</f>
        <v>-0.1</v>
      </c>
      <c r="P47" s="99">
        <f>$D47-vlookup(Summary!$C47,Summary!$C$2:$Q$103,3+counta($F$1:P$1),false)</f>
        <v>-0.25</v>
      </c>
      <c r="Q47" s="99">
        <f>$D47-vlookup(Summary!$C47,Summary!$C$2:$Q$103,3+counta($F$1:Q$1),false)</f>
        <v>-0.25</v>
      </c>
    </row>
    <row r="48" ht="15.75" customHeight="1">
      <c r="A48" s="15">
        <f>Main!A48</f>
        <v>47</v>
      </c>
      <c r="B48" s="15" t="str">
        <f>Main!B48</f>
        <v>At least three quarters of the Great Barrier Reef will be bleached as a result of warming seas.</v>
      </c>
      <c r="C48" s="15" t="str">
        <f>Main!C48</f>
        <v>Natural world</v>
      </c>
      <c r="D48" s="15">
        <v>0.8</v>
      </c>
      <c r="F48" s="99">
        <f>$D48-vlookup(Summary!$C48,Summary!$C$2:$Q$103,3+counta($F$1:F$1),false)</f>
        <v>0.3</v>
      </c>
      <c r="G48" s="99">
        <f>$D48-vlookup(Summary!$C48,Summary!$C$2:$Q$103,3+counta($F$1:G$1),false)</f>
        <v>0</v>
      </c>
      <c r="H48" s="99">
        <f>$D48-vlookup(Summary!$C48,Summary!$C$2:$Q$103,3+counta($F$1:H$1),false)</f>
        <v>0.1</v>
      </c>
      <c r="I48" s="99">
        <f>$D48-vlookup(Summary!$C48,Summary!$C$2:$Q$103,3+counta($F$1:I$1),false)</f>
        <v>0.3</v>
      </c>
      <c r="J48" s="99">
        <f>$D48-vlookup(Summary!$C48,Summary!$C$2:$Q$103,3+counta($F$1:J$1),false)</f>
        <v>0</v>
      </c>
      <c r="K48" s="99">
        <f>$D48-vlookup(Summary!$C48,Summary!$C$2:$Q$103,3+counta($F$1:K$1),false)</f>
        <v>-0.05</v>
      </c>
      <c r="L48" s="99">
        <f>$D48-vlookup(Summary!$C48,Summary!$C$2:$Q$103,3+counta($F$1:L$1),false)</f>
        <v>0.3</v>
      </c>
      <c r="M48" s="99">
        <f>$D48-vlookup(Summary!$C48,Summary!$C$2:$Q$103,3+counta($F$1:M$1),false)</f>
        <v>0.1</v>
      </c>
      <c r="N48" s="99">
        <f>$D48-vlookup(Summary!$C48,Summary!$C$2:$Q$103,3+counta($F$1:N$1),false)</f>
        <v>0.1</v>
      </c>
      <c r="O48" s="99">
        <f>$D48-vlookup(Summary!$C48,Summary!$C$2:$Q$103,3+counta($F$1:O$1),false)</f>
        <v>0.45</v>
      </c>
      <c r="P48" s="99">
        <f>$D48-vlookup(Summary!$C48,Summary!$C$2:$Q$103,3+counta($F$1:P$1),false)</f>
        <v>0.3</v>
      </c>
      <c r="Q48" s="99">
        <f>$D48-vlookup(Summary!$C48,Summary!$C$2:$Q$103,3+counta($F$1:Q$1),false)</f>
        <v>0.4</v>
      </c>
    </row>
    <row r="49" ht="15.75" customHeight="1">
      <c r="A49" s="15">
        <f>Main!A49</f>
        <v>48</v>
      </c>
      <c r="B49" s="15" t="str">
        <f>Main!B49</f>
        <v>Sabine Hoffstader will release a Youtube video explaining that the nature of dark matter has been confirmed experimentally</v>
      </c>
      <c r="C49" s="15" t="str">
        <f>Main!C49</f>
        <v>Natural world</v>
      </c>
      <c r="D49" s="15">
        <v>0.25</v>
      </c>
      <c r="F49" s="99">
        <f>$D49-vlookup(Summary!$C49,Summary!$C$2:$Q$103,3+counta($F$1:F$1),false)</f>
        <v>-0.25</v>
      </c>
      <c r="G49" s="99">
        <f>$D49-vlookup(Summary!$C49,Summary!$C$2:$Q$103,3+counta($F$1:G$1),false)</f>
        <v>0</v>
      </c>
      <c r="H49" s="99">
        <f>$D49-vlookup(Summary!$C49,Summary!$C$2:$Q$103,3+counta($F$1:H$1),false)</f>
        <v>0.15</v>
      </c>
      <c r="I49" s="99">
        <f>$D49-vlookup(Summary!$C49,Summary!$C$2:$Q$103,3+counta($F$1:I$1),false)</f>
        <v>-0.25</v>
      </c>
      <c r="J49" s="99">
        <f>$D49-vlookup(Summary!$C49,Summary!$C$2:$Q$103,3+counta($F$1:J$1),false)</f>
        <v>-0.25</v>
      </c>
      <c r="K49" s="99">
        <f>$D49-vlookup(Summary!$C49,Summary!$C$2:$Q$103,3+counta($F$1:K$1),false)</f>
        <v>-0.4</v>
      </c>
      <c r="L49" s="99">
        <f>$D49-vlookup(Summary!$C49,Summary!$C$2:$Q$103,3+counta($F$1:L$1),false)</f>
        <v>-0.35</v>
      </c>
      <c r="M49" s="99">
        <f>$D49-vlookup(Summary!$C49,Summary!$C$2:$Q$103,3+counta($F$1:M$1),false)</f>
        <v>0.15</v>
      </c>
      <c r="N49" s="99">
        <f>$D49-vlookup(Summary!$C49,Summary!$C$2:$Q$103,3+counta($F$1:N$1),false)</f>
        <v>-0.25</v>
      </c>
      <c r="O49" s="99">
        <f>$D49-vlookup(Summary!$C49,Summary!$C$2:$Q$103,3+counta($F$1:O$1),false)</f>
        <v>0.249</v>
      </c>
      <c r="P49" s="99">
        <f>$D49-vlookup(Summary!$C49,Summary!$C$2:$Q$103,3+counta($F$1:P$1),false)</f>
        <v>-0.25</v>
      </c>
      <c r="Q49" s="99">
        <f>$D49-vlookup(Summary!$C49,Summary!$C$2:$Q$103,3+counta($F$1:Q$1),false)</f>
        <v>-0.25</v>
      </c>
    </row>
    <row r="50" ht="15.75" customHeight="1">
      <c r="A50" s="15">
        <f>Main!A50</f>
        <v>49</v>
      </c>
      <c r="B50" s="15" t="str">
        <f>Main!B50</f>
        <v>2022 will be the hottest year on record globally (via NASA)</v>
      </c>
      <c r="C50" s="15" t="str">
        <f>Main!C50</f>
        <v>Natural world</v>
      </c>
      <c r="D50" s="15">
        <v>0.45</v>
      </c>
      <c r="F50" s="99">
        <f>$D50-vlookup(Summary!$C50,Summary!$C$2:$Q$103,3+counta($F$1:F$1),false)</f>
        <v>0.15</v>
      </c>
      <c r="G50" s="99">
        <f>$D50-vlookup(Summary!$C50,Summary!$C$2:$Q$103,3+counta($F$1:G$1),false)</f>
        <v>0</v>
      </c>
      <c r="H50" s="99">
        <f>$D50-vlookup(Summary!$C50,Summary!$C$2:$Q$103,3+counta($F$1:H$1),false)</f>
        <v>-0.5</v>
      </c>
      <c r="I50" s="99">
        <f>$D50-vlookup(Summary!$C50,Summary!$C$2:$Q$103,3+counta($F$1:I$1),false)</f>
        <v>0.15</v>
      </c>
      <c r="J50" s="99">
        <f>$D50-vlookup(Summary!$C50,Summary!$C$2:$Q$103,3+counta($F$1:J$1),false)</f>
        <v>-0.35</v>
      </c>
      <c r="K50" s="99">
        <f>$D50-vlookup(Summary!$C50,Summary!$C$2:$Q$103,3+counta($F$1:K$1),false)</f>
        <v>-0.37</v>
      </c>
      <c r="L50" s="99">
        <f>$D50-vlookup(Summary!$C50,Summary!$C$2:$Q$103,3+counta($F$1:L$1),false)</f>
        <v>0.25</v>
      </c>
      <c r="M50" s="99">
        <f>$D50-vlookup(Summary!$C50,Summary!$C$2:$Q$103,3+counta($F$1:M$1),false)</f>
        <v>-0.5</v>
      </c>
      <c r="N50" s="99">
        <f>$D50-vlookup(Summary!$C50,Summary!$C$2:$Q$103,3+counta($F$1:N$1),false)</f>
        <v>0.15</v>
      </c>
      <c r="O50" s="99">
        <f>$D50-vlookup(Summary!$C50,Summary!$C$2:$Q$103,3+counta($F$1:O$1),false)</f>
        <v>0.3</v>
      </c>
      <c r="P50" s="99">
        <f>$D50-vlookup(Summary!$C50,Summary!$C$2:$Q$103,3+counta($F$1:P$1),false)</f>
        <v>-0.15</v>
      </c>
      <c r="Q50" s="99">
        <f>$D50-vlookup(Summary!$C50,Summary!$C$2:$Q$103,3+counta($F$1:Q$1),false)</f>
        <v>0.05</v>
      </c>
    </row>
    <row r="51" ht="15.75" customHeight="1">
      <c r="A51" s="15">
        <f>Main!A51</f>
        <v>50</v>
      </c>
      <c r="B51" s="15" t="str">
        <f>Main!B51</f>
        <v>A cultivated chilli will replace the Carolina Reaper as the world’s hottest, as measured in scoville units (GWR seems to be the source of this currently)</v>
      </c>
      <c r="C51" s="15" t="str">
        <f>Main!C51</f>
        <v>Natural world</v>
      </c>
      <c r="D51" s="15">
        <v>0.51</v>
      </c>
      <c r="F51" s="99">
        <f>$D51-vlookup(Summary!$C51,Summary!$C$2:$Q$103,3+counta($F$1:F$1),false)</f>
        <v>-0.09</v>
      </c>
      <c r="G51" s="99">
        <f>$D51-vlookup(Summary!$C51,Summary!$C$2:$Q$103,3+counta($F$1:G$1),false)</f>
        <v>0</v>
      </c>
      <c r="H51" s="99">
        <f>$D51-vlookup(Summary!$C51,Summary!$C$2:$Q$103,3+counta($F$1:H$1),false)</f>
        <v>-0.19</v>
      </c>
      <c r="I51" s="99">
        <f>$D51-vlookup(Summary!$C51,Summary!$C$2:$Q$103,3+counta($F$1:I$1),false)</f>
        <v>-0.29</v>
      </c>
      <c r="J51" s="99">
        <f>$D51-vlookup(Summary!$C51,Summary!$C$2:$Q$103,3+counta($F$1:J$1),false)</f>
        <v>0.31</v>
      </c>
      <c r="K51" s="99">
        <f>$D51-vlookup(Summary!$C51,Summary!$C$2:$Q$103,3+counta($F$1:K$1),false)</f>
        <v>-0.24</v>
      </c>
      <c r="L51" s="99">
        <f>$D51-vlookup(Summary!$C51,Summary!$C$2:$Q$103,3+counta($F$1:L$1),false)</f>
        <v>0.01</v>
      </c>
      <c r="M51" s="99">
        <f>$D51-vlookup(Summary!$C51,Summary!$C$2:$Q$103,3+counta($F$1:M$1),false)</f>
        <v>-0.19</v>
      </c>
      <c r="N51" s="99">
        <f>$D51-vlookup(Summary!$C51,Summary!$C$2:$Q$103,3+counta($F$1:N$1),false)</f>
        <v>-0.29</v>
      </c>
      <c r="O51" s="99">
        <f>$D51-vlookup(Summary!$C51,Summary!$C$2:$Q$103,3+counta($F$1:O$1),false)</f>
        <v>-0.14</v>
      </c>
      <c r="P51" s="99">
        <f>$D51-vlookup(Summary!$C51,Summary!$C$2:$Q$103,3+counta($F$1:P$1),false)</f>
        <v>0.01</v>
      </c>
      <c r="Q51" s="99">
        <f>$D51-vlookup(Summary!$C51,Summary!$C$2:$Q$103,3+counta($F$1:Q$1),false)</f>
        <v>-0.29</v>
      </c>
    </row>
    <row r="52" ht="15.75" customHeight="1">
      <c r="A52" s="15">
        <f>Main!A52</f>
        <v>51</v>
      </c>
      <c r="B52" s="15" t="str">
        <f>Main!B52</f>
        <v>Christchurch will experience an earthquake of at least 4 on the Richter scale</v>
      </c>
      <c r="C52" s="15" t="str">
        <f>Main!C52</f>
        <v>Natural world</v>
      </c>
      <c r="D52" s="15">
        <v>0.25</v>
      </c>
      <c r="F52" s="99">
        <f>$D52-vlookup(Summary!$C52,Summary!$C$2:$Q$103,3+counta($F$1:F$1),false)</f>
        <v>-0.15</v>
      </c>
      <c r="G52" s="99">
        <f>$D52-vlookup(Summary!$C52,Summary!$C$2:$Q$103,3+counta($F$1:G$1),false)</f>
        <v>0</v>
      </c>
      <c r="H52" s="99">
        <f>$D52-vlookup(Summary!$C52,Summary!$C$2:$Q$103,3+counta($F$1:H$1),false)</f>
        <v>-0.45</v>
      </c>
      <c r="I52" s="99">
        <f>$D52-vlookup(Summary!$C52,Summary!$C$2:$Q$103,3+counta($F$1:I$1),false)</f>
        <v>-0.45</v>
      </c>
      <c r="J52" s="99">
        <f>$D52-vlookup(Summary!$C52,Summary!$C$2:$Q$103,3+counta($F$1:J$1),false)</f>
        <v>-0.25</v>
      </c>
      <c r="K52" s="99">
        <f>$D52-vlookup(Summary!$C52,Summary!$C$2:$Q$103,3+counta($F$1:K$1),false)</f>
        <v>-0.4</v>
      </c>
      <c r="L52" s="99">
        <f>$D52-vlookup(Summary!$C52,Summary!$C$2:$Q$103,3+counta($F$1:L$1),false)</f>
        <v>-0.05</v>
      </c>
      <c r="M52" s="99">
        <f>$D52-vlookup(Summary!$C52,Summary!$C$2:$Q$103,3+counta($F$1:M$1),false)</f>
        <v>-0.45</v>
      </c>
      <c r="N52" s="99">
        <f>$D52-vlookup(Summary!$C52,Summary!$C$2:$Q$103,3+counta($F$1:N$1),false)</f>
        <v>-0.15</v>
      </c>
      <c r="O52" s="99">
        <f>$D52-vlookup(Summary!$C52,Summary!$C$2:$Q$103,3+counta($F$1:O$1),false)</f>
        <v>-0.4</v>
      </c>
      <c r="P52" s="99">
        <f>$D52-vlookup(Summary!$C52,Summary!$C$2:$Q$103,3+counta($F$1:P$1),false)</f>
        <v>0.15</v>
      </c>
      <c r="Q52" s="99">
        <f>$D52-vlookup(Summary!$C52,Summary!$C$2:$Q$103,3+counta($F$1:Q$1),false)</f>
        <v>-0.25</v>
      </c>
    </row>
    <row r="53" ht="15.75" customHeight="1">
      <c r="A53" s="15">
        <f>Main!A53</f>
        <v>52</v>
      </c>
      <c r="B53" s="15" t="str">
        <f>Main!B53</f>
        <v>Pope Francis will condemn the metaverse or warn of its potential damage</v>
      </c>
      <c r="C53" s="15" t="str">
        <f>Main!C53</f>
        <v>Society</v>
      </c>
      <c r="D53" s="15">
        <v>0.2</v>
      </c>
      <c r="F53" s="99">
        <f>$D53-vlookup(Summary!$C53,Summary!$C$2:$Q$103,3+counta($F$1:F$1),false)</f>
        <v>-0.4</v>
      </c>
      <c r="G53" s="99">
        <f>$D53-vlookup(Summary!$C53,Summary!$C$2:$Q$103,3+counta($F$1:G$1),false)</f>
        <v>0</v>
      </c>
      <c r="H53" s="99">
        <f>$D53-vlookup(Summary!$C53,Summary!$C$2:$Q$103,3+counta($F$1:H$1),false)</f>
        <v>-0.1</v>
      </c>
      <c r="I53" s="99">
        <f>$D53-vlookup(Summary!$C53,Summary!$C$2:$Q$103,3+counta($F$1:I$1),false)</f>
        <v>-0.3</v>
      </c>
      <c r="J53" s="99">
        <f>$D53-vlookup(Summary!$C53,Summary!$C$2:$Q$103,3+counta($F$1:J$1),false)</f>
        <v>-0.7</v>
      </c>
      <c r="K53" s="99">
        <f>$D53-vlookup(Summary!$C53,Summary!$C$2:$Q$103,3+counta($F$1:K$1),false)</f>
        <v>-0.6</v>
      </c>
      <c r="L53" s="99">
        <f>$D53-vlookup(Summary!$C53,Summary!$C$2:$Q$103,3+counta($F$1:L$1),false)</f>
        <v>-0.3</v>
      </c>
      <c r="M53" s="99">
        <f>$D53-vlookup(Summary!$C53,Summary!$C$2:$Q$103,3+counta($F$1:M$1),false)</f>
        <v>-0.1</v>
      </c>
      <c r="N53" s="99">
        <f>$D53-vlookup(Summary!$C53,Summary!$C$2:$Q$103,3+counta($F$1:N$1),false)</f>
        <v>0.1</v>
      </c>
      <c r="O53" s="99">
        <f>$D53-vlookup(Summary!$C53,Summary!$C$2:$Q$103,3+counta($F$1:O$1),false)</f>
        <v>-0.15</v>
      </c>
      <c r="P53" s="99">
        <f>$D53-vlookup(Summary!$C53,Summary!$C$2:$Q$103,3+counta($F$1:P$1),false)</f>
        <v>-0.3</v>
      </c>
      <c r="Q53" s="99">
        <f>$D53-vlookup(Summary!$C53,Summary!$C$2:$Q$103,3+counta($F$1:Q$1),false)</f>
        <v>0</v>
      </c>
    </row>
    <row r="54" ht="15.75" customHeight="1">
      <c r="A54" s="15">
        <f>Main!A54</f>
        <v>53</v>
      </c>
      <c r="B54" s="15" t="str">
        <f>Main!B54</f>
        <v>The 4th most popular baby name for girls in Australia will be Isla according to the NSW Government popular baby names site</v>
      </c>
      <c r="C54" s="15" t="str">
        <f>Main!C54</f>
        <v>Society</v>
      </c>
      <c r="D54" s="15">
        <v>0.4</v>
      </c>
      <c r="F54" s="99">
        <f>$D54-vlookup(Summary!$C54,Summary!$C$2:$Q$103,3+counta($F$1:F$1),false)</f>
        <v>0.05</v>
      </c>
      <c r="G54" s="99">
        <f>$D54-vlookup(Summary!$C54,Summary!$C$2:$Q$103,3+counta($F$1:G$1),false)</f>
        <v>0</v>
      </c>
      <c r="H54" s="99">
        <f>$D54-vlookup(Summary!$C54,Summary!$C$2:$Q$103,3+counta($F$1:H$1),false)</f>
        <v>-0.1</v>
      </c>
      <c r="I54" s="99">
        <f>$D54-vlookup(Summary!$C54,Summary!$C$2:$Q$103,3+counta($F$1:I$1),false)</f>
        <v>0.3</v>
      </c>
      <c r="J54" s="99">
        <f>$D54-vlookup(Summary!$C54,Summary!$C$2:$Q$103,3+counta($F$1:J$1),false)</f>
        <v>-0.4</v>
      </c>
      <c r="K54" s="99">
        <f>$D54-vlookup(Summary!$C54,Summary!$C$2:$Q$103,3+counta($F$1:K$1),false)</f>
        <v>-0.5</v>
      </c>
      <c r="L54" s="99">
        <f>$D54-vlookup(Summary!$C54,Summary!$C$2:$Q$103,3+counta($F$1:L$1),false)</f>
        <v>0.2</v>
      </c>
      <c r="M54" s="99">
        <f>$D54-vlookup(Summary!$C54,Summary!$C$2:$Q$103,3+counta($F$1:M$1),false)</f>
        <v>-0.1</v>
      </c>
      <c r="N54" s="99">
        <f>$D54-vlookup(Summary!$C54,Summary!$C$2:$Q$103,3+counta($F$1:N$1),false)</f>
        <v>-0.5</v>
      </c>
      <c r="O54" s="99">
        <f>$D54-vlookup(Summary!$C54,Summary!$C$2:$Q$103,3+counta($F$1:O$1),false)</f>
        <v>0.05</v>
      </c>
      <c r="P54" s="99">
        <f>$D54-vlookup(Summary!$C54,Summary!$C$2:$Q$103,3+counta($F$1:P$1),false)</f>
        <v>0.3</v>
      </c>
      <c r="Q54" s="99">
        <f>$D54-vlookup(Summary!$C54,Summary!$C$2:$Q$103,3+counta($F$1:Q$1),false)</f>
        <v>-0.4</v>
      </c>
    </row>
    <row r="55" ht="15.75" customHeight="1">
      <c r="A55" s="15">
        <f>Main!A55</f>
        <v>54</v>
      </c>
      <c r="B55" s="15" t="str">
        <f>Main!B55</f>
        <v>The 4th most popular baby name for boys in Australia will be Leo according to the NSW Government popular baby names site</v>
      </c>
      <c r="C55" s="15" t="str">
        <f>Main!C55</f>
        <v>Society</v>
      </c>
      <c r="D55" s="15">
        <v>0.4</v>
      </c>
      <c r="F55" s="99">
        <f>$D55-vlookup(Summary!$C55,Summary!$C$2:$Q$103,3+counta($F$1:F$1),false)</f>
        <v>0.05</v>
      </c>
      <c r="G55" s="99">
        <f>$D55-vlookup(Summary!$C55,Summary!$C$2:$Q$103,3+counta($F$1:G$1),false)</f>
        <v>0</v>
      </c>
      <c r="H55" s="99">
        <f>$D55-vlookup(Summary!$C55,Summary!$C$2:$Q$103,3+counta($F$1:H$1),false)</f>
        <v>-0.1</v>
      </c>
      <c r="I55" s="99">
        <f>$D55-vlookup(Summary!$C55,Summary!$C$2:$Q$103,3+counta($F$1:I$1),false)</f>
        <v>0.3</v>
      </c>
      <c r="J55" s="99">
        <f>$D55-vlookup(Summary!$C55,Summary!$C$2:$Q$103,3+counta($F$1:J$1),false)</f>
        <v>-0.3</v>
      </c>
      <c r="K55" s="99">
        <f>$D55-vlookup(Summary!$C55,Summary!$C$2:$Q$103,3+counta($F$1:K$1),false)</f>
        <v>-0.5</v>
      </c>
      <c r="L55" s="99">
        <f>$D55-vlookup(Summary!$C55,Summary!$C$2:$Q$103,3+counta($F$1:L$1),false)</f>
        <v>0.2</v>
      </c>
      <c r="M55" s="99">
        <f>$D55-vlookup(Summary!$C55,Summary!$C$2:$Q$103,3+counta($F$1:M$1),false)</f>
        <v>-0.1</v>
      </c>
      <c r="N55" s="99">
        <f>$D55-vlookup(Summary!$C55,Summary!$C$2:$Q$103,3+counta($F$1:N$1),false)</f>
        <v>0.2</v>
      </c>
      <c r="O55" s="99">
        <f>$D55-vlookup(Summary!$C55,Summary!$C$2:$Q$103,3+counta($F$1:O$1),false)</f>
        <v>0.05</v>
      </c>
      <c r="P55" s="99">
        <f>$D55-vlookup(Summary!$C55,Summary!$C$2:$Q$103,3+counta($F$1:P$1),false)</f>
        <v>0.3</v>
      </c>
      <c r="Q55" s="99">
        <f>$D55-vlookup(Summary!$C55,Summary!$C$2:$Q$103,3+counta($F$1:Q$1),false)</f>
        <v>0.2</v>
      </c>
    </row>
    <row r="56" ht="15.75" customHeight="1">
      <c r="A56" s="15">
        <f>Main!A56</f>
        <v>55</v>
      </c>
      <c r="B56" s="15" t="str">
        <f>Main!B56</f>
        <v>A statue in Australia will be removed because of negative associations with its history or colonial ties.</v>
      </c>
      <c r="C56" s="15" t="str">
        <f>Main!C56</f>
        <v>Society</v>
      </c>
      <c r="D56" s="15">
        <v>0.9</v>
      </c>
      <c r="F56" s="99">
        <f>$D56-vlookup(Summary!$C56,Summary!$C$2:$Q$103,3+counta($F$1:F$1),false)</f>
        <v>0.7</v>
      </c>
      <c r="G56" s="99">
        <f>$D56-vlookup(Summary!$C56,Summary!$C$2:$Q$103,3+counta($F$1:G$1),false)</f>
        <v>0</v>
      </c>
      <c r="H56" s="99">
        <f>$D56-vlookup(Summary!$C56,Summary!$C$2:$Q$103,3+counta($F$1:H$1),false)</f>
        <v>0.1</v>
      </c>
      <c r="I56" s="99">
        <f>$D56-vlookup(Summary!$C56,Summary!$C$2:$Q$103,3+counta($F$1:I$1),false)</f>
        <v>0.7</v>
      </c>
      <c r="J56" s="99">
        <f>$D56-vlookup(Summary!$C56,Summary!$C$2:$Q$103,3+counta($F$1:J$1),false)</f>
        <v>0.1</v>
      </c>
      <c r="K56" s="99">
        <f>$D56-vlookup(Summary!$C56,Summary!$C$2:$Q$103,3+counta($F$1:K$1),false)</f>
        <v>0.3</v>
      </c>
      <c r="L56" s="99">
        <f>$D56-vlookup(Summary!$C56,Summary!$C$2:$Q$103,3+counta($F$1:L$1),false)</f>
        <v>0.5</v>
      </c>
      <c r="M56" s="99">
        <f>$D56-vlookup(Summary!$C56,Summary!$C$2:$Q$103,3+counta($F$1:M$1),false)</f>
        <v>0.1</v>
      </c>
      <c r="N56" s="99">
        <f>$D56-vlookup(Summary!$C56,Summary!$C$2:$Q$103,3+counta($F$1:N$1),false)</f>
        <v>0.8</v>
      </c>
      <c r="O56" s="99">
        <f>$D56-vlookup(Summary!$C56,Summary!$C$2:$Q$103,3+counta($F$1:O$1),false)</f>
        <v>0.75</v>
      </c>
      <c r="P56" s="99">
        <f>$D56-vlookup(Summary!$C56,Summary!$C$2:$Q$103,3+counta($F$1:P$1),false)</f>
        <v>0.2</v>
      </c>
      <c r="Q56" s="99">
        <f>$D56-vlookup(Summary!$C56,Summary!$C$2:$Q$103,3+counta($F$1:Q$1),false)</f>
        <v>0.3</v>
      </c>
    </row>
    <row r="57" ht="15.75" customHeight="1">
      <c r="A57" s="15">
        <f>Main!A57</f>
        <v>56</v>
      </c>
      <c r="B57" s="15" t="str">
        <f>Main!B57</f>
        <v>Dave Chapelle’s special ‘The Closer’ will be available to watch on Netflix (Aus or US)</v>
      </c>
      <c r="C57" s="15" t="str">
        <f>Main!C57</f>
        <v>Society</v>
      </c>
      <c r="D57" s="15">
        <v>0.6</v>
      </c>
      <c r="F57" s="99">
        <f>$D57-vlookup(Summary!$C57,Summary!$C$2:$Q$103,3+counta($F$1:F$1),false)</f>
        <v>-0.2</v>
      </c>
      <c r="G57" s="99">
        <f>$D57-vlookup(Summary!$C57,Summary!$C$2:$Q$103,3+counta($F$1:G$1),false)</f>
        <v>0</v>
      </c>
      <c r="H57" s="99">
        <f>$D57-vlookup(Summary!$C57,Summary!$C$2:$Q$103,3+counta($F$1:H$1),false)</f>
        <v>0.1</v>
      </c>
      <c r="I57" s="99">
        <f>$D57-vlookup(Summary!$C57,Summary!$C$2:$Q$103,3+counta($F$1:I$1),false)</f>
        <v>-0.2</v>
      </c>
      <c r="J57" s="99">
        <f>$D57-vlookup(Summary!$C57,Summary!$C$2:$Q$103,3+counta($F$1:J$1),false)</f>
        <v>0</v>
      </c>
      <c r="K57" s="99">
        <f>$D57-vlookup(Summary!$C57,Summary!$C$2:$Q$103,3+counta($F$1:K$1),false)</f>
        <v>0.1</v>
      </c>
      <c r="L57" s="99">
        <f>$D57-vlookup(Summary!$C57,Summary!$C$2:$Q$103,3+counta($F$1:L$1),false)</f>
        <v>0</v>
      </c>
      <c r="M57" s="99">
        <f>$D57-vlookup(Summary!$C57,Summary!$C$2:$Q$103,3+counta($F$1:M$1),false)</f>
        <v>0.1</v>
      </c>
      <c r="N57" s="99">
        <f>$D57-vlookup(Summary!$C57,Summary!$C$2:$Q$103,3+counta($F$1:N$1),false)</f>
        <v>0.4</v>
      </c>
      <c r="O57" s="99">
        <f>$D57-vlookup(Summary!$C57,Summary!$C$2:$Q$103,3+counta($F$1:O$1),false)</f>
        <v>-0.399</v>
      </c>
      <c r="P57" s="99">
        <f>$D57-vlookup(Summary!$C57,Summary!$C$2:$Q$103,3+counta($F$1:P$1),false)</f>
        <v>0.1</v>
      </c>
      <c r="Q57" s="99">
        <f>$D57-vlookup(Summary!$C57,Summary!$C$2:$Q$103,3+counta($F$1:Q$1),false)</f>
        <v>0.1</v>
      </c>
    </row>
    <row r="58" ht="15.75" customHeight="1">
      <c r="A58" s="15">
        <f>Main!A58</f>
        <v>57</v>
      </c>
      <c r="B58" s="15" t="str">
        <f>Main!B58</f>
        <v>An actor in a Disney film or TV show will have their contract ‘cancelled’ due to social pressure related to a social media post or opinion they have expressed publicly.</v>
      </c>
      <c r="C58" s="15" t="str">
        <f>Main!C58</f>
        <v>Society</v>
      </c>
      <c r="D58" s="15">
        <v>0.4</v>
      </c>
      <c r="F58" s="99">
        <f>$D58-vlookup(Summary!$C58,Summary!$C$2:$Q$103,3+counta($F$1:F$1),false)</f>
        <v>-0.3</v>
      </c>
      <c r="G58" s="99">
        <f>$D58-vlookup(Summary!$C58,Summary!$C$2:$Q$103,3+counta($F$1:G$1),false)</f>
        <v>0</v>
      </c>
      <c r="H58" s="99">
        <f>$D58-vlookup(Summary!$C58,Summary!$C$2:$Q$103,3+counta($F$1:H$1),false)</f>
        <v>-0.2</v>
      </c>
      <c r="I58" s="99">
        <f>$D58-vlookup(Summary!$C58,Summary!$C$2:$Q$103,3+counta($F$1:I$1),false)</f>
        <v>-0.4</v>
      </c>
      <c r="J58" s="99">
        <f>$D58-vlookup(Summary!$C58,Summary!$C$2:$Q$103,3+counta($F$1:J$1),false)</f>
        <v>-0.4</v>
      </c>
      <c r="K58" s="99">
        <f>$D58-vlookup(Summary!$C58,Summary!$C$2:$Q$103,3+counta($F$1:K$1),false)</f>
        <v>-0.3</v>
      </c>
      <c r="L58" s="99">
        <f>$D58-vlookup(Summary!$C58,Summary!$C$2:$Q$103,3+counta($F$1:L$1),false)</f>
        <v>-0.1</v>
      </c>
      <c r="M58" s="99">
        <f>$D58-vlookup(Summary!$C58,Summary!$C$2:$Q$103,3+counta($F$1:M$1),false)</f>
        <v>-0.2</v>
      </c>
      <c r="N58" s="99">
        <f>$D58-vlookup(Summary!$C58,Summary!$C$2:$Q$103,3+counta($F$1:N$1),false)</f>
        <v>-0.4</v>
      </c>
      <c r="O58" s="99">
        <f>$D58-vlookup(Summary!$C58,Summary!$C$2:$Q$103,3+counta($F$1:O$1),false)</f>
        <v>-0.25</v>
      </c>
      <c r="P58" s="99">
        <f>$D58-vlookup(Summary!$C58,Summary!$C$2:$Q$103,3+counta($F$1:P$1),false)</f>
        <v>-0.1</v>
      </c>
      <c r="Q58" s="99">
        <f>$D58-vlookup(Summary!$C58,Summary!$C$2:$Q$103,3+counta($F$1:Q$1),false)</f>
        <v>0</v>
      </c>
    </row>
    <row r="59" ht="15.75" customHeight="1">
      <c r="A59" s="15">
        <f>Main!A59</f>
        <v>58</v>
      </c>
      <c r="B59" s="15" t="str">
        <f>Main!B59</f>
        <v>An Australian company or department will mandate the inclusion or visibility of preferred gender pronouns, whether through an HR directory or email signatures.</v>
      </c>
      <c r="C59" s="15" t="str">
        <f>Main!C59</f>
        <v>Society</v>
      </c>
      <c r="D59" s="15">
        <v>0.95</v>
      </c>
      <c r="F59" s="99">
        <f>$D59-vlookup(Summary!$C59,Summary!$C$2:$Q$103,3+counta($F$1:F$1),false)</f>
        <v>0.3</v>
      </c>
      <c r="G59" s="99">
        <f>$D59-vlookup(Summary!$C59,Summary!$C$2:$Q$103,3+counta($F$1:G$1),false)</f>
        <v>0</v>
      </c>
      <c r="H59" s="99">
        <f>$D59-vlookup(Summary!$C59,Summary!$C$2:$Q$103,3+counta($F$1:H$1),false)</f>
        <v>0.35</v>
      </c>
      <c r="I59" s="99">
        <f>$D59-vlookup(Summary!$C59,Summary!$C$2:$Q$103,3+counta($F$1:I$1),false)</f>
        <v>0.15</v>
      </c>
      <c r="J59" s="99">
        <f>$D59-vlookup(Summary!$C59,Summary!$C$2:$Q$103,3+counta($F$1:J$1),false)</f>
        <v>0.45</v>
      </c>
      <c r="K59" s="99">
        <f>$D59-vlookup(Summary!$C59,Summary!$C$2:$Q$103,3+counta($F$1:K$1),false)</f>
        <v>0.2</v>
      </c>
      <c r="L59" s="99">
        <f>$D59-vlookup(Summary!$C59,Summary!$C$2:$Q$103,3+counta($F$1:L$1),false)</f>
        <v>0.45</v>
      </c>
      <c r="M59" s="99">
        <f>$D59-vlookup(Summary!$C59,Summary!$C$2:$Q$103,3+counta($F$1:M$1),false)</f>
        <v>0.35</v>
      </c>
      <c r="N59" s="99">
        <f>$D59-vlookup(Summary!$C59,Summary!$C$2:$Q$103,3+counta($F$1:N$1),false)</f>
        <v>0.15</v>
      </c>
      <c r="O59" s="99">
        <f>$D59-vlookup(Summary!$C59,Summary!$C$2:$Q$103,3+counta($F$1:O$1),false)</f>
        <v>0.6</v>
      </c>
      <c r="P59" s="99">
        <f>$D59-vlookup(Summary!$C59,Summary!$C$2:$Q$103,3+counta($F$1:P$1),false)</f>
        <v>0.45</v>
      </c>
      <c r="Q59" s="99">
        <f>$D59-vlookup(Summary!$C59,Summary!$C$2:$Q$103,3+counta($F$1:Q$1),false)</f>
        <v>0.55</v>
      </c>
    </row>
    <row r="60" ht="15.75" customHeight="1">
      <c r="A60" s="15">
        <f>Main!A60</f>
        <v>59</v>
      </c>
      <c r="B60" s="15" t="str">
        <f>Main!B60</f>
        <v>More than 30% of Australians will have been born overseas (currently 29.8%)</v>
      </c>
      <c r="C60" s="15" t="str">
        <f>Main!C60</f>
        <v>Society</v>
      </c>
      <c r="D60" s="15">
        <v>0.6</v>
      </c>
      <c r="F60" s="99">
        <f>$D60-vlookup(Summary!$C60,Summary!$C$2:$Q$103,3+counta($F$1:F$1),false)</f>
        <v>0.4</v>
      </c>
      <c r="G60" s="99">
        <f>$D60-vlookup(Summary!$C60,Summary!$C$2:$Q$103,3+counta($F$1:G$1),false)</f>
        <v>0</v>
      </c>
      <c r="H60" s="99">
        <f>$D60-vlookup(Summary!$C60,Summary!$C$2:$Q$103,3+counta($F$1:H$1),false)</f>
        <v>0.5</v>
      </c>
      <c r="I60" s="99">
        <f>$D60-vlookup(Summary!$C60,Summary!$C$2:$Q$103,3+counta($F$1:I$1),false)</f>
        <v>0</v>
      </c>
      <c r="J60" s="99">
        <f>$D60-vlookup(Summary!$C60,Summary!$C$2:$Q$103,3+counta($F$1:J$1),false)</f>
        <v>-0.3</v>
      </c>
      <c r="K60" s="99">
        <f>$D60-vlookup(Summary!$C60,Summary!$C$2:$Q$103,3+counta($F$1:K$1),false)</f>
        <v>-0.3</v>
      </c>
      <c r="L60" s="99">
        <f>$D60-vlookup(Summary!$C60,Summary!$C$2:$Q$103,3+counta($F$1:L$1),false)</f>
        <v>0.3</v>
      </c>
      <c r="M60" s="99">
        <f>$D60-vlookup(Summary!$C60,Summary!$C$2:$Q$103,3+counta($F$1:M$1),false)</f>
        <v>0.5</v>
      </c>
      <c r="N60" s="99">
        <f>$D60-vlookup(Summary!$C60,Summary!$C$2:$Q$103,3+counta($F$1:N$1),false)</f>
        <v>0.4</v>
      </c>
      <c r="O60" s="99">
        <f>$D60-vlookup(Summary!$C60,Summary!$C$2:$Q$103,3+counta($F$1:O$1),false)</f>
        <v>-0.05</v>
      </c>
      <c r="P60" s="99">
        <f>$D60-vlookup(Summary!$C60,Summary!$C$2:$Q$103,3+counta($F$1:P$1),false)</f>
        <v>0.5</v>
      </c>
      <c r="Q60" s="99">
        <f>$D60-vlookup(Summary!$C60,Summary!$C$2:$Q$103,3+counta($F$1:Q$1),false)</f>
        <v>0.05</v>
      </c>
    </row>
    <row r="61" ht="15.75" customHeight="1">
      <c r="A61" s="15">
        <f>Main!A61</f>
        <v>60</v>
      </c>
      <c r="B61" s="15" t="str">
        <f>Main!B61</f>
        <v>LGBTIQ+ will be the acronym in widespread usage throughout Australia, as determined by the definition from LGBTIQ+ Health Australia (the peak body org for health and research related to that community)</v>
      </c>
      <c r="C61" s="15" t="str">
        <f>Main!C61</f>
        <v>Society</v>
      </c>
      <c r="D61" s="15">
        <v>0.7</v>
      </c>
      <c r="F61" s="99">
        <f>$D61-vlookup(Summary!$C61,Summary!$C$2:$Q$103,3+counta($F$1:F$1),false)</f>
        <v>0.25</v>
      </c>
      <c r="G61" s="99">
        <f>$D61-vlookup(Summary!$C61,Summary!$C$2:$Q$103,3+counta($F$1:G$1),false)</f>
        <v>0</v>
      </c>
      <c r="H61" s="99">
        <f>$D61-vlookup(Summary!$C61,Summary!$C$2:$Q$103,3+counta($F$1:H$1),false)</f>
        <v>0.2</v>
      </c>
      <c r="I61" s="99">
        <f>$D61-vlookup(Summary!$C61,Summary!$C$2:$Q$103,3+counta($F$1:I$1),false)</f>
        <v>0</v>
      </c>
      <c r="J61" s="99">
        <f>$D61-vlookup(Summary!$C61,Summary!$C$2:$Q$103,3+counta($F$1:J$1),false)</f>
        <v>0</v>
      </c>
      <c r="K61" s="99">
        <f>$D61-vlookup(Summary!$C61,Summary!$C$2:$Q$103,3+counta($F$1:K$1),false)</f>
        <v>-0.05</v>
      </c>
      <c r="L61" s="99">
        <f>$D61-vlookup(Summary!$C61,Summary!$C$2:$Q$103,3+counta($F$1:L$1),false)</f>
        <v>-0.2</v>
      </c>
      <c r="M61" s="99">
        <f>$D61-vlookup(Summary!$C61,Summary!$C$2:$Q$103,3+counta($F$1:M$1),false)</f>
        <v>0.2</v>
      </c>
      <c r="N61" s="99">
        <f>$D61-vlookup(Summary!$C61,Summary!$C$2:$Q$103,3+counta($F$1:N$1),false)</f>
        <v>0.5</v>
      </c>
      <c r="O61" s="99">
        <f>$D61-vlookup(Summary!$C61,Summary!$C$2:$Q$103,3+counta($F$1:O$1),false)</f>
        <v>-0.299</v>
      </c>
      <c r="P61" s="99">
        <f>$D61-vlookup(Summary!$C61,Summary!$C$2:$Q$103,3+counta($F$1:P$1),false)</f>
        <v>0.2</v>
      </c>
      <c r="Q61" s="99">
        <f>$D61-vlookup(Summary!$C61,Summary!$C$2:$Q$103,3+counta($F$1:Q$1),false)</f>
        <v>0.4</v>
      </c>
    </row>
    <row r="62" ht="15.75" customHeight="1">
      <c r="A62" s="15">
        <f>Main!A62</f>
        <v>61</v>
      </c>
      <c r="B62" s="15" t="str">
        <f>Main!B62</f>
        <v>The meat industry in Australia and/or the US will succeed in controlling the use of ‘meat terms’ (meat, beef etc.) for non-animal protein products</v>
      </c>
      <c r="C62" s="15" t="str">
        <f>Main!C62</f>
        <v>Society</v>
      </c>
      <c r="D62" s="15">
        <v>0.6</v>
      </c>
      <c r="F62" s="99">
        <f>$D62-vlookup(Summary!$C62,Summary!$C$2:$Q$103,3+counta($F$1:F$1),false)</f>
        <v>0.25</v>
      </c>
      <c r="G62" s="99">
        <f>$D62-vlookup(Summary!$C62,Summary!$C$2:$Q$103,3+counta($F$1:G$1),false)</f>
        <v>0</v>
      </c>
      <c r="H62" s="99">
        <f>$D62-vlookup(Summary!$C62,Summary!$C$2:$Q$103,3+counta($F$1:H$1),false)</f>
        <v>0.4</v>
      </c>
      <c r="I62" s="99">
        <f>$D62-vlookup(Summary!$C62,Summary!$C$2:$Q$103,3+counta($F$1:I$1),false)</f>
        <v>0</v>
      </c>
      <c r="J62" s="99">
        <f>$D62-vlookup(Summary!$C62,Summary!$C$2:$Q$103,3+counta($F$1:J$1),false)</f>
        <v>-0.2</v>
      </c>
      <c r="K62" s="99">
        <f>$D62-vlookup(Summary!$C62,Summary!$C$2:$Q$103,3+counta($F$1:K$1),false)</f>
        <v>-0.14</v>
      </c>
      <c r="L62" s="99">
        <f>$D62-vlookup(Summary!$C62,Summary!$C$2:$Q$103,3+counta($F$1:L$1),false)</f>
        <v>0.5</v>
      </c>
      <c r="M62" s="99">
        <f>$D62-vlookup(Summary!$C62,Summary!$C$2:$Q$103,3+counta($F$1:M$1),false)</f>
        <v>0.4</v>
      </c>
      <c r="N62" s="99">
        <f>$D62-vlookup(Summary!$C62,Summary!$C$2:$Q$103,3+counta($F$1:N$1),false)</f>
        <v>0.5</v>
      </c>
      <c r="O62" s="99">
        <f>$D62-vlookup(Summary!$C62,Summary!$C$2:$Q$103,3+counta($F$1:O$1),false)</f>
        <v>-0.399</v>
      </c>
      <c r="P62" s="99">
        <f>$D62-vlookup(Summary!$C62,Summary!$C$2:$Q$103,3+counta($F$1:P$1),false)</f>
        <v>-0.2</v>
      </c>
      <c r="Q62" s="99">
        <f>$D62-vlookup(Summary!$C62,Summary!$C$2:$Q$103,3+counta($F$1:Q$1),false)</f>
        <v>0.1</v>
      </c>
    </row>
    <row r="63" ht="15.75" customHeight="1">
      <c r="A63" s="15">
        <f>Main!A63</f>
        <v>62</v>
      </c>
      <c r="B63" s="15" t="str">
        <f>Main!B63</f>
        <v>The median house price in Canberra will be over $1,200,000 (currently $1,015,833)</v>
      </c>
      <c r="C63" s="15" t="str">
        <f>Main!C63</f>
        <v>Society</v>
      </c>
      <c r="D63" s="15">
        <v>0.2</v>
      </c>
      <c r="F63" s="99">
        <f>$D63-vlookup(Summary!$C63,Summary!$C$2:$Q$103,3+counta($F$1:F$1),false)</f>
        <v>-0.5</v>
      </c>
      <c r="G63" s="99">
        <f>$D63-vlookup(Summary!$C63,Summary!$C$2:$Q$103,3+counta($F$1:G$1),false)</f>
        <v>0</v>
      </c>
      <c r="H63" s="99">
        <f>$D63-vlookup(Summary!$C63,Summary!$C$2:$Q$103,3+counta($F$1:H$1),false)</f>
        <v>0</v>
      </c>
      <c r="I63" s="99">
        <f>$D63-vlookup(Summary!$C63,Summary!$C$2:$Q$103,3+counta($F$1:I$1),false)</f>
        <v>-0.6</v>
      </c>
      <c r="J63" s="99">
        <f>$D63-vlookup(Summary!$C63,Summary!$C$2:$Q$103,3+counta($F$1:J$1),false)</f>
        <v>-0.6</v>
      </c>
      <c r="K63" s="99">
        <f>$D63-vlookup(Summary!$C63,Summary!$C$2:$Q$103,3+counta($F$1:K$1),false)</f>
        <v>-0.6</v>
      </c>
      <c r="L63" s="99">
        <f>$D63-vlookup(Summary!$C63,Summary!$C$2:$Q$103,3+counta($F$1:L$1),false)</f>
        <v>-0.79999</v>
      </c>
      <c r="M63" s="99">
        <f>$D63-vlookup(Summary!$C63,Summary!$C$2:$Q$103,3+counta($F$1:M$1),false)</f>
        <v>0</v>
      </c>
      <c r="N63" s="99">
        <f>$D63-vlookup(Summary!$C63,Summary!$C$2:$Q$103,3+counta($F$1:N$1),false)</f>
        <v>-0.7</v>
      </c>
      <c r="O63" s="99">
        <f>$D63-vlookup(Summary!$C63,Summary!$C$2:$Q$103,3+counta($F$1:O$1),false)</f>
        <v>0.05</v>
      </c>
      <c r="P63" s="99">
        <f>$D63-vlookup(Summary!$C63,Summary!$C$2:$Q$103,3+counta($F$1:P$1),false)</f>
        <v>-0.4</v>
      </c>
      <c r="Q63" s="99">
        <f>$D63-vlookup(Summary!$C63,Summary!$C$2:$Q$103,3+counta($F$1:Q$1),false)</f>
        <v>-0.25</v>
      </c>
    </row>
    <row r="64" ht="15.75" customHeight="1">
      <c r="A64" s="15">
        <f>Main!A64</f>
        <v>63</v>
      </c>
      <c r="B64" s="15" t="str">
        <f>Main!B64</f>
        <v>An artist or band on the Rock and Roll Hall of Fame has a performance using digital avatar (source https://en.wikipedia.org/wiki/List_of_Rock_and_Roll_Hall_of_Fame_inductees)</v>
      </c>
      <c r="C64" s="15" t="str">
        <f>Main!C64</f>
        <v>Society</v>
      </c>
      <c r="D64" s="15">
        <v>0.6</v>
      </c>
      <c r="F64" s="99">
        <f>$D64-vlookup(Summary!$C64,Summary!$C$2:$Q$103,3+counta($F$1:F$1),false)</f>
        <v>0.2</v>
      </c>
      <c r="G64" s="99">
        <f>$D64-vlookup(Summary!$C64,Summary!$C$2:$Q$103,3+counta($F$1:G$1),false)</f>
        <v>0</v>
      </c>
      <c r="H64" s="99">
        <f>$D64-vlookup(Summary!$C64,Summary!$C$2:$Q$103,3+counta($F$1:H$1),false)</f>
        <v>-0.1</v>
      </c>
      <c r="I64" s="99">
        <f>$D64-vlookup(Summary!$C64,Summary!$C$2:$Q$103,3+counta($F$1:I$1),false)</f>
        <v>0.3</v>
      </c>
      <c r="J64" s="99">
        <f>$D64-vlookup(Summary!$C64,Summary!$C$2:$Q$103,3+counta($F$1:J$1),false)</f>
        <v>0.1</v>
      </c>
      <c r="K64" s="99">
        <f>$D64-vlookup(Summary!$C64,Summary!$C$2:$Q$103,3+counta($F$1:K$1),false)</f>
        <v>0</v>
      </c>
      <c r="L64" s="99">
        <f>$D64-vlookup(Summary!$C64,Summary!$C$2:$Q$103,3+counta($F$1:L$1),false)</f>
        <v>0</v>
      </c>
      <c r="M64" s="99">
        <f>$D64-vlookup(Summary!$C64,Summary!$C$2:$Q$103,3+counta($F$1:M$1),false)</f>
        <v>-0.1</v>
      </c>
      <c r="N64" s="99">
        <f>$D64-vlookup(Summary!$C64,Summary!$C$2:$Q$103,3+counta($F$1:N$1),false)</f>
        <v>0.4</v>
      </c>
      <c r="O64" s="99">
        <f>$D64-vlookup(Summary!$C64,Summary!$C$2:$Q$103,3+counta($F$1:O$1),false)</f>
        <v>0.45</v>
      </c>
      <c r="P64" s="99">
        <f>$D64-vlookup(Summary!$C64,Summary!$C$2:$Q$103,3+counta($F$1:P$1),false)</f>
        <v>0.5</v>
      </c>
      <c r="Q64" s="99">
        <f>$D64-vlookup(Summary!$C64,Summary!$C$2:$Q$103,3+counta($F$1:Q$1),false)</f>
        <v>0.1</v>
      </c>
    </row>
    <row r="65" ht="15.75" customHeight="1">
      <c r="A65" s="15">
        <f>Main!A65</f>
        <v>64</v>
      </c>
      <c r="B65" s="15" t="str">
        <f>Main!B65</f>
        <v>No Australian tennis player will win a senior Championship event at the Australian Open in 2022</v>
      </c>
      <c r="C65" s="15" t="str">
        <f>Main!C65</f>
        <v>Sport</v>
      </c>
      <c r="D65" s="15">
        <v>0.0</v>
      </c>
      <c r="F65" s="99">
        <f>$D65-vlookup(Summary!$C65,Summary!$C$2:$Q$103,3+counta($F$1:F$1),false)</f>
        <v>0</v>
      </c>
      <c r="G65" s="99">
        <f>$D65-vlookup(Summary!$C65,Summary!$C$2:$Q$103,3+counta($F$1:G$1),false)</f>
        <v>0</v>
      </c>
      <c r="H65" s="99">
        <f>$D65-vlookup(Summary!$C65,Summary!$C$2:$Q$103,3+counta($F$1:H$1),false)</f>
        <v>0</v>
      </c>
      <c r="I65" s="99">
        <f>$D65-vlookup(Summary!$C65,Summary!$C$2:$Q$103,3+counta($F$1:I$1),false)</f>
        <v>0</v>
      </c>
      <c r="J65" s="99">
        <f>$D65-vlookup(Summary!$C65,Summary!$C$2:$Q$103,3+counta($F$1:J$1),false)</f>
        <v>-0.6</v>
      </c>
      <c r="K65" s="99">
        <f>$D65-vlookup(Summary!$C65,Summary!$C$2:$Q$103,3+counta($F$1:K$1),false)</f>
        <v>0</v>
      </c>
      <c r="L65" s="99">
        <f>$D65-vlookup(Summary!$C65,Summary!$C$2:$Q$103,3+counta($F$1:L$1),false)</f>
        <v>0</v>
      </c>
      <c r="M65" s="99">
        <f>$D65-vlookup(Summary!$C65,Summary!$C$2:$Q$103,3+counta($F$1:M$1),false)</f>
        <v>0</v>
      </c>
      <c r="N65" s="99">
        <f>$D65-vlookup(Summary!$C65,Summary!$C$2:$Q$103,3+counta($F$1:N$1),false)</f>
        <v>-0.1</v>
      </c>
      <c r="O65" s="99">
        <f>$D65-vlookup(Summary!$C65,Summary!$C$2:$Q$103,3+counta($F$1:O$1),false)</f>
        <v>0</v>
      </c>
      <c r="P65" s="99">
        <f>$D65-vlookup(Summary!$C65,Summary!$C$2:$Q$103,3+counta($F$1:P$1),false)</f>
        <v>-0.5</v>
      </c>
      <c r="Q65" s="99">
        <f>$D65-vlookup(Summary!$C65,Summary!$C$2:$Q$103,3+counta($F$1:Q$1),false)</f>
        <v>-0.2</v>
      </c>
    </row>
    <row r="66" ht="15.75" customHeight="1">
      <c r="A66" s="15">
        <f>Main!A66</f>
        <v>65</v>
      </c>
      <c r="B66" s="15" t="str">
        <f>Main!B66</f>
        <v>Daniel Ricciardo will win the Australian GP in 2022.</v>
      </c>
      <c r="C66" s="15" t="str">
        <f>Main!C66</f>
        <v>Sport</v>
      </c>
      <c r="D66" s="15">
        <v>0.1</v>
      </c>
      <c r="F66" s="99">
        <f>$D66-vlookup(Summary!$C66,Summary!$C$2:$Q$103,3+counta($F$1:F$1),false)</f>
        <v>-0.4</v>
      </c>
      <c r="G66" s="99">
        <f>$D66-vlookup(Summary!$C66,Summary!$C$2:$Q$103,3+counta($F$1:G$1),false)</f>
        <v>0</v>
      </c>
      <c r="H66" s="99">
        <f>$D66-vlookup(Summary!$C66,Summary!$C$2:$Q$103,3+counta($F$1:H$1),false)</f>
        <v>-0.4</v>
      </c>
      <c r="I66" s="99">
        <f>$D66-vlookup(Summary!$C66,Summary!$C$2:$Q$103,3+counta($F$1:I$1),false)</f>
        <v>-0.4</v>
      </c>
      <c r="J66" s="99">
        <f>$D66-vlookup(Summary!$C66,Summary!$C$2:$Q$103,3+counta($F$1:J$1),false)</f>
        <v>-0.2</v>
      </c>
      <c r="K66" s="99">
        <f>$D66-vlookup(Summary!$C66,Summary!$C$2:$Q$103,3+counta($F$1:K$1),false)</f>
        <v>-0.5</v>
      </c>
      <c r="L66" s="99">
        <f>$D66-vlookup(Summary!$C66,Summary!$C$2:$Q$103,3+counta($F$1:L$1),false)</f>
        <v>-0.1</v>
      </c>
      <c r="M66" s="99">
        <f>$D66-vlookup(Summary!$C66,Summary!$C$2:$Q$103,3+counta($F$1:M$1),false)</f>
        <v>-0.4</v>
      </c>
      <c r="N66" s="99">
        <f>$D66-vlookup(Summary!$C66,Summary!$C$2:$Q$103,3+counta($F$1:N$1),false)</f>
        <v>0</v>
      </c>
      <c r="O66" s="99">
        <f>$D66-vlookup(Summary!$C66,Summary!$C$2:$Q$103,3+counta($F$1:O$1),false)</f>
        <v>-0.4</v>
      </c>
      <c r="P66" s="99">
        <f>$D66-vlookup(Summary!$C66,Summary!$C$2:$Q$103,3+counta($F$1:P$1),false)</f>
        <v>0</v>
      </c>
      <c r="Q66" s="99">
        <f>$D66-vlookup(Summary!$C66,Summary!$C$2:$Q$103,3+counta($F$1:Q$1),false)</f>
        <v>0</v>
      </c>
    </row>
    <row r="67" ht="15.75" customHeight="1">
      <c r="A67" s="15">
        <f>Main!A67</f>
        <v>66</v>
      </c>
      <c r="B67" s="15" t="str">
        <f>Main!B67</f>
        <v>Collingwood will make it into the top 8 at the end of the footy season</v>
      </c>
      <c r="C67" s="15" t="str">
        <f>Main!C67</f>
        <v>Sport</v>
      </c>
      <c r="D67" s="15">
        <v>0.1</v>
      </c>
      <c r="F67" s="99">
        <f>$D67-vlookup(Summary!$C67,Summary!$C$2:$Q$103,3+counta($F$1:F$1),false)</f>
        <v>-0.4</v>
      </c>
      <c r="G67" s="99">
        <f>$D67-vlookup(Summary!$C67,Summary!$C$2:$Q$103,3+counta($F$1:G$1),false)</f>
        <v>0</v>
      </c>
      <c r="H67" s="99">
        <f>$D67-vlookup(Summary!$C67,Summary!$C$2:$Q$103,3+counta($F$1:H$1),false)</f>
        <v>-0.35</v>
      </c>
      <c r="I67" s="99">
        <f>$D67-vlookup(Summary!$C67,Summary!$C$2:$Q$103,3+counta($F$1:I$1),false)</f>
        <v>-0.4</v>
      </c>
      <c r="J67" s="99">
        <f>$D67-vlookup(Summary!$C67,Summary!$C$2:$Q$103,3+counta($F$1:J$1),false)</f>
        <v>-0.5</v>
      </c>
      <c r="K67" s="99">
        <f>$D67-vlookup(Summary!$C67,Summary!$C$2:$Q$103,3+counta($F$1:K$1),false)</f>
        <v>-0.5</v>
      </c>
      <c r="L67" s="99">
        <f>$D67-vlookup(Summary!$C67,Summary!$C$2:$Q$103,3+counta($F$1:L$1),false)</f>
        <v>-0.4</v>
      </c>
      <c r="M67" s="99">
        <f>$D67-vlookup(Summary!$C67,Summary!$C$2:$Q$103,3+counta($F$1:M$1),false)</f>
        <v>-0.35</v>
      </c>
      <c r="N67" s="99">
        <f>$D67-vlookup(Summary!$C67,Summary!$C$2:$Q$103,3+counta($F$1:N$1),false)</f>
        <v>-0.6</v>
      </c>
      <c r="O67" s="99">
        <f>$D67-vlookup(Summary!$C67,Summary!$C$2:$Q$103,3+counta($F$1:O$1),false)</f>
        <v>-0.4</v>
      </c>
      <c r="P67" s="99">
        <f>$D67-vlookup(Summary!$C67,Summary!$C$2:$Q$103,3+counta($F$1:P$1),false)</f>
        <v>0</v>
      </c>
      <c r="Q67" s="99">
        <f>$D67-vlookup(Summary!$C67,Summary!$C$2:$Q$103,3+counta($F$1:Q$1),false)</f>
        <v>-0.5</v>
      </c>
    </row>
    <row r="68" ht="15.75" customHeight="1">
      <c r="A68" s="15">
        <f>Main!A68</f>
        <v>67</v>
      </c>
      <c r="B68" s="15" t="str">
        <f>Main!B68</f>
        <v>Italy will defeat Portugal in their qualifying match and reach the finals of the Football World Cup</v>
      </c>
      <c r="C68" s="15" t="str">
        <f>Main!C68</f>
        <v>Sport</v>
      </c>
      <c r="D68" s="15">
        <v>0.6</v>
      </c>
      <c r="F68" s="99">
        <f>$D68-vlookup(Summary!$C68,Summary!$C$2:$Q$103,3+counta($F$1:F$1),false)</f>
        <v>0.1</v>
      </c>
      <c r="G68" s="99">
        <f>$D68-vlookup(Summary!$C68,Summary!$C$2:$Q$103,3+counta($F$1:G$1),false)</f>
        <v>0</v>
      </c>
      <c r="H68" s="99">
        <f>$D68-vlookup(Summary!$C68,Summary!$C$2:$Q$103,3+counta($F$1:H$1),false)</f>
        <v>-0.1</v>
      </c>
      <c r="I68" s="99">
        <f>$D68-vlookup(Summary!$C68,Summary!$C$2:$Q$103,3+counta($F$1:I$1),false)</f>
        <v>0.1</v>
      </c>
      <c r="J68" s="99">
        <f>$D68-vlookup(Summary!$C68,Summary!$C$2:$Q$103,3+counta($F$1:J$1),false)</f>
        <v>0.1</v>
      </c>
      <c r="K68" s="99">
        <f>$D68-vlookup(Summary!$C68,Summary!$C$2:$Q$103,3+counta($F$1:K$1),false)</f>
        <v>-0.25</v>
      </c>
      <c r="L68" s="99">
        <f>$D68-vlookup(Summary!$C68,Summary!$C$2:$Q$103,3+counta($F$1:L$1),false)</f>
        <v>0.55</v>
      </c>
      <c r="M68" s="99">
        <f>$D68-vlookup(Summary!$C68,Summary!$C$2:$Q$103,3+counta($F$1:M$1),false)</f>
        <v>-0.1</v>
      </c>
      <c r="N68" s="99">
        <f>$D68-vlookup(Summary!$C68,Summary!$C$2:$Q$103,3+counta($F$1:N$1),false)</f>
        <v>0.1</v>
      </c>
      <c r="O68" s="99">
        <f>$D68-vlookup(Summary!$C68,Summary!$C$2:$Q$103,3+counta($F$1:O$1),false)</f>
        <v>0.1</v>
      </c>
      <c r="P68" s="99">
        <f>$D68-vlookup(Summary!$C68,Summary!$C$2:$Q$103,3+counta($F$1:P$1),false)</f>
        <v>-0.3</v>
      </c>
      <c r="Q68" s="99">
        <f>$D68-vlookup(Summary!$C68,Summary!$C$2:$Q$103,3+counta($F$1:Q$1),false)</f>
        <v>-0.2</v>
      </c>
    </row>
    <row r="69" ht="15.75" customHeight="1">
      <c r="A69" s="15">
        <f>Main!A69</f>
        <v>68</v>
      </c>
      <c r="B69" s="15" t="str">
        <f>Main!B69</f>
        <v>Ash Barty will be world number 1 in the WRA rankings after the US Open</v>
      </c>
      <c r="C69" s="15" t="str">
        <f>Main!C69</f>
        <v>Sport</v>
      </c>
      <c r="D69" s="15">
        <v>0.9</v>
      </c>
      <c r="F69" s="99">
        <f>$D69-vlookup(Summary!$C69,Summary!$C$2:$Q$103,3+counta($F$1:F$1),false)</f>
        <v>0.1</v>
      </c>
      <c r="G69" s="99">
        <f>$D69-vlookup(Summary!$C69,Summary!$C$2:$Q$103,3+counta($F$1:G$1),false)</f>
        <v>0</v>
      </c>
      <c r="H69" s="99">
        <f>$D69-vlookup(Summary!$C69,Summary!$C$2:$Q$103,3+counta($F$1:H$1),false)</f>
        <v>0.1</v>
      </c>
      <c r="I69" s="99">
        <f>$D69-vlookup(Summary!$C69,Summary!$C$2:$Q$103,3+counta($F$1:I$1),false)</f>
        <v>0.1</v>
      </c>
      <c r="J69" s="99">
        <f>$D69-vlookup(Summary!$C69,Summary!$C$2:$Q$103,3+counta($F$1:J$1),false)</f>
        <v>0.1</v>
      </c>
      <c r="K69" s="99">
        <f>$D69-vlookup(Summary!$C69,Summary!$C$2:$Q$103,3+counta($F$1:K$1),false)</f>
        <v>-0.08</v>
      </c>
      <c r="L69" s="99">
        <f>$D69-vlookup(Summary!$C69,Summary!$C$2:$Q$103,3+counta($F$1:L$1),false)</f>
        <v>-0.099</v>
      </c>
      <c r="M69" s="99">
        <f>$D69-vlookup(Summary!$C69,Summary!$C$2:$Q$103,3+counta($F$1:M$1),false)</f>
        <v>0.1</v>
      </c>
      <c r="N69" s="99">
        <f>$D69-vlookup(Summary!$C69,Summary!$C$2:$Q$103,3+counta($F$1:N$1),false)</f>
        <v>0</v>
      </c>
      <c r="O69" s="99">
        <f>$D69-vlookup(Summary!$C69,Summary!$C$2:$Q$103,3+counta($F$1:O$1),false)</f>
        <v>0.4</v>
      </c>
      <c r="P69" s="99">
        <f>$D69-vlookup(Summary!$C69,Summary!$C$2:$Q$103,3+counta($F$1:P$1),false)</f>
        <v>0</v>
      </c>
      <c r="Q69" s="99">
        <f>$D69-vlookup(Summary!$C69,Summary!$C$2:$Q$103,3+counta($F$1:Q$1),false)</f>
        <v>0.35</v>
      </c>
    </row>
    <row r="70" ht="15.75" customHeight="1">
      <c r="A70" s="15">
        <f>Main!A70</f>
        <v>69</v>
      </c>
      <c r="B70" s="15" t="str">
        <f>Main!B70</f>
        <v>Neither Roger Federer nor Serena Williams will win a Grand Slam tennis tournament</v>
      </c>
      <c r="C70" s="15" t="str">
        <f>Main!C70</f>
        <v>Sport</v>
      </c>
      <c r="D70" s="15">
        <v>0.8</v>
      </c>
      <c r="F70" s="99">
        <f>$D70-vlookup(Summary!$C70,Summary!$C$2:$Q$103,3+counta($F$1:F$1),false)</f>
        <v>0.15</v>
      </c>
      <c r="G70" s="99">
        <f>$D70-vlookup(Summary!$C70,Summary!$C$2:$Q$103,3+counta($F$1:G$1),false)</f>
        <v>0</v>
      </c>
      <c r="H70" s="99">
        <f>$D70-vlookup(Summary!$C70,Summary!$C$2:$Q$103,3+counta($F$1:H$1),false)</f>
        <v>-0.15</v>
      </c>
      <c r="I70" s="99">
        <f>$D70-vlookup(Summary!$C70,Summary!$C$2:$Q$103,3+counta($F$1:I$1),false)</f>
        <v>0.4</v>
      </c>
      <c r="J70" s="99">
        <f>$D70-vlookup(Summary!$C70,Summary!$C$2:$Q$103,3+counta($F$1:J$1),false)</f>
        <v>0</v>
      </c>
      <c r="K70" s="99">
        <f>$D70-vlookup(Summary!$C70,Summary!$C$2:$Q$103,3+counta($F$1:K$1),false)</f>
        <v>-0.1</v>
      </c>
      <c r="L70" s="99">
        <f>$D70-vlookup(Summary!$C70,Summary!$C$2:$Q$103,3+counta($F$1:L$1),false)</f>
        <v>-0.199</v>
      </c>
      <c r="M70" s="99">
        <f>$D70-vlookup(Summary!$C70,Summary!$C$2:$Q$103,3+counta($F$1:M$1),false)</f>
        <v>-0.15</v>
      </c>
      <c r="N70" s="99">
        <f>$D70-vlookup(Summary!$C70,Summary!$C$2:$Q$103,3+counta($F$1:N$1),false)</f>
        <v>0</v>
      </c>
      <c r="O70" s="99">
        <f>$D70-vlookup(Summary!$C70,Summary!$C$2:$Q$103,3+counta($F$1:O$1),false)</f>
        <v>-0.05</v>
      </c>
      <c r="P70" s="99">
        <f>$D70-vlookup(Summary!$C70,Summary!$C$2:$Q$103,3+counta($F$1:P$1),false)</f>
        <v>0.7</v>
      </c>
      <c r="Q70" s="99">
        <f>$D70-vlookup(Summary!$C70,Summary!$C$2:$Q$103,3+counta($F$1:Q$1),false)</f>
        <v>0.3</v>
      </c>
    </row>
    <row r="71" ht="15.75" customHeight="1">
      <c r="A71" s="15">
        <f>Main!A71</f>
        <v>70</v>
      </c>
      <c r="B71" s="15" t="str">
        <f>Main!B71</f>
        <v>The Football World Cup will not go ahead on the scheduled dates in Qatar</v>
      </c>
      <c r="C71" s="15" t="str">
        <f>Main!C71</f>
        <v>Sport</v>
      </c>
      <c r="D71" s="15">
        <v>0.25</v>
      </c>
      <c r="F71" s="99">
        <f>$D71-vlookup(Summary!$C71,Summary!$C$2:$Q$103,3+counta($F$1:F$1),false)</f>
        <v>-0.15</v>
      </c>
      <c r="G71" s="99">
        <f>$D71-vlookup(Summary!$C71,Summary!$C$2:$Q$103,3+counta($F$1:G$1),false)</f>
        <v>0</v>
      </c>
      <c r="H71" s="99">
        <f>$D71-vlookup(Summary!$C71,Summary!$C$2:$Q$103,3+counta($F$1:H$1),false)</f>
        <v>0.15</v>
      </c>
      <c r="I71" s="99">
        <f>$D71-vlookup(Summary!$C71,Summary!$C$2:$Q$103,3+counta($F$1:I$1),false)</f>
        <v>-0.25</v>
      </c>
      <c r="J71" s="99">
        <f>$D71-vlookup(Summary!$C71,Summary!$C$2:$Q$103,3+counta($F$1:J$1),false)</f>
        <v>-0.25</v>
      </c>
      <c r="K71" s="99">
        <f>$D71-vlookup(Summary!$C71,Summary!$C$2:$Q$103,3+counta($F$1:K$1),false)</f>
        <v>-0.05</v>
      </c>
      <c r="L71" s="99">
        <f>$D71-vlookup(Summary!$C71,Summary!$C$2:$Q$103,3+counta($F$1:L$1),false)</f>
        <v>-0.3</v>
      </c>
      <c r="M71" s="99">
        <f>$D71-vlookup(Summary!$C71,Summary!$C$2:$Q$103,3+counta($F$1:M$1),false)</f>
        <v>0.15</v>
      </c>
      <c r="N71" s="99">
        <f>$D71-vlookup(Summary!$C71,Summary!$C$2:$Q$103,3+counta($F$1:N$1),false)</f>
        <v>0.15</v>
      </c>
      <c r="O71" s="99">
        <f>$D71-vlookup(Summary!$C71,Summary!$C$2:$Q$103,3+counta($F$1:O$1),false)</f>
        <v>-0.4</v>
      </c>
      <c r="P71" s="99">
        <f>$D71-vlookup(Summary!$C71,Summary!$C$2:$Q$103,3+counta($F$1:P$1),false)</f>
        <v>-0.65</v>
      </c>
      <c r="Q71" s="99">
        <f>$D71-vlookup(Summary!$C71,Summary!$C$2:$Q$103,3+counta($F$1:Q$1),false)</f>
        <v>0.05</v>
      </c>
    </row>
    <row r="72" ht="15.75" customHeight="1">
      <c r="A72" s="15">
        <f>Main!A72</f>
        <v>71</v>
      </c>
      <c r="B72" s="15" t="str">
        <f>Main!B72</f>
        <v>Lewis hamilton will win the 2022 world championship in Formula 1</v>
      </c>
      <c r="C72" s="15" t="str">
        <f>Main!C72</f>
        <v>Sport</v>
      </c>
      <c r="D72" s="15">
        <v>0.2</v>
      </c>
      <c r="F72" s="99">
        <f>$D72-vlookup(Summary!$C72,Summary!$C$2:$Q$103,3+counta($F$1:F$1),false)</f>
        <v>-0.4</v>
      </c>
      <c r="G72" s="99">
        <f>$D72-vlookup(Summary!$C72,Summary!$C$2:$Q$103,3+counta($F$1:G$1),false)</f>
        <v>0</v>
      </c>
      <c r="H72" s="99">
        <f>$D72-vlookup(Summary!$C72,Summary!$C$2:$Q$103,3+counta($F$1:H$1),false)</f>
        <v>-0.4</v>
      </c>
      <c r="I72" s="99">
        <f>$D72-vlookup(Summary!$C72,Summary!$C$2:$Q$103,3+counta($F$1:I$1),false)</f>
        <v>-0.3</v>
      </c>
      <c r="J72" s="99">
        <f>$D72-vlookup(Summary!$C72,Summary!$C$2:$Q$103,3+counta($F$1:J$1),false)</f>
        <v>-0.6</v>
      </c>
      <c r="K72" s="99">
        <f>$D72-vlookup(Summary!$C72,Summary!$C$2:$Q$103,3+counta($F$1:K$1),false)</f>
        <v>-0.6</v>
      </c>
      <c r="L72" s="99">
        <f>$D72-vlookup(Summary!$C72,Summary!$C$2:$Q$103,3+counta($F$1:L$1),false)</f>
        <v>-0.4</v>
      </c>
      <c r="M72" s="99">
        <f>$D72-vlookup(Summary!$C72,Summary!$C$2:$Q$103,3+counta($F$1:M$1),false)</f>
        <v>-0.4</v>
      </c>
      <c r="N72" s="99">
        <f>$D72-vlookup(Summary!$C72,Summary!$C$2:$Q$103,3+counta($F$1:N$1),false)</f>
        <v>-0.6</v>
      </c>
      <c r="O72" s="99">
        <f>$D72-vlookup(Summary!$C72,Summary!$C$2:$Q$103,3+counta($F$1:O$1),false)</f>
        <v>-0.15</v>
      </c>
      <c r="P72" s="99">
        <f>$D72-vlookup(Summary!$C72,Summary!$C$2:$Q$103,3+counta($F$1:P$1),false)</f>
        <v>-0.7</v>
      </c>
      <c r="Q72" s="99">
        <f>$D72-vlookup(Summary!$C72,Summary!$C$2:$Q$103,3+counta($F$1:Q$1),false)</f>
        <v>-0.45</v>
      </c>
    </row>
    <row r="73" ht="15.75" customHeight="1">
      <c r="A73" s="15">
        <f>Main!A73</f>
        <v>72</v>
      </c>
      <c r="B73" s="15" t="str">
        <f>Main!B73</f>
        <v>The Haas F1 team will score 0 points in the 2022 season</v>
      </c>
      <c r="C73" s="15" t="str">
        <f>Main!C73</f>
        <v>Sport</v>
      </c>
      <c r="D73" s="15">
        <v>0.7</v>
      </c>
      <c r="F73" s="99">
        <f>$D73-vlookup(Summary!$C73,Summary!$C$2:$Q$103,3+counta($F$1:F$1),false)</f>
        <v>0.2</v>
      </c>
      <c r="G73" s="99">
        <f>$D73-vlookup(Summary!$C73,Summary!$C$2:$Q$103,3+counta($F$1:G$1),false)</f>
        <v>0</v>
      </c>
      <c r="H73" s="99">
        <f>$D73-vlookup(Summary!$C73,Summary!$C$2:$Q$103,3+counta($F$1:H$1),false)</f>
        <v>0.2</v>
      </c>
      <c r="I73" s="99">
        <f>$D73-vlookup(Summary!$C73,Summary!$C$2:$Q$103,3+counta($F$1:I$1),false)</f>
        <v>0.2</v>
      </c>
      <c r="J73" s="99">
        <f>$D73-vlookup(Summary!$C73,Summary!$C$2:$Q$103,3+counta($F$1:J$1),false)</f>
        <v>0.4</v>
      </c>
      <c r="K73" s="99">
        <f>$D73-vlookup(Summary!$C73,Summary!$C$2:$Q$103,3+counta($F$1:K$1),false)</f>
        <v>0.2</v>
      </c>
      <c r="L73" s="99">
        <f>$D73-vlookup(Summary!$C73,Summary!$C$2:$Q$103,3+counta($F$1:L$1),false)</f>
        <v>0.2</v>
      </c>
      <c r="M73" s="99">
        <f>$D73-vlookup(Summary!$C73,Summary!$C$2:$Q$103,3+counta($F$1:M$1),false)</f>
        <v>0.2</v>
      </c>
      <c r="N73" s="99">
        <f>$D73-vlookup(Summary!$C73,Summary!$C$2:$Q$103,3+counta($F$1:N$1),false)</f>
        <v>0.2</v>
      </c>
      <c r="O73" s="99">
        <f>$D73-vlookup(Summary!$C73,Summary!$C$2:$Q$103,3+counta($F$1:O$1),false)</f>
        <v>0.05</v>
      </c>
      <c r="P73" s="99">
        <f>$D73-vlookup(Summary!$C73,Summary!$C$2:$Q$103,3+counta($F$1:P$1),false)</f>
        <v>0.6</v>
      </c>
      <c r="Q73" s="99">
        <f>$D73-vlookup(Summary!$C73,Summary!$C$2:$Q$103,3+counta($F$1:Q$1),false)</f>
        <v>0.1</v>
      </c>
    </row>
    <row r="74" ht="15.75" customHeight="1">
      <c r="A74" s="15">
        <f>Main!A74</f>
        <v>73</v>
      </c>
      <c r="B74" s="15" t="str">
        <f>Main!B74</f>
        <v>ULA's vulcan centaur will launch succesfully (places a payload into orbit)</v>
      </c>
      <c r="C74" s="15" t="str">
        <f>Main!C74</f>
        <v>Technology</v>
      </c>
      <c r="D74" s="15">
        <v>0.7</v>
      </c>
      <c r="F74" s="99">
        <f>$D74-vlookup(Summary!$C74,Summary!$C$2:$Q$103,3+counta($F$1:F$1),false)</f>
        <v>0.1</v>
      </c>
      <c r="G74" s="99">
        <f>$D74-vlookup(Summary!$C74,Summary!$C$2:$Q$103,3+counta($F$1:G$1),false)</f>
        <v>0</v>
      </c>
      <c r="H74" s="99">
        <f>$D74-vlookup(Summary!$C74,Summary!$C$2:$Q$103,3+counta($F$1:H$1),false)</f>
        <v>0</v>
      </c>
      <c r="I74" s="99">
        <f>$D74-vlookup(Summary!$C74,Summary!$C$2:$Q$103,3+counta($F$1:I$1),false)</f>
        <v>0.1</v>
      </c>
      <c r="J74" s="99">
        <f>$D74-vlookup(Summary!$C74,Summary!$C$2:$Q$103,3+counta($F$1:J$1),false)</f>
        <v>0.1</v>
      </c>
      <c r="K74" s="99">
        <f>$D74-vlookup(Summary!$C74,Summary!$C$2:$Q$103,3+counta($F$1:K$1),false)</f>
        <v>0.1</v>
      </c>
      <c r="L74" s="99">
        <f>$D74-vlookup(Summary!$C74,Summary!$C$2:$Q$103,3+counta($F$1:L$1),false)</f>
        <v>0.5</v>
      </c>
      <c r="M74" s="99">
        <f>$D74-vlookup(Summary!$C74,Summary!$C$2:$Q$103,3+counta($F$1:M$1),false)</f>
        <v>0</v>
      </c>
      <c r="N74" s="99">
        <f>$D74-vlookup(Summary!$C74,Summary!$C$2:$Q$103,3+counta($F$1:N$1),false)</f>
        <v>0.3</v>
      </c>
      <c r="O74" s="99">
        <f>$D74-vlookup(Summary!$C74,Summary!$C$2:$Q$103,3+counta($F$1:O$1),false)</f>
        <v>-0.15</v>
      </c>
      <c r="P74" s="99">
        <f>$D74-vlookup(Summary!$C74,Summary!$C$2:$Q$103,3+counta($F$1:P$1),false)</f>
        <v>0.2</v>
      </c>
      <c r="Q74" s="99">
        <f>$D74-vlookup(Summary!$C74,Summary!$C$2:$Q$103,3+counta($F$1:Q$1),false)</f>
        <v>0.2</v>
      </c>
    </row>
    <row r="75" ht="15.75" customHeight="1">
      <c r="A75" s="15">
        <f>Main!A75</f>
        <v>74</v>
      </c>
      <c r="B75" s="15" t="str">
        <f>Main!B75</f>
        <v>NASA will declare its Artemis 1 mission a success</v>
      </c>
      <c r="C75" s="15" t="str">
        <f>Main!C75</f>
        <v>Technology</v>
      </c>
      <c r="D75" s="15">
        <v>0.8</v>
      </c>
      <c r="F75" s="99">
        <f>$D75-vlookup(Summary!$C75,Summary!$C$2:$Q$103,3+counta($F$1:F$1),false)</f>
        <v>0.1</v>
      </c>
      <c r="G75" s="99">
        <f>$D75-vlookup(Summary!$C75,Summary!$C$2:$Q$103,3+counta($F$1:G$1),false)</f>
        <v>0</v>
      </c>
      <c r="H75" s="99">
        <f>$D75-vlookup(Summary!$C75,Summary!$C$2:$Q$103,3+counta($F$1:H$1),false)</f>
        <v>0.1</v>
      </c>
      <c r="I75" s="99">
        <f>$D75-vlookup(Summary!$C75,Summary!$C$2:$Q$103,3+counta($F$1:I$1),false)</f>
        <v>0.1</v>
      </c>
      <c r="J75" s="99">
        <f>$D75-vlookup(Summary!$C75,Summary!$C$2:$Q$103,3+counta($F$1:J$1),false)</f>
        <v>0.1</v>
      </c>
      <c r="K75" s="99">
        <f>$D75-vlookup(Summary!$C75,Summary!$C$2:$Q$103,3+counta($F$1:K$1),false)</f>
        <v>0</v>
      </c>
      <c r="L75" s="99">
        <f>$D75-vlookup(Summary!$C75,Summary!$C$2:$Q$103,3+counta($F$1:L$1),false)</f>
        <v>0.2</v>
      </c>
      <c r="M75" s="99">
        <f>$D75-vlookup(Summary!$C75,Summary!$C$2:$Q$103,3+counta($F$1:M$1),false)</f>
        <v>0.1</v>
      </c>
      <c r="N75" s="99">
        <f>$D75-vlookup(Summary!$C75,Summary!$C$2:$Q$103,3+counta($F$1:N$1),false)</f>
        <v>0.3</v>
      </c>
      <c r="O75" s="99">
        <f>$D75-vlookup(Summary!$C75,Summary!$C$2:$Q$103,3+counta($F$1:O$1),false)</f>
        <v>0.15</v>
      </c>
      <c r="P75" s="99">
        <f>$D75-vlookup(Summary!$C75,Summary!$C$2:$Q$103,3+counta($F$1:P$1),false)</f>
        <v>0.3</v>
      </c>
      <c r="Q75" s="99">
        <f>$D75-vlookup(Summary!$C75,Summary!$C$2:$Q$103,3+counta($F$1:Q$1),false)</f>
        <v>0.1</v>
      </c>
    </row>
    <row r="76" ht="15.75" customHeight="1">
      <c r="A76" s="15">
        <f>Main!A76</f>
        <v>75</v>
      </c>
      <c r="B76" s="15" t="str">
        <f>Main!B76</f>
        <v>Starship/Superheavy will place Starship into a (partial) orbital trajectory</v>
      </c>
      <c r="C76" s="15" t="str">
        <f>Main!C76</f>
        <v>Technology</v>
      </c>
      <c r="D76" s="15">
        <v>0.6</v>
      </c>
      <c r="F76" s="99">
        <f>$D76-vlookup(Summary!$C76,Summary!$C$2:$Q$103,3+counta($F$1:F$1),false)</f>
        <v>-0.05</v>
      </c>
      <c r="G76" s="99">
        <f>$D76-vlookup(Summary!$C76,Summary!$C$2:$Q$103,3+counta($F$1:G$1),false)</f>
        <v>0</v>
      </c>
      <c r="H76" s="99">
        <f>$D76-vlookup(Summary!$C76,Summary!$C$2:$Q$103,3+counta($F$1:H$1),false)</f>
        <v>0</v>
      </c>
      <c r="I76" s="99">
        <f>$D76-vlookup(Summary!$C76,Summary!$C$2:$Q$103,3+counta($F$1:I$1),false)</f>
        <v>-0.05</v>
      </c>
      <c r="J76" s="99">
        <f>$D76-vlookup(Summary!$C76,Summary!$C$2:$Q$103,3+counta($F$1:J$1),false)</f>
        <v>-0.1</v>
      </c>
      <c r="K76" s="99">
        <f>$D76-vlookup(Summary!$C76,Summary!$C$2:$Q$103,3+counta($F$1:K$1),false)</f>
        <v>0.1</v>
      </c>
      <c r="L76" s="99">
        <f>$D76-vlookup(Summary!$C76,Summary!$C$2:$Q$103,3+counta($F$1:L$1),false)</f>
        <v>0.1</v>
      </c>
      <c r="M76" s="99">
        <f>$D76-vlookup(Summary!$C76,Summary!$C$2:$Q$103,3+counta($F$1:M$1),false)</f>
        <v>0</v>
      </c>
      <c r="N76" s="99">
        <f>$D76-vlookup(Summary!$C76,Summary!$C$2:$Q$103,3+counta($F$1:N$1),false)</f>
        <v>0.1</v>
      </c>
      <c r="O76" s="99">
        <f>$D76-vlookup(Summary!$C76,Summary!$C$2:$Q$103,3+counta($F$1:O$1),false)</f>
        <v>-0.25</v>
      </c>
      <c r="P76" s="99">
        <f>$D76-vlookup(Summary!$C76,Summary!$C$2:$Q$103,3+counta($F$1:P$1),false)</f>
        <v>0.1</v>
      </c>
      <c r="Q76" s="99">
        <f>$D76-vlookup(Summary!$C76,Summary!$C$2:$Q$103,3+counta($F$1:Q$1),false)</f>
        <v>0.1</v>
      </c>
    </row>
    <row r="77" ht="15.75" customHeight="1">
      <c r="A77" s="15">
        <f>Main!A77</f>
        <v>76</v>
      </c>
      <c r="B77" s="15" t="str">
        <f>Main!B77</f>
        <v>James Webb telescope will deploy at L2 and 1 image from its Near-Infrared Camera (NIRCam) will be available on the internet for viewing by the public</v>
      </c>
      <c r="C77" s="15" t="str">
        <f>Main!C77</f>
        <v>Technology</v>
      </c>
      <c r="D77" s="15">
        <v>0.8</v>
      </c>
      <c r="F77" s="99">
        <f>$D77-vlookup(Summary!$C77,Summary!$C$2:$Q$103,3+counta($F$1:F$1),false)</f>
        <v>0.1</v>
      </c>
      <c r="G77" s="99">
        <f>$D77-vlookup(Summary!$C77,Summary!$C$2:$Q$103,3+counta($F$1:G$1),false)</f>
        <v>0</v>
      </c>
      <c r="H77" s="99">
        <f>$D77-vlookup(Summary!$C77,Summary!$C$2:$Q$103,3+counta($F$1:H$1),false)</f>
        <v>-0.1</v>
      </c>
      <c r="I77" s="99">
        <f>$D77-vlookup(Summary!$C77,Summary!$C$2:$Q$103,3+counta($F$1:I$1),false)</f>
        <v>0.1</v>
      </c>
      <c r="J77" s="99">
        <f>$D77-vlookup(Summary!$C77,Summary!$C$2:$Q$103,3+counta($F$1:J$1),false)</f>
        <v>0</v>
      </c>
      <c r="K77" s="99">
        <f>$D77-vlookup(Summary!$C77,Summary!$C$2:$Q$103,3+counta($F$1:K$1),false)</f>
        <v>0.15</v>
      </c>
      <c r="L77" s="99">
        <f>$D77-vlookup(Summary!$C77,Summary!$C$2:$Q$103,3+counta($F$1:L$1),false)</f>
        <v>0.1</v>
      </c>
      <c r="M77" s="99">
        <f>$D77-vlookup(Summary!$C77,Summary!$C$2:$Q$103,3+counta($F$1:M$1),false)</f>
        <v>-0.1</v>
      </c>
      <c r="N77" s="99">
        <f>$D77-vlookup(Summary!$C77,Summary!$C$2:$Q$103,3+counta($F$1:N$1),false)</f>
        <v>0.3</v>
      </c>
      <c r="O77" s="99">
        <f>$D77-vlookup(Summary!$C77,Summary!$C$2:$Q$103,3+counta($F$1:O$1),false)</f>
        <v>-0.199</v>
      </c>
      <c r="P77" s="99">
        <f>$D77-vlookup(Summary!$C77,Summary!$C$2:$Q$103,3+counta($F$1:P$1),false)</f>
        <v>-0.1</v>
      </c>
      <c r="Q77" s="99">
        <f>$D77-vlookup(Summary!$C77,Summary!$C$2:$Q$103,3+counta($F$1:Q$1),false)</f>
        <v>0.3</v>
      </c>
    </row>
    <row r="78" ht="15.75" customHeight="1">
      <c r="A78" s="15">
        <f>Main!A78</f>
        <v>77</v>
      </c>
      <c r="B78" s="15" t="str">
        <f>Main!B78</f>
        <v>Facebook connect 2022 (or its 'meta' equivalent) will be hosted in virtual reality / a ('the'?) metaverse</v>
      </c>
      <c r="C78" s="15" t="str">
        <f>Main!C78</f>
        <v>Technology</v>
      </c>
      <c r="D78" s="15">
        <v>0.6</v>
      </c>
      <c r="F78" s="99">
        <f>$D78-vlookup(Summary!$C78,Summary!$C$2:$Q$103,3+counta($F$1:F$1),false)</f>
        <v>0.3</v>
      </c>
      <c r="G78" s="99">
        <f>$D78-vlookup(Summary!$C78,Summary!$C$2:$Q$103,3+counta($F$1:G$1),false)</f>
        <v>0</v>
      </c>
      <c r="H78" s="99">
        <f>$D78-vlookup(Summary!$C78,Summary!$C$2:$Q$103,3+counta($F$1:H$1),false)</f>
        <v>-0.3</v>
      </c>
      <c r="I78" s="99">
        <f>$D78-vlookup(Summary!$C78,Summary!$C$2:$Q$103,3+counta($F$1:I$1),false)</f>
        <v>0.5</v>
      </c>
      <c r="J78" s="99">
        <f>$D78-vlookup(Summary!$C78,Summary!$C$2:$Q$103,3+counta($F$1:J$1),false)</f>
        <v>-0.3</v>
      </c>
      <c r="K78" s="99">
        <f>$D78-vlookup(Summary!$C78,Summary!$C$2:$Q$103,3+counta($F$1:K$1),false)</f>
        <v>0.1</v>
      </c>
      <c r="L78" s="99">
        <f>$D78-vlookup(Summary!$C78,Summary!$C$2:$Q$103,3+counta($F$1:L$1),false)</f>
        <v>0.1</v>
      </c>
      <c r="M78" s="99">
        <f>$D78-vlookup(Summary!$C78,Summary!$C$2:$Q$103,3+counta($F$1:M$1),false)</f>
        <v>-0.3</v>
      </c>
      <c r="N78" s="99">
        <f>$D78-vlookup(Summary!$C78,Summary!$C$2:$Q$103,3+counta($F$1:N$1),false)</f>
        <v>0.4</v>
      </c>
      <c r="O78" s="99">
        <f>$D78-vlookup(Summary!$C78,Summary!$C$2:$Q$103,3+counta($F$1:O$1),false)</f>
        <v>0.25</v>
      </c>
      <c r="P78" s="99">
        <f>$D78-vlookup(Summary!$C78,Summary!$C$2:$Q$103,3+counta($F$1:P$1),false)</f>
        <v>0.1</v>
      </c>
      <c r="Q78" s="99">
        <f>$D78-vlookup(Summary!$C78,Summary!$C$2:$Q$103,3+counta($F$1:Q$1),false)</f>
        <v>-0.1</v>
      </c>
    </row>
    <row r="79" ht="15.75" customHeight="1">
      <c r="A79" s="15">
        <f>Main!A79</f>
        <v>78</v>
      </c>
      <c r="B79" s="15" t="str">
        <f>Main!B79</f>
        <v>Apple will announce mixed reality glasses</v>
      </c>
      <c r="C79" s="15" t="str">
        <f>Main!C79</f>
        <v>Technology</v>
      </c>
      <c r="D79" s="15">
        <v>0.4</v>
      </c>
      <c r="F79" s="99">
        <f>$D79-vlookup(Summary!$C79,Summary!$C$2:$Q$103,3+counta($F$1:F$1),false)</f>
        <v>0.15</v>
      </c>
      <c r="G79" s="99">
        <f>$D79-vlookup(Summary!$C79,Summary!$C$2:$Q$103,3+counta($F$1:G$1),false)</f>
        <v>0</v>
      </c>
      <c r="H79" s="99">
        <f>$D79-vlookup(Summary!$C79,Summary!$C$2:$Q$103,3+counta($F$1:H$1),false)</f>
        <v>0.2</v>
      </c>
      <c r="I79" s="99">
        <f>$D79-vlookup(Summary!$C79,Summary!$C$2:$Q$103,3+counta($F$1:I$1),false)</f>
        <v>0.3</v>
      </c>
      <c r="J79" s="99">
        <f>$D79-vlookup(Summary!$C79,Summary!$C$2:$Q$103,3+counta($F$1:J$1),false)</f>
        <v>-0.5</v>
      </c>
      <c r="K79" s="99">
        <f>$D79-vlookup(Summary!$C79,Summary!$C$2:$Q$103,3+counta($F$1:K$1),false)</f>
        <v>-0.275</v>
      </c>
      <c r="L79" s="99">
        <f>$D79-vlookup(Summary!$C79,Summary!$C$2:$Q$103,3+counta($F$1:L$1),false)</f>
        <v>-0.05</v>
      </c>
      <c r="M79" s="99">
        <f>$D79-vlookup(Summary!$C79,Summary!$C$2:$Q$103,3+counta($F$1:M$1),false)</f>
        <v>0.2</v>
      </c>
      <c r="N79" s="99">
        <f>$D79-vlookup(Summary!$C79,Summary!$C$2:$Q$103,3+counta($F$1:N$1),false)</f>
        <v>-0.3</v>
      </c>
      <c r="O79" s="99">
        <f>$D79-vlookup(Summary!$C79,Summary!$C$2:$Q$103,3+counta($F$1:O$1),false)</f>
        <v>0.05</v>
      </c>
      <c r="P79" s="99">
        <f>$D79-vlookup(Summary!$C79,Summary!$C$2:$Q$103,3+counta($F$1:P$1),false)</f>
        <v>0.3</v>
      </c>
      <c r="Q79" s="99">
        <f>$D79-vlookup(Summary!$C79,Summary!$C$2:$Q$103,3+counta($F$1:Q$1),false)</f>
        <v>-0.4</v>
      </c>
    </row>
    <row r="80" ht="15.75" customHeight="1">
      <c r="A80" s="15">
        <f>Main!A80</f>
        <v>79</v>
      </c>
      <c r="B80" s="15" t="str">
        <f>Main!B80</f>
        <v> In-app purchases of Kindle books will be possible in the Kindle iphone app</v>
      </c>
      <c r="C80" s="15" t="str">
        <f>Main!C80</f>
        <v>Technology</v>
      </c>
      <c r="D80" s="15">
        <v>0.55</v>
      </c>
      <c r="F80" s="99">
        <f>$D80-vlookup(Summary!$C80,Summary!$C$2:$Q$103,3+counta($F$1:F$1),false)</f>
        <v>0.05</v>
      </c>
      <c r="G80" s="99">
        <f>$D80-vlookup(Summary!$C80,Summary!$C$2:$Q$103,3+counta($F$1:G$1),false)</f>
        <v>0</v>
      </c>
      <c r="H80" s="99">
        <f>$D80-vlookup(Summary!$C80,Summary!$C$2:$Q$103,3+counta($F$1:H$1),false)</f>
        <v>0.35</v>
      </c>
      <c r="I80" s="99">
        <f>$D80-vlookup(Summary!$C80,Summary!$C$2:$Q$103,3+counta($F$1:I$1),false)</f>
        <v>0.05</v>
      </c>
      <c r="J80" s="99">
        <f>$D80-vlookup(Summary!$C80,Summary!$C$2:$Q$103,3+counta($F$1:J$1),false)</f>
        <v>-0.35</v>
      </c>
      <c r="K80" s="99">
        <f>$D80-vlookup(Summary!$C80,Summary!$C$2:$Q$103,3+counta($F$1:K$1),false)</f>
        <v>-0.3</v>
      </c>
      <c r="L80" s="99">
        <f>$D80-vlookup(Summary!$C80,Summary!$C$2:$Q$103,3+counta($F$1:L$1),false)</f>
        <v>0.35</v>
      </c>
      <c r="M80" s="99">
        <f>$D80-vlookup(Summary!$C80,Summary!$C$2:$Q$103,3+counta($F$1:M$1),false)</f>
        <v>0.35</v>
      </c>
      <c r="N80" s="99">
        <f>$D80-vlookup(Summary!$C80,Summary!$C$2:$Q$103,3+counta($F$1:N$1),false)</f>
        <v>-0.25</v>
      </c>
      <c r="O80" s="99">
        <f>$D80-vlookup(Summary!$C80,Summary!$C$2:$Q$103,3+counta($F$1:O$1),false)</f>
        <v>0.4</v>
      </c>
      <c r="P80" s="99">
        <f>$D80-vlookup(Summary!$C80,Summary!$C$2:$Q$103,3+counta($F$1:P$1),false)</f>
        <v>0.05</v>
      </c>
      <c r="Q80" s="99">
        <f>$D80-vlookup(Summary!$C80,Summary!$C$2:$Q$103,3+counta($F$1:Q$1),false)</f>
        <v>0.05</v>
      </c>
    </row>
    <row r="81" ht="15.75" customHeight="1">
      <c r="A81" s="15">
        <f>Main!A81</f>
        <v>80</v>
      </c>
      <c r="B81" s="15" t="str">
        <f>Main!B81</f>
        <v>It will be possible for at least one of the prediction participants to have food delivered by drone to their place of residence as a mainstream service, without it being part of a specific trial.</v>
      </c>
      <c r="C81" s="15" t="str">
        <f>Main!C81</f>
        <v>Technology</v>
      </c>
      <c r="D81" s="15">
        <v>0.3</v>
      </c>
      <c r="F81" s="99">
        <f>$D81-vlookup(Summary!$C81,Summary!$C$2:$Q$103,3+counta($F$1:F$1),false)</f>
        <v>0.1</v>
      </c>
      <c r="G81" s="99">
        <f>$D81-vlookup(Summary!$C81,Summary!$C$2:$Q$103,3+counta($F$1:G$1),false)</f>
        <v>0</v>
      </c>
      <c r="H81" s="99">
        <f>$D81-vlookup(Summary!$C81,Summary!$C$2:$Q$103,3+counta($F$1:H$1),false)</f>
        <v>0.2</v>
      </c>
      <c r="I81" s="99">
        <f>$D81-vlookup(Summary!$C81,Summary!$C$2:$Q$103,3+counta($F$1:I$1),false)</f>
        <v>0.2</v>
      </c>
      <c r="J81" s="99">
        <f>$D81-vlookup(Summary!$C81,Summary!$C$2:$Q$103,3+counta($F$1:J$1),false)</f>
        <v>-0.1</v>
      </c>
      <c r="K81" s="99">
        <f>$D81-vlookup(Summary!$C81,Summary!$C$2:$Q$103,3+counta($F$1:K$1),false)</f>
        <v>-0.35</v>
      </c>
      <c r="L81" s="99">
        <f>$D81-vlookup(Summary!$C81,Summary!$C$2:$Q$103,3+counta($F$1:L$1),false)</f>
        <v>-0.2</v>
      </c>
      <c r="M81" s="99">
        <f>$D81-vlookup(Summary!$C81,Summary!$C$2:$Q$103,3+counta($F$1:M$1),false)</f>
        <v>0.2</v>
      </c>
      <c r="N81" s="99">
        <f>$D81-vlookup(Summary!$C81,Summary!$C$2:$Q$103,3+counta($F$1:N$1),false)</f>
        <v>-0.4</v>
      </c>
      <c r="O81" s="99">
        <f>$D81-vlookup(Summary!$C81,Summary!$C$2:$Q$103,3+counta($F$1:O$1),false)</f>
        <v>-0.35</v>
      </c>
      <c r="P81" s="99">
        <f>$D81-vlookup(Summary!$C81,Summary!$C$2:$Q$103,3+counta($F$1:P$1),false)</f>
        <v>-0.6</v>
      </c>
      <c r="Q81" s="99">
        <f>$D81-vlookup(Summary!$C81,Summary!$C$2:$Q$103,3+counta($F$1:Q$1),false)</f>
        <v>-0.35</v>
      </c>
    </row>
    <row r="82" ht="15.75" customHeight="1">
      <c r="A82" s="15">
        <f>Main!A82</f>
        <v>81</v>
      </c>
      <c r="B82" s="15" t="str">
        <f>Main!B82</f>
        <v>TMTG, the company that owns Trump’s “TRUTH Social” platform, will have a market cap of over $20 billion USD. (Twitter is around 35b)</v>
      </c>
      <c r="C82" s="15" t="str">
        <f>Main!C82</f>
        <v>Technology</v>
      </c>
      <c r="D82" s="15">
        <v>0.99</v>
      </c>
      <c r="F82" s="99">
        <f>$D82-vlookup(Summary!$C82,Summary!$C$2:$Q$103,3+counta($F$1:F$1),false)</f>
        <v>0.09</v>
      </c>
      <c r="G82" s="99">
        <f>$D82-vlookup(Summary!$C82,Summary!$C$2:$Q$103,3+counta($F$1:G$1),false)</f>
        <v>0</v>
      </c>
      <c r="H82" s="99">
        <f>$D82-vlookup(Summary!$C82,Summary!$C$2:$Q$103,3+counta($F$1:H$1),false)</f>
        <v>0.79</v>
      </c>
      <c r="I82" s="99">
        <f>$D82-vlookup(Summary!$C82,Summary!$C$2:$Q$103,3+counta($F$1:I$1),false)</f>
        <v>0.09</v>
      </c>
      <c r="J82" s="99">
        <f>$D82-vlookup(Summary!$C82,Summary!$C$2:$Q$103,3+counta($F$1:J$1),false)</f>
        <v>0.69</v>
      </c>
      <c r="K82" s="99">
        <f>$D82-vlookup(Summary!$C82,Summary!$C$2:$Q$103,3+counta($F$1:K$1),false)</f>
        <v>0.19</v>
      </c>
      <c r="L82" s="99">
        <f>$D82-vlookup(Summary!$C82,Summary!$C$2:$Q$103,3+counta($F$1:L$1),false)</f>
        <v>0.79</v>
      </c>
      <c r="M82" s="99">
        <f>$D82-vlookup(Summary!$C82,Summary!$C$2:$Q$103,3+counta($F$1:M$1),false)</f>
        <v>0.79</v>
      </c>
      <c r="N82" s="99">
        <f>$D82-vlookup(Summary!$C82,Summary!$C$2:$Q$103,3+counta($F$1:N$1),false)</f>
        <v>0.89</v>
      </c>
      <c r="O82" s="99">
        <f>$D82-vlookup(Summary!$C82,Summary!$C$2:$Q$103,3+counta($F$1:O$1),false)</f>
        <v>0.84</v>
      </c>
      <c r="P82" s="99">
        <f>$D82-vlookup(Summary!$C82,Summary!$C$2:$Q$103,3+counta($F$1:P$1),false)</f>
        <v>0.49</v>
      </c>
      <c r="Q82" s="99">
        <f>$D82-vlookup(Summary!$C82,Summary!$C$2:$Q$103,3+counta($F$1:Q$1),false)</f>
        <v>0.69</v>
      </c>
    </row>
    <row r="83" ht="15.75" customHeight="1">
      <c r="A83" s="15">
        <f>Main!A83</f>
        <v>82</v>
      </c>
      <c r="B83" s="15" t="str">
        <f>Main!B83</f>
        <v>It will not be financially viable to mine ethereum using commercial GPUs.</v>
      </c>
      <c r="C83" s="15" t="str">
        <f>Main!C83</f>
        <v>Technology</v>
      </c>
      <c r="D83" s="15">
        <v>0.8</v>
      </c>
      <c r="F83" s="99">
        <f>$D83-vlookup(Summary!$C83,Summary!$C$2:$Q$103,3+counta($F$1:F$1),false)</f>
        <v>0.15</v>
      </c>
      <c r="G83" s="99">
        <f>$D83-vlookup(Summary!$C83,Summary!$C$2:$Q$103,3+counta($F$1:G$1),false)</f>
        <v>0</v>
      </c>
      <c r="H83" s="99">
        <f>$D83-vlookup(Summary!$C83,Summary!$C$2:$Q$103,3+counta($F$1:H$1),false)</f>
        <v>-0.1</v>
      </c>
      <c r="I83" s="99">
        <f>$D83-vlookup(Summary!$C83,Summary!$C$2:$Q$103,3+counta($F$1:I$1),false)</f>
        <v>0.3</v>
      </c>
      <c r="J83" s="99">
        <f>$D83-vlookup(Summary!$C83,Summary!$C$2:$Q$103,3+counta($F$1:J$1),false)</f>
        <v>0.3</v>
      </c>
      <c r="K83" s="99">
        <f>$D83-vlookup(Summary!$C83,Summary!$C$2:$Q$103,3+counta($F$1:K$1),false)</f>
        <v>0.3</v>
      </c>
      <c r="L83" s="99">
        <f>$D83-vlookup(Summary!$C83,Summary!$C$2:$Q$103,3+counta($F$1:L$1),false)</f>
        <v>0.35</v>
      </c>
      <c r="M83" s="99">
        <f>$D83-vlookup(Summary!$C83,Summary!$C$2:$Q$103,3+counta($F$1:M$1),false)</f>
        <v>-0.1</v>
      </c>
      <c r="N83" s="99">
        <f>$D83-vlookup(Summary!$C83,Summary!$C$2:$Q$103,3+counta($F$1:N$1),false)</f>
        <v>0</v>
      </c>
      <c r="O83" s="99">
        <f>$D83-vlookup(Summary!$C83,Summary!$C$2:$Q$103,3+counta($F$1:O$1),false)</f>
        <v>-0.05</v>
      </c>
      <c r="P83" s="99">
        <f>$D83-vlookup(Summary!$C83,Summary!$C$2:$Q$103,3+counta($F$1:P$1),false)</f>
        <v>0.3</v>
      </c>
      <c r="Q83" s="99">
        <f>$D83-vlookup(Summary!$C83,Summary!$C$2:$Q$103,3+counta($F$1:Q$1),false)</f>
        <v>0.2</v>
      </c>
    </row>
    <row r="84" ht="15.75" customHeight="1">
      <c r="A84" s="15">
        <f>Main!A84</f>
        <v>83</v>
      </c>
      <c r="B84" s="15" t="str">
        <f>Main!B84</f>
        <v>China will have more than 800 satellites in orbit (currently around 500)</v>
      </c>
      <c r="C84" s="15" t="str">
        <f>Main!C84</f>
        <v>Technology</v>
      </c>
      <c r="D84" s="15">
        <v>0.65</v>
      </c>
      <c r="F84" s="99">
        <f>$D84-vlookup(Summary!$C84,Summary!$C$2:$Q$103,3+counta($F$1:F$1),false)</f>
        <v>0.25</v>
      </c>
      <c r="G84" s="99">
        <f>$D84-vlookup(Summary!$C84,Summary!$C$2:$Q$103,3+counta($F$1:G$1),false)</f>
        <v>0</v>
      </c>
      <c r="H84" s="99">
        <f>$D84-vlookup(Summary!$C84,Summary!$C$2:$Q$103,3+counta($F$1:H$1),false)</f>
        <v>0.6</v>
      </c>
      <c r="I84" s="99">
        <f>$D84-vlookup(Summary!$C84,Summary!$C$2:$Q$103,3+counta($F$1:I$1),false)</f>
        <v>0.45</v>
      </c>
      <c r="J84" s="99">
        <f>$D84-vlookup(Summary!$C84,Summary!$C$2:$Q$103,3+counta($F$1:J$1),false)</f>
        <v>-0.05</v>
      </c>
      <c r="K84" s="99">
        <f>$D84-vlookup(Summary!$C84,Summary!$C$2:$Q$103,3+counta($F$1:K$1),false)</f>
        <v>-0.2</v>
      </c>
      <c r="L84" s="99">
        <f>$D84-vlookup(Summary!$C84,Summary!$C$2:$Q$103,3+counta($F$1:L$1),false)</f>
        <v>0.649</v>
      </c>
      <c r="M84" s="99">
        <f>$D84-vlookup(Summary!$C84,Summary!$C$2:$Q$103,3+counta($F$1:M$1),false)</f>
        <v>0.6</v>
      </c>
      <c r="N84" s="99">
        <f>$D84-vlookup(Summary!$C84,Summary!$C$2:$Q$103,3+counta($F$1:N$1),false)</f>
        <v>0.55</v>
      </c>
      <c r="O84" s="99">
        <f>$D84-vlookup(Summary!$C84,Summary!$C$2:$Q$103,3+counta($F$1:O$1),false)</f>
        <v>0.649</v>
      </c>
      <c r="P84" s="99">
        <f>$D84-vlookup(Summary!$C84,Summary!$C$2:$Q$103,3+counta($F$1:P$1),false)</f>
        <v>0.15</v>
      </c>
      <c r="Q84" s="99">
        <f>$D84-vlookup(Summary!$C84,Summary!$C$2:$Q$103,3+counta($F$1:Q$1),false)</f>
        <v>0</v>
      </c>
    </row>
    <row r="85" ht="15.75" customHeight="1">
      <c r="A85" s="15">
        <f>Main!A85</f>
        <v>84</v>
      </c>
      <c r="B85" s="15" t="str">
        <f>Main!B85</f>
        <v>Australia will be in the top 40 countries for broadband speed (as tracked in wiki page)</v>
      </c>
      <c r="C85" s="15" t="str">
        <f>Main!C85</f>
        <v>Technology</v>
      </c>
      <c r="D85" s="15">
        <v>0.9</v>
      </c>
      <c r="F85" s="99">
        <f>$D85-vlookup(Summary!$C85,Summary!$C$2:$Q$103,3+counta($F$1:F$1),false)</f>
        <v>0.7</v>
      </c>
      <c r="G85" s="99">
        <f>$D85-vlookup(Summary!$C85,Summary!$C$2:$Q$103,3+counta($F$1:G$1),false)</f>
        <v>0</v>
      </c>
      <c r="H85" s="99">
        <f>$D85-vlookup(Summary!$C85,Summary!$C$2:$Q$103,3+counta($F$1:H$1),false)</f>
        <v>0.85</v>
      </c>
      <c r="I85" s="99">
        <f>$D85-vlookup(Summary!$C85,Summary!$C$2:$Q$103,3+counta($F$1:I$1),false)</f>
        <v>0.6</v>
      </c>
      <c r="J85" s="99">
        <f>$D85-vlookup(Summary!$C85,Summary!$C$2:$Q$103,3+counta($F$1:J$1),false)</f>
        <v>0.7</v>
      </c>
      <c r="K85" s="99">
        <f>$D85-vlookup(Summary!$C85,Summary!$C$2:$Q$103,3+counta($F$1:K$1),false)</f>
        <v>0.2</v>
      </c>
      <c r="L85" s="99">
        <f>$D85-vlookup(Summary!$C85,Summary!$C$2:$Q$103,3+counta($F$1:L$1),false)</f>
        <v>0.85</v>
      </c>
      <c r="M85" s="99">
        <f>$D85-vlookup(Summary!$C85,Summary!$C$2:$Q$103,3+counta($F$1:M$1),false)</f>
        <v>0.85</v>
      </c>
      <c r="N85" s="99">
        <f>$D85-vlookup(Summary!$C85,Summary!$C$2:$Q$103,3+counta($F$1:N$1),false)</f>
        <v>0.2</v>
      </c>
      <c r="O85" s="99">
        <f>$D85-vlookup(Summary!$C85,Summary!$C$2:$Q$103,3+counta($F$1:O$1),false)</f>
        <v>0.75</v>
      </c>
      <c r="P85" s="99">
        <f>$D85-vlookup(Summary!$C85,Summary!$C$2:$Q$103,3+counta($F$1:P$1),false)</f>
        <v>0.1</v>
      </c>
      <c r="Q85" s="99">
        <f>$D85-vlookup(Summary!$C85,Summary!$C$2:$Q$103,3+counta($F$1:Q$1),false)</f>
        <v>0.2</v>
      </c>
    </row>
    <row r="86" ht="15.75" customHeight="1">
      <c r="A86" s="15">
        <f>Main!A86</f>
        <v>85</v>
      </c>
      <c r="B86" s="15" t="str">
        <f>Main!B86</f>
        <v>India will produce more total CO2 emissions than the US</v>
      </c>
      <c r="C86" s="15" t="str">
        <f>Main!C86</f>
        <v>Technology</v>
      </c>
      <c r="D86" s="15">
        <v>0.2</v>
      </c>
      <c r="F86" s="99">
        <f>$D86-vlookup(Summary!$C86,Summary!$C$2:$Q$103,3+counta($F$1:F$1),false)</f>
        <v>-0.1</v>
      </c>
      <c r="G86" s="99">
        <f>$D86-vlookup(Summary!$C86,Summary!$C$2:$Q$103,3+counta($F$1:G$1),false)</f>
        <v>0</v>
      </c>
      <c r="H86" s="99">
        <f>$D86-vlookup(Summary!$C86,Summary!$C$2:$Q$103,3+counta($F$1:H$1),false)</f>
        <v>0.1</v>
      </c>
      <c r="I86" s="99">
        <f>$D86-vlookup(Summary!$C86,Summary!$C$2:$Q$103,3+counta($F$1:I$1),false)</f>
        <v>0.1</v>
      </c>
      <c r="J86" s="99">
        <f>$D86-vlookup(Summary!$C86,Summary!$C$2:$Q$103,3+counta($F$1:J$1),false)</f>
        <v>-0.3</v>
      </c>
      <c r="K86" s="99">
        <f>$D86-vlookup(Summary!$C86,Summary!$C$2:$Q$103,3+counta($F$1:K$1),false)</f>
        <v>-0.6</v>
      </c>
      <c r="L86" s="99">
        <f>$D86-vlookup(Summary!$C86,Summary!$C$2:$Q$103,3+counta($F$1:L$1),false)</f>
        <v>0.199</v>
      </c>
      <c r="M86" s="99">
        <f>$D86-vlookup(Summary!$C86,Summary!$C$2:$Q$103,3+counta($F$1:M$1),false)</f>
        <v>0.1</v>
      </c>
      <c r="N86" s="99">
        <f>$D86-vlookup(Summary!$C86,Summary!$C$2:$Q$103,3+counta($F$1:N$1),false)</f>
        <v>-0.6</v>
      </c>
      <c r="O86" s="99">
        <f>$D86-vlookup(Summary!$C86,Summary!$C$2:$Q$103,3+counta($F$1:O$1),false)</f>
        <v>-0.15</v>
      </c>
      <c r="P86" s="99">
        <f>$D86-vlookup(Summary!$C86,Summary!$C$2:$Q$103,3+counta($F$1:P$1),false)</f>
        <v>-0.6</v>
      </c>
      <c r="Q86" s="99">
        <f>$D86-vlookup(Summary!$C86,Summary!$C$2:$Q$103,3+counta($F$1:Q$1),false)</f>
        <v>-0.4</v>
      </c>
    </row>
    <row r="87" ht="15.75" customHeight="1">
      <c r="A87" s="15">
        <f>Main!A87</f>
        <v>86</v>
      </c>
      <c r="B87" s="15" t="str">
        <f>Main!B87</f>
        <v>The number of electric vehicles under $50K (excl on road costs) grows 67% or more in Australia, as listed on carsguide.com.au. Currently there are three cars: Hyundai Ioniq, Nissan Leaf and MG ZS EV</v>
      </c>
      <c r="C87" s="15" t="str">
        <f>Main!C87</f>
        <v>Technology</v>
      </c>
      <c r="D87" s="15">
        <v>0.8</v>
      </c>
      <c r="F87" s="99">
        <f>$D87-vlookup(Summary!$C87,Summary!$C$2:$Q$103,3+counta($F$1:F$1),false)</f>
        <v>0.4</v>
      </c>
      <c r="G87" s="99">
        <f>$D87-vlookup(Summary!$C87,Summary!$C$2:$Q$103,3+counta($F$1:G$1),false)</f>
        <v>0</v>
      </c>
      <c r="H87" s="99">
        <f>$D87-vlookup(Summary!$C87,Summary!$C$2:$Q$103,3+counta($F$1:H$1),false)</f>
        <v>0.1</v>
      </c>
      <c r="I87" s="99">
        <f>$D87-vlookup(Summary!$C87,Summary!$C$2:$Q$103,3+counta($F$1:I$1),false)</f>
        <v>0.6</v>
      </c>
      <c r="J87" s="99">
        <f>$D87-vlookup(Summary!$C87,Summary!$C$2:$Q$103,3+counta($F$1:J$1),false)</f>
        <v>0.5</v>
      </c>
      <c r="K87" s="99">
        <f>$D87-vlookup(Summary!$C87,Summary!$C$2:$Q$103,3+counta($F$1:K$1),false)</f>
        <v>0.15</v>
      </c>
      <c r="L87" s="99">
        <f>$D87-vlookup(Summary!$C87,Summary!$C$2:$Q$103,3+counta($F$1:L$1),false)</f>
        <v>0.25</v>
      </c>
      <c r="M87" s="99">
        <f>$D87-vlookup(Summary!$C87,Summary!$C$2:$Q$103,3+counta($F$1:M$1),false)</f>
        <v>0.1</v>
      </c>
      <c r="N87" s="99">
        <f>$D87-vlookup(Summary!$C87,Summary!$C$2:$Q$103,3+counta($F$1:N$1),false)</f>
        <v>-0.1</v>
      </c>
      <c r="O87" s="99">
        <f>$D87-vlookup(Summary!$C87,Summary!$C$2:$Q$103,3+counta($F$1:O$1),false)</f>
        <v>0.45</v>
      </c>
      <c r="P87" s="99">
        <f>$D87-vlookup(Summary!$C87,Summary!$C$2:$Q$103,3+counta($F$1:P$1),false)</f>
        <v>0.1</v>
      </c>
      <c r="Q87" s="99">
        <f>$D87-vlookup(Summary!$C87,Summary!$C$2:$Q$103,3+counta($F$1:Q$1),false)</f>
        <v>0.45</v>
      </c>
    </row>
    <row r="88" ht="15.75" customHeight="1">
      <c r="A88" s="15">
        <f>Main!A88</f>
        <v>87</v>
      </c>
      <c r="B88" s="15" t="str">
        <f>Main!B88</f>
        <v>Boris Johnson will be replaced as Prime Minister by the Tory Party</v>
      </c>
      <c r="C88" s="15" t="str">
        <f>Main!C88</f>
        <v>World Politics</v>
      </c>
      <c r="D88" s="15">
        <v>0.8</v>
      </c>
      <c r="F88" s="99">
        <f>$D88-vlookup(Summary!$C88,Summary!$C$2:$Q$103,3+counta($F$1:F$1),false)</f>
        <v>-0.05</v>
      </c>
      <c r="G88" s="99">
        <f>$D88-vlookup(Summary!$C88,Summary!$C$2:$Q$103,3+counta($F$1:G$1),false)</f>
        <v>0</v>
      </c>
      <c r="H88" s="99">
        <f>$D88-vlookup(Summary!$C88,Summary!$C$2:$Q$103,3+counta($F$1:H$1),false)</f>
        <v>0.5</v>
      </c>
      <c r="I88" s="99">
        <f>$D88-vlookup(Summary!$C88,Summary!$C$2:$Q$103,3+counta($F$1:I$1),false)</f>
        <v>0</v>
      </c>
      <c r="J88" s="99">
        <f>$D88-vlookup(Summary!$C88,Summary!$C$2:$Q$103,3+counta($F$1:J$1),false)</f>
        <v>0.4</v>
      </c>
      <c r="K88" s="99">
        <f>$D88-vlookup(Summary!$C88,Summary!$C$2:$Q$103,3+counta($F$1:K$1),false)</f>
        <v>-0.05</v>
      </c>
      <c r="L88" s="99">
        <f>$D88-vlookup(Summary!$C88,Summary!$C$2:$Q$103,3+counta($F$1:L$1),false)</f>
        <v>0.7</v>
      </c>
      <c r="M88" s="99">
        <f>$D88-vlookup(Summary!$C88,Summary!$C$2:$Q$103,3+counta($F$1:M$1),false)</f>
        <v>0.5</v>
      </c>
      <c r="N88" s="99">
        <f>$D88-vlookup(Summary!$C88,Summary!$C$2:$Q$103,3+counta($F$1:N$1),false)</f>
        <v>-0.1</v>
      </c>
      <c r="O88" s="99">
        <f>$D88-vlookup(Summary!$C88,Summary!$C$2:$Q$103,3+counta($F$1:O$1),false)</f>
        <v>0.15</v>
      </c>
      <c r="P88" s="99">
        <f>$D88-vlookup(Summary!$C88,Summary!$C$2:$Q$103,3+counta($F$1:P$1),false)</f>
        <v>-0.1</v>
      </c>
      <c r="Q88" s="99">
        <f>$D88-vlookup(Summary!$C88,Summary!$C$2:$Q$103,3+counta($F$1:Q$1),false)</f>
        <v>0.3</v>
      </c>
    </row>
    <row r="89" ht="15.75" customHeight="1">
      <c r="A89" s="15">
        <f>Main!A89</f>
        <v>88</v>
      </c>
      <c r="B89" s="15" t="str">
        <f>Main!B89</f>
        <v>Boris Johnson will be the Prime Minister of the UK</v>
      </c>
      <c r="C89" s="15" t="str">
        <f>Main!C89</f>
        <v>World Politics</v>
      </c>
      <c r="D89" s="15">
        <v>0.2</v>
      </c>
      <c r="F89" s="99">
        <f>$D89-vlookup(Summary!$C89,Summary!$C$2:$Q$103,3+counta($F$1:F$1),false)</f>
        <v>0.05</v>
      </c>
      <c r="G89" s="99">
        <f>$D89-vlookup(Summary!$C89,Summary!$C$2:$Q$103,3+counta($F$1:G$1),false)</f>
        <v>0</v>
      </c>
      <c r="H89" s="99">
        <f>$D89-vlookup(Summary!$C89,Summary!$C$2:$Q$103,3+counta($F$1:H$1),false)</f>
        <v>-0.5</v>
      </c>
      <c r="I89" s="99">
        <f>$D89-vlookup(Summary!$C89,Summary!$C$2:$Q$103,3+counta($F$1:I$1),false)</f>
        <v>0</v>
      </c>
      <c r="J89" s="99">
        <f>$D89-vlookup(Summary!$C89,Summary!$C$2:$Q$103,3+counta($F$1:J$1),false)</f>
        <v>-0.4</v>
      </c>
      <c r="K89" s="99">
        <f>$D89-vlookup(Summary!$C89,Summary!$C$2:$Q$103,3+counta($F$1:K$1),false)</f>
        <v>-0.05</v>
      </c>
      <c r="L89" s="99">
        <f>$D89-vlookup(Summary!$C89,Summary!$C$2:$Q$103,3+counta($F$1:L$1),false)</f>
        <v>-0.65</v>
      </c>
      <c r="M89" s="99">
        <f>$D89-vlookup(Summary!$C89,Summary!$C$2:$Q$103,3+counta($F$1:M$1),false)</f>
        <v>-0.5</v>
      </c>
      <c r="N89" s="99">
        <f>$D89-vlookup(Summary!$C89,Summary!$C$2:$Q$103,3+counta($F$1:N$1),false)</f>
        <v>0</v>
      </c>
      <c r="O89" s="99">
        <f>$D89-vlookup(Summary!$C89,Summary!$C$2:$Q$103,3+counta($F$1:O$1),false)</f>
        <v>-0.15</v>
      </c>
      <c r="P89" s="99">
        <f>$D89-vlookup(Summary!$C89,Summary!$C$2:$Q$103,3+counta($F$1:P$1),false)</f>
        <v>0.1</v>
      </c>
      <c r="Q89" s="99">
        <f>$D89-vlookup(Summary!$C89,Summary!$C$2:$Q$103,3+counta($F$1:Q$1),false)</f>
        <v>-0.2</v>
      </c>
    </row>
    <row r="90" ht="15.75" customHeight="1">
      <c r="A90" s="15">
        <f>Main!A90</f>
        <v>89</v>
      </c>
      <c r="B90" s="15" t="str">
        <f>Main!B90</f>
        <v>At least some American states will resort to proclaimed and violent civil war rather that accept democratic elections</v>
      </c>
      <c r="C90" s="15" t="str">
        <f>Main!C90</f>
        <v>World Politics</v>
      </c>
      <c r="D90" s="15">
        <v>0.1</v>
      </c>
      <c r="F90" s="99">
        <f>$D90-vlookup(Summary!$C90,Summary!$C$2:$Q$103,3+counta($F$1:F$1),false)</f>
        <v>-0.2</v>
      </c>
      <c r="G90" s="99">
        <f>$D90-vlookup(Summary!$C90,Summary!$C$2:$Q$103,3+counta($F$1:G$1),false)</f>
        <v>0</v>
      </c>
      <c r="H90" s="99">
        <f>$D90-vlookup(Summary!$C90,Summary!$C$2:$Q$103,3+counta($F$1:H$1),false)</f>
        <v>0</v>
      </c>
      <c r="I90" s="99">
        <f>$D90-vlookup(Summary!$C90,Summary!$C$2:$Q$103,3+counta($F$1:I$1),false)</f>
        <v>0</v>
      </c>
      <c r="J90" s="99">
        <f>$D90-vlookup(Summary!$C90,Summary!$C$2:$Q$103,3+counta($F$1:J$1),false)</f>
        <v>-0.6</v>
      </c>
      <c r="K90" s="99">
        <f>$D90-vlookup(Summary!$C90,Summary!$C$2:$Q$103,3+counta($F$1:K$1),false)</f>
        <v>-0.1</v>
      </c>
      <c r="L90" s="99">
        <f>$D90-vlookup(Summary!$C90,Summary!$C$2:$Q$103,3+counta($F$1:L$1),false)</f>
        <v>0.05</v>
      </c>
      <c r="M90" s="99">
        <f>$D90-vlookup(Summary!$C90,Summary!$C$2:$Q$103,3+counta($F$1:M$1),false)</f>
        <v>0</v>
      </c>
      <c r="N90" s="99">
        <f>$D90-vlookup(Summary!$C90,Summary!$C$2:$Q$103,3+counta($F$1:N$1),false)</f>
        <v>0</v>
      </c>
      <c r="O90" s="99">
        <f>$D90-vlookup(Summary!$C90,Summary!$C$2:$Q$103,3+counta($F$1:O$1),false)</f>
        <v>0.099</v>
      </c>
      <c r="P90" s="99">
        <f>$D90-vlookup(Summary!$C90,Summary!$C$2:$Q$103,3+counta($F$1:P$1),false)</f>
        <v>0</v>
      </c>
      <c r="Q90" s="99">
        <f>$D90-vlookup(Summary!$C90,Summary!$C$2:$Q$103,3+counta($F$1:Q$1),false)</f>
        <v>-0.15</v>
      </c>
    </row>
    <row r="91" ht="15.75" customHeight="1">
      <c r="A91" s="15">
        <f>Main!A91</f>
        <v>90</v>
      </c>
      <c r="B91" s="15" t="str">
        <f>Main!B91</f>
        <v>Democrats will lose control of the US House of Representatives at the midterm elections</v>
      </c>
      <c r="C91" s="15" t="str">
        <f>Main!C91</f>
        <v>World Politics</v>
      </c>
      <c r="D91" s="15">
        <v>0.9</v>
      </c>
      <c r="F91" s="99">
        <f>$D91-vlookup(Summary!$C91,Summary!$C$2:$Q$103,3+counta($F$1:F$1),false)</f>
        <v>0.1</v>
      </c>
      <c r="G91" s="99">
        <f>$D91-vlookup(Summary!$C91,Summary!$C$2:$Q$103,3+counta($F$1:G$1),false)</f>
        <v>0</v>
      </c>
      <c r="H91" s="99">
        <f>$D91-vlookup(Summary!$C91,Summary!$C$2:$Q$103,3+counta($F$1:H$1),false)</f>
        <v>0.2</v>
      </c>
      <c r="I91" s="99">
        <f>$D91-vlookup(Summary!$C91,Summary!$C$2:$Q$103,3+counta($F$1:I$1),false)</f>
        <v>0.3</v>
      </c>
      <c r="J91" s="99">
        <f>$D91-vlookup(Summary!$C91,Summary!$C$2:$Q$103,3+counta($F$1:J$1),false)</f>
        <v>0</v>
      </c>
      <c r="K91" s="99">
        <f>$D91-vlookup(Summary!$C91,Summary!$C$2:$Q$103,3+counta($F$1:K$1),false)</f>
        <v>0.2</v>
      </c>
      <c r="L91" s="99">
        <f>$D91-vlookup(Summary!$C91,Summary!$C$2:$Q$103,3+counta($F$1:L$1),false)</f>
        <v>0.2</v>
      </c>
      <c r="M91" s="99">
        <f>$D91-vlookup(Summary!$C91,Summary!$C$2:$Q$103,3+counta($F$1:M$1),false)</f>
        <v>0.2</v>
      </c>
      <c r="N91" s="99">
        <f>$D91-vlookup(Summary!$C91,Summary!$C$2:$Q$103,3+counta($F$1:N$1),false)</f>
        <v>0.1</v>
      </c>
      <c r="O91" s="99">
        <f>$D91-vlookup(Summary!$C91,Summary!$C$2:$Q$103,3+counta($F$1:O$1),false)</f>
        <v>-0.099</v>
      </c>
      <c r="P91" s="99">
        <f>$D91-vlookup(Summary!$C91,Summary!$C$2:$Q$103,3+counta($F$1:P$1),false)</f>
        <v>0.8</v>
      </c>
      <c r="Q91" s="99">
        <f>$D91-vlookup(Summary!$C91,Summary!$C$2:$Q$103,3+counta($F$1:Q$1),false)</f>
        <v>0.5</v>
      </c>
    </row>
    <row r="92" ht="15.75" customHeight="1">
      <c r="A92" s="15">
        <f>Main!A92</f>
        <v>91</v>
      </c>
      <c r="B92" s="15" t="str">
        <f>Main!B92</f>
        <v>Democrats will not have control of the US Senate after the midterm election</v>
      </c>
      <c r="C92" s="15" t="str">
        <f>Main!C92</f>
        <v>World Politics</v>
      </c>
      <c r="D92" s="15">
        <v>0.9</v>
      </c>
      <c r="F92" s="99">
        <f>$D92-vlookup(Summary!$C92,Summary!$C$2:$Q$103,3+counta($F$1:F$1),false)</f>
        <v>0.1</v>
      </c>
      <c r="G92" s="99">
        <f>$D92-vlookup(Summary!$C92,Summary!$C$2:$Q$103,3+counta($F$1:G$1),false)</f>
        <v>0</v>
      </c>
      <c r="H92" s="99">
        <f>$D92-vlookup(Summary!$C92,Summary!$C$2:$Q$103,3+counta($F$1:H$1),false)</f>
        <v>0.2</v>
      </c>
      <c r="I92" s="99">
        <f>$D92-vlookup(Summary!$C92,Summary!$C$2:$Q$103,3+counta($F$1:I$1),false)</f>
        <v>0.3</v>
      </c>
      <c r="J92" s="99">
        <f>$D92-vlookup(Summary!$C92,Summary!$C$2:$Q$103,3+counta($F$1:J$1),false)</f>
        <v>0</v>
      </c>
      <c r="K92" s="99">
        <f>$D92-vlookup(Summary!$C92,Summary!$C$2:$Q$103,3+counta($F$1:K$1),false)</f>
        <v>0.1</v>
      </c>
      <c r="L92" s="99">
        <f>$D92-vlookup(Summary!$C92,Summary!$C$2:$Q$103,3+counta($F$1:L$1),false)</f>
        <v>0.1</v>
      </c>
      <c r="M92" s="99">
        <f>$D92-vlookup(Summary!$C92,Summary!$C$2:$Q$103,3+counta($F$1:M$1),false)</f>
        <v>0.2</v>
      </c>
      <c r="N92" s="99">
        <f>$D92-vlookup(Summary!$C92,Summary!$C$2:$Q$103,3+counta($F$1:N$1),false)</f>
        <v>0.1</v>
      </c>
      <c r="O92" s="99">
        <f>$D92-vlookup(Summary!$C92,Summary!$C$2:$Q$103,3+counta($F$1:O$1),false)</f>
        <v>-0.099</v>
      </c>
      <c r="P92" s="99">
        <f>$D92-vlookup(Summary!$C92,Summary!$C$2:$Q$103,3+counta($F$1:P$1),false)</f>
        <v>0.8</v>
      </c>
      <c r="Q92" s="99">
        <f>$D92-vlookup(Summary!$C92,Summary!$C$2:$Q$103,3+counta($F$1:Q$1),false)</f>
        <v>0.7</v>
      </c>
    </row>
    <row r="93" ht="15.75" customHeight="1">
      <c r="A93" s="15">
        <f>Main!A93</f>
        <v>92</v>
      </c>
      <c r="B93" s="15" t="str">
        <f>Main!B93</f>
        <v>Donald Trump will recieve at least 1 vote in the selection of the Speaker of the US house of Representatives (Congress)</v>
      </c>
      <c r="C93" s="15" t="str">
        <f>Main!C93</f>
        <v>World Politics</v>
      </c>
      <c r="D93" s="15">
        <v>0.3</v>
      </c>
      <c r="F93" s="99">
        <f>$D93-vlookup(Summary!$C93,Summary!$C$2:$Q$103,3+counta($F$1:F$1),false)</f>
        <v>0</v>
      </c>
      <c r="G93" s="99">
        <f>$D93-vlookup(Summary!$C93,Summary!$C$2:$Q$103,3+counta($F$1:G$1),false)</f>
        <v>0</v>
      </c>
      <c r="H93" s="99">
        <f>$D93-vlookup(Summary!$C93,Summary!$C$2:$Q$103,3+counta($F$1:H$1),false)</f>
        <v>-0.4</v>
      </c>
      <c r="I93" s="99">
        <f>$D93-vlookup(Summary!$C93,Summary!$C$2:$Q$103,3+counta($F$1:I$1),false)</f>
        <v>0.2</v>
      </c>
      <c r="J93" s="99">
        <f>$D93-vlookup(Summary!$C93,Summary!$C$2:$Q$103,3+counta($F$1:J$1),false)</f>
        <v>-0.6</v>
      </c>
      <c r="K93" s="99">
        <f>$D93-vlookup(Summary!$C93,Summary!$C$2:$Q$103,3+counta($F$1:K$1),false)</f>
        <v>-0.05</v>
      </c>
      <c r="L93" s="99">
        <f>$D93-vlookup(Summary!$C93,Summary!$C$2:$Q$103,3+counta($F$1:L$1),false)</f>
        <v>-0.4</v>
      </c>
      <c r="M93" s="99">
        <f>$D93-vlookup(Summary!$C93,Summary!$C$2:$Q$103,3+counta($F$1:M$1),false)</f>
        <v>-0.4</v>
      </c>
      <c r="N93" s="99">
        <f>$D93-vlookup(Summary!$C93,Summary!$C$2:$Q$103,3+counta($F$1:N$1),false)</f>
        <v>-0.6</v>
      </c>
      <c r="O93" s="99">
        <f>$D93-vlookup(Summary!$C93,Summary!$C$2:$Q$103,3+counta($F$1:O$1),false)</f>
        <v>-0.35</v>
      </c>
      <c r="P93" s="99">
        <f>$D93-vlookup(Summary!$C93,Summary!$C$2:$Q$103,3+counta($F$1:P$1),false)</f>
        <v>0.2</v>
      </c>
      <c r="Q93" s="99">
        <f>$D93-vlookup(Summary!$C93,Summary!$C$2:$Q$103,3+counta($F$1:Q$1),false)</f>
        <v>-0.2</v>
      </c>
    </row>
    <row r="94" ht="15.75" customHeight="1">
      <c r="A94" s="15">
        <f>Main!A94</f>
        <v>93</v>
      </c>
      <c r="B94" s="15" t="str">
        <f>Main!B94</f>
        <v>Donald Trump will release a book in 2022</v>
      </c>
      <c r="C94" s="15" t="str">
        <f>Main!C94</f>
        <v>World Politics</v>
      </c>
      <c r="D94" s="15">
        <v>0.7</v>
      </c>
      <c r="F94" s="99">
        <f>$D94-vlookup(Summary!$C94,Summary!$C$2:$Q$103,3+counta($F$1:F$1),false)</f>
        <v>0.15</v>
      </c>
      <c r="G94" s="99">
        <f>$D94-vlookup(Summary!$C94,Summary!$C$2:$Q$103,3+counta($F$1:G$1),false)</f>
        <v>0</v>
      </c>
      <c r="H94" s="99">
        <f>$D94-vlookup(Summary!$C94,Summary!$C$2:$Q$103,3+counta($F$1:H$1),false)</f>
        <v>-0.1</v>
      </c>
      <c r="I94" s="99">
        <f>$D94-vlookup(Summary!$C94,Summary!$C$2:$Q$103,3+counta($F$1:I$1),false)</f>
        <v>0.5</v>
      </c>
      <c r="J94" s="99">
        <f>$D94-vlookup(Summary!$C94,Summary!$C$2:$Q$103,3+counta($F$1:J$1),false)</f>
        <v>-0.2</v>
      </c>
      <c r="K94" s="99">
        <f>$D94-vlookup(Summary!$C94,Summary!$C$2:$Q$103,3+counta($F$1:K$1),false)</f>
        <v>-0.1</v>
      </c>
      <c r="L94" s="99">
        <f>$D94-vlookup(Summary!$C94,Summary!$C$2:$Q$103,3+counta($F$1:L$1),false)</f>
        <v>0.15</v>
      </c>
      <c r="M94" s="99">
        <f>$D94-vlookup(Summary!$C94,Summary!$C$2:$Q$103,3+counta($F$1:M$1),false)</f>
        <v>-0.1</v>
      </c>
      <c r="N94" s="99">
        <f>$D94-vlookup(Summary!$C94,Summary!$C$2:$Q$103,3+counta($F$1:N$1),false)</f>
        <v>-0.2</v>
      </c>
      <c r="O94" s="99">
        <f>$D94-vlookup(Summary!$C94,Summary!$C$2:$Q$103,3+counta($F$1:O$1),false)</f>
        <v>0.55</v>
      </c>
      <c r="P94" s="99">
        <f>$D94-vlookup(Summary!$C94,Summary!$C$2:$Q$103,3+counta($F$1:P$1),false)</f>
        <v>0.2</v>
      </c>
      <c r="Q94" s="99">
        <f>$D94-vlookup(Summary!$C94,Summary!$C$2:$Q$103,3+counta($F$1:Q$1),false)</f>
        <v>0.15</v>
      </c>
    </row>
    <row r="95" ht="15.75" customHeight="1">
      <c r="A95" s="15">
        <f>Main!A95</f>
        <v>94</v>
      </c>
      <c r="B95" s="15" t="str">
        <f>Main!B95</f>
        <v>Trump will announce he will contest the Republican presidential candidacy and launch an NFT</v>
      </c>
      <c r="C95" s="15" t="str">
        <f>Main!C95</f>
        <v>World Politics</v>
      </c>
      <c r="D95" s="15">
        <v>0.4</v>
      </c>
      <c r="F95" s="99">
        <f>$D95-vlookup(Summary!$C95,Summary!$C$2:$Q$103,3+counta($F$1:F$1),false)</f>
        <v>0.1</v>
      </c>
      <c r="G95" s="99">
        <f>$D95-vlookup(Summary!$C95,Summary!$C$2:$Q$103,3+counta($F$1:G$1),false)</f>
        <v>0</v>
      </c>
      <c r="H95" s="99">
        <f>$D95-vlookup(Summary!$C95,Summary!$C$2:$Q$103,3+counta($F$1:H$1),false)</f>
        <v>-0.3</v>
      </c>
      <c r="I95" s="99">
        <f>$D95-vlookup(Summary!$C95,Summary!$C$2:$Q$103,3+counta($F$1:I$1),false)</f>
        <v>0.35</v>
      </c>
      <c r="J95" s="99">
        <f>$D95-vlookup(Summary!$C95,Summary!$C$2:$Q$103,3+counta($F$1:J$1),false)</f>
        <v>-0.2</v>
      </c>
      <c r="K95" s="99">
        <f>$D95-vlookup(Summary!$C95,Summary!$C$2:$Q$103,3+counta($F$1:K$1),false)</f>
        <v>-0.5</v>
      </c>
      <c r="L95" s="99">
        <f>$D95-vlookup(Summary!$C95,Summary!$C$2:$Q$103,3+counta($F$1:L$1),false)</f>
        <v>-0.1</v>
      </c>
      <c r="M95" s="99">
        <f>$D95-vlookup(Summary!$C95,Summary!$C$2:$Q$103,3+counta($F$1:M$1),false)</f>
        <v>-0.3</v>
      </c>
      <c r="N95" s="99">
        <f>$D95-vlookup(Summary!$C95,Summary!$C$2:$Q$103,3+counta($F$1:N$1),false)</f>
        <v>0.2</v>
      </c>
      <c r="O95" s="99">
        <f>$D95-vlookup(Summary!$C95,Summary!$C$2:$Q$103,3+counta($F$1:O$1),false)</f>
        <v>0.399</v>
      </c>
      <c r="P95" s="99">
        <f>$D95-vlookup(Summary!$C95,Summary!$C$2:$Q$103,3+counta($F$1:P$1),false)</f>
        <v>-0.1</v>
      </c>
      <c r="Q95" s="99">
        <f>$D95-vlookup(Summary!$C95,Summary!$C$2:$Q$103,3+counta($F$1:Q$1),false)</f>
        <v>0.3</v>
      </c>
    </row>
    <row r="96" ht="15.75" customHeight="1">
      <c r="A96" s="15">
        <f>Main!A96</f>
        <v>95</v>
      </c>
      <c r="B96" s="15" t="str">
        <f>Main!B96</f>
        <v>China will invade Taiwan</v>
      </c>
      <c r="C96" s="15" t="str">
        <f>Main!C96</f>
        <v>World Politics</v>
      </c>
      <c r="D96" s="15">
        <v>0.2</v>
      </c>
      <c r="F96" s="99">
        <f>$D96-vlookup(Summary!$C96,Summary!$C$2:$Q$103,3+counta($F$1:F$1),false)</f>
        <v>-0.15</v>
      </c>
      <c r="G96" s="99">
        <f>$D96-vlookup(Summary!$C96,Summary!$C$2:$Q$103,3+counta($F$1:G$1),false)</f>
        <v>0</v>
      </c>
      <c r="H96" s="99">
        <f>$D96-vlookup(Summary!$C96,Summary!$C$2:$Q$103,3+counta($F$1:H$1),false)</f>
        <v>-0.5</v>
      </c>
      <c r="I96" s="99">
        <f>$D96-vlookup(Summary!$C96,Summary!$C$2:$Q$103,3+counta($F$1:I$1),false)</f>
        <v>-0.4</v>
      </c>
      <c r="J96" s="99">
        <f>$D96-vlookup(Summary!$C96,Summary!$C$2:$Q$103,3+counta($F$1:J$1),false)</f>
        <v>-0.5</v>
      </c>
      <c r="K96" s="99">
        <f>$D96-vlookup(Summary!$C96,Summary!$C$2:$Q$103,3+counta($F$1:K$1),false)</f>
        <v>-0.2</v>
      </c>
      <c r="L96" s="99">
        <f>$D96-vlookup(Summary!$C96,Summary!$C$2:$Q$103,3+counta($F$1:L$1),false)</f>
        <v>0.15</v>
      </c>
      <c r="M96" s="99">
        <f>$D96-vlookup(Summary!$C96,Summary!$C$2:$Q$103,3+counta($F$1:M$1),false)</f>
        <v>-0.5</v>
      </c>
      <c r="N96" s="99">
        <f>$D96-vlookup(Summary!$C96,Summary!$C$2:$Q$103,3+counta($F$1:N$1),false)</f>
        <v>0</v>
      </c>
      <c r="O96" s="99">
        <f>$D96-vlookup(Summary!$C96,Summary!$C$2:$Q$103,3+counta($F$1:O$1),false)</f>
        <v>0.199</v>
      </c>
      <c r="P96" s="99">
        <f>$D96-vlookup(Summary!$C96,Summary!$C$2:$Q$103,3+counta($F$1:P$1),false)</f>
        <v>0.1</v>
      </c>
      <c r="Q96" s="99">
        <f>$D96-vlookup(Summary!$C96,Summary!$C$2:$Q$103,3+counta($F$1:Q$1),false)</f>
        <v>-0.3</v>
      </c>
    </row>
    <row r="97" ht="15.75" customHeight="1">
      <c r="A97" s="15">
        <f>Main!A97</f>
        <v>96</v>
      </c>
      <c r="B97" s="15" t="str">
        <f>Main!B97</f>
        <v>A nuclear weapon will be detonated for any purpose (including a test) somewhere on earth or in space</v>
      </c>
      <c r="C97" s="15" t="str">
        <f>Main!C97</f>
        <v>World Politics</v>
      </c>
      <c r="D97" s="15">
        <v>0.4</v>
      </c>
      <c r="F97" s="99">
        <f>$D97-vlookup(Summary!$C97,Summary!$C$2:$Q$103,3+counta($F$1:F$1),false)</f>
        <v>0.3</v>
      </c>
      <c r="G97" s="99">
        <f>$D97-vlookup(Summary!$C97,Summary!$C$2:$Q$103,3+counta($F$1:G$1),false)</f>
        <v>0</v>
      </c>
      <c r="H97" s="99">
        <f>$D97-vlookup(Summary!$C97,Summary!$C$2:$Q$103,3+counta($F$1:H$1),false)</f>
        <v>0.3</v>
      </c>
      <c r="I97" s="99">
        <f>$D97-vlookup(Summary!$C97,Summary!$C$2:$Q$103,3+counta($F$1:I$1),false)</f>
        <v>0.2</v>
      </c>
      <c r="J97" s="99">
        <f>$D97-vlookup(Summary!$C97,Summary!$C$2:$Q$103,3+counta($F$1:J$1),false)</f>
        <v>-0.4</v>
      </c>
      <c r="K97" s="99">
        <f>$D97-vlookup(Summary!$C97,Summary!$C$2:$Q$103,3+counta($F$1:K$1),false)</f>
        <v>-0.3</v>
      </c>
      <c r="L97" s="99">
        <f>$D97-vlookup(Summary!$C97,Summary!$C$2:$Q$103,3+counta($F$1:L$1),false)</f>
        <v>0.1</v>
      </c>
      <c r="M97" s="99">
        <f>$D97-vlookup(Summary!$C97,Summary!$C$2:$Q$103,3+counta($F$1:M$1),false)</f>
        <v>0.3</v>
      </c>
      <c r="N97" s="99">
        <f>$D97-vlookup(Summary!$C97,Summary!$C$2:$Q$103,3+counta($F$1:N$1),false)</f>
        <v>0.3</v>
      </c>
      <c r="O97" s="99">
        <f>$D97-vlookup(Summary!$C97,Summary!$C$2:$Q$103,3+counta($F$1:O$1),false)</f>
        <v>0.25</v>
      </c>
      <c r="P97" s="99">
        <f>$D97-vlookup(Summary!$C97,Summary!$C$2:$Q$103,3+counta($F$1:P$1),false)</f>
        <v>-0.1</v>
      </c>
      <c r="Q97" s="99">
        <f>$D97-vlookup(Summary!$C97,Summary!$C$2:$Q$103,3+counta($F$1:Q$1),false)</f>
        <v>-0.2</v>
      </c>
    </row>
    <row r="98" ht="15.75" customHeight="1">
      <c r="A98" s="15">
        <f>Main!A98</f>
        <v>97</v>
      </c>
      <c r="B98" s="15" t="str">
        <f>Main!B98</f>
        <v>Iran will announce it has produced a nuclear weapon</v>
      </c>
      <c r="C98" s="15" t="str">
        <f>Main!C98</f>
        <v>World Politics</v>
      </c>
      <c r="D98" s="15">
        <v>0.3</v>
      </c>
      <c r="F98" s="99">
        <f>$D98-vlookup(Summary!$C98,Summary!$C$2:$Q$103,3+counta($F$1:F$1),false)</f>
        <v>-0.15</v>
      </c>
      <c r="G98" s="99">
        <f>$D98-vlookup(Summary!$C98,Summary!$C$2:$Q$103,3+counta($F$1:G$1),false)</f>
        <v>0</v>
      </c>
      <c r="H98" s="99">
        <f>$D98-vlookup(Summary!$C98,Summary!$C$2:$Q$103,3+counta($F$1:H$1),false)</f>
        <v>0.2</v>
      </c>
      <c r="I98" s="99">
        <f>$D98-vlookup(Summary!$C98,Summary!$C$2:$Q$103,3+counta($F$1:I$1),false)</f>
        <v>0.1</v>
      </c>
      <c r="J98" s="99">
        <f>$D98-vlookup(Summary!$C98,Summary!$C$2:$Q$103,3+counta($F$1:J$1),false)</f>
        <v>-0.3</v>
      </c>
      <c r="K98" s="99">
        <f>$D98-vlookup(Summary!$C98,Summary!$C$2:$Q$103,3+counta($F$1:K$1),false)</f>
        <v>-0.4</v>
      </c>
      <c r="L98" s="99">
        <f>$D98-vlookup(Summary!$C98,Summary!$C$2:$Q$103,3+counta($F$1:L$1),false)</f>
        <v>0</v>
      </c>
      <c r="M98" s="99">
        <f>$D98-vlookup(Summary!$C98,Summary!$C$2:$Q$103,3+counta($F$1:M$1),false)</f>
        <v>0.2</v>
      </c>
      <c r="N98" s="99">
        <f>$D98-vlookup(Summary!$C98,Summary!$C$2:$Q$103,3+counta($F$1:N$1),false)</f>
        <v>0.2</v>
      </c>
      <c r="O98" s="99">
        <f>$D98-vlookup(Summary!$C98,Summary!$C$2:$Q$103,3+counta($F$1:O$1),false)</f>
        <v>0.15</v>
      </c>
      <c r="P98" s="99">
        <f>$D98-vlookup(Summary!$C98,Summary!$C$2:$Q$103,3+counta($F$1:P$1),false)</f>
        <v>-0.2</v>
      </c>
      <c r="Q98" s="99">
        <f>$D98-vlookup(Summary!$C98,Summary!$C$2:$Q$103,3+counta($F$1:Q$1),false)</f>
        <v>-0.3</v>
      </c>
    </row>
    <row r="99" ht="15.75" customHeight="1">
      <c r="A99" s="15">
        <f>Main!A99</f>
        <v>98</v>
      </c>
      <c r="B99" s="15" t="str">
        <f>Main!B99</f>
        <v>One or more of the G12 member countries will have diplomatically recognised Taiwan</v>
      </c>
      <c r="C99" s="15" t="str">
        <f>Main!C99</f>
        <v>World Politics</v>
      </c>
      <c r="D99" s="15">
        <v>0.2</v>
      </c>
      <c r="F99" s="99">
        <f>$D99-vlookup(Summary!$C99,Summary!$C$2:$Q$103,3+counta($F$1:F$1),false)</f>
        <v>0.05</v>
      </c>
      <c r="G99" s="99">
        <f>$D99-vlookup(Summary!$C99,Summary!$C$2:$Q$103,3+counta($F$1:G$1),false)</f>
        <v>0</v>
      </c>
      <c r="H99" s="99">
        <f>$D99-vlookup(Summary!$C99,Summary!$C$2:$Q$103,3+counta($F$1:H$1),false)</f>
        <v>0.1</v>
      </c>
      <c r="I99" s="99">
        <f>$D99-vlookup(Summary!$C99,Summary!$C$2:$Q$103,3+counta($F$1:I$1),false)</f>
        <v>0</v>
      </c>
      <c r="J99" s="99">
        <f>$D99-vlookup(Summary!$C99,Summary!$C$2:$Q$103,3+counta($F$1:J$1),false)</f>
        <v>-0.2</v>
      </c>
      <c r="K99" s="99">
        <f>$D99-vlookup(Summary!$C99,Summary!$C$2:$Q$103,3+counta($F$1:K$1),false)</f>
        <v>-0.55</v>
      </c>
      <c r="L99" s="99">
        <f>$D99-vlookup(Summary!$C99,Summary!$C$2:$Q$103,3+counta($F$1:L$1),false)</f>
        <v>-0.1</v>
      </c>
      <c r="M99" s="99">
        <f>$D99-vlookup(Summary!$C99,Summary!$C$2:$Q$103,3+counta($F$1:M$1),false)</f>
        <v>0.1</v>
      </c>
      <c r="N99" s="99">
        <f>$D99-vlookup(Summary!$C99,Summary!$C$2:$Q$103,3+counta($F$1:N$1),false)</f>
        <v>-0.4</v>
      </c>
      <c r="O99" s="99">
        <f>$D99-vlookup(Summary!$C99,Summary!$C$2:$Q$103,3+counta($F$1:O$1),false)</f>
        <v>0.05</v>
      </c>
      <c r="P99" s="99">
        <f>$D99-vlookup(Summary!$C99,Summary!$C$2:$Q$103,3+counta($F$1:P$1),false)</f>
        <v>-0.3</v>
      </c>
      <c r="Q99" s="99">
        <f>$D99-vlookup(Summary!$C99,Summary!$C$2:$Q$103,3+counta($F$1:Q$1),false)</f>
        <v>-0.4</v>
      </c>
    </row>
    <row r="100" ht="15.75" customHeight="1">
      <c r="A100" s="15">
        <f>Main!A100</f>
        <v>99</v>
      </c>
      <c r="B100" s="15" t="str">
        <f>Main!B100</f>
        <v>Russia will have invaded Ukraine (as reported by CNN, BBC, Guardian or NYT)</v>
      </c>
      <c r="C100" s="15" t="str">
        <f>Main!C100</f>
        <v>World Politics</v>
      </c>
      <c r="D100" s="15">
        <v>0.4</v>
      </c>
      <c r="F100" s="99">
        <f>$D100-vlookup(Summary!$C100,Summary!$C$2:$Q$103,3+counta($F$1:F$1),false)</f>
        <v>-0.2</v>
      </c>
      <c r="G100" s="99">
        <f>$D100-vlookup(Summary!$C100,Summary!$C$2:$Q$103,3+counta($F$1:G$1),false)</f>
        <v>0</v>
      </c>
      <c r="H100" s="99">
        <f>$D100-vlookup(Summary!$C100,Summary!$C$2:$Q$103,3+counta($F$1:H$1),false)</f>
        <v>-0.55</v>
      </c>
      <c r="I100" s="99">
        <f>$D100-vlookup(Summary!$C100,Summary!$C$2:$Q$103,3+counta($F$1:I$1),false)</f>
        <v>-0.4</v>
      </c>
      <c r="J100" s="99">
        <f>$D100-vlookup(Summary!$C100,Summary!$C$2:$Q$103,3+counta($F$1:J$1),false)</f>
        <v>-0.4</v>
      </c>
      <c r="K100" s="99">
        <f>$D100-vlookup(Summary!$C100,Summary!$C$2:$Q$103,3+counta($F$1:K$1),false)</f>
        <v>-0.3</v>
      </c>
      <c r="L100" s="99">
        <f>$D100-vlookup(Summary!$C100,Summary!$C$2:$Q$103,3+counta($F$1:L$1),false)</f>
        <v>-0.4</v>
      </c>
      <c r="M100" s="99">
        <f>$D100-vlookup(Summary!$C100,Summary!$C$2:$Q$103,3+counta($F$1:M$1),false)</f>
        <v>-0.55</v>
      </c>
      <c r="N100" s="99">
        <f>$D100-vlookup(Summary!$C100,Summary!$C$2:$Q$103,3+counta($F$1:N$1),false)</f>
        <v>-0.3</v>
      </c>
      <c r="O100" s="99">
        <f>$D100-vlookup(Summary!$C100,Summary!$C$2:$Q$103,3+counta($F$1:O$1),false)</f>
        <v>-0.25</v>
      </c>
      <c r="P100" s="99">
        <f>$D100-vlookup(Summary!$C100,Summary!$C$2:$Q$103,3+counta($F$1:P$1),false)</f>
        <v>0.3</v>
      </c>
      <c r="Q100" s="99">
        <f>$D100-vlookup(Summary!$C100,Summary!$C$2:$Q$103,3+counta($F$1:Q$1),false)</f>
        <v>-0.2</v>
      </c>
    </row>
    <row r="101" ht="15.75" customHeight="1">
      <c r="A101" s="15">
        <f>Main!A101</f>
        <v>100</v>
      </c>
      <c r="B101" s="15" t="str">
        <f>Main!B101</f>
        <v>The US will have gone to battle with China or Russia ( nuclear battle acceptable) agreed upon by at least half the people attending 2022 predictions</v>
      </c>
      <c r="C101" s="15" t="str">
        <f>Main!C101</f>
        <v>World Politics</v>
      </c>
      <c r="D101" s="15">
        <v>0.1</v>
      </c>
      <c r="F101" s="99">
        <f>$D101-vlookup(Summary!$C101,Summary!$C$2:$Q$103,3+counta($F$1:F$1),false)</f>
        <v>-0.2</v>
      </c>
      <c r="G101" s="99">
        <f>$D101-vlookup(Summary!$C101,Summary!$C$2:$Q$103,3+counta($F$1:G$1),false)</f>
        <v>0</v>
      </c>
      <c r="H101" s="99">
        <f>$D101-vlookup(Summary!$C101,Summary!$C$2:$Q$103,3+counta($F$1:H$1),false)</f>
        <v>0</v>
      </c>
      <c r="I101" s="99">
        <f>$D101-vlookup(Summary!$C101,Summary!$C$2:$Q$103,3+counta($F$1:I$1),false)</f>
        <v>0</v>
      </c>
      <c r="J101" s="99">
        <f>$D101-vlookup(Summary!$C101,Summary!$C$2:$Q$103,3+counta($F$1:J$1),false)</f>
        <v>-0.4</v>
      </c>
      <c r="K101" s="99">
        <f>$D101-vlookup(Summary!$C101,Summary!$C$2:$Q$103,3+counta($F$1:K$1),false)</f>
        <v>-0.5</v>
      </c>
      <c r="L101" s="99">
        <f>$D101-vlookup(Summary!$C101,Summary!$C$2:$Q$103,3+counta($F$1:L$1),false)</f>
        <v>0</v>
      </c>
      <c r="M101" s="99">
        <f>$D101-vlookup(Summary!$C101,Summary!$C$2:$Q$103,3+counta($F$1:M$1),false)</f>
        <v>0</v>
      </c>
      <c r="N101" s="99">
        <f>$D101-vlookup(Summary!$C101,Summary!$C$2:$Q$103,3+counta($F$1:N$1),false)</f>
        <v>-0.1</v>
      </c>
      <c r="O101" s="99">
        <f>$D101-vlookup(Summary!$C101,Summary!$C$2:$Q$103,3+counta($F$1:O$1),false)</f>
        <v>0.099</v>
      </c>
      <c r="P101" s="99">
        <f>$D101-vlookup(Summary!$C101,Summary!$C$2:$Q$103,3+counta($F$1:P$1),false)</f>
        <v>0</v>
      </c>
      <c r="Q101" s="99">
        <f>$D101-vlookup(Summary!$C101,Summary!$C$2:$Q$103,3+counta($F$1:Q$1),false)</f>
        <v>-0.1</v>
      </c>
    </row>
    <row r="102" ht="15.75" customHeight="1">
      <c r="A102" s="15">
        <f>Main!A102</f>
        <v>101</v>
      </c>
      <c r="B102" s="15" t="str">
        <f>Main!B102</f>
        <v>There is an assassination attempt on Xi Jinping as reported in The Guardian</v>
      </c>
      <c r="C102" s="15" t="str">
        <f>Main!C102</f>
        <v>World Politics</v>
      </c>
      <c r="D102" s="15">
        <v>0.4</v>
      </c>
      <c r="F102" s="99">
        <f>$D102-vlookup(Summary!$C102,Summary!$C$2:$Q$103,3+counta($F$1:F$1),false)</f>
        <v>0.25</v>
      </c>
      <c r="G102" s="99">
        <f>$D102-vlookup(Summary!$C102,Summary!$C$2:$Q$103,3+counta($F$1:G$1),false)</f>
        <v>0</v>
      </c>
      <c r="H102" s="99">
        <f>$D102-vlookup(Summary!$C102,Summary!$C$2:$Q$103,3+counta($F$1:H$1),false)</f>
        <v>0.35</v>
      </c>
      <c r="I102" s="99">
        <f>$D102-vlookup(Summary!$C102,Summary!$C$2:$Q$103,3+counta($F$1:I$1),false)</f>
        <v>0.3</v>
      </c>
      <c r="J102" s="99">
        <f>$D102-vlookup(Summary!$C102,Summary!$C$2:$Q$103,3+counta($F$1:J$1),false)</f>
        <v>0.1</v>
      </c>
      <c r="K102" s="99">
        <f>$D102-vlookup(Summary!$C102,Summary!$C$2:$Q$103,3+counta($F$1:K$1),false)</f>
        <v>0.05</v>
      </c>
      <c r="L102" s="99">
        <f>$D102-vlookup(Summary!$C102,Summary!$C$2:$Q$103,3+counta($F$1:L$1),false)</f>
        <v>-0.1</v>
      </c>
      <c r="M102" s="99">
        <f>$D102-vlookup(Summary!$C102,Summary!$C$2:$Q$103,3+counta($F$1:M$1),false)</f>
        <v>0.35</v>
      </c>
      <c r="N102" s="99">
        <f>$D102-vlookup(Summary!$C102,Summary!$C$2:$Q$103,3+counta($F$1:N$1),false)</f>
        <v>0.3</v>
      </c>
      <c r="O102" s="99">
        <f>$D102-vlookup(Summary!$C102,Summary!$C$2:$Q$103,3+counta($F$1:O$1),false)</f>
        <v>0.399</v>
      </c>
      <c r="P102" s="99">
        <f>$D102-vlookup(Summary!$C102,Summary!$C$2:$Q$103,3+counta($F$1:P$1),false)</f>
        <v>0.3</v>
      </c>
      <c r="Q102" s="99">
        <f>$D102-vlookup(Summary!$C102,Summary!$C$2:$Q$103,3+counta($F$1:Q$1),false)</f>
        <v>-0.05</v>
      </c>
    </row>
    <row r="103" ht="15.75" customHeight="1">
      <c r="A103" s="15">
        <f>Main!A103</f>
        <v>102</v>
      </c>
      <c r="B103" s="15" t="str">
        <f>Main!B103</f>
        <v>Bolsanaro wins the next Brazilian elections</v>
      </c>
      <c r="C103" s="15" t="str">
        <f>Main!C103</f>
        <v>World Politics</v>
      </c>
      <c r="D103" s="15">
        <v>0.3</v>
      </c>
      <c r="F103" s="99">
        <f>$D103-vlookup(Summary!$C103,Summary!$C$2:$Q$103,3+counta($F$1:F$1),false)</f>
        <v>-0.1</v>
      </c>
      <c r="G103" s="99">
        <f>$D103-vlookup(Summary!$C103,Summary!$C$2:$Q$103,3+counta($F$1:G$1),false)</f>
        <v>0</v>
      </c>
      <c r="H103" s="99">
        <f>$D103-vlookup(Summary!$C103,Summary!$C$2:$Q$103,3+counta($F$1:H$1),false)</f>
        <v>-0.1</v>
      </c>
      <c r="I103" s="99">
        <f>$D103-vlookup(Summary!$C103,Summary!$C$2:$Q$103,3+counta($F$1:I$1),false)</f>
        <v>-0.1</v>
      </c>
      <c r="J103" s="99">
        <f>$D103-vlookup(Summary!$C103,Summary!$C$2:$Q$103,3+counta($F$1:J$1),false)</f>
        <v>-0.5</v>
      </c>
      <c r="K103" s="99">
        <f>$D103-vlookup(Summary!$C103,Summary!$C$2:$Q$103,3+counta($F$1:K$1),false)</f>
        <v>-0.45</v>
      </c>
      <c r="L103" s="99">
        <f>$D103-vlookup(Summary!$C103,Summary!$C$2:$Q$103,3+counta($F$1:L$1),false)</f>
        <v>0</v>
      </c>
      <c r="M103" s="99">
        <f>$D103-vlookup(Summary!$C103,Summary!$C$2:$Q$103,3+counta($F$1:M$1),false)</f>
        <v>-0.1</v>
      </c>
      <c r="N103" s="99">
        <f>$D103-vlookup(Summary!$C103,Summary!$C$2:$Q$103,3+counta($F$1:N$1),false)</f>
        <v>0.1</v>
      </c>
      <c r="O103" s="99">
        <f>$D103-vlookup(Summary!$C103,Summary!$C$2:$Q$103,3+counta($F$1:O$1),false)</f>
        <v>-0.35</v>
      </c>
      <c r="P103" s="99">
        <f>$D103-vlookup(Summary!$C103,Summary!$C$2:$Q$103,3+counta($F$1:P$1),false)</f>
        <v>0.2</v>
      </c>
      <c r="Q103" s="99">
        <f>$D103-vlookup(Summary!$C103,Summary!$C$2:$Q$103,3+counta($F$1:Q$1),false)</f>
        <v>-0.3</v>
      </c>
    </row>
    <row r="104" ht="15.75" customHeight="1">
      <c r="A104" s="15" t="str">
        <f>Main!A104</f>
        <v/>
      </c>
      <c r="B104" s="15" t="str">
        <f>Main!B104</f>
        <v/>
      </c>
      <c r="C104" s="15" t="str">
        <f>Main!C104</f>
        <v/>
      </c>
      <c r="E104" s="104" t="s">
        <v>197</v>
      </c>
      <c r="F104" s="102">
        <f t="shared" ref="F104:Q104" si="1">countif(F$2:F$103,"&gt;=0.5")+countif(F$2:F$103,"&lt;=-0.5")</f>
        <v>3</v>
      </c>
      <c r="G104" s="101">
        <f t="shared" si="1"/>
        <v>0</v>
      </c>
      <c r="H104" s="101">
        <f t="shared" si="1"/>
        <v>24</v>
      </c>
      <c r="I104" s="101">
        <f t="shared" si="1"/>
        <v>15</v>
      </c>
      <c r="J104" s="101">
        <f t="shared" si="1"/>
        <v>24</v>
      </c>
      <c r="K104" s="101">
        <f t="shared" si="1"/>
        <v>17</v>
      </c>
      <c r="L104" s="101">
        <f t="shared" si="1"/>
        <v>17</v>
      </c>
      <c r="M104" s="101">
        <f t="shared" si="1"/>
        <v>23</v>
      </c>
      <c r="N104" s="103">
        <f t="shared" si="1"/>
        <v>25</v>
      </c>
      <c r="O104" s="101">
        <f t="shared" si="1"/>
        <v>13</v>
      </c>
      <c r="P104" s="101">
        <f t="shared" si="1"/>
        <v>17</v>
      </c>
      <c r="Q104" s="101">
        <f t="shared" si="1"/>
        <v>13</v>
      </c>
    </row>
    <row r="105" ht="15.75" customHeight="1">
      <c r="A105" s="15" t="str">
        <f>Main!A105</f>
        <v/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14:B1000">
    <cfRule type="notContainsBlanks" dxfId="2" priority="1">
      <formula>LEN(TRIM(B114))&gt;0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88"/>
    <col customWidth="1" min="2" max="2" width="122.25"/>
    <col customWidth="1" min="3" max="3" width="12.63"/>
    <col customWidth="1" min="4" max="4" width="8.63"/>
    <col customWidth="1" min="5" max="5" width="19.88"/>
    <col customWidth="1" min="6" max="7" width="12.63"/>
  </cols>
  <sheetData>
    <row r="1" ht="15.75" customHeight="1">
      <c r="A1" s="92" t="s">
        <v>4</v>
      </c>
      <c r="B1" s="92" t="s">
        <v>6</v>
      </c>
      <c r="C1" s="92" t="s">
        <v>5</v>
      </c>
      <c r="D1" s="92" t="s">
        <v>194</v>
      </c>
      <c r="E1" s="92" t="s">
        <v>195</v>
      </c>
      <c r="F1" s="8" t="s">
        <v>9</v>
      </c>
      <c r="G1" s="10" t="s">
        <v>21</v>
      </c>
      <c r="H1" s="8" t="s">
        <v>11</v>
      </c>
      <c r="I1" s="10" t="s">
        <v>12</v>
      </c>
      <c r="J1" s="8" t="s">
        <v>13</v>
      </c>
      <c r="K1" s="98" t="s">
        <v>196</v>
      </c>
      <c r="L1" s="8" t="s">
        <v>15</v>
      </c>
      <c r="M1" s="10" t="s">
        <v>16</v>
      </c>
      <c r="N1" s="8" t="s">
        <v>17</v>
      </c>
      <c r="O1" s="10" t="s">
        <v>18</v>
      </c>
      <c r="P1" s="8" t="s">
        <v>19</v>
      </c>
      <c r="Q1" s="10" t="s">
        <v>20</v>
      </c>
    </row>
    <row r="2" ht="15.75" customHeight="1">
      <c r="A2" s="15">
        <f>Main!A2</f>
        <v>1</v>
      </c>
      <c r="B2" s="15" t="str">
        <f>Main!B2</f>
        <v>That there will be a hung parliament at the next election and Labor will take office</v>
      </c>
      <c r="C2" s="15" t="str">
        <f>Main!C2</f>
        <v>Aus Politics</v>
      </c>
      <c r="D2" s="15">
        <v>0.1</v>
      </c>
      <c r="F2" s="99">
        <f>$D2-vlookup(Summary!$C2,Summary!$C$2:$Q$103,3+counta($F$1:F$1),false)</f>
        <v>-0.3</v>
      </c>
      <c r="G2" s="99">
        <f>$D2-vlookup(Summary!$C2,Summary!$C$2:$Q$103,3+counta($F$1:G$1),false)</f>
        <v>-0.6</v>
      </c>
      <c r="H2" s="99">
        <f>$D2-vlookup(Summary!$C2,Summary!$C$2:$Q$103,3+counta($F$1:H$1),false)</f>
        <v>0</v>
      </c>
      <c r="I2" s="99">
        <f>$D2-vlookup(Summary!$C2,Summary!$C$2:$Q$103,3+counta($F$1:I$1),false)</f>
        <v>-0.1</v>
      </c>
      <c r="J2" s="99">
        <f>$D2-vlookup(Summary!$C2,Summary!$C$2:$Q$103,3+counta($F$1:J$1),false)</f>
        <v>-0.4</v>
      </c>
      <c r="K2" s="99">
        <f>$D2-vlookup(Summary!$C2,Summary!$C$2:$Q$103,3+counta($F$1:K$1),false)</f>
        <v>-0.55</v>
      </c>
      <c r="L2" s="99">
        <f>$D2-vlookup(Summary!$C2,Summary!$C$2:$Q$103,3+counta($F$1:L$1),false)</f>
        <v>-0.1</v>
      </c>
      <c r="M2" s="99">
        <f>$D2-vlookup(Summary!$C2,Summary!$C$2:$Q$103,3+counta($F$1:M$1),false)</f>
        <v>0</v>
      </c>
      <c r="N2" s="99">
        <f>$D2-vlookup(Summary!$C2,Summary!$C$2:$Q$103,3+counta($F$1:N$1),false)</f>
        <v>-0.7</v>
      </c>
      <c r="O2" s="99">
        <f>$D2-vlookup(Summary!$C2,Summary!$C$2:$Q$103,3+counta($F$1:O$1),false)</f>
        <v>-0.25</v>
      </c>
      <c r="P2" s="99">
        <f>$D2-vlookup(Summary!$C2,Summary!$C$2:$Q$103,3+counta($F$1:P$1),false)</f>
        <v>0</v>
      </c>
      <c r="Q2" s="99">
        <f>$D2-vlookup(Summary!$C2,Summary!$C$2:$Q$103,3+counta($F$1:Q$1),false)</f>
        <v>-0.35</v>
      </c>
    </row>
    <row r="3" ht="15.75" customHeight="1">
      <c r="A3" s="15">
        <f>Main!A3</f>
        <v>2</v>
      </c>
      <c r="B3" s="15" t="str">
        <f>Main!B3</f>
        <v>Dan Andrews will become leader of the Australian Labor Party</v>
      </c>
      <c r="C3" s="15" t="str">
        <f>Main!C3</f>
        <v>Aus Politics</v>
      </c>
      <c r="D3" s="15">
        <v>0.05</v>
      </c>
      <c r="F3" s="99">
        <f>$D3-vlookup(Summary!$C3,Summary!$C$2:$Q$103,3+counta($F$1:F$1),false)</f>
        <v>-0.15</v>
      </c>
      <c r="G3" s="99">
        <f>$D3-vlookup(Summary!$C3,Summary!$C$2:$Q$103,3+counta($F$1:G$1),false)</f>
        <v>-0.05</v>
      </c>
      <c r="H3" s="99">
        <f>$D3-vlookup(Summary!$C3,Summary!$C$2:$Q$103,3+counta($F$1:H$1),false)</f>
        <v>0</v>
      </c>
      <c r="I3" s="99">
        <f>$D3-vlookup(Summary!$C3,Summary!$C$2:$Q$103,3+counta($F$1:I$1),false)</f>
        <v>-0.15</v>
      </c>
      <c r="J3" s="99">
        <f>$D3-vlookup(Summary!$C3,Summary!$C$2:$Q$103,3+counta($F$1:J$1),false)</f>
        <v>-0.05</v>
      </c>
      <c r="K3" s="99">
        <f>$D3-vlookup(Summary!$C3,Summary!$C$2:$Q$103,3+counta($F$1:K$1),false)</f>
        <v>0.05</v>
      </c>
      <c r="L3" s="99">
        <f>$D3-vlookup(Summary!$C3,Summary!$C$2:$Q$103,3+counta($F$1:L$1),false)</f>
        <v>0.049</v>
      </c>
      <c r="M3" s="99">
        <f>$D3-vlookup(Summary!$C3,Summary!$C$2:$Q$103,3+counta($F$1:M$1),false)</f>
        <v>0</v>
      </c>
      <c r="N3" s="99">
        <f>$D3-vlookup(Summary!$C3,Summary!$C$2:$Q$103,3+counta($F$1:N$1),false)</f>
        <v>-0.05</v>
      </c>
      <c r="O3" s="99">
        <f>$D3-vlookup(Summary!$C3,Summary!$C$2:$Q$103,3+counta($F$1:O$1),false)</f>
        <v>0.049</v>
      </c>
      <c r="P3" s="99">
        <f>$D3-vlookup(Summary!$C3,Summary!$C$2:$Q$103,3+counta($F$1:P$1),false)</f>
        <v>-0.05</v>
      </c>
      <c r="Q3" s="99">
        <f>$D3-vlookup(Summary!$C3,Summary!$C$2:$Q$103,3+counta($F$1:Q$1),false)</f>
        <v>0.04</v>
      </c>
    </row>
    <row r="4" ht="15.75" customHeight="1">
      <c r="A4" s="15">
        <f>Main!A4</f>
        <v>3</v>
      </c>
      <c r="B4" s="15" t="str">
        <f>Main!B4</f>
        <v>The Greens will get more than 9 senators in the next federal election</v>
      </c>
      <c r="C4" s="15" t="str">
        <f>Main!C4</f>
        <v>Aus Politics</v>
      </c>
      <c r="D4" s="15">
        <v>0.1</v>
      </c>
      <c r="F4" s="99">
        <f>$D4-vlookup(Summary!$C4,Summary!$C$2:$Q$103,3+counta($F$1:F$1),false)</f>
        <v>-0.5</v>
      </c>
      <c r="G4" s="99">
        <f>$D4-vlookup(Summary!$C4,Summary!$C$2:$Q$103,3+counta($F$1:G$1),false)</f>
        <v>-0.2</v>
      </c>
      <c r="H4" s="99">
        <f>$D4-vlookup(Summary!$C4,Summary!$C$2:$Q$103,3+counta($F$1:H$1),false)</f>
        <v>0</v>
      </c>
      <c r="I4" s="99">
        <f>$D4-vlookup(Summary!$C4,Summary!$C$2:$Q$103,3+counta($F$1:I$1),false)</f>
        <v>-0.5</v>
      </c>
      <c r="J4" s="99">
        <f>$D4-vlookup(Summary!$C4,Summary!$C$2:$Q$103,3+counta($F$1:J$1),false)</f>
        <v>-0.6</v>
      </c>
      <c r="K4" s="99">
        <f>$D4-vlookup(Summary!$C4,Summary!$C$2:$Q$103,3+counta($F$1:K$1),false)</f>
        <v>-0.5</v>
      </c>
      <c r="L4" s="99">
        <f>$D4-vlookup(Summary!$C4,Summary!$C$2:$Q$103,3+counta($F$1:L$1),false)</f>
        <v>-0.6</v>
      </c>
      <c r="M4" s="99">
        <f>$D4-vlookup(Summary!$C4,Summary!$C$2:$Q$103,3+counta($F$1:M$1),false)</f>
        <v>0</v>
      </c>
      <c r="N4" s="99">
        <f>$D4-vlookup(Summary!$C4,Summary!$C$2:$Q$103,3+counta($F$1:N$1),false)</f>
        <v>0</v>
      </c>
      <c r="O4" s="99">
        <f>$D4-vlookup(Summary!$C4,Summary!$C$2:$Q$103,3+counta($F$1:O$1),false)</f>
        <v>-0.4</v>
      </c>
      <c r="P4" s="99">
        <f>$D4-vlookup(Summary!$C4,Summary!$C$2:$Q$103,3+counta($F$1:P$1),false)</f>
        <v>-0.4</v>
      </c>
      <c r="Q4" s="99">
        <f>$D4-vlookup(Summary!$C4,Summary!$C$2:$Q$103,3+counta($F$1:Q$1),false)</f>
        <v>-0.45</v>
      </c>
    </row>
    <row r="5" ht="15.75" customHeight="1">
      <c r="A5" s="15">
        <f>Main!A5</f>
        <v>4</v>
      </c>
      <c r="B5" s="15" t="str">
        <f>Main!B5</f>
        <v>The House of Reps will include 5 independents by the end of the federal election</v>
      </c>
      <c r="C5" s="15" t="str">
        <f>Main!C5</f>
        <v>Aus Politics</v>
      </c>
      <c r="D5" s="15">
        <v>0.1</v>
      </c>
      <c r="F5" s="99">
        <f>$D5-vlookup(Summary!$C5,Summary!$C$2:$Q$103,3+counta($F$1:F$1),false)</f>
        <v>-0.6</v>
      </c>
      <c r="G5" s="99">
        <f>$D5-vlookup(Summary!$C5,Summary!$C$2:$Q$103,3+counta($F$1:G$1),false)</f>
        <v>-0.2</v>
      </c>
      <c r="H5" s="99">
        <f>$D5-vlookup(Summary!$C5,Summary!$C$2:$Q$103,3+counta($F$1:H$1),false)</f>
        <v>0</v>
      </c>
      <c r="I5" s="99">
        <f>$D5-vlookup(Summary!$C5,Summary!$C$2:$Q$103,3+counta($F$1:I$1),false)</f>
        <v>-0.6</v>
      </c>
      <c r="J5" s="99">
        <f>$D5-vlookup(Summary!$C5,Summary!$C$2:$Q$103,3+counta($F$1:J$1),false)</f>
        <v>-0.8</v>
      </c>
      <c r="K5" s="99">
        <f>$D5-vlookup(Summary!$C5,Summary!$C$2:$Q$103,3+counta($F$1:K$1),false)</f>
        <v>-0.65</v>
      </c>
      <c r="L5" s="99">
        <f>$D5-vlookup(Summary!$C5,Summary!$C$2:$Q$103,3+counta($F$1:L$1),false)</f>
        <v>0.099</v>
      </c>
      <c r="M5" s="99">
        <f>$D5-vlookup(Summary!$C5,Summary!$C$2:$Q$103,3+counta($F$1:M$1),false)</f>
        <v>0</v>
      </c>
      <c r="N5" s="99">
        <f>$D5-vlookup(Summary!$C5,Summary!$C$2:$Q$103,3+counta($F$1:N$1),false)</f>
        <v>-0.8</v>
      </c>
      <c r="O5" s="99">
        <f>$D5-vlookup(Summary!$C5,Summary!$C$2:$Q$103,3+counta($F$1:O$1),false)</f>
        <v>-0.4</v>
      </c>
      <c r="P5" s="99">
        <f>$D5-vlookup(Summary!$C5,Summary!$C$2:$Q$103,3+counta($F$1:P$1),false)</f>
        <v>-0.7</v>
      </c>
      <c r="Q5" s="99">
        <f>$D5-vlookup(Summary!$C5,Summary!$C$2:$Q$103,3+counta($F$1:Q$1),false)</f>
        <v>-0.6</v>
      </c>
    </row>
    <row r="6" ht="15.75" customHeight="1">
      <c r="A6" s="15">
        <f>Main!A6</f>
        <v>5</v>
      </c>
      <c r="B6" s="15" t="str">
        <f>Main!B6</f>
        <v>The Australian Labor Party will not pledge to reverse the uni fee structure introduced in 2020</v>
      </c>
      <c r="C6" s="15" t="str">
        <f>Main!C6</f>
        <v>Aus Politics</v>
      </c>
      <c r="D6" s="15">
        <v>0.9</v>
      </c>
      <c r="F6" s="99">
        <f>$D6-vlookup(Summary!$C6,Summary!$C$2:$Q$103,3+counta($F$1:F$1),false)</f>
        <v>0.3</v>
      </c>
      <c r="G6" s="99">
        <f>$D6-vlookup(Summary!$C6,Summary!$C$2:$Q$103,3+counta($F$1:G$1),false)</f>
        <v>0.1</v>
      </c>
      <c r="H6" s="99">
        <f>$D6-vlookup(Summary!$C6,Summary!$C$2:$Q$103,3+counta($F$1:H$1),false)</f>
        <v>0</v>
      </c>
      <c r="I6" s="99">
        <f>$D6-vlookup(Summary!$C6,Summary!$C$2:$Q$103,3+counta($F$1:I$1),false)</f>
        <v>0.2</v>
      </c>
      <c r="J6" s="99">
        <f>$D6-vlookup(Summary!$C6,Summary!$C$2:$Q$103,3+counta($F$1:J$1),false)</f>
        <v>0.4</v>
      </c>
      <c r="K6" s="99">
        <f>$D6-vlookup(Summary!$C6,Summary!$C$2:$Q$103,3+counta($F$1:K$1),false)</f>
        <v>0.05</v>
      </c>
      <c r="L6" s="99">
        <f>$D6-vlookup(Summary!$C6,Summary!$C$2:$Q$103,3+counta($F$1:L$1),false)</f>
        <v>0</v>
      </c>
      <c r="M6" s="99">
        <f>$D6-vlookup(Summary!$C6,Summary!$C$2:$Q$103,3+counta($F$1:M$1),false)</f>
        <v>0</v>
      </c>
      <c r="N6" s="99">
        <f>$D6-vlookup(Summary!$C6,Summary!$C$2:$Q$103,3+counta($F$1:N$1),false)</f>
        <v>0</v>
      </c>
      <c r="O6" s="99">
        <f>$D6-vlookup(Summary!$C6,Summary!$C$2:$Q$103,3+counta($F$1:O$1),false)</f>
        <v>0.05</v>
      </c>
      <c r="P6" s="99">
        <f>$D6-vlookup(Summary!$C6,Summary!$C$2:$Q$103,3+counta($F$1:P$1),false)</f>
        <v>0.1</v>
      </c>
      <c r="Q6" s="99">
        <f>$D6-vlookup(Summary!$C6,Summary!$C$2:$Q$103,3+counta($F$1:Q$1),false)</f>
        <v>0.15</v>
      </c>
    </row>
    <row r="7" ht="15.75" customHeight="1">
      <c r="A7" s="15">
        <f>Main!A7</f>
        <v>6</v>
      </c>
      <c r="B7" s="15" t="str">
        <f>Main!B7</f>
        <v>Zali Steggal and Helen Haines will both retain their seats in Federal Parliament</v>
      </c>
      <c r="C7" s="15" t="str">
        <f>Main!C7</f>
        <v>Aus Politics</v>
      </c>
      <c r="D7" s="15">
        <v>0.5</v>
      </c>
      <c r="F7" s="99">
        <f>$D7-vlookup(Summary!$C7,Summary!$C$2:$Q$103,3+counta($F$1:F$1),false)</f>
        <v>0</v>
      </c>
      <c r="G7" s="99">
        <f>$D7-vlookup(Summary!$C7,Summary!$C$2:$Q$103,3+counta($F$1:G$1),false)</f>
        <v>-0.4</v>
      </c>
      <c r="H7" s="99">
        <f>$D7-vlookup(Summary!$C7,Summary!$C$2:$Q$103,3+counta($F$1:H$1),false)</f>
        <v>0</v>
      </c>
      <c r="I7" s="99">
        <f>$D7-vlookup(Summary!$C7,Summary!$C$2:$Q$103,3+counta($F$1:I$1),false)</f>
        <v>-0.2</v>
      </c>
      <c r="J7" s="99">
        <f>$D7-vlookup(Summary!$C7,Summary!$C$2:$Q$103,3+counta($F$1:J$1),false)</f>
        <v>-0.4</v>
      </c>
      <c r="K7" s="99">
        <f>$D7-vlookup(Summary!$C7,Summary!$C$2:$Q$103,3+counta($F$1:K$1),false)</f>
        <v>-0.45</v>
      </c>
      <c r="L7" s="99">
        <f>$D7-vlookup(Summary!$C7,Summary!$C$2:$Q$103,3+counta($F$1:L$1),false)</f>
        <v>0.1</v>
      </c>
      <c r="M7" s="99">
        <f>$D7-vlookup(Summary!$C7,Summary!$C$2:$Q$103,3+counta($F$1:M$1),false)</f>
        <v>0</v>
      </c>
      <c r="N7" s="99">
        <f>$D7-vlookup(Summary!$C7,Summary!$C$2:$Q$103,3+counta($F$1:N$1),false)</f>
        <v>-0.4</v>
      </c>
      <c r="O7" s="99">
        <f>$D7-vlookup(Summary!$C7,Summary!$C$2:$Q$103,3+counta($F$1:O$1),false)</f>
        <v>-0.35</v>
      </c>
      <c r="P7" s="99">
        <f>$D7-vlookup(Summary!$C7,Summary!$C$2:$Q$103,3+counta($F$1:P$1),false)</f>
        <v>-0.4</v>
      </c>
      <c r="Q7" s="99">
        <f>$D7-vlookup(Summary!$C7,Summary!$C$2:$Q$103,3+counta($F$1:Q$1),false)</f>
        <v>0</v>
      </c>
    </row>
    <row r="8" ht="15.75" customHeight="1">
      <c r="A8" s="15">
        <f>Main!A8</f>
        <v>7</v>
      </c>
      <c r="B8" s="15" t="str">
        <f>Main!B8</f>
        <v>Scott Morrison will lose leadership of the Liberal Party at least once</v>
      </c>
      <c r="C8" s="15" t="str">
        <f>Main!C8</f>
        <v>Aus Politics</v>
      </c>
      <c r="D8" s="15">
        <v>0.15</v>
      </c>
      <c r="F8" s="99">
        <f>$D8-vlookup(Summary!$C8,Summary!$C$2:$Q$103,3+counta($F$1:F$1),false)</f>
        <v>-0.65</v>
      </c>
      <c r="G8" s="99">
        <f>$D8-vlookup(Summary!$C8,Summary!$C$2:$Q$103,3+counta($F$1:G$1),false)</f>
        <v>-0.55</v>
      </c>
      <c r="H8" s="99">
        <f>$D8-vlookup(Summary!$C8,Summary!$C$2:$Q$103,3+counta($F$1:H$1),false)</f>
        <v>0</v>
      </c>
      <c r="I8" s="99">
        <f>$D8-vlookup(Summary!$C8,Summary!$C$2:$Q$103,3+counta($F$1:I$1),false)</f>
        <v>-0.15</v>
      </c>
      <c r="J8" s="99">
        <f>$D8-vlookup(Summary!$C8,Summary!$C$2:$Q$103,3+counta($F$1:J$1),false)</f>
        <v>-0.45</v>
      </c>
      <c r="K8" s="99">
        <f>$D8-vlookup(Summary!$C8,Summary!$C$2:$Q$103,3+counta($F$1:K$1),false)</f>
        <v>-0.6</v>
      </c>
      <c r="L8" s="99">
        <f>$D8-vlookup(Summary!$C8,Summary!$C$2:$Q$103,3+counta($F$1:L$1),false)</f>
        <v>-0.35</v>
      </c>
      <c r="M8" s="99">
        <f>$D8-vlookup(Summary!$C8,Summary!$C$2:$Q$103,3+counta($F$1:M$1),false)</f>
        <v>0.1</v>
      </c>
      <c r="N8" s="99">
        <f>$D8-vlookup(Summary!$C8,Summary!$C$2:$Q$103,3+counta($F$1:N$1),false)</f>
        <v>-0.75</v>
      </c>
      <c r="O8" s="99">
        <f>$D8-vlookup(Summary!$C8,Summary!$C$2:$Q$103,3+counta($F$1:O$1),false)</f>
        <v>-0.2</v>
      </c>
      <c r="P8" s="99">
        <f>$D8-vlookup(Summary!$C8,Summary!$C$2:$Q$103,3+counta($F$1:P$1),false)</f>
        <v>-0.55</v>
      </c>
      <c r="Q8" s="99">
        <f>$D8-vlookup(Summary!$C8,Summary!$C$2:$Q$103,3+counta($F$1:Q$1),false)</f>
        <v>-0.75</v>
      </c>
    </row>
    <row r="9" ht="15.75" customHeight="1">
      <c r="A9" s="15">
        <f>Main!A9</f>
        <v>8</v>
      </c>
      <c r="B9" s="15" t="str">
        <f>Main!B9</f>
        <v>Anthony Albanese will be Prime Minister on at least one day</v>
      </c>
      <c r="C9" s="15" t="str">
        <f>Main!C9</f>
        <v>Aus Politics</v>
      </c>
      <c r="D9" s="15">
        <v>0.05</v>
      </c>
      <c r="F9" s="99">
        <f>$D9-vlookup(Summary!$C9,Summary!$C$2:$Q$103,3+counta($F$1:F$1),false)</f>
        <v>-0.55</v>
      </c>
      <c r="G9" s="99">
        <f>$D9-vlookup(Summary!$C9,Summary!$C$2:$Q$103,3+counta($F$1:G$1),false)</f>
        <v>-0.85</v>
      </c>
      <c r="H9" s="99">
        <f>$D9-vlookup(Summary!$C9,Summary!$C$2:$Q$103,3+counta($F$1:H$1),false)</f>
        <v>0</v>
      </c>
      <c r="I9" s="99">
        <f>$D9-vlookup(Summary!$C9,Summary!$C$2:$Q$103,3+counta($F$1:I$1),false)</f>
        <v>-0.25</v>
      </c>
      <c r="J9" s="99">
        <f>$D9-vlookup(Summary!$C9,Summary!$C$2:$Q$103,3+counta($F$1:J$1),false)</f>
        <v>-0.05</v>
      </c>
      <c r="K9" s="99">
        <f>$D9-vlookup(Summary!$C9,Summary!$C$2:$Q$103,3+counta($F$1:K$1),false)</f>
        <v>-0.7</v>
      </c>
      <c r="L9" s="99">
        <f>$D9-vlookup(Summary!$C9,Summary!$C$2:$Q$103,3+counta($F$1:L$1),false)</f>
        <v>-0.25</v>
      </c>
      <c r="M9" s="99">
        <f>$D9-vlookup(Summary!$C9,Summary!$C$2:$Q$103,3+counta($F$1:M$1),false)</f>
        <v>0</v>
      </c>
      <c r="N9" s="99">
        <f>$D9-vlookup(Summary!$C9,Summary!$C$2:$Q$103,3+counta($F$1:N$1),false)</f>
        <v>-0.85</v>
      </c>
      <c r="O9" s="99">
        <f>$D9-vlookup(Summary!$C9,Summary!$C$2:$Q$103,3+counta($F$1:O$1),false)</f>
        <v>-0.3</v>
      </c>
      <c r="P9" s="99">
        <f>$D9-vlookup(Summary!$C9,Summary!$C$2:$Q$103,3+counta($F$1:P$1),false)</f>
        <v>-0.75</v>
      </c>
      <c r="Q9" s="99">
        <f>$D9-vlookup(Summary!$C9,Summary!$C$2:$Q$103,3+counta($F$1:Q$1),false)</f>
        <v>-0.35</v>
      </c>
    </row>
    <row r="10" ht="15.75" customHeight="1">
      <c r="A10" s="15">
        <f>Main!A10</f>
        <v>9</v>
      </c>
      <c r="B10" s="15" t="str">
        <f>Main!B10</f>
        <v>A sitting MP will make allegations of possible voter fraud or election 'rigging' in the 2022 Australian federal election</v>
      </c>
      <c r="C10" s="15" t="str">
        <f>Main!C10</f>
        <v>Aus Politics</v>
      </c>
      <c r="D10" s="15">
        <v>0.3</v>
      </c>
      <c r="F10" s="99">
        <f>$D10-vlookup(Summary!$C10,Summary!$C$2:$Q$103,3+counta($F$1:F$1),false)</f>
        <v>-0.25</v>
      </c>
      <c r="G10" s="99">
        <f>$D10-vlookup(Summary!$C10,Summary!$C$2:$Q$103,3+counta($F$1:G$1),false)</f>
        <v>0</v>
      </c>
      <c r="H10" s="99">
        <f>$D10-vlookup(Summary!$C10,Summary!$C$2:$Q$103,3+counta($F$1:H$1),false)</f>
        <v>0</v>
      </c>
      <c r="I10" s="99">
        <f>$D10-vlookup(Summary!$C10,Summary!$C$2:$Q$103,3+counta($F$1:I$1),false)</f>
        <v>-0.1</v>
      </c>
      <c r="J10" s="99">
        <f>$D10-vlookup(Summary!$C10,Summary!$C$2:$Q$103,3+counta($F$1:J$1),false)</f>
        <v>-0.6</v>
      </c>
      <c r="K10" s="99">
        <f>$D10-vlookup(Summary!$C10,Summary!$C$2:$Q$103,3+counta($F$1:K$1),false)</f>
        <v>-0.05</v>
      </c>
      <c r="L10" s="99">
        <f>$D10-vlookup(Summary!$C10,Summary!$C$2:$Q$103,3+counta($F$1:L$1),false)</f>
        <v>-0.6</v>
      </c>
      <c r="M10" s="99">
        <f>$D10-vlookup(Summary!$C10,Summary!$C$2:$Q$103,3+counta($F$1:M$1),false)</f>
        <v>0</v>
      </c>
      <c r="N10" s="99">
        <f>$D10-vlookup(Summary!$C10,Summary!$C$2:$Q$103,3+counta($F$1:N$1),false)</f>
        <v>-0.4</v>
      </c>
      <c r="O10" s="99">
        <f>$D10-vlookup(Summary!$C10,Summary!$C$2:$Q$103,3+counta($F$1:O$1),false)</f>
        <v>-0.55</v>
      </c>
      <c r="P10" s="99">
        <f>$D10-vlookup(Summary!$C10,Summary!$C$2:$Q$103,3+counta($F$1:P$1),false)</f>
        <v>-0.1</v>
      </c>
      <c r="Q10" s="99">
        <f>$D10-vlookup(Summary!$C10,Summary!$C$2:$Q$103,3+counta($F$1:Q$1),false)</f>
        <v>-0.5</v>
      </c>
    </row>
    <row r="11" ht="15.75" customHeight="1">
      <c r="A11" s="15">
        <f>Main!A11</f>
        <v>10</v>
      </c>
      <c r="B11" s="15" t="str">
        <f>Main!B11</f>
        <v>The Australian Intelligence Community will release a statement contradicting a Government minister or MP during the 2022 election campaign</v>
      </c>
      <c r="C11" s="15" t="str">
        <f>Main!C11</f>
        <v>Aus Politics</v>
      </c>
      <c r="D11" s="15">
        <v>0.1</v>
      </c>
      <c r="F11" s="99">
        <f>$D11-vlookup(Summary!$C11,Summary!$C$2:$Q$103,3+counta($F$1:F$1),false)</f>
        <v>-0.3</v>
      </c>
      <c r="G11" s="99">
        <f>$D11-vlookup(Summary!$C11,Summary!$C$2:$Q$103,3+counta($F$1:G$1),false)</f>
        <v>-0.1</v>
      </c>
      <c r="H11" s="99">
        <f>$D11-vlookup(Summary!$C11,Summary!$C$2:$Q$103,3+counta($F$1:H$1),false)</f>
        <v>0</v>
      </c>
      <c r="I11" s="99">
        <f>$D11-vlookup(Summary!$C11,Summary!$C$2:$Q$103,3+counta($F$1:I$1),false)</f>
        <v>-0.1</v>
      </c>
      <c r="J11" s="99">
        <f>$D11-vlookup(Summary!$C11,Summary!$C$2:$Q$103,3+counta($F$1:J$1),false)</f>
        <v>0</v>
      </c>
      <c r="K11" s="99">
        <f>$D11-vlookup(Summary!$C11,Summary!$C$2:$Q$103,3+counta($F$1:K$1),false)</f>
        <v>-0.45</v>
      </c>
      <c r="L11" s="99">
        <f>$D11-vlookup(Summary!$C11,Summary!$C$2:$Q$103,3+counta($F$1:L$1),false)</f>
        <v>-0.05</v>
      </c>
      <c r="M11" s="99">
        <f>$D11-vlookup(Summary!$C11,Summary!$C$2:$Q$103,3+counta($F$1:M$1),false)</f>
        <v>0</v>
      </c>
      <c r="N11" s="99">
        <f>$D11-vlookup(Summary!$C11,Summary!$C$2:$Q$103,3+counta($F$1:N$1),false)</f>
        <v>-0.8</v>
      </c>
      <c r="O11" s="99">
        <f>$D11-vlookup(Summary!$C11,Summary!$C$2:$Q$103,3+counta($F$1:O$1),false)</f>
        <v>0.099</v>
      </c>
      <c r="P11" s="99">
        <f>$D11-vlookup(Summary!$C11,Summary!$C$2:$Q$103,3+counta($F$1:P$1),false)</f>
        <v>0</v>
      </c>
      <c r="Q11" s="99">
        <f>$D11-vlookup(Summary!$C11,Summary!$C$2:$Q$103,3+counta($F$1:Q$1),false)</f>
        <v>-0.65</v>
      </c>
    </row>
    <row r="12" ht="15.75" customHeight="1">
      <c r="A12" s="15">
        <f>Main!A12</f>
        <v>11</v>
      </c>
      <c r="B12" s="15" t="str">
        <f>Main!B12</f>
        <v>Scott Morrison will still be the Prime Minister of Australia</v>
      </c>
      <c r="C12" s="15" t="str">
        <f>Main!C12</f>
        <v>Aus Politics</v>
      </c>
      <c r="D12" s="15">
        <v>0.2</v>
      </c>
      <c r="F12" s="99">
        <f>$D12-vlookup(Summary!$C12,Summary!$C$2:$Q$103,3+counta($F$1:F$1),false)</f>
        <v>-0.2</v>
      </c>
      <c r="G12" s="99">
        <f>$D12-vlookup(Summary!$C12,Summary!$C$2:$Q$103,3+counta($F$1:G$1),false)</f>
        <v>0</v>
      </c>
      <c r="H12" s="99">
        <f>$D12-vlookup(Summary!$C12,Summary!$C$2:$Q$103,3+counta($F$1:H$1),false)</f>
        <v>0</v>
      </c>
      <c r="I12" s="99">
        <f>$D12-vlookup(Summary!$C12,Summary!$C$2:$Q$103,3+counta($F$1:I$1),false)</f>
        <v>-0.6</v>
      </c>
      <c r="J12" s="99">
        <f>$D12-vlookup(Summary!$C12,Summary!$C$2:$Q$103,3+counta($F$1:J$1),false)</f>
        <v>-0.3</v>
      </c>
      <c r="K12" s="99">
        <f>$D12-vlookup(Summary!$C12,Summary!$C$2:$Q$103,3+counta($F$1:K$1),false)</f>
        <v>-0.55</v>
      </c>
      <c r="L12" s="99">
        <f>$D12-vlookup(Summary!$C12,Summary!$C$2:$Q$103,3+counta($F$1:L$1),false)</f>
        <v>-0.5</v>
      </c>
      <c r="M12" s="99">
        <f>$D12-vlookup(Summary!$C12,Summary!$C$2:$Q$103,3+counta($F$1:M$1),false)</f>
        <v>0.15</v>
      </c>
      <c r="N12" s="99">
        <f>$D12-vlookup(Summary!$C12,Summary!$C$2:$Q$103,3+counta($F$1:N$1),false)</f>
        <v>0.1</v>
      </c>
      <c r="O12" s="99">
        <f>$D12-vlookup(Summary!$C12,Summary!$C$2:$Q$103,3+counta($F$1:O$1),false)</f>
        <v>-0.45</v>
      </c>
      <c r="P12" s="99">
        <f>$D12-vlookup(Summary!$C12,Summary!$C$2:$Q$103,3+counta($F$1:P$1),false)</f>
        <v>-0.1</v>
      </c>
      <c r="Q12" s="99">
        <f>$D12-vlookup(Summary!$C12,Summary!$C$2:$Q$103,3+counta($F$1:Q$1),false)</f>
        <v>0.1</v>
      </c>
    </row>
    <row r="13" ht="15.75" customHeight="1">
      <c r="A13" s="15">
        <f>Main!A13</f>
        <v>12</v>
      </c>
      <c r="B13" s="15" t="str">
        <f>Main!B13</f>
        <v>An Australian federal Minister will step down from their position due to direct involvement (proven or otherwise) in sexual misconduct at some point in the year.</v>
      </c>
      <c r="C13" s="15" t="str">
        <f>Main!C13</f>
        <v>Aus Politics</v>
      </c>
      <c r="D13" s="15">
        <v>0.1</v>
      </c>
      <c r="F13" s="99">
        <f>$D13-vlookup(Summary!$C13,Summary!$C$2:$Q$103,3+counta($F$1:F$1),false)</f>
        <v>-0.55</v>
      </c>
      <c r="G13" s="99">
        <f>$D13-vlookup(Summary!$C13,Summary!$C$2:$Q$103,3+counta($F$1:G$1),false)</f>
        <v>-0.3</v>
      </c>
      <c r="H13" s="99">
        <f>$D13-vlookup(Summary!$C13,Summary!$C$2:$Q$103,3+counta($F$1:H$1),false)</f>
        <v>0</v>
      </c>
      <c r="I13" s="99">
        <f>$D13-vlookup(Summary!$C13,Summary!$C$2:$Q$103,3+counta($F$1:I$1),false)</f>
        <v>-0.8</v>
      </c>
      <c r="J13" s="99">
        <f>$D13-vlookup(Summary!$C13,Summary!$C$2:$Q$103,3+counta($F$1:J$1),false)</f>
        <v>-0.8</v>
      </c>
      <c r="K13" s="99">
        <f>$D13-vlookup(Summary!$C13,Summary!$C$2:$Q$103,3+counta($F$1:K$1),false)</f>
        <v>-0.25</v>
      </c>
      <c r="L13" s="99">
        <f>$D13-vlookup(Summary!$C13,Summary!$C$2:$Q$103,3+counta($F$1:L$1),false)</f>
        <v>-0.1</v>
      </c>
      <c r="M13" s="99">
        <f>$D13-vlookup(Summary!$C13,Summary!$C$2:$Q$103,3+counta($F$1:M$1),false)</f>
        <v>0</v>
      </c>
      <c r="N13" s="99">
        <f>$D13-vlookup(Summary!$C13,Summary!$C$2:$Q$103,3+counta($F$1:N$1),false)</f>
        <v>-0.5</v>
      </c>
      <c r="O13" s="99">
        <f>$D13-vlookup(Summary!$C13,Summary!$C$2:$Q$103,3+counta($F$1:O$1),false)</f>
        <v>-0.05</v>
      </c>
      <c r="P13" s="99">
        <f>$D13-vlookup(Summary!$C13,Summary!$C$2:$Q$103,3+counta($F$1:P$1),false)</f>
        <v>-0.2</v>
      </c>
      <c r="Q13" s="99">
        <f>$D13-vlookup(Summary!$C13,Summary!$C$2:$Q$103,3+counta($F$1:Q$1),false)</f>
        <v>-0.5</v>
      </c>
    </row>
    <row r="14" ht="15.75" customHeight="1">
      <c r="A14" s="15">
        <f>Main!A14</f>
        <v>13</v>
      </c>
      <c r="B14" s="15" t="str">
        <f>Main!B14</f>
        <v>Friendlyjordies, or evidence he has brought to light, will feature in a court case or ICAC inquiry.</v>
      </c>
      <c r="C14" s="15" t="str">
        <f>Main!C14</f>
        <v>Aus Politics</v>
      </c>
      <c r="D14" s="15">
        <v>0.3</v>
      </c>
      <c r="F14" s="99">
        <f>$D14-vlookup(Summary!$C14,Summary!$C$2:$Q$103,3+counta($F$1:F$1),false)</f>
        <v>-0.25</v>
      </c>
      <c r="G14" s="99">
        <f>$D14-vlookup(Summary!$C14,Summary!$C$2:$Q$103,3+counta($F$1:G$1),false)</f>
        <v>-0.4</v>
      </c>
      <c r="H14" s="99">
        <f>$D14-vlookup(Summary!$C14,Summary!$C$2:$Q$103,3+counta($F$1:H$1),false)</f>
        <v>0</v>
      </c>
      <c r="I14" s="99">
        <f>$D14-vlookup(Summary!$C14,Summary!$C$2:$Q$103,3+counta($F$1:I$1),false)</f>
        <v>-0.3</v>
      </c>
      <c r="J14" s="99">
        <f>$D14-vlookup(Summary!$C14,Summary!$C$2:$Q$103,3+counta($F$1:J$1),false)</f>
        <v>-0.4</v>
      </c>
      <c r="K14" s="99">
        <f>$D14-vlookup(Summary!$C14,Summary!$C$2:$Q$103,3+counta($F$1:K$1),false)</f>
        <v>-0.35</v>
      </c>
      <c r="L14" s="99">
        <f>$D14-vlookup(Summary!$C14,Summary!$C$2:$Q$103,3+counta($F$1:L$1),false)</f>
        <v>-0.2</v>
      </c>
      <c r="M14" s="99">
        <f>$D14-vlookup(Summary!$C14,Summary!$C$2:$Q$103,3+counta($F$1:M$1),false)</f>
        <v>0</v>
      </c>
      <c r="N14" s="99">
        <f>$D14-vlookup(Summary!$C14,Summary!$C$2:$Q$103,3+counta($F$1:N$1),false)</f>
        <v>0.2</v>
      </c>
      <c r="O14" s="99">
        <f>$D14-vlookup(Summary!$C14,Summary!$C$2:$Q$103,3+counta($F$1:O$1),false)</f>
        <v>0.15</v>
      </c>
      <c r="P14" s="99">
        <f>$D14-vlookup(Summary!$C14,Summary!$C$2:$Q$103,3+counta($F$1:P$1),false)</f>
        <v>-0.2</v>
      </c>
      <c r="Q14" s="99">
        <f>$D14-vlookup(Summary!$C14,Summary!$C$2:$Q$103,3+counta($F$1:Q$1),false)</f>
        <v>-0.2</v>
      </c>
    </row>
    <row r="15" ht="15.75" customHeight="1">
      <c r="A15" s="15">
        <f>Main!A15</f>
        <v>14</v>
      </c>
      <c r="B15" s="15" t="str">
        <f>Main!B15</f>
        <v>At least one person commits suicide as an effect of the Royal Commission into Defence and Veteran Suicide, as reported in The Guardian</v>
      </c>
      <c r="C15" s="15" t="str">
        <f>Main!C15</f>
        <v>Aus Politics</v>
      </c>
      <c r="D15" s="15">
        <v>0.7</v>
      </c>
      <c r="F15" s="99">
        <f>$D15-vlookup(Summary!$C15,Summary!$C$2:$Q$103,3+counta($F$1:F$1),false)</f>
        <v>0.3</v>
      </c>
      <c r="G15" s="99">
        <f>$D15-vlookup(Summary!$C15,Summary!$C$2:$Q$103,3+counta($F$1:G$1),false)</f>
        <v>-0.1</v>
      </c>
      <c r="H15" s="99">
        <f>$D15-vlookup(Summary!$C15,Summary!$C$2:$Q$103,3+counta($F$1:H$1),false)</f>
        <v>0</v>
      </c>
      <c r="I15" s="99">
        <f>$D15-vlookup(Summary!$C15,Summary!$C$2:$Q$103,3+counta($F$1:I$1),false)</f>
        <v>0.3</v>
      </c>
      <c r="J15" s="99">
        <f>$D15-vlookup(Summary!$C15,Summary!$C$2:$Q$103,3+counta($F$1:J$1),false)</f>
        <v>0.4</v>
      </c>
      <c r="K15" s="99">
        <f>$D15-vlookup(Summary!$C15,Summary!$C$2:$Q$103,3+counta($F$1:K$1),false)</f>
        <v>-0.15</v>
      </c>
      <c r="L15" s="99">
        <f>$D15-vlookup(Summary!$C15,Summary!$C$2:$Q$103,3+counta($F$1:L$1),false)</f>
        <v>0.1</v>
      </c>
      <c r="M15" s="99">
        <f>$D15-vlookup(Summary!$C15,Summary!$C$2:$Q$103,3+counta($F$1:M$1),false)</f>
        <v>0</v>
      </c>
      <c r="N15" s="99">
        <f>$D15-vlookup(Summary!$C15,Summary!$C$2:$Q$103,3+counta($F$1:N$1),false)</f>
        <v>-0.2</v>
      </c>
      <c r="O15" s="99">
        <f>$D15-vlookup(Summary!$C15,Summary!$C$2:$Q$103,3+counta($F$1:O$1),false)</f>
        <v>0.55</v>
      </c>
      <c r="P15" s="99">
        <f>$D15-vlookup(Summary!$C15,Summary!$C$2:$Q$103,3+counta($F$1:P$1),false)</f>
        <v>0.2</v>
      </c>
      <c r="Q15" s="99">
        <f>$D15-vlookup(Summary!$C15,Summary!$C$2:$Q$103,3+counta($F$1:Q$1),false)</f>
        <v>0.3</v>
      </c>
    </row>
    <row r="16" ht="15.75" customHeight="1">
      <c r="A16" s="15">
        <f>Main!A16</f>
        <v>15</v>
      </c>
      <c r="B16" s="15" t="str">
        <f>Main!B16</f>
        <v>Taylor Swift will get married</v>
      </c>
      <c r="C16" s="15" t="str">
        <f>Main!C16</f>
        <v>Celebrities</v>
      </c>
      <c r="D16" s="15">
        <v>0.7</v>
      </c>
      <c r="F16" s="99">
        <f>$D16-vlookup(Summary!$C16,Summary!$C$2:$Q$103,3+counta($F$1:F$1),false)</f>
        <v>0.15</v>
      </c>
      <c r="G16" s="99">
        <f>$D16-vlookup(Summary!$C16,Summary!$C$2:$Q$103,3+counta($F$1:G$1),false)</f>
        <v>0.3</v>
      </c>
      <c r="H16" s="99">
        <f>$D16-vlookup(Summary!$C16,Summary!$C$2:$Q$103,3+counta($F$1:H$1),false)</f>
        <v>0</v>
      </c>
      <c r="I16" s="99">
        <f>$D16-vlookup(Summary!$C16,Summary!$C$2:$Q$103,3+counta($F$1:I$1),false)</f>
        <v>0.55</v>
      </c>
      <c r="J16" s="99">
        <f>$D16-vlookup(Summary!$C16,Summary!$C$2:$Q$103,3+counta($F$1:J$1),false)</f>
        <v>0.1</v>
      </c>
      <c r="K16" s="99">
        <f>$D16-vlookup(Summary!$C16,Summary!$C$2:$Q$103,3+counta($F$1:K$1),false)</f>
        <v>-0.1</v>
      </c>
      <c r="L16" s="99">
        <f>$D16-vlookup(Summary!$C16,Summary!$C$2:$Q$103,3+counta($F$1:L$1),false)</f>
        <v>0.5</v>
      </c>
      <c r="M16" s="99">
        <f>$D16-vlookup(Summary!$C16,Summary!$C$2:$Q$103,3+counta($F$1:M$1),false)</f>
        <v>0</v>
      </c>
      <c r="N16" s="99">
        <f>$D16-vlookup(Summary!$C16,Summary!$C$2:$Q$103,3+counta($F$1:N$1),false)</f>
        <v>-0.1</v>
      </c>
      <c r="O16" s="99">
        <f>$D16-vlookup(Summary!$C16,Summary!$C$2:$Q$103,3+counta($F$1:O$1),false)</f>
        <v>0.55</v>
      </c>
      <c r="P16" s="99">
        <f>$D16-vlookup(Summary!$C16,Summary!$C$2:$Q$103,3+counta($F$1:P$1),false)</f>
        <v>0.2</v>
      </c>
      <c r="Q16" s="99">
        <f>$D16-vlookup(Summary!$C16,Summary!$C$2:$Q$103,3+counta($F$1:Q$1),false)</f>
        <v>0.69</v>
      </c>
    </row>
    <row r="17" ht="15.75" customHeight="1">
      <c r="A17" s="15">
        <f>Main!A17</f>
        <v>16</v>
      </c>
      <c r="B17" s="15" t="str">
        <f>Main!B17</f>
        <v>Jane Campion will win the Oscar for Best Director</v>
      </c>
      <c r="C17" s="15" t="str">
        <f>Main!C17</f>
        <v>Celebrities</v>
      </c>
      <c r="D17" s="15">
        <v>0.2</v>
      </c>
      <c r="F17" s="99">
        <f>$D17-vlookup(Summary!$C17,Summary!$C$2:$Q$103,3+counta($F$1:F$1),false)</f>
        <v>-0.6</v>
      </c>
      <c r="G17" s="99">
        <f>$D17-vlookup(Summary!$C17,Summary!$C$2:$Q$103,3+counta($F$1:G$1),false)</f>
        <v>-0.4</v>
      </c>
      <c r="H17" s="99">
        <f>$D17-vlookup(Summary!$C17,Summary!$C$2:$Q$103,3+counta($F$1:H$1),false)</f>
        <v>0</v>
      </c>
      <c r="I17" s="99">
        <f>$D17-vlookup(Summary!$C17,Summary!$C$2:$Q$103,3+counta($F$1:I$1),false)</f>
        <v>-0.7</v>
      </c>
      <c r="J17" s="99">
        <f>$D17-vlookup(Summary!$C17,Summary!$C$2:$Q$103,3+counta($F$1:J$1),false)</f>
        <v>-0.7</v>
      </c>
      <c r="K17" s="99">
        <f>$D17-vlookup(Summary!$C17,Summary!$C$2:$Q$103,3+counta($F$1:K$1),false)</f>
        <v>-0.75</v>
      </c>
      <c r="L17" s="99">
        <f>$D17-vlookup(Summary!$C17,Summary!$C$2:$Q$103,3+counta($F$1:L$1),false)</f>
        <v>-0.5</v>
      </c>
      <c r="M17" s="99">
        <f>$D17-vlookup(Summary!$C17,Summary!$C$2:$Q$103,3+counta($F$1:M$1),false)</f>
        <v>0</v>
      </c>
      <c r="N17" s="99">
        <f>$D17-vlookup(Summary!$C17,Summary!$C$2:$Q$103,3+counta($F$1:N$1),false)</f>
        <v>0.1</v>
      </c>
      <c r="O17" s="99">
        <f>$D17-vlookup(Summary!$C17,Summary!$C$2:$Q$103,3+counta($F$1:O$1),false)</f>
        <v>-0.3</v>
      </c>
      <c r="P17" s="99">
        <f>$D17-vlookup(Summary!$C17,Summary!$C$2:$Q$103,3+counta($F$1:P$1),false)</f>
        <v>-0.3</v>
      </c>
      <c r="Q17" s="99">
        <f>$D17-vlookup(Summary!$C17,Summary!$C$2:$Q$103,3+counta($F$1:Q$1),false)</f>
        <v>-0.1</v>
      </c>
    </row>
    <row r="18" ht="15.75" customHeight="1">
      <c r="A18" s="15">
        <f>Main!A18</f>
        <v>17</v>
      </c>
      <c r="B18" s="15" t="str">
        <f>Main!B18</f>
        <v>Harry and Megan's animated series "Pearl" will be released and have over 50% on Rotten Tomatoes</v>
      </c>
      <c r="C18" s="15" t="str">
        <f>Main!C18</f>
        <v>Celebrities</v>
      </c>
      <c r="D18" s="15">
        <v>0.8</v>
      </c>
      <c r="F18" s="99">
        <f>$D18-vlookup(Summary!$C18,Summary!$C$2:$Q$103,3+counta($F$1:F$1),false)</f>
        <v>0.4</v>
      </c>
      <c r="G18" s="99">
        <f>$D18-vlookup(Summary!$C18,Summary!$C$2:$Q$103,3+counta($F$1:G$1),false)</f>
        <v>0.5</v>
      </c>
      <c r="H18" s="99">
        <f>$D18-vlookup(Summary!$C18,Summary!$C$2:$Q$103,3+counta($F$1:H$1),false)</f>
        <v>0</v>
      </c>
      <c r="I18" s="99">
        <f>$D18-vlookup(Summary!$C18,Summary!$C$2:$Q$103,3+counta($F$1:I$1),false)</f>
        <v>0.4</v>
      </c>
      <c r="J18" s="99">
        <f>$D18-vlookup(Summary!$C18,Summary!$C$2:$Q$103,3+counta($F$1:J$1),false)</f>
        <v>0.7</v>
      </c>
      <c r="K18" s="99">
        <f>$D18-vlookup(Summary!$C18,Summary!$C$2:$Q$103,3+counta($F$1:K$1),false)</f>
        <v>0</v>
      </c>
      <c r="L18" s="99">
        <f>$D18-vlookup(Summary!$C18,Summary!$C$2:$Q$103,3+counta($F$1:L$1),false)</f>
        <v>0.6</v>
      </c>
      <c r="M18" s="99">
        <f>$D18-vlookup(Summary!$C18,Summary!$C$2:$Q$103,3+counta($F$1:M$1),false)</f>
        <v>0</v>
      </c>
      <c r="N18" s="99">
        <f>$D18-vlookup(Summary!$C18,Summary!$C$2:$Q$103,3+counta($F$1:N$1),false)</f>
        <v>0</v>
      </c>
      <c r="O18" s="99">
        <f>$D18-vlookup(Summary!$C18,Summary!$C$2:$Q$103,3+counta($F$1:O$1),false)</f>
        <v>0.65</v>
      </c>
      <c r="P18" s="99">
        <f>$D18-vlookup(Summary!$C18,Summary!$C$2:$Q$103,3+counta($F$1:P$1),false)</f>
        <v>0.3</v>
      </c>
      <c r="Q18" s="99">
        <f>$D18-vlookup(Summary!$C18,Summary!$C$2:$Q$103,3+counta($F$1:Q$1),false)</f>
        <v>0.4</v>
      </c>
    </row>
    <row r="19" ht="15.75" customHeight="1">
      <c r="A19" s="15">
        <f>Main!A19</f>
        <v>18</v>
      </c>
      <c r="B19" s="15" t="str">
        <f>Main!B19</f>
        <v>Prince Andrew will enter or exit a courtroom wearing an oxygen mask and/or sitting in a wheelchair</v>
      </c>
      <c r="C19" s="15" t="str">
        <f>Main!C19</f>
        <v>Celebrities</v>
      </c>
      <c r="D19" s="15">
        <v>0.7</v>
      </c>
      <c r="F19" s="99">
        <f>$D19-vlookup(Summary!$C19,Summary!$C$2:$Q$103,3+counta($F$1:F$1),false)</f>
        <v>0.4</v>
      </c>
      <c r="G19" s="99">
        <f>$D19-vlookup(Summary!$C19,Summary!$C$2:$Q$103,3+counta($F$1:G$1),false)</f>
        <v>0.5</v>
      </c>
      <c r="H19" s="99">
        <f>$D19-vlookup(Summary!$C19,Summary!$C$2:$Q$103,3+counta($F$1:H$1),false)</f>
        <v>0</v>
      </c>
      <c r="I19" s="99">
        <f>$D19-vlookup(Summary!$C19,Summary!$C$2:$Q$103,3+counta($F$1:I$1),false)</f>
        <v>0.6</v>
      </c>
      <c r="J19" s="99">
        <f>$D19-vlookup(Summary!$C19,Summary!$C$2:$Q$103,3+counta($F$1:J$1),false)</f>
        <v>0.3</v>
      </c>
      <c r="K19" s="99">
        <f>$D19-vlookup(Summary!$C19,Summary!$C$2:$Q$103,3+counta($F$1:K$1),false)</f>
        <v>0.5</v>
      </c>
      <c r="L19" s="99">
        <f>$D19-vlookup(Summary!$C19,Summary!$C$2:$Q$103,3+counta($F$1:L$1),false)</f>
        <v>0.6</v>
      </c>
      <c r="M19" s="99">
        <f>$D19-vlookup(Summary!$C19,Summary!$C$2:$Q$103,3+counta($F$1:M$1),false)</f>
        <v>0.65</v>
      </c>
      <c r="N19" s="99">
        <f>$D19-vlookup(Summary!$C19,Summary!$C$2:$Q$103,3+counta($F$1:N$1),false)</f>
        <v>0.6</v>
      </c>
      <c r="O19" s="99">
        <f>$D19-vlookup(Summary!$C19,Summary!$C$2:$Q$103,3+counta($F$1:O$1),false)</f>
        <v>0.55</v>
      </c>
      <c r="P19" s="99">
        <f>$D19-vlookup(Summary!$C19,Summary!$C$2:$Q$103,3+counta($F$1:P$1),false)</f>
        <v>0.6</v>
      </c>
      <c r="Q19" s="99">
        <f>$D19-vlookup(Summary!$C19,Summary!$C$2:$Q$103,3+counta($F$1:Q$1),false)</f>
        <v>0.5</v>
      </c>
    </row>
    <row r="20" ht="15.75" customHeight="1">
      <c r="A20" s="15">
        <f>Main!A20</f>
        <v>19</v>
      </c>
      <c r="B20" s="15" t="str">
        <f>Main!B20</f>
        <v>News Ltd will report on the emergence of a conspiracy theory relating to the Queen's death: that the palace is either secretly concealing her death or her continuing life</v>
      </c>
      <c r="C20" s="15" t="str">
        <f>Main!C20</f>
        <v>Celebrities</v>
      </c>
      <c r="D20" s="15">
        <v>0.8</v>
      </c>
      <c r="F20" s="99">
        <f>$D20-vlookup(Summary!$C20,Summary!$C$2:$Q$103,3+counta($F$1:F$1),false)</f>
        <v>0.55</v>
      </c>
      <c r="G20" s="99">
        <f>$D20-vlookup(Summary!$C20,Summary!$C$2:$Q$103,3+counta($F$1:G$1),false)</f>
        <v>0.4</v>
      </c>
      <c r="H20" s="99">
        <f>$D20-vlookup(Summary!$C20,Summary!$C$2:$Q$103,3+counta($F$1:H$1),false)</f>
        <v>0</v>
      </c>
      <c r="I20" s="99">
        <f>$D20-vlookup(Summary!$C20,Summary!$C$2:$Q$103,3+counta($F$1:I$1),false)</f>
        <v>0.75</v>
      </c>
      <c r="J20" s="99">
        <f>$D20-vlookup(Summary!$C20,Summary!$C$2:$Q$103,3+counta($F$1:J$1),false)</f>
        <v>0.3</v>
      </c>
      <c r="K20" s="99">
        <f>$D20-vlookup(Summary!$C20,Summary!$C$2:$Q$103,3+counta($F$1:K$1),false)</f>
        <v>-0.05</v>
      </c>
      <c r="L20" s="99">
        <f>$D20-vlookup(Summary!$C20,Summary!$C$2:$Q$103,3+counta($F$1:L$1),false)</f>
        <v>0.75</v>
      </c>
      <c r="M20" s="99">
        <f>$D20-vlookup(Summary!$C20,Summary!$C$2:$Q$103,3+counta($F$1:M$1),false)</f>
        <v>0</v>
      </c>
      <c r="N20" s="99">
        <f>$D20-vlookup(Summary!$C20,Summary!$C$2:$Q$103,3+counta($F$1:N$1),false)</f>
        <v>0.7</v>
      </c>
      <c r="O20" s="99">
        <f>$D20-vlookup(Summary!$C20,Summary!$C$2:$Q$103,3+counta($F$1:O$1),false)</f>
        <v>0.799</v>
      </c>
      <c r="P20" s="99">
        <f>$D20-vlookup(Summary!$C20,Summary!$C$2:$Q$103,3+counta($F$1:P$1),false)</f>
        <v>0.7</v>
      </c>
      <c r="Q20" s="99">
        <f>$D20-vlookup(Summary!$C20,Summary!$C$2:$Q$103,3+counta($F$1:Q$1),false)</f>
        <v>0.3</v>
      </c>
    </row>
    <row r="21" ht="15.75" customHeight="1">
      <c r="A21" s="15">
        <f>Main!A21</f>
        <v>20</v>
      </c>
      <c r="B21" s="15" t="str">
        <f>Main!B21</f>
        <v>Julian Assange will be located in Australia</v>
      </c>
      <c r="C21" s="15" t="str">
        <f>Main!C21</f>
        <v>Celebrities</v>
      </c>
      <c r="D21" s="15">
        <v>0.1</v>
      </c>
      <c r="F21" s="99">
        <f>$D21-vlookup(Summary!$C21,Summary!$C$2:$Q$103,3+counta($F$1:F$1),false)</f>
        <v>-0.1</v>
      </c>
      <c r="G21" s="99">
        <f>$D21-vlookup(Summary!$C21,Summary!$C$2:$Q$103,3+counta($F$1:G$1),false)</f>
        <v>-0.1</v>
      </c>
      <c r="H21" s="99">
        <f>$D21-vlookup(Summary!$C21,Summary!$C$2:$Q$103,3+counta($F$1:H$1),false)</f>
        <v>0</v>
      </c>
      <c r="I21" s="99">
        <f>$D21-vlookup(Summary!$C21,Summary!$C$2:$Q$103,3+counta($F$1:I$1),false)</f>
        <v>0.05</v>
      </c>
      <c r="J21" s="99">
        <f>$D21-vlookup(Summary!$C21,Summary!$C$2:$Q$103,3+counta($F$1:J$1),false)</f>
        <v>-0.2</v>
      </c>
      <c r="K21" s="99">
        <f>$D21-vlookup(Summary!$C21,Summary!$C$2:$Q$103,3+counta($F$1:K$1),false)</f>
        <v>-0.45</v>
      </c>
      <c r="L21" s="99">
        <f>$D21-vlookup(Summary!$C21,Summary!$C$2:$Q$103,3+counta($F$1:L$1),false)</f>
        <v>-0.1</v>
      </c>
      <c r="M21" s="99">
        <f>$D21-vlookup(Summary!$C21,Summary!$C$2:$Q$103,3+counta($F$1:M$1),false)</f>
        <v>0</v>
      </c>
      <c r="N21" s="99">
        <f>$D21-vlookup(Summary!$C21,Summary!$C$2:$Q$103,3+counta($F$1:N$1),false)</f>
        <v>-0.1</v>
      </c>
      <c r="O21" s="99">
        <f>$D21-vlookup(Summary!$C21,Summary!$C$2:$Q$103,3+counta($F$1:O$1),false)</f>
        <v>-0.05</v>
      </c>
      <c r="P21" s="99">
        <f>$D21-vlookup(Summary!$C21,Summary!$C$2:$Q$103,3+counta($F$1:P$1),false)</f>
        <v>0</v>
      </c>
      <c r="Q21" s="99">
        <f>$D21-vlookup(Summary!$C21,Summary!$C$2:$Q$103,3+counta($F$1:Q$1),false)</f>
        <v>-0.2</v>
      </c>
    </row>
    <row r="22" ht="15.75" customHeight="1">
      <c r="A22" s="15">
        <f>Main!A22</f>
        <v>21</v>
      </c>
      <c r="B22" s="15" t="str">
        <f>Main!B22</f>
        <v>An alleged sexual predator will recieve an Emmy or Oscar by mainstream media (Andrew’s system)</v>
      </c>
      <c r="C22" s="15" t="str">
        <f>Main!C22</f>
        <v>Celebrities</v>
      </c>
      <c r="D22" s="15">
        <v>0.3</v>
      </c>
      <c r="F22" s="99">
        <f>$D22-vlookup(Summary!$C22,Summary!$C$2:$Q$103,3+counta($F$1:F$1),false)</f>
        <v>-0.1</v>
      </c>
      <c r="G22" s="99">
        <f>$D22-vlookup(Summary!$C22,Summary!$C$2:$Q$103,3+counta($F$1:G$1),false)</f>
        <v>0</v>
      </c>
      <c r="H22" s="99">
        <f>$D22-vlookup(Summary!$C22,Summary!$C$2:$Q$103,3+counta($F$1:H$1),false)</f>
        <v>0</v>
      </c>
      <c r="I22" s="99">
        <f>$D22-vlookup(Summary!$C22,Summary!$C$2:$Q$103,3+counta($F$1:I$1),false)</f>
        <v>0.1</v>
      </c>
      <c r="J22" s="99">
        <f>$D22-vlookup(Summary!$C22,Summary!$C$2:$Q$103,3+counta($F$1:J$1),false)</f>
        <v>-0.3</v>
      </c>
      <c r="K22" s="99">
        <f>$D22-vlookup(Summary!$C22,Summary!$C$2:$Q$103,3+counta($F$1:K$1),false)</f>
        <v>-0.4</v>
      </c>
      <c r="L22" s="99">
        <f>$D22-vlookup(Summary!$C22,Summary!$C$2:$Q$103,3+counta($F$1:L$1),false)</f>
        <v>0.1</v>
      </c>
      <c r="M22" s="99">
        <f>$D22-vlookup(Summary!$C22,Summary!$C$2:$Q$103,3+counta($F$1:M$1),false)</f>
        <v>0</v>
      </c>
      <c r="N22" s="99">
        <f>$D22-vlookup(Summary!$C22,Summary!$C$2:$Q$103,3+counta($F$1:N$1),false)</f>
        <v>-0.5</v>
      </c>
      <c r="O22" s="99">
        <f>$D22-vlookup(Summary!$C22,Summary!$C$2:$Q$103,3+counta($F$1:O$1),false)</f>
        <v>-0.35</v>
      </c>
      <c r="P22" s="99">
        <f>$D22-vlookup(Summary!$C22,Summary!$C$2:$Q$103,3+counta($F$1:P$1),false)</f>
        <v>0.2</v>
      </c>
      <c r="Q22" s="99">
        <f>$D22-vlookup(Summary!$C22,Summary!$C$2:$Q$103,3+counta($F$1:Q$1),false)</f>
        <v>-0.3</v>
      </c>
    </row>
    <row r="23" ht="15.75" customHeight="1">
      <c r="A23" s="15">
        <f>Main!A23</f>
        <v>22</v>
      </c>
      <c r="B23" s="15" t="str">
        <f>Main!B23</f>
        <v>The Queen will die</v>
      </c>
      <c r="C23" s="15" t="str">
        <f>Main!C23</f>
        <v>Celebrities</v>
      </c>
      <c r="D23" s="15">
        <v>0.9</v>
      </c>
      <c r="F23" s="99">
        <f>$D23-vlookup(Summary!$C23,Summary!$C$2:$Q$103,3+counta($F$1:F$1),false)</f>
        <v>0.5</v>
      </c>
      <c r="G23" s="99">
        <f>$D23-vlookup(Summary!$C23,Summary!$C$2:$Q$103,3+counta($F$1:G$1),false)</f>
        <v>0.7</v>
      </c>
      <c r="H23" s="99">
        <f>$D23-vlookup(Summary!$C23,Summary!$C$2:$Q$103,3+counta($F$1:H$1),false)</f>
        <v>0</v>
      </c>
      <c r="I23" s="99">
        <f>$D23-vlookup(Summary!$C23,Summary!$C$2:$Q$103,3+counta($F$1:I$1),false)</f>
        <v>0.6</v>
      </c>
      <c r="J23" s="99">
        <f>$D23-vlookup(Summary!$C23,Summary!$C$2:$Q$103,3+counta($F$1:J$1),false)</f>
        <v>0.2</v>
      </c>
      <c r="K23" s="99">
        <f>$D23-vlookup(Summary!$C23,Summary!$C$2:$Q$103,3+counta($F$1:K$1),false)</f>
        <v>0.2</v>
      </c>
      <c r="L23" s="99">
        <f>$D23-vlookup(Summary!$C23,Summary!$C$2:$Q$103,3+counta($F$1:L$1),false)</f>
        <v>0.85</v>
      </c>
      <c r="M23" s="99">
        <f>$D23-vlookup(Summary!$C23,Summary!$C$2:$Q$103,3+counta($F$1:M$1),false)</f>
        <v>0</v>
      </c>
      <c r="N23" s="99">
        <f>$D23-vlookup(Summary!$C23,Summary!$C$2:$Q$103,3+counta($F$1:N$1),false)</f>
        <v>0</v>
      </c>
      <c r="O23" s="99">
        <f>$D23-vlookup(Summary!$C23,Summary!$C$2:$Q$103,3+counta($F$1:O$1),false)</f>
        <v>0.55</v>
      </c>
      <c r="P23" s="99">
        <f>$D23-vlookup(Summary!$C23,Summary!$C$2:$Q$103,3+counta($F$1:P$1),false)</f>
        <v>0.8</v>
      </c>
      <c r="Q23" s="99">
        <f>$D23-vlookup(Summary!$C23,Summary!$C$2:$Q$103,3+counta($F$1:Q$1),false)</f>
        <v>0.6</v>
      </c>
    </row>
    <row r="24" ht="15.75" customHeight="1">
      <c r="A24" s="15">
        <f>Main!A24</f>
        <v>23</v>
      </c>
      <c r="B24" s="15" t="str">
        <f>Main!B24</f>
        <v>Ghislaine Maxwell will successfully strike a plea deal and reduce her aggregate sentence to no greater than 10 years with parole no greater than 5 years.</v>
      </c>
      <c r="C24" s="15" t="str">
        <f>Main!C24</f>
        <v>Celebrities</v>
      </c>
      <c r="D24" s="15">
        <v>0.7</v>
      </c>
      <c r="F24" s="99">
        <f>$D24-vlookup(Summary!$C24,Summary!$C$2:$Q$103,3+counta($F$1:F$1),false)</f>
        <v>0.25</v>
      </c>
      <c r="G24" s="99">
        <f>$D24-vlookup(Summary!$C24,Summary!$C$2:$Q$103,3+counta($F$1:G$1),false)</f>
        <v>0</v>
      </c>
      <c r="H24" s="99">
        <f>$D24-vlookup(Summary!$C24,Summary!$C$2:$Q$103,3+counta($F$1:H$1),false)</f>
        <v>0</v>
      </c>
      <c r="I24" s="99">
        <f>$D24-vlookup(Summary!$C24,Summary!$C$2:$Q$103,3+counta($F$1:I$1),false)</f>
        <v>0.6</v>
      </c>
      <c r="J24" s="99">
        <f>$D24-vlookup(Summary!$C24,Summary!$C$2:$Q$103,3+counta($F$1:J$1),false)</f>
        <v>-0.2</v>
      </c>
      <c r="K24" s="99">
        <f>$D24-vlookup(Summary!$C24,Summary!$C$2:$Q$103,3+counta($F$1:K$1),false)</f>
        <v>0.05</v>
      </c>
      <c r="L24" s="99">
        <f>$D24-vlookup(Summary!$C24,Summary!$C$2:$Q$103,3+counta($F$1:L$1),false)</f>
        <v>0.5</v>
      </c>
      <c r="M24" s="99">
        <f>$D24-vlookup(Summary!$C24,Summary!$C$2:$Q$103,3+counta($F$1:M$1),false)</f>
        <v>0</v>
      </c>
      <c r="N24" s="99">
        <f>$D24-vlookup(Summary!$C24,Summary!$C$2:$Q$103,3+counta($F$1:N$1),false)</f>
        <v>0.6</v>
      </c>
      <c r="O24" s="99">
        <f>$D24-vlookup(Summary!$C24,Summary!$C$2:$Q$103,3+counta($F$1:O$1),false)</f>
        <v>0.05</v>
      </c>
      <c r="P24" s="99">
        <f>$D24-vlookup(Summary!$C24,Summary!$C$2:$Q$103,3+counta($F$1:P$1),false)</f>
        <v>0</v>
      </c>
      <c r="Q24" s="99">
        <f>$D24-vlookup(Summary!$C24,Summary!$C$2:$Q$103,3+counta($F$1:Q$1),false)</f>
        <v>0.2</v>
      </c>
    </row>
    <row r="25" ht="15.75" customHeight="1">
      <c r="A25" s="15">
        <f>Main!A25</f>
        <v>24</v>
      </c>
      <c r="B25" s="15" t="str">
        <f>Main!B25</f>
        <v>Formal criminal charges will be laid against Prince Andrew for sex offenses</v>
      </c>
      <c r="C25" s="15" t="str">
        <f>Main!C25</f>
        <v>Celebrities</v>
      </c>
      <c r="D25" s="15">
        <v>0.7</v>
      </c>
      <c r="F25" s="99">
        <f>$D25-vlookup(Summary!$C25,Summary!$C$2:$Q$103,3+counta($F$1:F$1),false)</f>
        <v>0.1</v>
      </c>
      <c r="G25" s="99">
        <f>$D25-vlookup(Summary!$C25,Summary!$C$2:$Q$103,3+counta($F$1:G$1),false)</f>
        <v>0.5</v>
      </c>
      <c r="H25" s="99">
        <f>$D25-vlookup(Summary!$C25,Summary!$C$2:$Q$103,3+counta($F$1:H$1),false)</f>
        <v>0</v>
      </c>
      <c r="I25" s="99">
        <f>$D25-vlookup(Summary!$C25,Summary!$C$2:$Q$103,3+counta($F$1:I$1),false)</f>
        <v>-0.2</v>
      </c>
      <c r="J25" s="99">
        <f>$D25-vlookup(Summary!$C25,Summary!$C$2:$Q$103,3+counta($F$1:J$1),false)</f>
        <v>0.6</v>
      </c>
      <c r="K25" s="99">
        <f>$D25-vlookup(Summary!$C25,Summary!$C$2:$Q$103,3+counta($F$1:K$1),false)</f>
        <v>0.05</v>
      </c>
      <c r="L25" s="99">
        <f>$D25-vlookup(Summary!$C25,Summary!$C$2:$Q$103,3+counta($F$1:L$1),false)</f>
        <v>0.55</v>
      </c>
      <c r="M25" s="99">
        <f>$D25-vlookup(Summary!$C25,Summary!$C$2:$Q$103,3+counta($F$1:M$1),false)</f>
        <v>0</v>
      </c>
      <c r="N25" s="99">
        <f>$D25-vlookup(Summary!$C25,Summary!$C$2:$Q$103,3+counta($F$1:N$1),false)</f>
        <v>0.5</v>
      </c>
      <c r="O25" s="99">
        <f>$D25-vlookup(Summary!$C25,Summary!$C$2:$Q$103,3+counta($F$1:O$1),false)</f>
        <v>0.55</v>
      </c>
      <c r="P25" s="99">
        <f>$D25-vlookup(Summary!$C25,Summary!$C$2:$Q$103,3+counta($F$1:P$1),false)</f>
        <v>0.2</v>
      </c>
      <c r="Q25" s="99">
        <f>$D25-vlookup(Summary!$C25,Summary!$C$2:$Q$103,3+counta($F$1:Q$1),false)</f>
        <v>0.2</v>
      </c>
    </row>
    <row r="26" ht="15.75" customHeight="1">
      <c r="A26" s="15">
        <f>Main!A26</f>
        <v>25</v>
      </c>
      <c r="B26" s="15" t="str">
        <f>Main!B26</f>
        <v>Elizabeth Holmes will be sentenced to no greater than 15 years imprisonment.</v>
      </c>
      <c r="C26" s="15" t="str">
        <f>Main!C26</f>
        <v>Celebrities</v>
      </c>
      <c r="D26" s="15">
        <v>0.8</v>
      </c>
      <c r="F26" s="99">
        <f>$D26-vlookup(Summary!$C26,Summary!$C$2:$Q$103,3+counta($F$1:F$1),false)</f>
        <v>0.2</v>
      </c>
      <c r="G26" s="99">
        <f>$D26-vlookup(Summary!$C26,Summary!$C$2:$Q$103,3+counta($F$1:G$1),false)</f>
        <v>-0.1</v>
      </c>
      <c r="H26" s="99">
        <f>$D26-vlookup(Summary!$C26,Summary!$C$2:$Q$103,3+counta($F$1:H$1),false)</f>
        <v>0</v>
      </c>
      <c r="I26" s="99">
        <f>$D26-vlookup(Summary!$C26,Summary!$C$2:$Q$103,3+counta($F$1:I$1),false)</f>
        <v>0.3</v>
      </c>
      <c r="J26" s="99">
        <f>$D26-vlookup(Summary!$C26,Summary!$C$2:$Q$103,3+counta($F$1:J$1),false)</f>
        <v>-0.1</v>
      </c>
      <c r="K26" s="99">
        <f>$D26-vlookup(Summary!$C26,Summary!$C$2:$Q$103,3+counta($F$1:K$1),false)</f>
        <v>0.1</v>
      </c>
      <c r="L26" s="99">
        <f>$D26-vlookup(Summary!$C26,Summary!$C$2:$Q$103,3+counta($F$1:L$1),false)</f>
        <v>0.1</v>
      </c>
      <c r="M26" s="99">
        <f>$D26-vlookup(Summary!$C26,Summary!$C$2:$Q$103,3+counta($F$1:M$1),false)</f>
        <v>0</v>
      </c>
      <c r="N26" s="99">
        <f>$D26-vlookup(Summary!$C26,Summary!$C$2:$Q$103,3+counta($F$1:N$1),false)</f>
        <v>-0.1</v>
      </c>
      <c r="O26" s="99">
        <f>$D26-vlookup(Summary!$C26,Summary!$C$2:$Q$103,3+counta($F$1:O$1),false)</f>
        <v>-0.05</v>
      </c>
      <c r="P26" s="99">
        <f>$D26-vlookup(Summary!$C26,Summary!$C$2:$Q$103,3+counta($F$1:P$1),false)</f>
        <v>0.3</v>
      </c>
      <c r="Q26" s="99">
        <f>$D26-vlookup(Summary!$C26,Summary!$C$2:$Q$103,3+counta($F$1:Q$1),false)</f>
        <v>0.1</v>
      </c>
    </row>
    <row r="27" ht="15.75" customHeight="1">
      <c r="A27" s="15">
        <f>Main!A27</f>
        <v>26</v>
      </c>
      <c r="B27" s="15" t="str">
        <f>Main!B27</f>
        <v>Meghan and Harry will separate</v>
      </c>
      <c r="C27" s="15" t="str">
        <f>Main!C27</f>
        <v>Celebrities</v>
      </c>
      <c r="D27" s="15">
        <v>0.2</v>
      </c>
      <c r="F27" s="99">
        <f>$D27-vlookup(Summary!$C27,Summary!$C$2:$Q$103,3+counta($F$1:F$1),false)</f>
        <v>0</v>
      </c>
      <c r="G27" s="99">
        <f>$D27-vlookup(Summary!$C27,Summary!$C$2:$Q$103,3+counta($F$1:G$1),false)</f>
        <v>0.1</v>
      </c>
      <c r="H27" s="99">
        <f>$D27-vlookup(Summary!$C27,Summary!$C$2:$Q$103,3+counta($F$1:H$1),false)</f>
        <v>0</v>
      </c>
      <c r="I27" s="99">
        <f>$D27-vlookup(Summary!$C27,Summary!$C$2:$Q$103,3+counta($F$1:I$1),false)</f>
        <v>0.1</v>
      </c>
      <c r="J27" s="99">
        <f>$D27-vlookup(Summary!$C27,Summary!$C$2:$Q$103,3+counta($F$1:J$1),false)</f>
        <v>-0.3</v>
      </c>
      <c r="K27" s="99">
        <f>$D27-vlookup(Summary!$C27,Summary!$C$2:$Q$103,3+counta($F$1:K$1),false)</f>
        <v>0</v>
      </c>
      <c r="L27" s="99">
        <f>$D27-vlookup(Summary!$C27,Summary!$C$2:$Q$103,3+counta($F$1:L$1),false)</f>
        <v>0.15</v>
      </c>
      <c r="M27" s="99">
        <f>$D27-vlookup(Summary!$C27,Summary!$C$2:$Q$103,3+counta($F$1:M$1),false)</f>
        <v>0</v>
      </c>
      <c r="N27" s="99">
        <f>$D27-vlookup(Summary!$C27,Summary!$C$2:$Q$103,3+counta($F$1:N$1),false)</f>
        <v>-0.6</v>
      </c>
      <c r="O27" s="99">
        <f>$D27-vlookup(Summary!$C27,Summary!$C$2:$Q$103,3+counta($F$1:O$1),false)</f>
        <v>0.05</v>
      </c>
      <c r="P27" s="99">
        <f>$D27-vlookup(Summary!$C27,Summary!$C$2:$Q$103,3+counta($F$1:P$1),false)</f>
        <v>0.1</v>
      </c>
      <c r="Q27" s="99">
        <f>$D27-vlookup(Summary!$C27,Summary!$C$2:$Q$103,3+counta($F$1:Q$1),false)</f>
        <v>-0.1</v>
      </c>
    </row>
    <row r="28" ht="15.75" customHeight="1">
      <c r="A28" s="15">
        <f>Main!A28</f>
        <v>27</v>
      </c>
      <c r="B28" s="15" t="str">
        <f>Main!B28</f>
        <v>Tom Holland and Zendaya will separate.</v>
      </c>
      <c r="C28" s="15" t="str">
        <f>Main!C28</f>
        <v>Celebrities</v>
      </c>
      <c r="D28" s="15">
        <v>0.2</v>
      </c>
      <c r="F28" s="99">
        <f>$D28-vlookup(Summary!$C28,Summary!$C$2:$Q$103,3+counta($F$1:F$1),false)</f>
        <v>-0.4</v>
      </c>
      <c r="G28" s="99">
        <f>$D28-vlookup(Summary!$C28,Summary!$C$2:$Q$103,3+counta($F$1:G$1),false)</f>
        <v>-0.4</v>
      </c>
      <c r="H28" s="99">
        <f>$D28-vlookup(Summary!$C28,Summary!$C$2:$Q$103,3+counta($F$1:H$1),false)</f>
        <v>0</v>
      </c>
      <c r="I28" s="99">
        <f>$D28-vlookup(Summary!$C28,Summary!$C$2:$Q$103,3+counta($F$1:I$1),false)</f>
        <v>-0.3</v>
      </c>
      <c r="J28" s="99">
        <f>$D28-vlookup(Summary!$C28,Summary!$C$2:$Q$103,3+counta($F$1:J$1),false)</f>
        <v>-0.2</v>
      </c>
      <c r="K28" s="99">
        <f>$D28-vlookup(Summary!$C28,Summary!$C$2:$Q$103,3+counta($F$1:K$1),false)</f>
        <v>-0.45</v>
      </c>
      <c r="L28" s="99">
        <f>$D28-vlookup(Summary!$C28,Summary!$C$2:$Q$103,3+counta($F$1:L$1),false)</f>
        <v>0</v>
      </c>
      <c r="M28" s="99">
        <f>$D28-vlookup(Summary!$C28,Summary!$C$2:$Q$103,3+counta($F$1:M$1),false)</f>
        <v>0</v>
      </c>
      <c r="N28" s="99">
        <f>$D28-vlookup(Summary!$C28,Summary!$C$2:$Q$103,3+counta($F$1:N$1),false)</f>
        <v>-0.7</v>
      </c>
      <c r="O28" s="99">
        <f>$D28-vlookup(Summary!$C28,Summary!$C$2:$Q$103,3+counta($F$1:O$1),false)</f>
        <v>-0.3</v>
      </c>
      <c r="P28" s="99">
        <f>$D28-vlookup(Summary!$C28,Summary!$C$2:$Q$103,3+counta($F$1:P$1),false)</f>
        <v>-0.3</v>
      </c>
      <c r="Q28" s="99">
        <f>$D28-vlookup(Summary!$C28,Summary!$C$2:$Q$103,3+counta($F$1:Q$1),false)</f>
        <v>-0.2</v>
      </c>
    </row>
    <row r="29" ht="15.75" customHeight="1">
      <c r="A29" s="15">
        <f>Main!A29</f>
        <v>28</v>
      </c>
      <c r="B29" s="15" t="str">
        <f>Main!B29</f>
        <v>Donald Trump endorses on social media a movement that is called White Lives Matter</v>
      </c>
      <c r="C29" s="15" t="str">
        <f>Main!C29</f>
        <v>Celebrities</v>
      </c>
      <c r="D29" s="15">
        <v>0.8</v>
      </c>
      <c r="F29" s="99">
        <f>$D29-vlookup(Summary!$C29,Summary!$C$2:$Q$103,3+counta($F$1:F$1),false)</f>
        <v>0.5</v>
      </c>
      <c r="G29" s="99">
        <f>$D29-vlookup(Summary!$C29,Summary!$C$2:$Q$103,3+counta($F$1:G$1),false)</f>
        <v>0.5</v>
      </c>
      <c r="H29" s="99">
        <f>$D29-vlookup(Summary!$C29,Summary!$C$2:$Q$103,3+counta($F$1:H$1),false)</f>
        <v>0</v>
      </c>
      <c r="I29" s="99">
        <f>$D29-vlookup(Summary!$C29,Summary!$C$2:$Q$103,3+counta($F$1:I$1),false)</f>
        <v>0.7</v>
      </c>
      <c r="J29" s="99">
        <f>$D29-vlookup(Summary!$C29,Summary!$C$2:$Q$103,3+counta($F$1:J$1),false)</f>
        <v>-0.1</v>
      </c>
      <c r="K29" s="99">
        <f>$D29-vlookup(Summary!$C29,Summary!$C$2:$Q$103,3+counta($F$1:K$1),false)</f>
        <v>0.35</v>
      </c>
      <c r="L29" s="99">
        <f>$D29-vlookup(Summary!$C29,Summary!$C$2:$Q$103,3+counta($F$1:L$1),false)</f>
        <v>0.799</v>
      </c>
      <c r="M29" s="99">
        <f>$D29-vlookup(Summary!$C29,Summary!$C$2:$Q$103,3+counta($F$1:M$1),false)</f>
        <v>0</v>
      </c>
      <c r="N29" s="99">
        <f>$D29-vlookup(Summary!$C29,Summary!$C$2:$Q$103,3+counta($F$1:N$1),false)</f>
        <v>-0.1</v>
      </c>
      <c r="O29" s="99">
        <f>$D29-vlookup(Summary!$C29,Summary!$C$2:$Q$103,3+counta($F$1:O$1),false)</f>
        <v>0.799</v>
      </c>
      <c r="P29" s="99">
        <f>$D29-vlookup(Summary!$C29,Summary!$C$2:$Q$103,3+counta($F$1:P$1),false)</f>
        <v>0.7</v>
      </c>
      <c r="Q29" s="99">
        <f>$D29-vlookup(Summary!$C29,Summary!$C$2:$Q$103,3+counta($F$1:Q$1),false)</f>
        <v>0.25</v>
      </c>
    </row>
    <row r="30" ht="15.75" customHeight="1">
      <c r="A30" s="15">
        <f>Main!A30</f>
        <v>29</v>
      </c>
      <c r="B30" s="15" t="str">
        <f>Main!B30</f>
        <v>Britney Spears returns under conservatorship</v>
      </c>
      <c r="C30" s="15" t="str">
        <f>Main!C30</f>
        <v>Celebrities</v>
      </c>
      <c r="D30" s="15">
        <v>0.05</v>
      </c>
      <c r="F30" s="99">
        <f>$D30-vlookup(Summary!$C30,Summary!$C$2:$Q$103,3+counta($F$1:F$1),false)</f>
        <v>-0.05</v>
      </c>
      <c r="G30" s="99">
        <f>$D30-vlookup(Summary!$C30,Summary!$C$2:$Q$103,3+counta($F$1:G$1),false)</f>
        <v>-0.05</v>
      </c>
      <c r="H30" s="99">
        <f>$D30-vlookup(Summary!$C30,Summary!$C$2:$Q$103,3+counta($F$1:H$1),false)</f>
        <v>0</v>
      </c>
      <c r="I30" s="99">
        <f>$D30-vlookup(Summary!$C30,Summary!$C$2:$Q$103,3+counta($F$1:I$1),false)</f>
        <v>0</v>
      </c>
      <c r="J30" s="99">
        <f>$D30-vlookup(Summary!$C30,Summary!$C$2:$Q$103,3+counta($F$1:J$1),false)</f>
        <v>-0.05</v>
      </c>
      <c r="K30" s="99">
        <f>$D30-vlookup(Summary!$C30,Summary!$C$2:$Q$103,3+counta($F$1:K$1),false)</f>
        <v>0.05</v>
      </c>
      <c r="L30" s="99">
        <f>$D30-vlookup(Summary!$C30,Summary!$C$2:$Q$103,3+counta($F$1:L$1),false)</f>
        <v>0</v>
      </c>
      <c r="M30" s="99">
        <f>$D30-vlookup(Summary!$C30,Summary!$C$2:$Q$103,3+counta($F$1:M$1),false)</f>
        <v>0</v>
      </c>
      <c r="N30" s="99">
        <f>$D30-vlookup(Summary!$C30,Summary!$C$2:$Q$103,3+counta($F$1:N$1),false)</f>
        <v>-0.05</v>
      </c>
      <c r="O30" s="99">
        <f>$D30-vlookup(Summary!$C30,Summary!$C$2:$Q$103,3+counta($F$1:O$1),false)</f>
        <v>0.049</v>
      </c>
      <c r="P30" s="99">
        <f>$D30-vlookup(Summary!$C30,Summary!$C$2:$Q$103,3+counta($F$1:P$1),false)</f>
        <v>-0.05</v>
      </c>
      <c r="Q30" s="99">
        <f>$D30-vlookup(Summary!$C30,Summary!$C$2:$Q$103,3+counta($F$1:Q$1),false)</f>
        <v>-0.45</v>
      </c>
    </row>
    <row r="31" ht="15.75" customHeight="1">
      <c r="A31" s="15">
        <f>Main!A31</f>
        <v>30</v>
      </c>
      <c r="B31" s="15" t="str">
        <f>Main!B31</f>
        <v>Taylor Swift and her partner separate, or announce they're expecting a child</v>
      </c>
      <c r="C31" s="15" t="str">
        <f>Main!C31</f>
        <v>Celebrities</v>
      </c>
      <c r="D31" s="15">
        <v>0.7</v>
      </c>
      <c r="F31" s="99">
        <f>$D31-vlookup(Summary!$C31,Summary!$C$2:$Q$103,3+counta($F$1:F$1),false)</f>
        <v>0.3</v>
      </c>
      <c r="G31" s="99">
        <f>$D31-vlookup(Summary!$C31,Summary!$C$2:$Q$103,3+counta($F$1:G$1),false)</f>
        <v>0.4</v>
      </c>
      <c r="H31" s="99">
        <f>$D31-vlookup(Summary!$C31,Summary!$C$2:$Q$103,3+counta($F$1:H$1),false)</f>
        <v>0</v>
      </c>
      <c r="I31" s="99">
        <f>$D31-vlookup(Summary!$C31,Summary!$C$2:$Q$103,3+counta($F$1:I$1),false)</f>
        <v>0.6</v>
      </c>
      <c r="J31" s="99">
        <f>$D31-vlookup(Summary!$C31,Summary!$C$2:$Q$103,3+counta($F$1:J$1),false)</f>
        <v>0</v>
      </c>
      <c r="K31" s="99">
        <f>$D31-vlookup(Summary!$C31,Summary!$C$2:$Q$103,3+counta($F$1:K$1),false)</f>
        <v>0.1</v>
      </c>
      <c r="L31" s="99">
        <f>$D31-vlookup(Summary!$C31,Summary!$C$2:$Q$103,3+counta($F$1:L$1),false)</f>
        <v>0.6</v>
      </c>
      <c r="M31" s="99">
        <f>$D31-vlookup(Summary!$C31,Summary!$C$2:$Q$103,3+counta($F$1:M$1),false)</f>
        <v>0</v>
      </c>
      <c r="N31" s="99">
        <f>$D31-vlookup(Summary!$C31,Summary!$C$2:$Q$103,3+counta($F$1:N$1),false)</f>
        <v>-0.2</v>
      </c>
      <c r="O31" s="99">
        <f>$D31-vlookup(Summary!$C31,Summary!$C$2:$Q$103,3+counta($F$1:O$1),false)</f>
        <v>0.55</v>
      </c>
      <c r="P31" s="99">
        <f>$D31-vlookup(Summary!$C31,Summary!$C$2:$Q$103,3+counta($F$1:P$1),false)</f>
        <v>0.2</v>
      </c>
      <c r="Q31" s="99">
        <f>$D31-vlookup(Summary!$C31,Summary!$C$2:$Q$103,3+counta($F$1:Q$1),false)</f>
        <v>0.5</v>
      </c>
    </row>
    <row r="32" ht="15.75" customHeight="1">
      <c r="A32" s="15">
        <f>Main!A32</f>
        <v>31</v>
      </c>
      <c r="B32" s="15" t="str">
        <f>Main!B32</f>
        <v>Aung San Suu Kyi dies or announces she has a terminal illness (terminal illness including cancer)</v>
      </c>
      <c r="C32" s="15" t="str">
        <f>Main!C32</f>
        <v>Celebrities</v>
      </c>
      <c r="D32" s="15">
        <v>0.5</v>
      </c>
      <c r="F32" s="99">
        <f>$D32-vlookup(Summary!$C32,Summary!$C$2:$Q$103,3+counta($F$1:F$1),false)</f>
        <v>0</v>
      </c>
      <c r="G32" s="99">
        <f>$D32-vlookup(Summary!$C32,Summary!$C$2:$Q$103,3+counta($F$1:G$1),false)</f>
        <v>0.1</v>
      </c>
      <c r="H32" s="99">
        <f>$D32-vlookup(Summary!$C32,Summary!$C$2:$Q$103,3+counta($F$1:H$1),false)</f>
        <v>0</v>
      </c>
      <c r="I32" s="99">
        <f>$D32-vlookup(Summary!$C32,Summary!$C$2:$Q$103,3+counta($F$1:I$1),false)</f>
        <v>0.3</v>
      </c>
      <c r="J32" s="99">
        <f>$D32-vlookup(Summary!$C32,Summary!$C$2:$Q$103,3+counta($F$1:J$1),false)</f>
        <v>0.2</v>
      </c>
      <c r="K32" s="99">
        <f>$D32-vlookup(Summary!$C32,Summary!$C$2:$Q$103,3+counta($F$1:K$1),false)</f>
        <v>0.05</v>
      </c>
      <c r="L32" s="99">
        <f>$D32-vlookup(Summary!$C32,Summary!$C$2:$Q$103,3+counta($F$1:L$1),false)</f>
        <v>0.3</v>
      </c>
      <c r="M32" s="99">
        <f>$D32-vlookup(Summary!$C32,Summary!$C$2:$Q$103,3+counta($F$1:M$1),false)</f>
        <v>0</v>
      </c>
      <c r="N32" s="99">
        <f>$D32-vlookup(Summary!$C32,Summary!$C$2:$Q$103,3+counta($F$1:N$1),false)</f>
        <v>0.4</v>
      </c>
      <c r="O32" s="99">
        <f>$D32-vlookup(Summary!$C32,Summary!$C$2:$Q$103,3+counta($F$1:O$1),false)</f>
        <v>0.15</v>
      </c>
      <c r="P32" s="99">
        <f>$D32-vlookup(Summary!$C32,Summary!$C$2:$Q$103,3+counta($F$1:P$1),false)</f>
        <v>0.4</v>
      </c>
      <c r="Q32" s="99">
        <f>$D32-vlookup(Summary!$C32,Summary!$C$2:$Q$103,3+counta($F$1:Q$1),false)</f>
        <v>0</v>
      </c>
    </row>
    <row r="33" ht="15.75" customHeight="1">
      <c r="A33" s="15">
        <f>Main!A33</f>
        <v>32</v>
      </c>
      <c r="B33" s="15" t="str">
        <f>Main!B33</f>
        <v>Henry Cavill marries</v>
      </c>
      <c r="C33" s="15" t="str">
        <f>Main!C33</f>
        <v>Celebrities</v>
      </c>
      <c r="D33" s="15">
        <v>0.1</v>
      </c>
      <c r="F33" s="99">
        <f>$D33-vlookup(Summary!$C33,Summary!$C$2:$Q$103,3+counta($F$1:F$1),false)</f>
        <v>-0.45</v>
      </c>
      <c r="G33" s="99">
        <f>$D33-vlookup(Summary!$C33,Summary!$C$2:$Q$103,3+counta($F$1:G$1),false)</f>
        <v>-0.5</v>
      </c>
      <c r="H33" s="99">
        <f>$D33-vlookup(Summary!$C33,Summary!$C$2:$Q$103,3+counta($F$1:H$1),false)</f>
        <v>0</v>
      </c>
      <c r="I33" s="99">
        <f>$D33-vlookup(Summary!$C33,Summary!$C$2:$Q$103,3+counta($F$1:I$1),false)</f>
        <v>-0.1</v>
      </c>
      <c r="J33" s="99">
        <f>$D33-vlookup(Summary!$C33,Summary!$C$2:$Q$103,3+counta($F$1:J$1),false)</f>
        <v>-0.3</v>
      </c>
      <c r="K33" s="99">
        <f>$D33-vlookup(Summary!$C33,Summary!$C$2:$Q$103,3+counta($F$1:K$1),false)</f>
        <v>-0.4</v>
      </c>
      <c r="L33" s="99">
        <f>$D33-vlookup(Summary!$C33,Summary!$C$2:$Q$103,3+counta($F$1:L$1),false)</f>
        <v>-0.1</v>
      </c>
      <c r="M33" s="99">
        <f>$D33-vlookup(Summary!$C33,Summary!$C$2:$Q$103,3+counta($F$1:M$1),false)</f>
        <v>0</v>
      </c>
      <c r="N33" s="99">
        <f>$D33-vlookup(Summary!$C33,Summary!$C$2:$Q$103,3+counta($F$1:N$1),false)</f>
        <v>-0.4</v>
      </c>
      <c r="O33" s="99">
        <f>$D33-vlookup(Summary!$C33,Summary!$C$2:$Q$103,3+counta($F$1:O$1),false)</f>
        <v>-0.05</v>
      </c>
      <c r="P33" s="99">
        <f>$D33-vlookup(Summary!$C33,Summary!$C$2:$Q$103,3+counta($F$1:P$1),false)</f>
        <v>-0.4</v>
      </c>
      <c r="Q33" s="99">
        <f>$D33-vlookup(Summary!$C33,Summary!$C$2:$Q$103,3+counta($F$1:Q$1),false)</f>
        <v>-0.3</v>
      </c>
    </row>
    <row r="34" ht="15.75" customHeight="1">
      <c r="A34" s="15">
        <f>Main!A34</f>
        <v>33</v>
      </c>
      <c r="B34" s="15" t="str">
        <f>Main!B34</f>
        <v>Daily COVID cases in Australia will reach 150,000 at least once</v>
      </c>
      <c r="C34" s="15" t="str">
        <f>Main!C34</f>
        <v>Covid</v>
      </c>
      <c r="D34" s="15">
        <v>0.01</v>
      </c>
      <c r="F34" s="99">
        <f>$D34-vlookup(Summary!$C34,Summary!$C$2:$Q$103,3+counta($F$1:F$1),false)</f>
        <v>-0.09</v>
      </c>
      <c r="G34" s="99">
        <f>$D34-vlookup(Summary!$C34,Summary!$C$2:$Q$103,3+counta($F$1:G$1),false)</f>
        <v>-0.19</v>
      </c>
      <c r="H34" s="99">
        <f>$D34-vlookup(Summary!$C34,Summary!$C$2:$Q$103,3+counta($F$1:H$1),false)</f>
        <v>0</v>
      </c>
      <c r="I34" s="99">
        <f>$D34-vlookup(Summary!$C34,Summary!$C$2:$Q$103,3+counta($F$1:I$1),false)</f>
        <v>-0.09</v>
      </c>
      <c r="J34" s="99">
        <f>$D34-vlookup(Summary!$C34,Summary!$C$2:$Q$103,3+counta($F$1:J$1),false)</f>
        <v>-0.89</v>
      </c>
      <c r="K34" s="99">
        <f>$D34-vlookup(Summary!$C34,Summary!$C$2:$Q$103,3+counta($F$1:K$1),false)</f>
        <v>-0.59</v>
      </c>
      <c r="L34" s="99">
        <f>$D34-vlookup(Summary!$C34,Summary!$C$2:$Q$103,3+counta($F$1:L$1),false)</f>
        <v>-0.04</v>
      </c>
      <c r="M34" s="99">
        <f>$D34-vlookup(Summary!$C34,Summary!$C$2:$Q$103,3+counta($F$1:M$1),false)</f>
        <v>0</v>
      </c>
      <c r="N34" s="99">
        <f>$D34-vlookup(Summary!$C34,Summary!$C$2:$Q$103,3+counta($F$1:N$1),false)</f>
        <v>-0.39</v>
      </c>
      <c r="O34" s="99">
        <f>$D34-vlookup(Summary!$C34,Summary!$C$2:$Q$103,3+counta($F$1:O$1),false)</f>
        <v>-0.14</v>
      </c>
      <c r="P34" s="99">
        <f>$D34-vlookup(Summary!$C34,Summary!$C$2:$Q$103,3+counta($F$1:P$1),false)</f>
        <v>-0.89</v>
      </c>
      <c r="Q34" s="99">
        <f>$D34-vlookup(Summary!$C34,Summary!$C$2:$Q$103,3+counta($F$1:Q$1),false)</f>
        <v>-0.89</v>
      </c>
    </row>
    <row r="35" ht="15.75" customHeight="1">
      <c r="A35" s="15">
        <f>Main!A35</f>
        <v>34</v>
      </c>
      <c r="B35" s="15" t="str">
        <f>Main!B35</f>
        <v>More deaths will be attributed to Omicron by the WHO than all other covid variants combined</v>
      </c>
      <c r="C35" s="15" t="str">
        <f>Main!C35</f>
        <v>Covid</v>
      </c>
      <c r="D35" s="15">
        <v>0.8</v>
      </c>
      <c r="F35" s="99">
        <f>$D35-vlookup(Summary!$C35,Summary!$C$2:$Q$103,3+counta($F$1:F$1),false)</f>
        <v>0.5</v>
      </c>
      <c r="G35" s="99">
        <f>$D35-vlookup(Summary!$C35,Summary!$C$2:$Q$103,3+counta($F$1:G$1),false)</f>
        <v>0.7</v>
      </c>
      <c r="H35" s="99">
        <f>$D35-vlookup(Summary!$C35,Summary!$C$2:$Q$103,3+counta($F$1:H$1),false)</f>
        <v>0</v>
      </c>
      <c r="I35" s="99">
        <f>$D35-vlookup(Summary!$C35,Summary!$C$2:$Q$103,3+counta($F$1:I$1),false)</f>
        <v>0.7</v>
      </c>
      <c r="J35" s="99">
        <f>$D35-vlookup(Summary!$C35,Summary!$C$2:$Q$103,3+counta($F$1:J$1),false)</f>
        <v>0.4</v>
      </c>
      <c r="K35" s="99">
        <f>$D35-vlookup(Summary!$C35,Summary!$C$2:$Q$103,3+counta($F$1:K$1),false)</f>
        <v>0.05</v>
      </c>
      <c r="L35" s="99">
        <f>$D35-vlookup(Summary!$C35,Summary!$C$2:$Q$103,3+counta($F$1:L$1),false)</f>
        <v>0.799</v>
      </c>
      <c r="M35" s="99">
        <f>$D35-vlookup(Summary!$C35,Summary!$C$2:$Q$103,3+counta($F$1:M$1),false)</f>
        <v>0</v>
      </c>
      <c r="N35" s="99">
        <f>$D35-vlookup(Summary!$C35,Summary!$C$2:$Q$103,3+counta($F$1:N$1),false)</f>
        <v>0.5</v>
      </c>
      <c r="O35" s="99">
        <f>$D35-vlookup(Summary!$C35,Summary!$C$2:$Q$103,3+counta($F$1:O$1),false)</f>
        <v>-0.05</v>
      </c>
      <c r="P35" s="99">
        <f>$D35-vlookup(Summary!$C35,Summary!$C$2:$Q$103,3+counta($F$1:P$1),false)</f>
        <v>0.3</v>
      </c>
      <c r="Q35" s="99">
        <f>$D35-vlookup(Summary!$C35,Summary!$C$2:$Q$103,3+counta($F$1:Q$1),false)</f>
        <v>0.1</v>
      </c>
    </row>
    <row r="36" ht="15.75" customHeight="1">
      <c r="A36" s="15">
        <f>Main!A36</f>
        <v>35</v>
      </c>
      <c r="B36" s="15" t="str">
        <f>Main!B36</f>
        <v>The average number of covid vaccinations per person amongst members of Xmas eve 2022 will be &gt; 3</v>
      </c>
      <c r="C36" s="15" t="str">
        <f>Main!C36</f>
        <v>Covid</v>
      </c>
      <c r="D36" s="15">
        <v>0.9</v>
      </c>
      <c r="F36" s="99">
        <f>$D36-vlookup(Summary!$C36,Summary!$C$2:$Q$103,3+counta($F$1:F$1),false)</f>
        <v>0.1</v>
      </c>
      <c r="G36" s="99">
        <f>$D36-vlookup(Summary!$C36,Summary!$C$2:$Q$103,3+counta($F$1:G$1),false)</f>
        <v>0</v>
      </c>
      <c r="H36" s="99">
        <f>$D36-vlookup(Summary!$C36,Summary!$C$2:$Q$103,3+counta($F$1:H$1),false)</f>
        <v>0</v>
      </c>
      <c r="I36" s="99">
        <f>$D36-vlookup(Summary!$C36,Summary!$C$2:$Q$103,3+counta($F$1:I$1),false)</f>
        <v>0.4</v>
      </c>
      <c r="J36" s="99">
        <f>$D36-vlookup(Summary!$C36,Summary!$C$2:$Q$103,3+counta($F$1:J$1),false)</f>
        <v>0.5</v>
      </c>
      <c r="K36" s="99">
        <f>$D36-vlookup(Summary!$C36,Summary!$C$2:$Q$103,3+counta($F$1:K$1),false)</f>
        <v>0.1</v>
      </c>
      <c r="L36" s="99">
        <f>$D36-vlookup(Summary!$C36,Summary!$C$2:$Q$103,3+counta($F$1:L$1),false)</f>
        <v>-0.099</v>
      </c>
      <c r="M36" s="99">
        <f>$D36-vlookup(Summary!$C36,Summary!$C$2:$Q$103,3+counta($F$1:M$1),false)</f>
        <v>0</v>
      </c>
      <c r="N36" s="99">
        <f>$D36-vlookup(Summary!$C36,Summary!$C$2:$Q$103,3+counta($F$1:N$1),false)</f>
        <v>0</v>
      </c>
      <c r="O36" s="99">
        <f>$D36-vlookup(Summary!$C36,Summary!$C$2:$Q$103,3+counta($F$1:O$1),false)</f>
        <v>0.05</v>
      </c>
      <c r="P36" s="99">
        <f>$D36-vlookup(Summary!$C36,Summary!$C$2:$Q$103,3+counta($F$1:P$1),false)</f>
        <v>0</v>
      </c>
      <c r="Q36" s="99">
        <f>$D36-vlookup(Summary!$C36,Summary!$C$2:$Q$103,3+counta($F$1:Q$1),false)</f>
        <v>0.5</v>
      </c>
    </row>
    <row r="37" ht="15.75" customHeight="1">
      <c r="A37" s="15">
        <f>Main!A37</f>
        <v>36</v>
      </c>
      <c r="B37" s="15" t="str">
        <f>Main!B37</f>
        <v>2 new variants of Covid will be invented/discovered during 2022</v>
      </c>
      <c r="C37" s="15" t="str">
        <f>Main!C37</f>
        <v>Covid</v>
      </c>
      <c r="D37" s="15">
        <v>0.8</v>
      </c>
      <c r="F37" s="99">
        <f>$D37-vlookup(Summary!$C37,Summary!$C$2:$Q$103,3+counta($F$1:F$1),false)</f>
        <v>0.5</v>
      </c>
      <c r="G37" s="99">
        <f>$D37-vlookup(Summary!$C37,Summary!$C$2:$Q$103,3+counta($F$1:G$1),false)</f>
        <v>0.5</v>
      </c>
      <c r="H37" s="99">
        <f>$D37-vlookup(Summary!$C37,Summary!$C$2:$Q$103,3+counta($F$1:H$1),false)</f>
        <v>0</v>
      </c>
      <c r="I37" s="99">
        <f>$D37-vlookup(Summary!$C37,Summary!$C$2:$Q$103,3+counta($F$1:I$1),false)</f>
        <v>0.5</v>
      </c>
      <c r="J37" s="99">
        <f>$D37-vlookup(Summary!$C37,Summary!$C$2:$Q$103,3+counta($F$1:J$1),false)</f>
        <v>-0.1</v>
      </c>
      <c r="K37" s="99">
        <f>$D37-vlookup(Summary!$C37,Summary!$C$2:$Q$103,3+counta($F$1:K$1),false)</f>
        <v>-0.05</v>
      </c>
      <c r="L37" s="99">
        <f>$D37-vlookup(Summary!$C37,Summary!$C$2:$Q$103,3+counta($F$1:L$1),false)</f>
        <v>0.799</v>
      </c>
      <c r="M37" s="99">
        <f>$D37-vlookup(Summary!$C37,Summary!$C$2:$Q$103,3+counta($F$1:M$1),false)</f>
        <v>0</v>
      </c>
      <c r="N37" s="99">
        <f>$D37-vlookup(Summary!$C37,Summary!$C$2:$Q$103,3+counta($F$1:N$1),false)</f>
        <v>-0.1</v>
      </c>
      <c r="O37" s="99">
        <f>$D37-vlookup(Summary!$C37,Summary!$C$2:$Q$103,3+counta($F$1:O$1),false)</f>
        <v>0.45</v>
      </c>
      <c r="P37" s="99">
        <f>$D37-vlookup(Summary!$C37,Summary!$C$2:$Q$103,3+counta($F$1:P$1),false)</f>
        <v>-0.1</v>
      </c>
      <c r="Q37" s="99">
        <f>$D37-vlookup(Summary!$C37,Summary!$C$2:$Q$103,3+counta($F$1:Q$1),false)</f>
        <v>0.4</v>
      </c>
    </row>
    <row r="38" ht="15.75" customHeight="1">
      <c r="A38" s="15">
        <f>Main!A38</f>
        <v>37</v>
      </c>
      <c r="B38" s="15" t="str">
        <f>Main!B38</f>
        <v>Tasmania will have experienced at least 10,000 new cases in 1 day</v>
      </c>
      <c r="C38" s="15" t="str">
        <f>Main!C38</f>
        <v>Covid</v>
      </c>
      <c r="D38" s="15">
        <v>0.05</v>
      </c>
      <c r="F38" s="99">
        <f>$D38-vlookup(Summary!$C38,Summary!$C$2:$Q$103,3+counta($F$1:F$1),false)</f>
        <v>-0.1</v>
      </c>
      <c r="G38" s="99">
        <f>$D38-vlookup(Summary!$C38,Summary!$C$2:$Q$103,3+counta($F$1:G$1),false)</f>
        <v>-0.05</v>
      </c>
      <c r="H38" s="99">
        <f>$D38-vlookup(Summary!$C38,Summary!$C$2:$Q$103,3+counta($F$1:H$1),false)</f>
        <v>0</v>
      </c>
      <c r="I38" s="99">
        <f>$D38-vlookup(Summary!$C38,Summary!$C$2:$Q$103,3+counta($F$1:I$1),false)</f>
        <v>-0.05</v>
      </c>
      <c r="J38" s="99">
        <f>$D38-vlookup(Summary!$C38,Summary!$C$2:$Q$103,3+counta($F$1:J$1),false)</f>
        <v>-0.25</v>
      </c>
      <c r="K38" s="99">
        <f>$D38-vlookup(Summary!$C38,Summary!$C$2:$Q$103,3+counta($F$1:K$1),false)</f>
        <v>-0.4</v>
      </c>
      <c r="L38" s="99">
        <f>$D38-vlookup(Summary!$C38,Summary!$C$2:$Q$103,3+counta($F$1:L$1),false)</f>
        <v>0.049</v>
      </c>
      <c r="M38" s="99">
        <f>$D38-vlookup(Summary!$C38,Summary!$C$2:$Q$103,3+counta($F$1:M$1),false)</f>
        <v>0.03</v>
      </c>
      <c r="N38" s="99">
        <f>$D38-vlookup(Summary!$C38,Summary!$C$2:$Q$103,3+counta($F$1:N$1),false)</f>
        <v>-0.05</v>
      </c>
      <c r="O38" s="99">
        <f>$D38-vlookup(Summary!$C38,Summary!$C$2:$Q$103,3+counta($F$1:O$1),false)</f>
        <v>0.049</v>
      </c>
      <c r="P38" s="99">
        <f>$D38-vlookup(Summary!$C38,Summary!$C$2:$Q$103,3+counta($F$1:P$1),false)</f>
        <v>-0.45</v>
      </c>
      <c r="Q38" s="99">
        <f>$D38-vlookup(Summary!$C38,Summary!$C$2:$Q$103,3+counta($F$1:Q$1),false)</f>
        <v>-0.5</v>
      </c>
    </row>
    <row r="39" ht="15.75" customHeight="1">
      <c r="A39" s="15">
        <f>Main!A39</f>
        <v>38</v>
      </c>
      <c r="B39" s="15" t="str">
        <f>Main!B39</f>
        <v>WHO switches to another alphabet than the Greek alphabet for Covid variants</v>
      </c>
      <c r="C39" s="15" t="str">
        <f>Main!C39</f>
        <v>Covid</v>
      </c>
      <c r="D39" s="15">
        <v>0.2</v>
      </c>
      <c r="F39" s="99">
        <f>$D39-vlookup(Summary!$C39,Summary!$C$2:$Q$103,3+counta($F$1:F$1),false)</f>
        <v>-0.25</v>
      </c>
      <c r="G39" s="99">
        <f>$D39-vlookup(Summary!$C39,Summary!$C$2:$Q$103,3+counta($F$1:G$1),false)</f>
        <v>-0.6</v>
      </c>
      <c r="H39" s="99">
        <f>$D39-vlookup(Summary!$C39,Summary!$C$2:$Q$103,3+counta($F$1:H$1),false)</f>
        <v>0</v>
      </c>
      <c r="I39" s="99">
        <f>$D39-vlookup(Summary!$C39,Summary!$C$2:$Q$103,3+counta($F$1:I$1),false)</f>
        <v>0.1</v>
      </c>
      <c r="J39" s="99">
        <f>$D39-vlookup(Summary!$C39,Summary!$C$2:$Q$103,3+counta($F$1:J$1),false)</f>
        <v>-0.3</v>
      </c>
      <c r="K39" s="99">
        <f>$D39-vlookup(Summary!$C39,Summary!$C$2:$Q$103,3+counta($F$1:K$1),false)</f>
        <v>-0.7</v>
      </c>
      <c r="L39" s="99">
        <f>$D39-vlookup(Summary!$C39,Summary!$C$2:$Q$103,3+counta($F$1:L$1),false)</f>
        <v>-0.3</v>
      </c>
      <c r="M39" s="99">
        <f>$D39-vlookup(Summary!$C39,Summary!$C$2:$Q$103,3+counta($F$1:M$1),false)</f>
        <v>0</v>
      </c>
      <c r="N39" s="99">
        <f>$D39-vlookup(Summary!$C39,Summary!$C$2:$Q$103,3+counta($F$1:N$1),false)</f>
        <v>-0.7</v>
      </c>
      <c r="O39" s="99">
        <f>$D39-vlookup(Summary!$C39,Summary!$C$2:$Q$103,3+counta($F$1:O$1),false)</f>
        <v>0.05</v>
      </c>
      <c r="P39" s="99">
        <f>$D39-vlookup(Summary!$C39,Summary!$C$2:$Q$103,3+counta($F$1:P$1),false)</f>
        <v>0.1</v>
      </c>
      <c r="Q39" s="99">
        <f>$D39-vlookup(Summary!$C39,Summary!$C$2:$Q$103,3+counta($F$1:Q$1),false)</f>
        <v>-0.15</v>
      </c>
    </row>
    <row r="40" ht="15.75" customHeight="1">
      <c r="A40" s="15">
        <f>Main!A40</f>
        <v>39</v>
      </c>
      <c r="B40" s="15" t="str">
        <f>Main!B40</f>
        <v>Lachy and Jac's extension will be completed</v>
      </c>
      <c r="C40" s="15" t="str">
        <f>Main!C40</f>
        <v>Family</v>
      </c>
      <c r="D40" s="15">
        <v>0.1</v>
      </c>
      <c r="F40" s="99">
        <f>$D40-vlookup(Summary!$C40,Summary!$C$2:$Q$103,3+counta($F$1:F$1),false)</f>
        <v>-0.6</v>
      </c>
      <c r="G40" s="99">
        <f>$D40-vlookup(Summary!$C40,Summary!$C$2:$Q$103,3+counta($F$1:G$1),false)</f>
        <v>-0.7</v>
      </c>
      <c r="H40" s="99">
        <f>$D40-vlookup(Summary!$C40,Summary!$C$2:$Q$103,3+counta($F$1:H$1),false)</f>
        <v>0</v>
      </c>
      <c r="I40" s="99">
        <f>$D40-vlookup(Summary!$C40,Summary!$C$2:$Q$103,3+counta($F$1:I$1),false)</f>
        <v>-0.4</v>
      </c>
      <c r="J40" s="99">
        <f>$D40-vlookup(Summary!$C40,Summary!$C$2:$Q$103,3+counta($F$1:J$1),false)</f>
        <v>-0.7</v>
      </c>
      <c r="K40" s="99">
        <f>$D40-vlookup(Summary!$C40,Summary!$C$2:$Q$103,3+counta($F$1:K$1),false)</f>
        <v>-0.3</v>
      </c>
      <c r="L40" s="99">
        <f>$D40-vlookup(Summary!$C40,Summary!$C$2:$Q$103,3+counta($F$1:L$1),false)</f>
        <v>-0.4</v>
      </c>
      <c r="M40" s="99">
        <f>$D40-vlookup(Summary!$C40,Summary!$C$2:$Q$103,3+counta($F$1:M$1),false)</f>
        <v>0.1</v>
      </c>
      <c r="N40" s="99">
        <f>$D40-vlookup(Summary!$C40,Summary!$C$2:$Q$103,3+counta($F$1:N$1),false)</f>
        <v>-0.8</v>
      </c>
      <c r="O40" s="99">
        <f>$D40-vlookup(Summary!$C40,Summary!$C$2:$Q$103,3+counta($F$1:O$1),false)</f>
        <v>-0.75</v>
      </c>
      <c r="P40" s="99">
        <f>$D40-vlookup(Summary!$C40,Summary!$C$2:$Q$103,3+counta($F$1:P$1),false)</f>
        <v>-0.4</v>
      </c>
      <c r="Q40" s="99">
        <f>$D40-vlookup(Summary!$C40,Summary!$C$2:$Q$103,3+counta($F$1:Q$1),false)</f>
        <v>-0.05</v>
      </c>
    </row>
    <row r="41" ht="15.75" customHeight="1">
      <c r="A41" s="15">
        <f>Main!A41</f>
        <v>40</v>
      </c>
      <c r="B41" s="15" t="str">
        <f>Main!B41</f>
        <v>Rohan will work for two different employers (not his own family members)</v>
      </c>
      <c r="C41" s="15" t="str">
        <f>Main!C41</f>
        <v>Family</v>
      </c>
      <c r="D41" s="15">
        <v>0.1</v>
      </c>
      <c r="F41" s="99">
        <f>$D41-vlookup(Summary!$C41,Summary!$C$2:$Q$103,3+counta($F$1:F$1),false)</f>
        <v>-0.3</v>
      </c>
      <c r="G41" s="99">
        <f>$D41-vlookup(Summary!$C41,Summary!$C$2:$Q$103,3+counta($F$1:G$1),false)</f>
        <v>-0.5</v>
      </c>
      <c r="H41" s="99">
        <f>$D41-vlookup(Summary!$C41,Summary!$C$2:$Q$103,3+counta($F$1:H$1),false)</f>
        <v>0</v>
      </c>
      <c r="I41" s="99">
        <f>$D41-vlookup(Summary!$C41,Summary!$C$2:$Q$103,3+counta($F$1:I$1),false)</f>
        <v>-0.2</v>
      </c>
      <c r="J41" s="99">
        <f>$D41-vlookup(Summary!$C41,Summary!$C$2:$Q$103,3+counta($F$1:J$1),false)</f>
        <v>-0.4</v>
      </c>
      <c r="K41" s="99">
        <f>$D41-vlookup(Summary!$C41,Summary!$C$2:$Q$103,3+counta($F$1:K$1),false)</f>
        <v>-0.2</v>
      </c>
      <c r="L41" s="99">
        <f>$D41-vlookup(Summary!$C41,Summary!$C$2:$Q$103,3+counta($F$1:L$1),false)</f>
        <v>-0.2</v>
      </c>
      <c r="M41" s="99">
        <f>$D41-vlookup(Summary!$C41,Summary!$C$2:$Q$103,3+counta($F$1:M$1),false)</f>
        <v>0</v>
      </c>
      <c r="N41" s="99">
        <f>$D41-vlookup(Summary!$C41,Summary!$C$2:$Q$103,3+counta($F$1:N$1),false)</f>
        <v>-0.5</v>
      </c>
      <c r="O41" s="99">
        <f>$D41-vlookup(Summary!$C41,Summary!$C$2:$Q$103,3+counta($F$1:O$1),false)</f>
        <v>-0.05</v>
      </c>
      <c r="P41" s="99">
        <f>$D41-vlookup(Summary!$C41,Summary!$C$2:$Q$103,3+counta($F$1:P$1),false)</f>
        <v>-0.4</v>
      </c>
      <c r="Q41" s="99">
        <f>$D41-vlookup(Summary!$C41,Summary!$C$2:$Q$103,3+counta($F$1:Q$1),false)</f>
        <v>-0.2</v>
      </c>
    </row>
    <row r="42" ht="15.75" customHeight="1">
      <c r="A42" s="15">
        <f>Main!A42</f>
        <v>41</v>
      </c>
      <c r="B42" s="15" t="str">
        <f>Main!B42</f>
        <v>Kate will swim the Broulee Bay to Breakers in March 2022 and improve her position from 9th in the 40s women’s age group</v>
      </c>
      <c r="C42" s="15" t="str">
        <f>Main!C42</f>
        <v>Family</v>
      </c>
      <c r="D42" s="15">
        <v>0.9</v>
      </c>
      <c r="F42" s="99">
        <f>$D42-vlookup(Summary!$C42,Summary!$C$2:$Q$103,3+counta($F$1:F$1),false)</f>
        <v>0.3</v>
      </c>
      <c r="G42" s="99">
        <f>$D42-vlookup(Summary!$C42,Summary!$C$2:$Q$103,3+counta($F$1:G$1),false)</f>
        <v>0.1</v>
      </c>
      <c r="H42" s="99">
        <f>$D42-vlookup(Summary!$C42,Summary!$C$2:$Q$103,3+counta($F$1:H$1),false)</f>
        <v>0</v>
      </c>
      <c r="I42" s="99">
        <f>$D42-vlookup(Summary!$C42,Summary!$C$2:$Q$103,3+counta($F$1:I$1),false)</f>
        <v>0.4</v>
      </c>
      <c r="J42" s="99">
        <f>$D42-vlookup(Summary!$C42,Summary!$C$2:$Q$103,3+counta($F$1:J$1),false)</f>
        <v>0</v>
      </c>
      <c r="K42" s="99">
        <f>$D42-vlookup(Summary!$C42,Summary!$C$2:$Q$103,3+counta($F$1:K$1),false)</f>
        <v>0.2</v>
      </c>
      <c r="L42" s="99">
        <f>$D42-vlookup(Summary!$C42,Summary!$C$2:$Q$103,3+counta($F$1:L$1),false)</f>
        <v>0.3</v>
      </c>
      <c r="M42" s="99">
        <f>$D42-vlookup(Summary!$C42,Summary!$C$2:$Q$103,3+counta($F$1:M$1),false)</f>
        <v>0</v>
      </c>
      <c r="N42" s="99">
        <f>$D42-vlookup(Summary!$C42,Summary!$C$2:$Q$103,3+counta($F$1:N$1),false)</f>
        <v>0.7</v>
      </c>
      <c r="O42" s="99">
        <f>$D42-vlookup(Summary!$C42,Summary!$C$2:$Q$103,3+counta($F$1:O$1),false)</f>
        <v>0.05</v>
      </c>
      <c r="P42" s="99">
        <f>$D42-vlookup(Summary!$C42,Summary!$C$2:$Q$103,3+counta($F$1:P$1),false)</f>
        <v>0</v>
      </c>
      <c r="Q42" s="99">
        <f>$D42-vlookup(Summary!$C42,Summary!$C$2:$Q$103,3+counta($F$1:Q$1),false)</f>
        <v>0.4</v>
      </c>
    </row>
    <row r="43" ht="15.75" customHeight="1">
      <c r="A43" s="15">
        <f>Main!A43</f>
        <v>42</v>
      </c>
      <c r="B43" s="15" t="str">
        <f>Main!B43</f>
        <v>Rohan will be at least 6ft tall</v>
      </c>
      <c r="C43" s="15" t="str">
        <f>Main!C43</f>
        <v>Family</v>
      </c>
      <c r="D43" s="15">
        <v>0.9</v>
      </c>
      <c r="F43" s="99">
        <f>$D43-vlookup(Summary!$C43,Summary!$C$2:$Q$103,3+counta($F$1:F$1),false)</f>
        <v>0.4</v>
      </c>
      <c r="G43" s="99">
        <f>$D43-vlookup(Summary!$C43,Summary!$C$2:$Q$103,3+counta($F$1:G$1),false)</f>
        <v>0</v>
      </c>
      <c r="H43" s="99">
        <f>$D43-vlookup(Summary!$C43,Summary!$C$2:$Q$103,3+counta($F$1:H$1),false)</f>
        <v>0</v>
      </c>
      <c r="I43" s="99">
        <f>$D43-vlookup(Summary!$C43,Summary!$C$2:$Q$103,3+counta($F$1:I$1),false)</f>
        <v>0.5</v>
      </c>
      <c r="J43" s="99">
        <f>$D43-vlookup(Summary!$C43,Summary!$C$2:$Q$103,3+counta($F$1:J$1),false)</f>
        <v>0</v>
      </c>
      <c r="K43" s="99">
        <f>$D43-vlookup(Summary!$C43,Summary!$C$2:$Q$103,3+counta($F$1:K$1),false)</f>
        <v>0.899</v>
      </c>
      <c r="L43" s="99">
        <f>$D43-vlookup(Summary!$C43,Summary!$C$2:$Q$103,3+counta($F$1:L$1),false)</f>
        <v>-0.09999</v>
      </c>
      <c r="M43" s="99">
        <f>$D43-vlookup(Summary!$C43,Summary!$C$2:$Q$103,3+counta($F$1:M$1),false)</f>
        <v>0</v>
      </c>
      <c r="N43" s="99">
        <f>$D43-vlookup(Summary!$C43,Summary!$C$2:$Q$103,3+counta($F$1:N$1),false)</f>
        <v>0</v>
      </c>
      <c r="O43" s="99">
        <f>$D43-vlookup(Summary!$C43,Summary!$C$2:$Q$103,3+counta($F$1:O$1),false)</f>
        <v>-0.099</v>
      </c>
      <c r="P43" s="99">
        <f>$D43-vlookup(Summary!$C43,Summary!$C$2:$Q$103,3+counta($F$1:P$1),false)</f>
        <v>0</v>
      </c>
      <c r="Q43" s="99">
        <f>$D43-vlookup(Summary!$C43,Summary!$C$2:$Q$103,3+counta($F$1:Q$1),false)</f>
        <v>-0.09</v>
      </c>
    </row>
    <row r="44" ht="15.75" customHeight="1">
      <c r="A44" s="15">
        <f>Main!A44</f>
        <v>43</v>
      </c>
      <c r="B44" s="15" t="str">
        <f>Main!B44</f>
        <v>A participant in the prediction game will get a dog or another dog </v>
      </c>
      <c r="C44" s="15" t="str">
        <f>Main!C44</f>
        <v>Family</v>
      </c>
      <c r="D44" s="15">
        <v>0.1</v>
      </c>
      <c r="F44" s="99">
        <f>$D44-vlookup(Summary!$C44,Summary!$C$2:$Q$103,3+counta($F$1:F$1),false)</f>
        <v>-0.4</v>
      </c>
      <c r="G44" s="99">
        <f>$D44-vlookup(Summary!$C44,Summary!$C$2:$Q$103,3+counta($F$1:G$1),false)</f>
        <v>-0.85</v>
      </c>
      <c r="H44" s="99">
        <f>$D44-vlookup(Summary!$C44,Summary!$C$2:$Q$103,3+counta($F$1:H$1),false)</f>
        <v>0</v>
      </c>
      <c r="I44" s="99">
        <f>$D44-vlookup(Summary!$C44,Summary!$C$2:$Q$103,3+counta($F$1:I$1),false)</f>
        <v>0</v>
      </c>
      <c r="J44" s="99">
        <f>$D44-vlookup(Summary!$C44,Summary!$C$2:$Q$103,3+counta($F$1:J$1),false)</f>
        <v>-0.8</v>
      </c>
      <c r="K44" s="99">
        <f>$D44-vlookup(Summary!$C44,Summary!$C$2:$Q$103,3+counta($F$1:K$1),false)</f>
        <v>-0.65</v>
      </c>
      <c r="L44" s="99">
        <f>$D44-vlookup(Summary!$C44,Summary!$C$2:$Q$103,3+counta($F$1:L$1),false)</f>
        <v>-0.1</v>
      </c>
      <c r="M44" s="99">
        <f>$D44-vlookup(Summary!$C44,Summary!$C$2:$Q$103,3+counta($F$1:M$1),false)</f>
        <v>0</v>
      </c>
      <c r="N44" s="99">
        <f>$D44-vlookup(Summary!$C44,Summary!$C$2:$Q$103,3+counta($F$1:N$1),false)</f>
        <v>0</v>
      </c>
      <c r="O44" s="99">
        <f>$D44-vlookup(Summary!$C44,Summary!$C$2:$Q$103,3+counta($F$1:O$1),false)</f>
        <v>0.099</v>
      </c>
      <c r="P44" s="99">
        <f>$D44-vlookup(Summary!$C44,Summary!$C$2:$Q$103,3+counta($F$1:P$1),false)</f>
        <v>-0.4</v>
      </c>
      <c r="Q44" s="99">
        <f>$D44-vlookup(Summary!$C44,Summary!$C$2:$Q$103,3+counta($F$1:Q$1),false)</f>
        <v>-0.15</v>
      </c>
    </row>
    <row r="45" ht="15.75" customHeight="1">
      <c r="A45" s="15">
        <f>Main!A45</f>
        <v>44</v>
      </c>
      <c r="B45" s="15" t="str">
        <f>Main!B45</f>
        <v>There will be a flow of water into the Lake Eyre basin in 2022</v>
      </c>
      <c r="C45" s="15" t="str">
        <f>Main!C45</f>
        <v>Natural world</v>
      </c>
      <c r="D45" s="15">
        <v>0.5</v>
      </c>
      <c r="F45" s="99">
        <f>$D45-vlookup(Summary!$C45,Summary!$C$2:$Q$103,3+counta($F$1:F$1),false)</f>
        <v>-0.25</v>
      </c>
      <c r="G45" s="99">
        <f>$D45-vlookup(Summary!$C45,Summary!$C$2:$Q$103,3+counta($F$1:G$1),false)</f>
        <v>-0.3</v>
      </c>
      <c r="H45" s="99">
        <f>$D45-vlookup(Summary!$C45,Summary!$C$2:$Q$103,3+counta($F$1:H$1),false)</f>
        <v>0</v>
      </c>
      <c r="I45" s="99">
        <f>$D45-vlookup(Summary!$C45,Summary!$C$2:$Q$103,3+counta($F$1:I$1),false)</f>
        <v>0</v>
      </c>
      <c r="J45" s="99">
        <f>$D45-vlookup(Summary!$C45,Summary!$C$2:$Q$103,3+counta($F$1:J$1),false)</f>
        <v>0.2</v>
      </c>
      <c r="K45" s="99">
        <f>$D45-vlookup(Summary!$C45,Summary!$C$2:$Q$103,3+counta($F$1:K$1),false)</f>
        <v>-0.2</v>
      </c>
      <c r="L45" s="99">
        <f>$D45-vlookup(Summary!$C45,Summary!$C$2:$Q$103,3+counta($F$1:L$1),false)</f>
        <v>-0.3</v>
      </c>
      <c r="M45" s="99">
        <f>$D45-vlookup(Summary!$C45,Summary!$C$2:$Q$103,3+counta($F$1:M$1),false)</f>
        <v>0</v>
      </c>
      <c r="N45" s="99">
        <f>$D45-vlookup(Summary!$C45,Summary!$C$2:$Q$103,3+counta($F$1:N$1),false)</f>
        <v>-0.1</v>
      </c>
      <c r="O45" s="99">
        <f>$D45-vlookup(Summary!$C45,Summary!$C$2:$Q$103,3+counta($F$1:O$1),false)</f>
        <v>-0.15</v>
      </c>
      <c r="P45" s="99">
        <f>$D45-vlookup(Summary!$C45,Summary!$C$2:$Q$103,3+counta($F$1:P$1),false)</f>
        <v>-0.4</v>
      </c>
      <c r="Q45" s="99">
        <f>$D45-vlookup(Summary!$C45,Summary!$C$2:$Q$103,3+counta($F$1:Q$1),false)</f>
        <v>0</v>
      </c>
    </row>
    <row r="46" ht="15.75" customHeight="1">
      <c r="A46" s="15">
        <f>Main!A46</f>
        <v>45</v>
      </c>
      <c r="B46" s="15" t="str">
        <f>Main!B46</f>
        <v>Water from the Paroo will spill into the Darling in 2022</v>
      </c>
      <c r="C46" s="15" t="str">
        <f>Main!C46</f>
        <v>Natural world</v>
      </c>
      <c r="D46" s="15">
        <v>0.5</v>
      </c>
      <c r="F46" s="99">
        <f>$D46-vlookup(Summary!$C46,Summary!$C$2:$Q$103,3+counta($F$1:F$1),false)</f>
        <v>0</v>
      </c>
      <c r="G46" s="99">
        <f>$D46-vlookup(Summary!$C46,Summary!$C$2:$Q$103,3+counta($F$1:G$1),false)</f>
        <v>-0.2</v>
      </c>
      <c r="H46" s="99">
        <f>$D46-vlookup(Summary!$C46,Summary!$C$2:$Q$103,3+counta($F$1:H$1),false)</f>
        <v>0</v>
      </c>
      <c r="I46" s="99">
        <f>$D46-vlookup(Summary!$C46,Summary!$C$2:$Q$103,3+counta($F$1:I$1),false)</f>
        <v>0</v>
      </c>
      <c r="J46" s="99">
        <f>$D46-vlookup(Summary!$C46,Summary!$C$2:$Q$103,3+counta($F$1:J$1),false)</f>
        <v>-0.1</v>
      </c>
      <c r="K46" s="99">
        <f>$D46-vlookup(Summary!$C46,Summary!$C$2:$Q$103,3+counta($F$1:K$1),false)</f>
        <v>-0.1</v>
      </c>
      <c r="L46" s="99">
        <f>$D46-vlookup(Summary!$C46,Summary!$C$2:$Q$103,3+counta($F$1:L$1),false)</f>
        <v>-0.3</v>
      </c>
      <c r="M46" s="99">
        <f>$D46-vlookup(Summary!$C46,Summary!$C$2:$Q$103,3+counta($F$1:M$1),false)</f>
        <v>0</v>
      </c>
      <c r="N46" s="99">
        <f>$D46-vlookup(Summary!$C46,Summary!$C$2:$Q$103,3+counta($F$1:N$1),false)</f>
        <v>-0.1</v>
      </c>
      <c r="O46" s="99">
        <f>$D46-vlookup(Summary!$C46,Summary!$C$2:$Q$103,3+counta($F$1:O$1),false)</f>
        <v>0</v>
      </c>
      <c r="P46" s="99">
        <f>$D46-vlookup(Summary!$C46,Summary!$C$2:$Q$103,3+counta($F$1:P$1),false)</f>
        <v>0.4</v>
      </c>
      <c r="Q46" s="99">
        <f>$D46-vlookup(Summary!$C46,Summary!$C$2:$Q$103,3+counta($F$1:Q$1),false)</f>
        <v>0</v>
      </c>
    </row>
    <row r="47" ht="15.75" customHeight="1">
      <c r="A47" s="15">
        <f>Main!A47</f>
        <v>46</v>
      </c>
      <c r="B47" s="15" t="str">
        <f>Main!B47</f>
        <v>In the Antarctic the Thwaites Glacier ice-shelf will collapse in 2022</v>
      </c>
      <c r="C47" s="15" t="str">
        <f>Main!C47</f>
        <v>Natural world</v>
      </c>
      <c r="D47" s="15">
        <v>0.7</v>
      </c>
      <c r="F47" s="99">
        <f>$D47-vlookup(Summary!$C47,Summary!$C$2:$Q$103,3+counta($F$1:F$1),false)</f>
        <v>0.2</v>
      </c>
      <c r="G47" s="99">
        <f>$D47-vlookup(Summary!$C47,Summary!$C$2:$Q$103,3+counta($F$1:G$1),false)</f>
        <v>0.45</v>
      </c>
      <c r="H47" s="99">
        <f>$D47-vlookup(Summary!$C47,Summary!$C$2:$Q$103,3+counta($F$1:H$1),false)</f>
        <v>0</v>
      </c>
      <c r="I47" s="99">
        <f>$D47-vlookup(Summary!$C47,Summary!$C$2:$Q$103,3+counta($F$1:I$1),false)</f>
        <v>0.2</v>
      </c>
      <c r="J47" s="99">
        <f>$D47-vlookup(Summary!$C47,Summary!$C$2:$Q$103,3+counta($F$1:J$1),false)</f>
        <v>0</v>
      </c>
      <c r="K47" s="99">
        <f>$D47-vlookup(Summary!$C47,Summary!$C$2:$Q$103,3+counta($F$1:K$1),false)</f>
        <v>0</v>
      </c>
      <c r="L47" s="99">
        <f>$D47-vlookup(Summary!$C47,Summary!$C$2:$Q$103,3+counta($F$1:L$1),false)</f>
        <v>0.6</v>
      </c>
      <c r="M47" s="99">
        <f>$D47-vlookup(Summary!$C47,Summary!$C$2:$Q$103,3+counta($F$1:M$1),false)</f>
        <v>0</v>
      </c>
      <c r="N47" s="99">
        <f>$D47-vlookup(Summary!$C47,Summary!$C$2:$Q$103,3+counta($F$1:N$1),false)</f>
        <v>0.5</v>
      </c>
      <c r="O47" s="99">
        <f>$D47-vlookup(Summary!$C47,Summary!$C$2:$Q$103,3+counta($F$1:O$1),false)</f>
        <v>0.35</v>
      </c>
      <c r="P47" s="99">
        <f>$D47-vlookup(Summary!$C47,Summary!$C$2:$Q$103,3+counta($F$1:P$1),false)</f>
        <v>0.2</v>
      </c>
      <c r="Q47" s="99">
        <f>$D47-vlookup(Summary!$C47,Summary!$C$2:$Q$103,3+counta($F$1:Q$1),false)</f>
        <v>0.2</v>
      </c>
    </row>
    <row r="48" ht="15.75" customHeight="1">
      <c r="A48" s="15">
        <f>Main!A48</f>
        <v>47</v>
      </c>
      <c r="B48" s="15" t="str">
        <f>Main!B48</f>
        <v>At least three quarters of the Great Barrier Reef will be bleached as a result of warming seas.</v>
      </c>
      <c r="C48" s="15" t="str">
        <f>Main!C48</f>
        <v>Natural world</v>
      </c>
      <c r="D48" s="15">
        <v>0.7</v>
      </c>
      <c r="F48" s="99">
        <f>$D48-vlookup(Summary!$C48,Summary!$C$2:$Q$103,3+counta($F$1:F$1),false)</f>
        <v>0.2</v>
      </c>
      <c r="G48" s="99">
        <f>$D48-vlookup(Summary!$C48,Summary!$C$2:$Q$103,3+counta($F$1:G$1),false)</f>
        <v>-0.1</v>
      </c>
      <c r="H48" s="99">
        <f>$D48-vlookup(Summary!$C48,Summary!$C$2:$Q$103,3+counta($F$1:H$1),false)</f>
        <v>0</v>
      </c>
      <c r="I48" s="99">
        <f>$D48-vlookup(Summary!$C48,Summary!$C$2:$Q$103,3+counta($F$1:I$1),false)</f>
        <v>0.2</v>
      </c>
      <c r="J48" s="99">
        <f>$D48-vlookup(Summary!$C48,Summary!$C$2:$Q$103,3+counta($F$1:J$1),false)</f>
        <v>-0.1</v>
      </c>
      <c r="K48" s="99">
        <f>$D48-vlookup(Summary!$C48,Summary!$C$2:$Q$103,3+counta($F$1:K$1),false)</f>
        <v>-0.15</v>
      </c>
      <c r="L48" s="99">
        <f>$D48-vlookup(Summary!$C48,Summary!$C$2:$Q$103,3+counta($F$1:L$1),false)</f>
        <v>0.2</v>
      </c>
      <c r="M48" s="99">
        <f>$D48-vlookup(Summary!$C48,Summary!$C$2:$Q$103,3+counta($F$1:M$1),false)</f>
        <v>0</v>
      </c>
      <c r="N48" s="99">
        <f>$D48-vlookup(Summary!$C48,Summary!$C$2:$Q$103,3+counta($F$1:N$1),false)</f>
        <v>0</v>
      </c>
      <c r="O48" s="99">
        <f>$D48-vlookup(Summary!$C48,Summary!$C$2:$Q$103,3+counta($F$1:O$1),false)</f>
        <v>0.35</v>
      </c>
      <c r="P48" s="99">
        <f>$D48-vlookup(Summary!$C48,Summary!$C$2:$Q$103,3+counta($F$1:P$1),false)</f>
        <v>0.2</v>
      </c>
      <c r="Q48" s="99">
        <f>$D48-vlookup(Summary!$C48,Summary!$C$2:$Q$103,3+counta($F$1:Q$1),false)</f>
        <v>0.3</v>
      </c>
    </row>
    <row r="49" ht="15.75" customHeight="1">
      <c r="A49" s="15">
        <f>Main!A49</f>
        <v>48</v>
      </c>
      <c r="B49" s="15" t="str">
        <f>Main!B49</f>
        <v>Sabine Hoffstader will release a Youtube video explaining that the nature of dark matter has been confirmed experimentally</v>
      </c>
      <c r="C49" s="15" t="str">
        <f>Main!C49</f>
        <v>Natural world</v>
      </c>
      <c r="D49" s="15">
        <v>0.1</v>
      </c>
      <c r="F49" s="99">
        <f>$D49-vlookup(Summary!$C49,Summary!$C$2:$Q$103,3+counta($F$1:F$1),false)</f>
        <v>-0.4</v>
      </c>
      <c r="G49" s="99">
        <f>$D49-vlookup(Summary!$C49,Summary!$C$2:$Q$103,3+counta($F$1:G$1),false)</f>
        <v>-0.15</v>
      </c>
      <c r="H49" s="99">
        <f>$D49-vlookup(Summary!$C49,Summary!$C$2:$Q$103,3+counta($F$1:H$1),false)</f>
        <v>0</v>
      </c>
      <c r="I49" s="99">
        <f>$D49-vlookup(Summary!$C49,Summary!$C$2:$Q$103,3+counta($F$1:I$1),false)</f>
        <v>-0.4</v>
      </c>
      <c r="J49" s="99">
        <f>$D49-vlookup(Summary!$C49,Summary!$C$2:$Q$103,3+counta($F$1:J$1),false)</f>
        <v>-0.4</v>
      </c>
      <c r="K49" s="99">
        <f>$D49-vlookup(Summary!$C49,Summary!$C$2:$Q$103,3+counta($F$1:K$1),false)</f>
        <v>-0.55</v>
      </c>
      <c r="L49" s="99">
        <f>$D49-vlookup(Summary!$C49,Summary!$C$2:$Q$103,3+counta($F$1:L$1),false)</f>
        <v>-0.5</v>
      </c>
      <c r="M49" s="99">
        <f>$D49-vlookup(Summary!$C49,Summary!$C$2:$Q$103,3+counta($F$1:M$1),false)</f>
        <v>0</v>
      </c>
      <c r="N49" s="99">
        <f>$D49-vlookup(Summary!$C49,Summary!$C$2:$Q$103,3+counta($F$1:N$1),false)</f>
        <v>-0.4</v>
      </c>
      <c r="O49" s="99">
        <f>$D49-vlookup(Summary!$C49,Summary!$C$2:$Q$103,3+counta($F$1:O$1),false)</f>
        <v>0.099</v>
      </c>
      <c r="P49" s="99">
        <f>$D49-vlookup(Summary!$C49,Summary!$C$2:$Q$103,3+counta($F$1:P$1),false)</f>
        <v>-0.4</v>
      </c>
      <c r="Q49" s="99">
        <f>$D49-vlookup(Summary!$C49,Summary!$C$2:$Q$103,3+counta($F$1:Q$1),false)</f>
        <v>-0.4</v>
      </c>
    </row>
    <row r="50" ht="15.75" customHeight="1">
      <c r="A50" s="15">
        <f>Main!A50</f>
        <v>49</v>
      </c>
      <c r="B50" s="15" t="str">
        <f>Main!B50</f>
        <v>2022 will be the hottest year on record globally (via NASA)</v>
      </c>
      <c r="C50" s="15" t="str">
        <f>Main!C50</f>
        <v>Natural world</v>
      </c>
      <c r="D50" s="15">
        <v>0.95</v>
      </c>
      <c r="F50" s="99">
        <f>$D50-vlookup(Summary!$C50,Summary!$C$2:$Q$103,3+counta($F$1:F$1),false)</f>
        <v>0.65</v>
      </c>
      <c r="G50" s="99">
        <f>$D50-vlookup(Summary!$C50,Summary!$C$2:$Q$103,3+counta($F$1:G$1),false)</f>
        <v>0.5</v>
      </c>
      <c r="H50" s="99">
        <f>$D50-vlookup(Summary!$C50,Summary!$C$2:$Q$103,3+counta($F$1:H$1),false)</f>
        <v>0</v>
      </c>
      <c r="I50" s="99">
        <f>$D50-vlookup(Summary!$C50,Summary!$C$2:$Q$103,3+counta($F$1:I$1),false)</f>
        <v>0.65</v>
      </c>
      <c r="J50" s="99">
        <f>$D50-vlookup(Summary!$C50,Summary!$C$2:$Q$103,3+counta($F$1:J$1),false)</f>
        <v>0.15</v>
      </c>
      <c r="K50" s="99">
        <f>$D50-vlookup(Summary!$C50,Summary!$C$2:$Q$103,3+counta($F$1:K$1),false)</f>
        <v>0.13</v>
      </c>
      <c r="L50" s="99">
        <f>$D50-vlookup(Summary!$C50,Summary!$C$2:$Q$103,3+counta($F$1:L$1),false)</f>
        <v>0.75</v>
      </c>
      <c r="M50" s="99">
        <f>$D50-vlookup(Summary!$C50,Summary!$C$2:$Q$103,3+counta($F$1:M$1),false)</f>
        <v>0</v>
      </c>
      <c r="N50" s="99">
        <f>$D50-vlookup(Summary!$C50,Summary!$C$2:$Q$103,3+counta($F$1:N$1),false)</f>
        <v>0.65</v>
      </c>
      <c r="O50" s="99">
        <f>$D50-vlookup(Summary!$C50,Summary!$C$2:$Q$103,3+counta($F$1:O$1),false)</f>
        <v>0.8</v>
      </c>
      <c r="P50" s="99">
        <f>$D50-vlookup(Summary!$C50,Summary!$C$2:$Q$103,3+counta($F$1:P$1),false)</f>
        <v>0.35</v>
      </c>
      <c r="Q50" s="99">
        <f>$D50-vlookup(Summary!$C50,Summary!$C$2:$Q$103,3+counta($F$1:Q$1),false)</f>
        <v>0.55</v>
      </c>
    </row>
    <row r="51" ht="15.75" customHeight="1">
      <c r="A51" s="15">
        <f>Main!A51</f>
        <v>50</v>
      </c>
      <c r="B51" s="15" t="str">
        <f>Main!B51</f>
        <v>A cultivated chilli will replace the Carolina Reaper as the world’s hottest, as measured in scoville units (GWR seems to be the source of this currently)</v>
      </c>
      <c r="C51" s="15" t="str">
        <f>Main!C51</f>
        <v>Natural world</v>
      </c>
      <c r="D51" s="15">
        <v>0.7</v>
      </c>
      <c r="F51" s="99">
        <f>$D51-vlookup(Summary!$C51,Summary!$C$2:$Q$103,3+counta($F$1:F$1),false)</f>
        <v>0.1</v>
      </c>
      <c r="G51" s="99">
        <f>$D51-vlookup(Summary!$C51,Summary!$C$2:$Q$103,3+counta($F$1:G$1),false)</f>
        <v>0.19</v>
      </c>
      <c r="H51" s="99">
        <f>$D51-vlookup(Summary!$C51,Summary!$C$2:$Q$103,3+counta($F$1:H$1),false)</f>
        <v>0</v>
      </c>
      <c r="I51" s="99">
        <f>$D51-vlookup(Summary!$C51,Summary!$C$2:$Q$103,3+counta($F$1:I$1),false)</f>
        <v>-0.1</v>
      </c>
      <c r="J51" s="99">
        <f>$D51-vlookup(Summary!$C51,Summary!$C$2:$Q$103,3+counta($F$1:J$1),false)</f>
        <v>0.5</v>
      </c>
      <c r="K51" s="99">
        <f>$D51-vlookup(Summary!$C51,Summary!$C$2:$Q$103,3+counta($F$1:K$1),false)</f>
        <v>-0.05</v>
      </c>
      <c r="L51" s="99">
        <f>$D51-vlookup(Summary!$C51,Summary!$C$2:$Q$103,3+counta($F$1:L$1),false)</f>
        <v>0.2</v>
      </c>
      <c r="M51" s="99">
        <f>$D51-vlookup(Summary!$C51,Summary!$C$2:$Q$103,3+counta($F$1:M$1),false)</f>
        <v>0</v>
      </c>
      <c r="N51" s="99">
        <f>$D51-vlookup(Summary!$C51,Summary!$C$2:$Q$103,3+counta($F$1:N$1),false)</f>
        <v>-0.1</v>
      </c>
      <c r="O51" s="99">
        <f>$D51-vlookup(Summary!$C51,Summary!$C$2:$Q$103,3+counta($F$1:O$1),false)</f>
        <v>0.05</v>
      </c>
      <c r="P51" s="99">
        <f>$D51-vlookup(Summary!$C51,Summary!$C$2:$Q$103,3+counta($F$1:P$1),false)</f>
        <v>0.2</v>
      </c>
      <c r="Q51" s="99">
        <f>$D51-vlookup(Summary!$C51,Summary!$C$2:$Q$103,3+counta($F$1:Q$1),false)</f>
        <v>-0.1</v>
      </c>
    </row>
    <row r="52" ht="15.75" customHeight="1">
      <c r="A52" s="15">
        <f>Main!A52</f>
        <v>51</v>
      </c>
      <c r="B52" s="15" t="str">
        <f>Main!B52</f>
        <v>Christchurch will experience an earthquake of at least 4 on the Richter scale</v>
      </c>
      <c r="C52" s="15" t="str">
        <f>Main!C52</f>
        <v>Natural world</v>
      </c>
      <c r="D52" s="15">
        <v>0.7</v>
      </c>
      <c r="F52" s="99">
        <f>$D52-vlookup(Summary!$C52,Summary!$C$2:$Q$103,3+counta($F$1:F$1),false)</f>
        <v>0.3</v>
      </c>
      <c r="G52" s="99">
        <f>$D52-vlookup(Summary!$C52,Summary!$C$2:$Q$103,3+counta($F$1:G$1),false)</f>
        <v>0.45</v>
      </c>
      <c r="H52" s="99">
        <f>$D52-vlookup(Summary!$C52,Summary!$C$2:$Q$103,3+counta($F$1:H$1),false)</f>
        <v>0</v>
      </c>
      <c r="I52" s="99">
        <f>$D52-vlookup(Summary!$C52,Summary!$C$2:$Q$103,3+counta($F$1:I$1),false)</f>
        <v>0</v>
      </c>
      <c r="J52" s="99">
        <f>$D52-vlookup(Summary!$C52,Summary!$C$2:$Q$103,3+counta($F$1:J$1),false)</f>
        <v>0.2</v>
      </c>
      <c r="K52" s="99">
        <f>$D52-vlookup(Summary!$C52,Summary!$C$2:$Q$103,3+counta($F$1:K$1),false)</f>
        <v>0.05</v>
      </c>
      <c r="L52" s="99">
        <f>$D52-vlookup(Summary!$C52,Summary!$C$2:$Q$103,3+counta($F$1:L$1),false)</f>
        <v>0.4</v>
      </c>
      <c r="M52" s="99">
        <f>$D52-vlookup(Summary!$C52,Summary!$C$2:$Q$103,3+counta($F$1:M$1),false)</f>
        <v>0</v>
      </c>
      <c r="N52" s="99">
        <f>$D52-vlookup(Summary!$C52,Summary!$C$2:$Q$103,3+counta($F$1:N$1),false)</f>
        <v>0.3</v>
      </c>
      <c r="O52" s="99">
        <f>$D52-vlookup(Summary!$C52,Summary!$C$2:$Q$103,3+counta($F$1:O$1),false)</f>
        <v>0.05</v>
      </c>
      <c r="P52" s="99">
        <f>$D52-vlookup(Summary!$C52,Summary!$C$2:$Q$103,3+counta($F$1:P$1),false)</f>
        <v>0.6</v>
      </c>
      <c r="Q52" s="99">
        <f>$D52-vlookup(Summary!$C52,Summary!$C$2:$Q$103,3+counta($F$1:Q$1),false)</f>
        <v>0.2</v>
      </c>
    </row>
    <row r="53" ht="15.75" customHeight="1">
      <c r="A53" s="15">
        <f>Main!A53</f>
        <v>52</v>
      </c>
      <c r="B53" s="15" t="str">
        <f>Main!B53</f>
        <v>Pope Francis will condemn the metaverse or warn of its potential damage</v>
      </c>
      <c r="C53" s="15" t="str">
        <f>Main!C53</f>
        <v>Society</v>
      </c>
      <c r="D53" s="15">
        <v>0.3</v>
      </c>
      <c r="F53" s="99">
        <f>$D53-vlookup(Summary!$C53,Summary!$C$2:$Q$103,3+counta($F$1:F$1),false)</f>
        <v>-0.3</v>
      </c>
      <c r="G53" s="99">
        <f>$D53-vlookup(Summary!$C53,Summary!$C$2:$Q$103,3+counta($F$1:G$1),false)</f>
        <v>0.1</v>
      </c>
      <c r="H53" s="99">
        <f>$D53-vlookup(Summary!$C53,Summary!$C$2:$Q$103,3+counta($F$1:H$1),false)</f>
        <v>0</v>
      </c>
      <c r="I53" s="99">
        <f>$D53-vlookup(Summary!$C53,Summary!$C$2:$Q$103,3+counta($F$1:I$1),false)</f>
        <v>-0.2</v>
      </c>
      <c r="J53" s="99">
        <f>$D53-vlookup(Summary!$C53,Summary!$C$2:$Q$103,3+counta($F$1:J$1),false)</f>
        <v>-0.6</v>
      </c>
      <c r="K53" s="99">
        <f>$D53-vlookup(Summary!$C53,Summary!$C$2:$Q$103,3+counta($F$1:K$1),false)</f>
        <v>-0.5</v>
      </c>
      <c r="L53" s="99">
        <f>$D53-vlookup(Summary!$C53,Summary!$C$2:$Q$103,3+counta($F$1:L$1),false)</f>
        <v>-0.2</v>
      </c>
      <c r="M53" s="99">
        <f>$D53-vlookup(Summary!$C53,Summary!$C$2:$Q$103,3+counta($F$1:M$1),false)</f>
        <v>0</v>
      </c>
      <c r="N53" s="99">
        <f>$D53-vlookup(Summary!$C53,Summary!$C$2:$Q$103,3+counta($F$1:N$1),false)</f>
        <v>0.2</v>
      </c>
      <c r="O53" s="99">
        <f>$D53-vlookup(Summary!$C53,Summary!$C$2:$Q$103,3+counta($F$1:O$1),false)</f>
        <v>-0.05</v>
      </c>
      <c r="P53" s="99">
        <f>$D53-vlookup(Summary!$C53,Summary!$C$2:$Q$103,3+counta($F$1:P$1),false)</f>
        <v>-0.2</v>
      </c>
      <c r="Q53" s="99">
        <f>$D53-vlookup(Summary!$C53,Summary!$C$2:$Q$103,3+counta($F$1:Q$1),false)</f>
        <v>0.1</v>
      </c>
    </row>
    <row r="54" ht="15.75" customHeight="1">
      <c r="A54" s="15">
        <f>Main!A54</f>
        <v>53</v>
      </c>
      <c r="B54" s="15" t="str">
        <f>Main!B54</f>
        <v>The 4th most popular baby name for girls in Australia will be Isla according to the NSW Government popular baby names site</v>
      </c>
      <c r="C54" s="15" t="str">
        <f>Main!C54</f>
        <v>Society</v>
      </c>
      <c r="D54" s="15">
        <v>0.5</v>
      </c>
      <c r="F54" s="99">
        <f>$D54-vlookup(Summary!$C54,Summary!$C$2:$Q$103,3+counta($F$1:F$1),false)</f>
        <v>0.15</v>
      </c>
      <c r="G54" s="99">
        <f>$D54-vlookup(Summary!$C54,Summary!$C$2:$Q$103,3+counta($F$1:G$1),false)</f>
        <v>0.1</v>
      </c>
      <c r="H54" s="99">
        <f>$D54-vlookup(Summary!$C54,Summary!$C$2:$Q$103,3+counta($F$1:H$1),false)</f>
        <v>0</v>
      </c>
      <c r="I54" s="99">
        <f>$D54-vlookup(Summary!$C54,Summary!$C$2:$Q$103,3+counta($F$1:I$1),false)</f>
        <v>0.4</v>
      </c>
      <c r="J54" s="99">
        <f>$D54-vlookup(Summary!$C54,Summary!$C$2:$Q$103,3+counta($F$1:J$1),false)</f>
        <v>-0.3</v>
      </c>
      <c r="K54" s="99">
        <f>$D54-vlookup(Summary!$C54,Summary!$C$2:$Q$103,3+counta($F$1:K$1),false)</f>
        <v>-0.4</v>
      </c>
      <c r="L54" s="99">
        <f>$D54-vlookup(Summary!$C54,Summary!$C$2:$Q$103,3+counta($F$1:L$1),false)</f>
        <v>0.3</v>
      </c>
      <c r="M54" s="99">
        <f>$D54-vlookup(Summary!$C54,Summary!$C$2:$Q$103,3+counta($F$1:M$1),false)</f>
        <v>0</v>
      </c>
      <c r="N54" s="99">
        <f>$D54-vlookup(Summary!$C54,Summary!$C$2:$Q$103,3+counta($F$1:N$1),false)</f>
        <v>-0.4</v>
      </c>
      <c r="O54" s="99">
        <f>$D54-vlookup(Summary!$C54,Summary!$C$2:$Q$103,3+counta($F$1:O$1),false)</f>
        <v>0.15</v>
      </c>
      <c r="P54" s="99">
        <f>$D54-vlookup(Summary!$C54,Summary!$C$2:$Q$103,3+counta($F$1:P$1),false)</f>
        <v>0.4</v>
      </c>
      <c r="Q54" s="99">
        <f>$D54-vlookup(Summary!$C54,Summary!$C$2:$Q$103,3+counta($F$1:Q$1),false)</f>
        <v>-0.3</v>
      </c>
    </row>
    <row r="55" ht="15.75" customHeight="1">
      <c r="A55" s="15">
        <f>Main!A55</f>
        <v>54</v>
      </c>
      <c r="B55" s="15" t="str">
        <f>Main!B55</f>
        <v>The 4th most popular baby name for boys in Australia will be Leo according to the NSW Government popular baby names site</v>
      </c>
      <c r="C55" s="15" t="str">
        <f>Main!C55</f>
        <v>Society</v>
      </c>
      <c r="D55" s="15">
        <v>0.5</v>
      </c>
      <c r="F55" s="99">
        <f>$D55-vlookup(Summary!$C55,Summary!$C$2:$Q$103,3+counta($F$1:F$1),false)</f>
        <v>0.15</v>
      </c>
      <c r="G55" s="99">
        <f>$D55-vlookup(Summary!$C55,Summary!$C$2:$Q$103,3+counta($F$1:G$1),false)</f>
        <v>0.1</v>
      </c>
      <c r="H55" s="99">
        <f>$D55-vlookup(Summary!$C55,Summary!$C$2:$Q$103,3+counta($F$1:H$1),false)</f>
        <v>0</v>
      </c>
      <c r="I55" s="99">
        <f>$D55-vlookup(Summary!$C55,Summary!$C$2:$Q$103,3+counta($F$1:I$1),false)</f>
        <v>0.4</v>
      </c>
      <c r="J55" s="99">
        <f>$D55-vlookup(Summary!$C55,Summary!$C$2:$Q$103,3+counta($F$1:J$1),false)</f>
        <v>-0.2</v>
      </c>
      <c r="K55" s="99">
        <f>$D55-vlookup(Summary!$C55,Summary!$C$2:$Q$103,3+counta($F$1:K$1),false)</f>
        <v>-0.4</v>
      </c>
      <c r="L55" s="99">
        <f>$D55-vlookup(Summary!$C55,Summary!$C$2:$Q$103,3+counta($F$1:L$1),false)</f>
        <v>0.3</v>
      </c>
      <c r="M55" s="99">
        <f>$D55-vlookup(Summary!$C55,Summary!$C$2:$Q$103,3+counta($F$1:M$1),false)</f>
        <v>0</v>
      </c>
      <c r="N55" s="99">
        <f>$D55-vlookup(Summary!$C55,Summary!$C$2:$Q$103,3+counta($F$1:N$1),false)</f>
        <v>0.3</v>
      </c>
      <c r="O55" s="99">
        <f>$D55-vlookup(Summary!$C55,Summary!$C$2:$Q$103,3+counta($F$1:O$1),false)</f>
        <v>0.15</v>
      </c>
      <c r="P55" s="99">
        <f>$D55-vlookup(Summary!$C55,Summary!$C$2:$Q$103,3+counta($F$1:P$1),false)</f>
        <v>0.4</v>
      </c>
      <c r="Q55" s="99">
        <f>$D55-vlookup(Summary!$C55,Summary!$C$2:$Q$103,3+counta($F$1:Q$1),false)</f>
        <v>0.3</v>
      </c>
    </row>
    <row r="56" ht="15.75" customHeight="1">
      <c r="A56" s="15">
        <f>Main!A56</f>
        <v>55</v>
      </c>
      <c r="B56" s="15" t="str">
        <f>Main!B56</f>
        <v>A statue in Australia will be removed because of negative associations with its history or colonial ties.</v>
      </c>
      <c r="C56" s="15" t="str">
        <f>Main!C56</f>
        <v>Society</v>
      </c>
      <c r="D56" s="15">
        <v>0.8</v>
      </c>
      <c r="F56" s="99">
        <f>$D56-vlookup(Summary!$C56,Summary!$C$2:$Q$103,3+counta($F$1:F$1),false)</f>
        <v>0.6</v>
      </c>
      <c r="G56" s="99">
        <f>$D56-vlookup(Summary!$C56,Summary!$C$2:$Q$103,3+counta($F$1:G$1),false)</f>
        <v>-0.1</v>
      </c>
      <c r="H56" s="99">
        <f>$D56-vlookup(Summary!$C56,Summary!$C$2:$Q$103,3+counta($F$1:H$1),false)</f>
        <v>0</v>
      </c>
      <c r="I56" s="99">
        <f>$D56-vlookup(Summary!$C56,Summary!$C$2:$Q$103,3+counta($F$1:I$1),false)</f>
        <v>0.6</v>
      </c>
      <c r="J56" s="99">
        <f>$D56-vlookup(Summary!$C56,Summary!$C$2:$Q$103,3+counta($F$1:J$1),false)</f>
        <v>0</v>
      </c>
      <c r="K56" s="99">
        <f>$D56-vlookup(Summary!$C56,Summary!$C$2:$Q$103,3+counta($F$1:K$1),false)</f>
        <v>0.2</v>
      </c>
      <c r="L56" s="99">
        <f>$D56-vlookup(Summary!$C56,Summary!$C$2:$Q$103,3+counta($F$1:L$1),false)</f>
        <v>0.4</v>
      </c>
      <c r="M56" s="99">
        <f>$D56-vlookup(Summary!$C56,Summary!$C$2:$Q$103,3+counta($F$1:M$1),false)</f>
        <v>0</v>
      </c>
      <c r="N56" s="99">
        <f>$D56-vlookup(Summary!$C56,Summary!$C$2:$Q$103,3+counta($F$1:N$1),false)</f>
        <v>0.7</v>
      </c>
      <c r="O56" s="99">
        <f>$D56-vlookup(Summary!$C56,Summary!$C$2:$Q$103,3+counta($F$1:O$1),false)</f>
        <v>0.65</v>
      </c>
      <c r="P56" s="99">
        <f>$D56-vlookup(Summary!$C56,Summary!$C$2:$Q$103,3+counta($F$1:P$1),false)</f>
        <v>0.1</v>
      </c>
      <c r="Q56" s="99">
        <f>$D56-vlookup(Summary!$C56,Summary!$C$2:$Q$103,3+counta($F$1:Q$1),false)</f>
        <v>0.2</v>
      </c>
    </row>
    <row r="57" ht="15.75" customHeight="1">
      <c r="A57" s="15">
        <f>Main!A57</f>
        <v>56</v>
      </c>
      <c r="B57" s="15" t="str">
        <f>Main!B57</f>
        <v>Dave Chapelle’s special ‘The Closer’ will be available to watch on Netflix (Aus or US)</v>
      </c>
      <c r="C57" s="15" t="str">
        <f>Main!C57</f>
        <v>Society</v>
      </c>
      <c r="D57" s="15">
        <v>0.5</v>
      </c>
      <c r="F57" s="99">
        <f>$D57-vlookup(Summary!$C57,Summary!$C$2:$Q$103,3+counta($F$1:F$1),false)</f>
        <v>-0.3</v>
      </c>
      <c r="G57" s="99">
        <f>$D57-vlookup(Summary!$C57,Summary!$C$2:$Q$103,3+counta($F$1:G$1),false)</f>
        <v>-0.1</v>
      </c>
      <c r="H57" s="99">
        <f>$D57-vlookup(Summary!$C57,Summary!$C$2:$Q$103,3+counta($F$1:H$1),false)</f>
        <v>0</v>
      </c>
      <c r="I57" s="99">
        <f>$D57-vlookup(Summary!$C57,Summary!$C$2:$Q$103,3+counta($F$1:I$1),false)</f>
        <v>-0.3</v>
      </c>
      <c r="J57" s="99">
        <f>$D57-vlookup(Summary!$C57,Summary!$C$2:$Q$103,3+counta($F$1:J$1),false)</f>
        <v>-0.1</v>
      </c>
      <c r="K57" s="99">
        <f>$D57-vlookup(Summary!$C57,Summary!$C$2:$Q$103,3+counta($F$1:K$1),false)</f>
        <v>0</v>
      </c>
      <c r="L57" s="99">
        <f>$D57-vlookup(Summary!$C57,Summary!$C$2:$Q$103,3+counta($F$1:L$1),false)</f>
        <v>-0.1</v>
      </c>
      <c r="M57" s="99">
        <f>$D57-vlookup(Summary!$C57,Summary!$C$2:$Q$103,3+counta($F$1:M$1),false)</f>
        <v>0</v>
      </c>
      <c r="N57" s="99">
        <f>$D57-vlookup(Summary!$C57,Summary!$C$2:$Q$103,3+counta($F$1:N$1),false)</f>
        <v>0.3</v>
      </c>
      <c r="O57" s="99">
        <f>$D57-vlookup(Summary!$C57,Summary!$C$2:$Q$103,3+counta($F$1:O$1),false)</f>
        <v>-0.499</v>
      </c>
      <c r="P57" s="99">
        <f>$D57-vlookup(Summary!$C57,Summary!$C$2:$Q$103,3+counta($F$1:P$1),false)</f>
        <v>0</v>
      </c>
      <c r="Q57" s="99">
        <f>$D57-vlookup(Summary!$C57,Summary!$C$2:$Q$103,3+counta($F$1:Q$1),false)</f>
        <v>0</v>
      </c>
    </row>
    <row r="58" ht="15.75" customHeight="1">
      <c r="A58" s="15">
        <f>Main!A58</f>
        <v>57</v>
      </c>
      <c r="B58" s="15" t="str">
        <f>Main!B58</f>
        <v>An actor in a Disney film or TV show will have their contract ‘cancelled’ due to social pressure related to a social media post or opinion they have expressed publicly.</v>
      </c>
      <c r="C58" s="15" t="str">
        <f>Main!C58</f>
        <v>Society</v>
      </c>
      <c r="D58" s="15">
        <v>0.6</v>
      </c>
      <c r="F58" s="99">
        <f>$D58-vlookup(Summary!$C58,Summary!$C$2:$Q$103,3+counta($F$1:F$1),false)</f>
        <v>-0.1</v>
      </c>
      <c r="G58" s="99">
        <f>$D58-vlookup(Summary!$C58,Summary!$C$2:$Q$103,3+counta($F$1:G$1),false)</f>
        <v>0.2</v>
      </c>
      <c r="H58" s="99">
        <f>$D58-vlookup(Summary!$C58,Summary!$C$2:$Q$103,3+counta($F$1:H$1),false)</f>
        <v>0</v>
      </c>
      <c r="I58" s="99">
        <f>$D58-vlookup(Summary!$C58,Summary!$C$2:$Q$103,3+counta($F$1:I$1),false)</f>
        <v>-0.2</v>
      </c>
      <c r="J58" s="99">
        <f>$D58-vlookup(Summary!$C58,Summary!$C$2:$Q$103,3+counta($F$1:J$1),false)</f>
        <v>-0.2</v>
      </c>
      <c r="K58" s="99">
        <f>$D58-vlookup(Summary!$C58,Summary!$C$2:$Q$103,3+counta($F$1:K$1),false)</f>
        <v>-0.1</v>
      </c>
      <c r="L58" s="99">
        <f>$D58-vlookup(Summary!$C58,Summary!$C$2:$Q$103,3+counta($F$1:L$1),false)</f>
        <v>0.1</v>
      </c>
      <c r="M58" s="99">
        <f>$D58-vlookup(Summary!$C58,Summary!$C$2:$Q$103,3+counta($F$1:M$1),false)</f>
        <v>0</v>
      </c>
      <c r="N58" s="99">
        <f>$D58-vlookup(Summary!$C58,Summary!$C$2:$Q$103,3+counta($F$1:N$1),false)</f>
        <v>-0.2</v>
      </c>
      <c r="O58" s="99">
        <f>$D58-vlookup(Summary!$C58,Summary!$C$2:$Q$103,3+counta($F$1:O$1),false)</f>
        <v>-0.05</v>
      </c>
      <c r="P58" s="99">
        <f>$D58-vlookup(Summary!$C58,Summary!$C$2:$Q$103,3+counta($F$1:P$1),false)</f>
        <v>0.1</v>
      </c>
      <c r="Q58" s="99">
        <f>$D58-vlookup(Summary!$C58,Summary!$C$2:$Q$103,3+counta($F$1:Q$1),false)</f>
        <v>0.2</v>
      </c>
    </row>
    <row r="59" ht="15.75" customHeight="1">
      <c r="A59" s="15">
        <f>Main!A59</f>
        <v>58</v>
      </c>
      <c r="B59" s="15" t="str">
        <f>Main!B59</f>
        <v>An Australian company or department will mandate the inclusion or visibility of preferred gender pronouns, whether through an HR directory or email signatures.</v>
      </c>
      <c r="C59" s="15" t="str">
        <f>Main!C59</f>
        <v>Society</v>
      </c>
      <c r="D59" s="15">
        <v>0.6</v>
      </c>
      <c r="F59" s="99">
        <f>$D59-vlookup(Summary!$C59,Summary!$C$2:$Q$103,3+counta($F$1:F$1),false)</f>
        <v>-0.05</v>
      </c>
      <c r="G59" s="99">
        <f>$D59-vlookup(Summary!$C59,Summary!$C$2:$Q$103,3+counta($F$1:G$1),false)</f>
        <v>-0.35</v>
      </c>
      <c r="H59" s="99">
        <f>$D59-vlookup(Summary!$C59,Summary!$C$2:$Q$103,3+counta($F$1:H$1),false)</f>
        <v>0</v>
      </c>
      <c r="I59" s="99">
        <f>$D59-vlookup(Summary!$C59,Summary!$C$2:$Q$103,3+counta($F$1:I$1),false)</f>
        <v>-0.2</v>
      </c>
      <c r="J59" s="99">
        <f>$D59-vlookup(Summary!$C59,Summary!$C$2:$Q$103,3+counta($F$1:J$1),false)</f>
        <v>0.1</v>
      </c>
      <c r="K59" s="99">
        <f>$D59-vlookup(Summary!$C59,Summary!$C$2:$Q$103,3+counta($F$1:K$1),false)</f>
        <v>-0.15</v>
      </c>
      <c r="L59" s="99">
        <f>$D59-vlookup(Summary!$C59,Summary!$C$2:$Q$103,3+counta($F$1:L$1),false)</f>
        <v>0.1</v>
      </c>
      <c r="M59" s="99">
        <f>$D59-vlookup(Summary!$C59,Summary!$C$2:$Q$103,3+counta($F$1:M$1),false)</f>
        <v>0</v>
      </c>
      <c r="N59" s="99">
        <f>$D59-vlookup(Summary!$C59,Summary!$C$2:$Q$103,3+counta($F$1:N$1),false)</f>
        <v>-0.2</v>
      </c>
      <c r="O59" s="99">
        <f>$D59-vlookup(Summary!$C59,Summary!$C$2:$Q$103,3+counta($F$1:O$1),false)</f>
        <v>0.25</v>
      </c>
      <c r="P59" s="99">
        <f>$D59-vlookup(Summary!$C59,Summary!$C$2:$Q$103,3+counta($F$1:P$1),false)</f>
        <v>0.1</v>
      </c>
      <c r="Q59" s="99">
        <f>$D59-vlookup(Summary!$C59,Summary!$C$2:$Q$103,3+counta($F$1:Q$1),false)</f>
        <v>0.2</v>
      </c>
    </row>
    <row r="60" ht="15.75" customHeight="1">
      <c r="A60" s="15">
        <f>Main!A60</f>
        <v>59</v>
      </c>
      <c r="B60" s="15" t="str">
        <f>Main!B60</f>
        <v>More than 30% of Australians will have been born overseas (currently 29.8%)</v>
      </c>
      <c r="C60" s="15" t="str">
        <f>Main!C60</f>
        <v>Society</v>
      </c>
      <c r="D60" s="15">
        <v>0.1</v>
      </c>
      <c r="F60" s="99">
        <f>$D60-vlookup(Summary!$C60,Summary!$C$2:$Q$103,3+counta($F$1:F$1),false)</f>
        <v>-0.1</v>
      </c>
      <c r="G60" s="99">
        <f>$D60-vlookup(Summary!$C60,Summary!$C$2:$Q$103,3+counta($F$1:G$1),false)</f>
        <v>-0.5</v>
      </c>
      <c r="H60" s="99">
        <f>$D60-vlookup(Summary!$C60,Summary!$C$2:$Q$103,3+counta($F$1:H$1),false)</f>
        <v>0</v>
      </c>
      <c r="I60" s="99">
        <f>$D60-vlookup(Summary!$C60,Summary!$C$2:$Q$103,3+counta($F$1:I$1),false)</f>
        <v>-0.5</v>
      </c>
      <c r="J60" s="99">
        <f>$D60-vlookup(Summary!$C60,Summary!$C$2:$Q$103,3+counta($F$1:J$1),false)</f>
        <v>-0.8</v>
      </c>
      <c r="K60" s="99">
        <f>$D60-vlookup(Summary!$C60,Summary!$C$2:$Q$103,3+counta($F$1:K$1),false)</f>
        <v>-0.8</v>
      </c>
      <c r="L60" s="99">
        <f>$D60-vlookup(Summary!$C60,Summary!$C$2:$Q$103,3+counta($F$1:L$1),false)</f>
        <v>-0.2</v>
      </c>
      <c r="M60" s="99">
        <f>$D60-vlookup(Summary!$C60,Summary!$C$2:$Q$103,3+counta($F$1:M$1),false)</f>
        <v>0</v>
      </c>
      <c r="N60" s="99">
        <f>$D60-vlookup(Summary!$C60,Summary!$C$2:$Q$103,3+counta($F$1:N$1),false)</f>
        <v>-0.1</v>
      </c>
      <c r="O60" s="99">
        <f>$D60-vlookup(Summary!$C60,Summary!$C$2:$Q$103,3+counta($F$1:O$1),false)</f>
        <v>-0.55</v>
      </c>
      <c r="P60" s="99">
        <f>$D60-vlookup(Summary!$C60,Summary!$C$2:$Q$103,3+counta($F$1:P$1),false)</f>
        <v>0</v>
      </c>
      <c r="Q60" s="99">
        <f>$D60-vlookup(Summary!$C60,Summary!$C$2:$Q$103,3+counta($F$1:Q$1),false)</f>
        <v>-0.45</v>
      </c>
    </row>
    <row r="61" ht="15.75" customHeight="1">
      <c r="A61" s="15">
        <f>Main!A61</f>
        <v>60</v>
      </c>
      <c r="B61" s="15" t="str">
        <f>Main!B61</f>
        <v>LGBTIQ+ will be the acronym in widespread usage throughout Australia, as determined by the definition from LGBTIQ+ Health Australia (the peak body org for health and research related to that community)</v>
      </c>
      <c r="C61" s="15" t="str">
        <f>Main!C61</f>
        <v>Society</v>
      </c>
      <c r="D61" s="15">
        <v>0.5</v>
      </c>
      <c r="F61" s="99">
        <f>$D61-vlookup(Summary!$C61,Summary!$C$2:$Q$103,3+counta($F$1:F$1),false)</f>
        <v>0.05</v>
      </c>
      <c r="G61" s="99">
        <f>$D61-vlookup(Summary!$C61,Summary!$C$2:$Q$103,3+counta($F$1:G$1),false)</f>
        <v>-0.2</v>
      </c>
      <c r="H61" s="99">
        <f>$D61-vlookup(Summary!$C61,Summary!$C$2:$Q$103,3+counta($F$1:H$1),false)</f>
        <v>0</v>
      </c>
      <c r="I61" s="99">
        <f>$D61-vlookup(Summary!$C61,Summary!$C$2:$Q$103,3+counta($F$1:I$1),false)</f>
        <v>-0.2</v>
      </c>
      <c r="J61" s="99">
        <f>$D61-vlookup(Summary!$C61,Summary!$C$2:$Q$103,3+counta($F$1:J$1),false)</f>
        <v>-0.2</v>
      </c>
      <c r="K61" s="99">
        <f>$D61-vlookup(Summary!$C61,Summary!$C$2:$Q$103,3+counta($F$1:K$1),false)</f>
        <v>-0.25</v>
      </c>
      <c r="L61" s="99">
        <f>$D61-vlookup(Summary!$C61,Summary!$C$2:$Q$103,3+counta($F$1:L$1),false)</f>
        <v>-0.4</v>
      </c>
      <c r="M61" s="99">
        <f>$D61-vlookup(Summary!$C61,Summary!$C$2:$Q$103,3+counta($F$1:M$1),false)</f>
        <v>0</v>
      </c>
      <c r="N61" s="99">
        <f>$D61-vlookup(Summary!$C61,Summary!$C$2:$Q$103,3+counta($F$1:N$1),false)</f>
        <v>0.3</v>
      </c>
      <c r="O61" s="99">
        <f>$D61-vlookup(Summary!$C61,Summary!$C$2:$Q$103,3+counta($F$1:O$1),false)</f>
        <v>-0.499</v>
      </c>
      <c r="P61" s="99">
        <f>$D61-vlookup(Summary!$C61,Summary!$C$2:$Q$103,3+counta($F$1:P$1),false)</f>
        <v>0</v>
      </c>
      <c r="Q61" s="99">
        <f>$D61-vlookup(Summary!$C61,Summary!$C$2:$Q$103,3+counta($F$1:Q$1),false)</f>
        <v>0.2</v>
      </c>
    </row>
    <row r="62" ht="15.75" customHeight="1">
      <c r="A62" s="15">
        <f>Main!A62</f>
        <v>61</v>
      </c>
      <c r="B62" s="15" t="str">
        <f>Main!B62</f>
        <v>The meat industry in Australia and/or the US will succeed in controlling the use of ‘meat terms’ (meat, beef etc.) for non-animal protein products</v>
      </c>
      <c r="C62" s="15" t="str">
        <f>Main!C62</f>
        <v>Society</v>
      </c>
      <c r="D62" s="15">
        <v>0.2</v>
      </c>
      <c r="F62" s="99">
        <f>$D62-vlookup(Summary!$C62,Summary!$C$2:$Q$103,3+counta($F$1:F$1),false)</f>
        <v>-0.15</v>
      </c>
      <c r="G62" s="99">
        <f>$D62-vlookup(Summary!$C62,Summary!$C$2:$Q$103,3+counta($F$1:G$1),false)</f>
        <v>-0.4</v>
      </c>
      <c r="H62" s="99">
        <f>$D62-vlookup(Summary!$C62,Summary!$C$2:$Q$103,3+counta($F$1:H$1),false)</f>
        <v>0</v>
      </c>
      <c r="I62" s="99">
        <f>$D62-vlookup(Summary!$C62,Summary!$C$2:$Q$103,3+counta($F$1:I$1),false)</f>
        <v>-0.4</v>
      </c>
      <c r="J62" s="99">
        <f>$D62-vlookup(Summary!$C62,Summary!$C$2:$Q$103,3+counta($F$1:J$1),false)</f>
        <v>-0.6</v>
      </c>
      <c r="K62" s="99">
        <f>$D62-vlookup(Summary!$C62,Summary!$C$2:$Q$103,3+counta($F$1:K$1),false)</f>
        <v>-0.54</v>
      </c>
      <c r="L62" s="99">
        <f>$D62-vlookup(Summary!$C62,Summary!$C$2:$Q$103,3+counta($F$1:L$1),false)</f>
        <v>0.1</v>
      </c>
      <c r="M62" s="99">
        <f>$D62-vlookup(Summary!$C62,Summary!$C$2:$Q$103,3+counta($F$1:M$1),false)</f>
        <v>0</v>
      </c>
      <c r="N62" s="99">
        <f>$D62-vlookup(Summary!$C62,Summary!$C$2:$Q$103,3+counta($F$1:N$1),false)</f>
        <v>0.1</v>
      </c>
      <c r="O62" s="99">
        <f>$D62-vlookup(Summary!$C62,Summary!$C$2:$Q$103,3+counta($F$1:O$1),false)</f>
        <v>-0.799</v>
      </c>
      <c r="P62" s="99">
        <f>$D62-vlookup(Summary!$C62,Summary!$C$2:$Q$103,3+counta($F$1:P$1),false)</f>
        <v>-0.6</v>
      </c>
      <c r="Q62" s="99">
        <f>$D62-vlookup(Summary!$C62,Summary!$C$2:$Q$103,3+counta($F$1:Q$1),false)</f>
        <v>-0.3</v>
      </c>
    </row>
    <row r="63" ht="15.75" customHeight="1">
      <c r="A63" s="15">
        <f>Main!A63</f>
        <v>62</v>
      </c>
      <c r="B63" s="15" t="str">
        <f>Main!B63</f>
        <v>The median house price in Canberra will be over $1,200,000 (currently $1,015,833)</v>
      </c>
      <c r="C63" s="15" t="str">
        <f>Main!C63</f>
        <v>Society</v>
      </c>
      <c r="D63" s="15">
        <v>0.2</v>
      </c>
      <c r="F63" s="99">
        <f>$D63-vlookup(Summary!$C63,Summary!$C$2:$Q$103,3+counta($F$1:F$1),false)</f>
        <v>-0.5</v>
      </c>
      <c r="G63" s="99">
        <f>$D63-vlookup(Summary!$C63,Summary!$C$2:$Q$103,3+counta($F$1:G$1),false)</f>
        <v>0</v>
      </c>
      <c r="H63" s="99">
        <f>$D63-vlookup(Summary!$C63,Summary!$C$2:$Q$103,3+counta($F$1:H$1),false)</f>
        <v>0</v>
      </c>
      <c r="I63" s="99">
        <f>$D63-vlookup(Summary!$C63,Summary!$C$2:$Q$103,3+counta($F$1:I$1),false)</f>
        <v>-0.6</v>
      </c>
      <c r="J63" s="99">
        <f>$D63-vlookup(Summary!$C63,Summary!$C$2:$Q$103,3+counta($F$1:J$1),false)</f>
        <v>-0.6</v>
      </c>
      <c r="K63" s="99">
        <f>$D63-vlookup(Summary!$C63,Summary!$C$2:$Q$103,3+counta($F$1:K$1),false)</f>
        <v>-0.6</v>
      </c>
      <c r="L63" s="99">
        <f>$D63-vlookup(Summary!$C63,Summary!$C$2:$Q$103,3+counta($F$1:L$1),false)</f>
        <v>-0.79999</v>
      </c>
      <c r="M63" s="99">
        <f>$D63-vlookup(Summary!$C63,Summary!$C$2:$Q$103,3+counta($F$1:M$1),false)</f>
        <v>0</v>
      </c>
      <c r="N63" s="99">
        <f>$D63-vlookup(Summary!$C63,Summary!$C$2:$Q$103,3+counta($F$1:N$1),false)</f>
        <v>-0.7</v>
      </c>
      <c r="O63" s="99">
        <f>$D63-vlookup(Summary!$C63,Summary!$C$2:$Q$103,3+counta($F$1:O$1),false)</f>
        <v>0.05</v>
      </c>
      <c r="P63" s="99">
        <f>$D63-vlookup(Summary!$C63,Summary!$C$2:$Q$103,3+counta($F$1:P$1),false)</f>
        <v>-0.4</v>
      </c>
      <c r="Q63" s="99">
        <f>$D63-vlookup(Summary!$C63,Summary!$C$2:$Q$103,3+counta($F$1:Q$1),false)</f>
        <v>-0.25</v>
      </c>
    </row>
    <row r="64" ht="15.75" customHeight="1">
      <c r="A64" s="15">
        <f>Main!A64</f>
        <v>63</v>
      </c>
      <c r="B64" s="15" t="str">
        <f>Main!B64</f>
        <v>An artist or band on the Rock and Roll Hall of Fame has a performance using digital avatar (source https://en.wikipedia.org/wiki/List_of_Rock_and_Roll_Hall_of_Fame_inductees)</v>
      </c>
      <c r="C64" s="15" t="str">
        <f>Main!C64</f>
        <v>Society</v>
      </c>
      <c r="D64" s="15">
        <v>0.7</v>
      </c>
      <c r="F64" s="99">
        <f>$D64-vlookup(Summary!$C64,Summary!$C$2:$Q$103,3+counta($F$1:F$1),false)</f>
        <v>0.3</v>
      </c>
      <c r="G64" s="99">
        <f>$D64-vlookup(Summary!$C64,Summary!$C$2:$Q$103,3+counta($F$1:G$1),false)</f>
        <v>0.1</v>
      </c>
      <c r="H64" s="99">
        <f>$D64-vlookup(Summary!$C64,Summary!$C$2:$Q$103,3+counta($F$1:H$1),false)</f>
        <v>0</v>
      </c>
      <c r="I64" s="99">
        <f>$D64-vlookup(Summary!$C64,Summary!$C$2:$Q$103,3+counta($F$1:I$1),false)</f>
        <v>0.4</v>
      </c>
      <c r="J64" s="99">
        <f>$D64-vlookup(Summary!$C64,Summary!$C$2:$Q$103,3+counta($F$1:J$1),false)</f>
        <v>0.2</v>
      </c>
      <c r="K64" s="99">
        <f>$D64-vlookup(Summary!$C64,Summary!$C$2:$Q$103,3+counta($F$1:K$1),false)</f>
        <v>0.1</v>
      </c>
      <c r="L64" s="99">
        <f>$D64-vlookup(Summary!$C64,Summary!$C$2:$Q$103,3+counta($F$1:L$1),false)</f>
        <v>0.1</v>
      </c>
      <c r="M64" s="99">
        <f>$D64-vlookup(Summary!$C64,Summary!$C$2:$Q$103,3+counta($F$1:M$1),false)</f>
        <v>0</v>
      </c>
      <c r="N64" s="99">
        <f>$D64-vlookup(Summary!$C64,Summary!$C$2:$Q$103,3+counta($F$1:N$1),false)</f>
        <v>0.5</v>
      </c>
      <c r="O64" s="99">
        <f>$D64-vlookup(Summary!$C64,Summary!$C$2:$Q$103,3+counta($F$1:O$1),false)</f>
        <v>0.55</v>
      </c>
      <c r="P64" s="99">
        <f>$D64-vlookup(Summary!$C64,Summary!$C$2:$Q$103,3+counta($F$1:P$1),false)</f>
        <v>0.6</v>
      </c>
      <c r="Q64" s="99">
        <f>$D64-vlookup(Summary!$C64,Summary!$C$2:$Q$103,3+counta($F$1:Q$1),false)</f>
        <v>0.2</v>
      </c>
    </row>
    <row r="65" ht="15.75" customHeight="1">
      <c r="A65" s="15">
        <f>Main!A65</f>
        <v>64</v>
      </c>
      <c r="B65" s="15" t="str">
        <f>Main!B65</f>
        <v>No Australian tennis player will win a senior Championship event at the Australian Open in 2022</v>
      </c>
      <c r="C65" s="15" t="str">
        <f>Main!C65</f>
        <v>Sport</v>
      </c>
      <c r="D65" s="15">
        <v>0.0</v>
      </c>
      <c r="F65" s="99">
        <f>$D65-vlookup(Summary!$C65,Summary!$C$2:$Q$103,3+counta($F$1:F$1),false)</f>
        <v>0</v>
      </c>
      <c r="G65" s="99">
        <f>$D65-vlookup(Summary!$C65,Summary!$C$2:$Q$103,3+counta($F$1:G$1),false)</f>
        <v>0</v>
      </c>
      <c r="H65" s="99">
        <f>$D65-vlookup(Summary!$C65,Summary!$C$2:$Q$103,3+counta($F$1:H$1),false)</f>
        <v>0</v>
      </c>
      <c r="I65" s="99">
        <f>$D65-vlookup(Summary!$C65,Summary!$C$2:$Q$103,3+counta($F$1:I$1),false)</f>
        <v>0</v>
      </c>
      <c r="J65" s="99">
        <f>$D65-vlookup(Summary!$C65,Summary!$C$2:$Q$103,3+counta($F$1:J$1),false)</f>
        <v>-0.6</v>
      </c>
      <c r="K65" s="99">
        <f>$D65-vlookup(Summary!$C65,Summary!$C$2:$Q$103,3+counta($F$1:K$1),false)</f>
        <v>0</v>
      </c>
      <c r="L65" s="99">
        <f>$D65-vlookup(Summary!$C65,Summary!$C$2:$Q$103,3+counta($F$1:L$1),false)</f>
        <v>0</v>
      </c>
      <c r="M65" s="99">
        <f>$D65-vlookup(Summary!$C65,Summary!$C$2:$Q$103,3+counta($F$1:M$1),false)</f>
        <v>0</v>
      </c>
      <c r="N65" s="99">
        <f>$D65-vlookup(Summary!$C65,Summary!$C$2:$Q$103,3+counta($F$1:N$1),false)</f>
        <v>-0.1</v>
      </c>
      <c r="O65" s="99">
        <f>$D65-vlookup(Summary!$C65,Summary!$C$2:$Q$103,3+counta($F$1:O$1),false)</f>
        <v>0</v>
      </c>
      <c r="P65" s="99">
        <f>$D65-vlookup(Summary!$C65,Summary!$C$2:$Q$103,3+counta($F$1:P$1),false)</f>
        <v>-0.5</v>
      </c>
      <c r="Q65" s="99">
        <f>$D65-vlookup(Summary!$C65,Summary!$C$2:$Q$103,3+counta($F$1:Q$1),false)</f>
        <v>-0.2</v>
      </c>
    </row>
    <row r="66" ht="15.75" customHeight="1">
      <c r="A66" s="15">
        <f>Main!A66</f>
        <v>65</v>
      </c>
      <c r="B66" s="15" t="str">
        <f>Main!B66</f>
        <v>Daniel Ricciardo will win the Australian GP in 2022.</v>
      </c>
      <c r="C66" s="15" t="str">
        <f>Main!C66</f>
        <v>Sport</v>
      </c>
      <c r="D66" s="15">
        <v>0.5</v>
      </c>
      <c r="F66" s="99">
        <f>$D66-vlookup(Summary!$C66,Summary!$C$2:$Q$103,3+counta($F$1:F$1),false)</f>
        <v>0</v>
      </c>
      <c r="G66" s="99">
        <f>$D66-vlookup(Summary!$C66,Summary!$C$2:$Q$103,3+counta($F$1:G$1),false)</f>
        <v>0.4</v>
      </c>
      <c r="H66" s="99">
        <f>$D66-vlookup(Summary!$C66,Summary!$C$2:$Q$103,3+counta($F$1:H$1),false)</f>
        <v>0</v>
      </c>
      <c r="I66" s="99">
        <f>$D66-vlookup(Summary!$C66,Summary!$C$2:$Q$103,3+counta($F$1:I$1),false)</f>
        <v>0</v>
      </c>
      <c r="J66" s="99">
        <f>$D66-vlookup(Summary!$C66,Summary!$C$2:$Q$103,3+counta($F$1:J$1),false)</f>
        <v>0.2</v>
      </c>
      <c r="K66" s="99">
        <f>$D66-vlookup(Summary!$C66,Summary!$C$2:$Q$103,3+counta($F$1:K$1),false)</f>
        <v>-0.1</v>
      </c>
      <c r="L66" s="99">
        <f>$D66-vlookup(Summary!$C66,Summary!$C$2:$Q$103,3+counta($F$1:L$1),false)</f>
        <v>0.3</v>
      </c>
      <c r="M66" s="99">
        <f>$D66-vlookup(Summary!$C66,Summary!$C$2:$Q$103,3+counta($F$1:M$1),false)</f>
        <v>0</v>
      </c>
      <c r="N66" s="99">
        <f>$D66-vlookup(Summary!$C66,Summary!$C$2:$Q$103,3+counta($F$1:N$1),false)</f>
        <v>0.4</v>
      </c>
      <c r="O66" s="99">
        <f>$D66-vlookup(Summary!$C66,Summary!$C$2:$Q$103,3+counta($F$1:O$1),false)</f>
        <v>0</v>
      </c>
      <c r="P66" s="99">
        <f>$D66-vlookup(Summary!$C66,Summary!$C$2:$Q$103,3+counta($F$1:P$1),false)</f>
        <v>0.4</v>
      </c>
      <c r="Q66" s="99">
        <f>$D66-vlookup(Summary!$C66,Summary!$C$2:$Q$103,3+counta($F$1:Q$1),false)</f>
        <v>0.4</v>
      </c>
    </row>
    <row r="67" ht="15.75" customHeight="1">
      <c r="A67" s="15">
        <f>Main!A67</f>
        <v>66</v>
      </c>
      <c r="B67" s="15" t="str">
        <f>Main!B67</f>
        <v>Collingwood will make it into the top 8 at the end of the footy season</v>
      </c>
      <c r="C67" s="15" t="str">
        <f>Main!C67</f>
        <v>Sport</v>
      </c>
      <c r="D67" s="15">
        <v>0.45</v>
      </c>
      <c r="F67" s="99">
        <f>$D67-vlookup(Summary!$C67,Summary!$C$2:$Q$103,3+counta($F$1:F$1),false)</f>
        <v>-0.05</v>
      </c>
      <c r="G67" s="99">
        <f>$D67-vlookup(Summary!$C67,Summary!$C$2:$Q$103,3+counta($F$1:G$1),false)</f>
        <v>0.35</v>
      </c>
      <c r="H67" s="99">
        <f>$D67-vlookup(Summary!$C67,Summary!$C$2:$Q$103,3+counta($F$1:H$1),false)</f>
        <v>0</v>
      </c>
      <c r="I67" s="99">
        <f>$D67-vlookup(Summary!$C67,Summary!$C$2:$Q$103,3+counta($F$1:I$1),false)</f>
        <v>-0.05</v>
      </c>
      <c r="J67" s="99">
        <f>$D67-vlookup(Summary!$C67,Summary!$C$2:$Q$103,3+counta($F$1:J$1),false)</f>
        <v>-0.15</v>
      </c>
      <c r="K67" s="99">
        <f>$D67-vlookup(Summary!$C67,Summary!$C$2:$Q$103,3+counta($F$1:K$1),false)</f>
        <v>-0.15</v>
      </c>
      <c r="L67" s="99">
        <f>$D67-vlookup(Summary!$C67,Summary!$C$2:$Q$103,3+counta($F$1:L$1),false)</f>
        <v>-0.05</v>
      </c>
      <c r="M67" s="99">
        <f>$D67-vlookup(Summary!$C67,Summary!$C$2:$Q$103,3+counta($F$1:M$1),false)</f>
        <v>0</v>
      </c>
      <c r="N67" s="99">
        <f>$D67-vlookup(Summary!$C67,Summary!$C$2:$Q$103,3+counta($F$1:N$1),false)</f>
        <v>-0.25</v>
      </c>
      <c r="O67" s="99">
        <f>$D67-vlookup(Summary!$C67,Summary!$C$2:$Q$103,3+counta($F$1:O$1),false)</f>
        <v>-0.05</v>
      </c>
      <c r="P67" s="99">
        <f>$D67-vlookup(Summary!$C67,Summary!$C$2:$Q$103,3+counta($F$1:P$1),false)</f>
        <v>0.35</v>
      </c>
      <c r="Q67" s="99">
        <f>$D67-vlookup(Summary!$C67,Summary!$C$2:$Q$103,3+counta($F$1:Q$1),false)</f>
        <v>-0.15</v>
      </c>
    </row>
    <row r="68" ht="15.75" customHeight="1">
      <c r="A68" s="15">
        <f>Main!A68</f>
        <v>67</v>
      </c>
      <c r="B68" s="15" t="str">
        <f>Main!B68</f>
        <v>Italy will defeat Portugal in their qualifying match and reach the finals of the Football World Cup</v>
      </c>
      <c r="C68" s="15" t="str">
        <f>Main!C68</f>
        <v>Sport</v>
      </c>
      <c r="D68" s="15">
        <v>0.7</v>
      </c>
      <c r="F68" s="99">
        <f>$D68-vlookup(Summary!$C68,Summary!$C$2:$Q$103,3+counta($F$1:F$1),false)</f>
        <v>0.2</v>
      </c>
      <c r="G68" s="99">
        <f>$D68-vlookup(Summary!$C68,Summary!$C$2:$Q$103,3+counta($F$1:G$1),false)</f>
        <v>0.1</v>
      </c>
      <c r="H68" s="99">
        <f>$D68-vlookup(Summary!$C68,Summary!$C$2:$Q$103,3+counta($F$1:H$1),false)</f>
        <v>0</v>
      </c>
      <c r="I68" s="99">
        <f>$D68-vlookup(Summary!$C68,Summary!$C$2:$Q$103,3+counta($F$1:I$1),false)</f>
        <v>0.2</v>
      </c>
      <c r="J68" s="99">
        <f>$D68-vlookup(Summary!$C68,Summary!$C$2:$Q$103,3+counta($F$1:J$1),false)</f>
        <v>0.2</v>
      </c>
      <c r="K68" s="99">
        <f>$D68-vlookup(Summary!$C68,Summary!$C$2:$Q$103,3+counta($F$1:K$1),false)</f>
        <v>-0.15</v>
      </c>
      <c r="L68" s="99">
        <f>$D68-vlookup(Summary!$C68,Summary!$C$2:$Q$103,3+counta($F$1:L$1),false)</f>
        <v>0.65</v>
      </c>
      <c r="M68" s="99">
        <f>$D68-vlookup(Summary!$C68,Summary!$C$2:$Q$103,3+counta($F$1:M$1),false)</f>
        <v>0</v>
      </c>
      <c r="N68" s="99">
        <f>$D68-vlookup(Summary!$C68,Summary!$C$2:$Q$103,3+counta($F$1:N$1),false)</f>
        <v>0.2</v>
      </c>
      <c r="O68" s="99">
        <f>$D68-vlookup(Summary!$C68,Summary!$C$2:$Q$103,3+counta($F$1:O$1),false)</f>
        <v>0.2</v>
      </c>
      <c r="P68" s="99">
        <f>$D68-vlookup(Summary!$C68,Summary!$C$2:$Q$103,3+counta($F$1:P$1),false)</f>
        <v>-0.2</v>
      </c>
      <c r="Q68" s="99">
        <f>$D68-vlookup(Summary!$C68,Summary!$C$2:$Q$103,3+counta($F$1:Q$1),false)</f>
        <v>-0.1</v>
      </c>
    </row>
    <row r="69" ht="15.75" customHeight="1">
      <c r="A69" s="15">
        <f>Main!A69</f>
        <v>68</v>
      </c>
      <c r="B69" s="15" t="str">
        <f>Main!B69</f>
        <v>Ash Barty will be world number 1 in the WRA rankings after the US Open</v>
      </c>
      <c r="C69" s="15" t="str">
        <f>Main!C69</f>
        <v>Sport</v>
      </c>
      <c r="D69" s="15">
        <v>0.8</v>
      </c>
      <c r="F69" s="99">
        <f>$D69-vlookup(Summary!$C69,Summary!$C$2:$Q$103,3+counta($F$1:F$1),false)</f>
        <v>0</v>
      </c>
      <c r="G69" s="99">
        <f>$D69-vlookup(Summary!$C69,Summary!$C$2:$Q$103,3+counta($F$1:G$1),false)</f>
        <v>-0.1</v>
      </c>
      <c r="H69" s="99">
        <f>$D69-vlookup(Summary!$C69,Summary!$C$2:$Q$103,3+counta($F$1:H$1),false)</f>
        <v>0</v>
      </c>
      <c r="I69" s="99">
        <f>$D69-vlookup(Summary!$C69,Summary!$C$2:$Q$103,3+counta($F$1:I$1),false)</f>
        <v>0</v>
      </c>
      <c r="J69" s="99">
        <f>$D69-vlookup(Summary!$C69,Summary!$C$2:$Q$103,3+counta($F$1:J$1),false)</f>
        <v>0</v>
      </c>
      <c r="K69" s="99">
        <f>$D69-vlookup(Summary!$C69,Summary!$C$2:$Q$103,3+counta($F$1:K$1),false)</f>
        <v>-0.18</v>
      </c>
      <c r="L69" s="99">
        <f>$D69-vlookup(Summary!$C69,Summary!$C$2:$Q$103,3+counta($F$1:L$1),false)</f>
        <v>-0.199</v>
      </c>
      <c r="M69" s="99">
        <f>$D69-vlookup(Summary!$C69,Summary!$C$2:$Q$103,3+counta($F$1:M$1),false)</f>
        <v>0</v>
      </c>
      <c r="N69" s="99">
        <f>$D69-vlookup(Summary!$C69,Summary!$C$2:$Q$103,3+counta($F$1:N$1),false)</f>
        <v>-0.1</v>
      </c>
      <c r="O69" s="99">
        <f>$D69-vlookup(Summary!$C69,Summary!$C$2:$Q$103,3+counta($F$1:O$1),false)</f>
        <v>0.3</v>
      </c>
      <c r="P69" s="99">
        <f>$D69-vlookup(Summary!$C69,Summary!$C$2:$Q$103,3+counta($F$1:P$1),false)</f>
        <v>-0.1</v>
      </c>
      <c r="Q69" s="99">
        <f>$D69-vlookup(Summary!$C69,Summary!$C$2:$Q$103,3+counta($F$1:Q$1),false)</f>
        <v>0.25</v>
      </c>
    </row>
    <row r="70" ht="15.75" customHeight="1">
      <c r="A70" s="15">
        <f>Main!A70</f>
        <v>69</v>
      </c>
      <c r="B70" s="15" t="str">
        <f>Main!B70</f>
        <v>Neither Roger Federer nor Serena Williams will win a Grand Slam tennis tournament</v>
      </c>
      <c r="C70" s="15" t="str">
        <f>Main!C70</f>
        <v>Sport</v>
      </c>
      <c r="D70" s="15">
        <v>0.95</v>
      </c>
      <c r="F70" s="99">
        <f>$D70-vlookup(Summary!$C70,Summary!$C$2:$Q$103,3+counta($F$1:F$1),false)</f>
        <v>0.3</v>
      </c>
      <c r="G70" s="99">
        <f>$D70-vlookup(Summary!$C70,Summary!$C$2:$Q$103,3+counta($F$1:G$1),false)</f>
        <v>0.15</v>
      </c>
      <c r="H70" s="99">
        <f>$D70-vlookup(Summary!$C70,Summary!$C$2:$Q$103,3+counta($F$1:H$1),false)</f>
        <v>0</v>
      </c>
      <c r="I70" s="99">
        <f>$D70-vlookup(Summary!$C70,Summary!$C$2:$Q$103,3+counta($F$1:I$1),false)</f>
        <v>0.55</v>
      </c>
      <c r="J70" s="99">
        <f>$D70-vlookup(Summary!$C70,Summary!$C$2:$Q$103,3+counta($F$1:J$1),false)</f>
        <v>0.15</v>
      </c>
      <c r="K70" s="99">
        <f>$D70-vlookup(Summary!$C70,Summary!$C$2:$Q$103,3+counta($F$1:K$1),false)</f>
        <v>0.05</v>
      </c>
      <c r="L70" s="99">
        <f>$D70-vlookup(Summary!$C70,Summary!$C$2:$Q$103,3+counta($F$1:L$1),false)</f>
        <v>-0.049</v>
      </c>
      <c r="M70" s="99">
        <f>$D70-vlookup(Summary!$C70,Summary!$C$2:$Q$103,3+counta($F$1:M$1),false)</f>
        <v>0</v>
      </c>
      <c r="N70" s="99">
        <f>$D70-vlookup(Summary!$C70,Summary!$C$2:$Q$103,3+counta($F$1:N$1),false)</f>
        <v>0.15</v>
      </c>
      <c r="O70" s="99">
        <f>$D70-vlookup(Summary!$C70,Summary!$C$2:$Q$103,3+counta($F$1:O$1),false)</f>
        <v>0.1</v>
      </c>
      <c r="P70" s="99">
        <f>$D70-vlookup(Summary!$C70,Summary!$C$2:$Q$103,3+counta($F$1:P$1),false)</f>
        <v>0.85</v>
      </c>
      <c r="Q70" s="99">
        <f>$D70-vlookup(Summary!$C70,Summary!$C$2:$Q$103,3+counta($F$1:Q$1),false)</f>
        <v>0.45</v>
      </c>
    </row>
    <row r="71" ht="15.75" customHeight="1">
      <c r="A71" s="15">
        <f>Main!A71</f>
        <v>70</v>
      </c>
      <c r="B71" s="15" t="str">
        <f>Main!B71</f>
        <v>The Football World Cup will not go ahead on the scheduled dates in Qatar</v>
      </c>
      <c r="C71" s="15" t="str">
        <f>Main!C71</f>
        <v>Sport</v>
      </c>
      <c r="D71" s="15">
        <v>0.1</v>
      </c>
      <c r="F71" s="99">
        <f>$D71-vlookup(Summary!$C71,Summary!$C$2:$Q$103,3+counta($F$1:F$1),false)</f>
        <v>-0.3</v>
      </c>
      <c r="G71" s="99">
        <f>$D71-vlookup(Summary!$C71,Summary!$C$2:$Q$103,3+counta($F$1:G$1),false)</f>
        <v>-0.15</v>
      </c>
      <c r="H71" s="99">
        <f>$D71-vlookup(Summary!$C71,Summary!$C$2:$Q$103,3+counta($F$1:H$1),false)</f>
        <v>0</v>
      </c>
      <c r="I71" s="99">
        <f>$D71-vlookup(Summary!$C71,Summary!$C$2:$Q$103,3+counta($F$1:I$1),false)</f>
        <v>-0.4</v>
      </c>
      <c r="J71" s="99">
        <f>$D71-vlookup(Summary!$C71,Summary!$C$2:$Q$103,3+counta($F$1:J$1),false)</f>
        <v>-0.4</v>
      </c>
      <c r="K71" s="99">
        <f>$D71-vlookup(Summary!$C71,Summary!$C$2:$Q$103,3+counta($F$1:K$1),false)</f>
        <v>-0.2</v>
      </c>
      <c r="L71" s="99">
        <f>$D71-vlookup(Summary!$C71,Summary!$C$2:$Q$103,3+counta($F$1:L$1),false)</f>
        <v>-0.45</v>
      </c>
      <c r="M71" s="99">
        <f>$D71-vlookup(Summary!$C71,Summary!$C$2:$Q$103,3+counta($F$1:M$1),false)</f>
        <v>0</v>
      </c>
      <c r="N71" s="99">
        <f>$D71-vlookup(Summary!$C71,Summary!$C$2:$Q$103,3+counta($F$1:N$1),false)</f>
        <v>0</v>
      </c>
      <c r="O71" s="99">
        <f>$D71-vlookup(Summary!$C71,Summary!$C$2:$Q$103,3+counta($F$1:O$1),false)</f>
        <v>-0.55</v>
      </c>
      <c r="P71" s="99">
        <f>$D71-vlookup(Summary!$C71,Summary!$C$2:$Q$103,3+counta($F$1:P$1),false)</f>
        <v>-0.8</v>
      </c>
      <c r="Q71" s="99">
        <f>$D71-vlookup(Summary!$C71,Summary!$C$2:$Q$103,3+counta($F$1:Q$1),false)</f>
        <v>-0.1</v>
      </c>
    </row>
    <row r="72" ht="15.75" customHeight="1">
      <c r="A72" s="15">
        <f>Main!A72</f>
        <v>71</v>
      </c>
      <c r="B72" s="15" t="str">
        <f>Main!B72</f>
        <v>Lewis hamilton will win the 2022 world championship in Formula 1</v>
      </c>
      <c r="C72" s="15" t="str">
        <f>Main!C72</f>
        <v>Sport</v>
      </c>
      <c r="D72" s="15">
        <v>0.6</v>
      </c>
      <c r="F72" s="99">
        <f>$D72-vlookup(Summary!$C72,Summary!$C$2:$Q$103,3+counta($F$1:F$1),false)</f>
        <v>0</v>
      </c>
      <c r="G72" s="99">
        <f>$D72-vlookup(Summary!$C72,Summary!$C$2:$Q$103,3+counta($F$1:G$1),false)</f>
        <v>0.4</v>
      </c>
      <c r="H72" s="99">
        <f>$D72-vlookup(Summary!$C72,Summary!$C$2:$Q$103,3+counta($F$1:H$1),false)</f>
        <v>0</v>
      </c>
      <c r="I72" s="99">
        <f>$D72-vlookup(Summary!$C72,Summary!$C$2:$Q$103,3+counta($F$1:I$1),false)</f>
        <v>0.1</v>
      </c>
      <c r="J72" s="99">
        <f>$D72-vlookup(Summary!$C72,Summary!$C$2:$Q$103,3+counta($F$1:J$1),false)</f>
        <v>-0.2</v>
      </c>
      <c r="K72" s="99">
        <f>$D72-vlookup(Summary!$C72,Summary!$C$2:$Q$103,3+counta($F$1:K$1),false)</f>
        <v>-0.2</v>
      </c>
      <c r="L72" s="99">
        <f>$D72-vlookup(Summary!$C72,Summary!$C$2:$Q$103,3+counta($F$1:L$1),false)</f>
        <v>0</v>
      </c>
      <c r="M72" s="99">
        <f>$D72-vlookup(Summary!$C72,Summary!$C$2:$Q$103,3+counta($F$1:M$1),false)</f>
        <v>0</v>
      </c>
      <c r="N72" s="99">
        <f>$D72-vlookup(Summary!$C72,Summary!$C$2:$Q$103,3+counta($F$1:N$1),false)</f>
        <v>-0.2</v>
      </c>
      <c r="O72" s="99">
        <f>$D72-vlookup(Summary!$C72,Summary!$C$2:$Q$103,3+counta($F$1:O$1),false)</f>
        <v>0.25</v>
      </c>
      <c r="P72" s="99">
        <f>$D72-vlookup(Summary!$C72,Summary!$C$2:$Q$103,3+counta($F$1:P$1),false)</f>
        <v>-0.3</v>
      </c>
      <c r="Q72" s="99">
        <f>$D72-vlookup(Summary!$C72,Summary!$C$2:$Q$103,3+counta($F$1:Q$1),false)</f>
        <v>-0.05</v>
      </c>
    </row>
    <row r="73" ht="15.75" customHeight="1">
      <c r="A73" s="15">
        <f>Main!A73</f>
        <v>72</v>
      </c>
      <c r="B73" s="15" t="str">
        <f>Main!B73</f>
        <v>The Haas F1 team will score 0 points in the 2022 season</v>
      </c>
      <c r="C73" s="15" t="str">
        <f>Main!C73</f>
        <v>Sport</v>
      </c>
      <c r="D73" s="15">
        <v>0.5</v>
      </c>
      <c r="F73" s="99">
        <f>$D73-vlookup(Summary!$C73,Summary!$C$2:$Q$103,3+counta($F$1:F$1),false)</f>
        <v>0</v>
      </c>
      <c r="G73" s="99">
        <f>$D73-vlookup(Summary!$C73,Summary!$C$2:$Q$103,3+counta($F$1:G$1),false)</f>
        <v>-0.2</v>
      </c>
      <c r="H73" s="99">
        <f>$D73-vlookup(Summary!$C73,Summary!$C$2:$Q$103,3+counta($F$1:H$1),false)</f>
        <v>0</v>
      </c>
      <c r="I73" s="99">
        <f>$D73-vlookup(Summary!$C73,Summary!$C$2:$Q$103,3+counta($F$1:I$1),false)</f>
        <v>0</v>
      </c>
      <c r="J73" s="99">
        <f>$D73-vlookup(Summary!$C73,Summary!$C$2:$Q$103,3+counta($F$1:J$1),false)</f>
        <v>0.2</v>
      </c>
      <c r="K73" s="99">
        <f>$D73-vlookup(Summary!$C73,Summary!$C$2:$Q$103,3+counta($F$1:K$1),false)</f>
        <v>0</v>
      </c>
      <c r="L73" s="99">
        <f>$D73-vlookup(Summary!$C73,Summary!$C$2:$Q$103,3+counta($F$1:L$1),false)</f>
        <v>0</v>
      </c>
      <c r="M73" s="99">
        <f>$D73-vlookup(Summary!$C73,Summary!$C$2:$Q$103,3+counta($F$1:M$1),false)</f>
        <v>0</v>
      </c>
      <c r="N73" s="99">
        <f>$D73-vlookup(Summary!$C73,Summary!$C$2:$Q$103,3+counta($F$1:N$1),false)</f>
        <v>0</v>
      </c>
      <c r="O73" s="99">
        <f>$D73-vlookup(Summary!$C73,Summary!$C$2:$Q$103,3+counta($F$1:O$1),false)</f>
        <v>-0.15</v>
      </c>
      <c r="P73" s="99">
        <f>$D73-vlookup(Summary!$C73,Summary!$C$2:$Q$103,3+counta($F$1:P$1),false)</f>
        <v>0.4</v>
      </c>
      <c r="Q73" s="99">
        <f>$D73-vlookup(Summary!$C73,Summary!$C$2:$Q$103,3+counta($F$1:Q$1),false)</f>
        <v>-0.1</v>
      </c>
    </row>
    <row r="74" ht="15.75" customHeight="1">
      <c r="A74" s="15">
        <f>Main!A74</f>
        <v>73</v>
      </c>
      <c r="B74" s="15" t="str">
        <f>Main!B74</f>
        <v>ULA's vulcan centaur will launch succesfully (places a payload into orbit)</v>
      </c>
      <c r="C74" s="15" t="str">
        <f>Main!C74</f>
        <v>Technology</v>
      </c>
      <c r="D74" s="15">
        <v>0.7</v>
      </c>
      <c r="F74" s="99">
        <f>$D74-vlookup(Summary!$C74,Summary!$C$2:$Q$103,3+counta($F$1:F$1),false)</f>
        <v>0.1</v>
      </c>
      <c r="G74" s="99">
        <f>$D74-vlookup(Summary!$C74,Summary!$C$2:$Q$103,3+counta($F$1:G$1),false)</f>
        <v>0</v>
      </c>
      <c r="H74" s="99">
        <f>$D74-vlookup(Summary!$C74,Summary!$C$2:$Q$103,3+counta($F$1:H$1),false)</f>
        <v>0</v>
      </c>
      <c r="I74" s="99">
        <f>$D74-vlookup(Summary!$C74,Summary!$C$2:$Q$103,3+counta($F$1:I$1),false)</f>
        <v>0.1</v>
      </c>
      <c r="J74" s="99">
        <f>$D74-vlookup(Summary!$C74,Summary!$C$2:$Q$103,3+counta($F$1:J$1),false)</f>
        <v>0.1</v>
      </c>
      <c r="K74" s="99">
        <f>$D74-vlookup(Summary!$C74,Summary!$C$2:$Q$103,3+counta($F$1:K$1),false)</f>
        <v>0.1</v>
      </c>
      <c r="L74" s="99">
        <f>$D74-vlookup(Summary!$C74,Summary!$C$2:$Q$103,3+counta($F$1:L$1),false)</f>
        <v>0.5</v>
      </c>
      <c r="M74" s="99">
        <f>$D74-vlookup(Summary!$C74,Summary!$C$2:$Q$103,3+counta($F$1:M$1),false)</f>
        <v>0</v>
      </c>
      <c r="N74" s="99">
        <f>$D74-vlookup(Summary!$C74,Summary!$C$2:$Q$103,3+counta($F$1:N$1),false)</f>
        <v>0.3</v>
      </c>
      <c r="O74" s="99">
        <f>$D74-vlookup(Summary!$C74,Summary!$C$2:$Q$103,3+counta($F$1:O$1),false)</f>
        <v>-0.15</v>
      </c>
      <c r="P74" s="99">
        <f>$D74-vlookup(Summary!$C74,Summary!$C$2:$Q$103,3+counta($F$1:P$1),false)</f>
        <v>0.2</v>
      </c>
      <c r="Q74" s="99">
        <f>$D74-vlookup(Summary!$C74,Summary!$C$2:$Q$103,3+counta($F$1:Q$1),false)</f>
        <v>0.2</v>
      </c>
    </row>
    <row r="75" ht="15.75" customHeight="1">
      <c r="A75" s="15">
        <f>Main!A75</f>
        <v>74</v>
      </c>
      <c r="B75" s="15" t="str">
        <f>Main!B75</f>
        <v>NASA will declare its Artemis 1 mission a success</v>
      </c>
      <c r="C75" s="15" t="str">
        <f>Main!C75</f>
        <v>Technology</v>
      </c>
      <c r="D75" s="15">
        <v>0.7</v>
      </c>
      <c r="F75" s="99">
        <f>$D75-vlookup(Summary!$C75,Summary!$C$2:$Q$103,3+counta($F$1:F$1),false)</f>
        <v>0</v>
      </c>
      <c r="G75" s="99">
        <f>$D75-vlookup(Summary!$C75,Summary!$C$2:$Q$103,3+counta($F$1:G$1),false)</f>
        <v>-0.1</v>
      </c>
      <c r="H75" s="99">
        <f>$D75-vlookup(Summary!$C75,Summary!$C$2:$Q$103,3+counta($F$1:H$1),false)</f>
        <v>0</v>
      </c>
      <c r="I75" s="99">
        <f>$D75-vlookup(Summary!$C75,Summary!$C$2:$Q$103,3+counta($F$1:I$1),false)</f>
        <v>0</v>
      </c>
      <c r="J75" s="99">
        <f>$D75-vlookup(Summary!$C75,Summary!$C$2:$Q$103,3+counta($F$1:J$1),false)</f>
        <v>0</v>
      </c>
      <c r="K75" s="99">
        <f>$D75-vlookup(Summary!$C75,Summary!$C$2:$Q$103,3+counta($F$1:K$1),false)</f>
        <v>-0.1</v>
      </c>
      <c r="L75" s="99">
        <f>$D75-vlookup(Summary!$C75,Summary!$C$2:$Q$103,3+counta($F$1:L$1),false)</f>
        <v>0.1</v>
      </c>
      <c r="M75" s="99">
        <f>$D75-vlookup(Summary!$C75,Summary!$C$2:$Q$103,3+counta($F$1:M$1),false)</f>
        <v>0</v>
      </c>
      <c r="N75" s="99">
        <f>$D75-vlookup(Summary!$C75,Summary!$C$2:$Q$103,3+counta($F$1:N$1),false)</f>
        <v>0.2</v>
      </c>
      <c r="O75" s="99">
        <f>$D75-vlookup(Summary!$C75,Summary!$C$2:$Q$103,3+counta($F$1:O$1),false)</f>
        <v>0.05</v>
      </c>
      <c r="P75" s="99">
        <f>$D75-vlookup(Summary!$C75,Summary!$C$2:$Q$103,3+counta($F$1:P$1),false)</f>
        <v>0.2</v>
      </c>
      <c r="Q75" s="99">
        <f>$D75-vlookup(Summary!$C75,Summary!$C$2:$Q$103,3+counta($F$1:Q$1),false)</f>
        <v>0</v>
      </c>
    </row>
    <row r="76" ht="15.75" customHeight="1">
      <c r="A76" s="15">
        <f>Main!A76</f>
        <v>75</v>
      </c>
      <c r="B76" s="15" t="str">
        <f>Main!B76</f>
        <v>Starship/Superheavy will place Starship into a (partial) orbital trajectory</v>
      </c>
      <c r="C76" s="15" t="str">
        <f>Main!C76</f>
        <v>Technology</v>
      </c>
      <c r="D76" s="15">
        <v>0.6</v>
      </c>
      <c r="F76" s="99">
        <f>$D76-vlookup(Summary!$C76,Summary!$C$2:$Q$103,3+counta($F$1:F$1),false)</f>
        <v>-0.05</v>
      </c>
      <c r="G76" s="99">
        <f>$D76-vlookup(Summary!$C76,Summary!$C$2:$Q$103,3+counta($F$1:G$1),false)</f>
        <v>0</v>
      </c>
      <c r="H76" s="99">
        <f>$D76-vlookup(Summary!$C76,Summary!$C$2:$Q$103,3+counta($F$1:H$1),false)</f>
        <v>0</v>
      </c>
      <c r="I76" s="99">
        <f>$D76-vlookup(Summary!$C76,Summary!$C$2:$Q$103,3+counta($F$1:I$1),false)</f>
        <v>-0.05</v>
      </c>
      <c r="J76" s="99">
        <f>$D76-vlookup(Summary!$C76,Summary!$C$2:$Q$103,3+counta($F$1:J$1),false)</f>
        <v>-0.1</v>
      </c>
      <c r="K76" s="99">
        <f>$D76-vlookup(Summary!$C76,Summary!$C$2:$Q$103,3+counta($F$1:K$1),false)</f>
        <v>0.1</v>
      </c>
      <c r="L76" s="99">
        <f>$D76-vlookup(Summary!$C76,Summary!$C$2:$Q$103,3+counta($F$1:L$1),false)</f>
        <v>0.1</v>
      </c>
      <c r="M76" s="99">
        <f>$D76-vlookup(Summary!$C76,Summary!$C$2:$Q$103,3+counta($F$1:M$1),false)</f>
        <v>0</v>
      </c>
      <c r="N76" s="99">
        <f>$D76-vlookup(Summary!$C76,Summary!$C$2:$Q$103,3+counta($F$1:N$1),false)</f>
        <v>0.1</v>
      </c>
      <c r="O76" s="99">
        <f>$D76-vlookup(Summary!$C76,Summary!$C$2:$Q$103,3+counta($F$1:O$1),false)</f>
        <v>-0.25</v>
      </c>
      <c r="P76" s="99">
        <f>$D76-vlookup(Summary!$C76,Summary!$C$2:$Q$103,3+counta($F$1:P$1),false)</f>
        <v>0.1</v>
      </c>
      <c r="Q76" s="99">
        <f>$D76-vlookup(Summary!$C76,Summary!$C$2:$Q$103,3+counta($F$1:Q$1),false)</f>
        <v>0.1</v>
      </c>
    </row>
    <row r="77" ht="15.75" customHeight="1">
      <c r="A77" s="15">
        <f>Main!A77</f>
        <v>76</v>
      </c>
      <c r="B77" s="15" t="str">
        <f>Main!B77</f>
        <v>James Webb telescope will deploy at L2 and 1 image from its Near-Infrared Camera (NIRCam) will be available on the internet for viewing by the public</v>
      </c>
      <c r="C77" s="15" t="str">
        <f>Main!C77</f>
        <v>Technology</v>
      </c>
      <c r="D77" s="15">
        <v>0.9</v>
      </c>
      <c r="F77" s="99">
        <f>$D77-vlookup(Summary!$C77,Summary!$C$2:$Q$103,3+counta($F$1:F$1),false)</f>
        <v>0.2</v>
      </c>
      <c r="G77" s="99">
        <f>$D77-vlookup(Summary!$C77,Summary!$C$2:$Q$103,3+counta($F$1:G$1),false)</f>
        <v>0.1</v>
      </c>
      <c r="H77" s="99">
        <f>$D77-vlookup(Summary!$C77,Summary!$C$2:$Q$103,3+counta($F$1:H$1),false)</f>
        <v>0</v>
      </c>
      <c r="I77" s="99">
        <f>$D77-vlookup(Summary!$C77,Summary!$C$2:$Q$103,3+counta($F$1:I$1),false)</f>
        <v>0.2</v>
      </c>
      <c r="J77" s="99">
        <f>$D77-vlookup(Summary!$C77,Summary!$C$2:$Q$103,3+counta($F$1:J$1),false)</f>
        <v>0.1</v>
      </c>
      <c r="K77" s="99">
        <f>$D77-vlookup(Summary!$C77,Summary!$C$2:$Q$103,3+counta($F$1:K$1),false)</f>
        <v>0.25</v>
      </c>
      <c r="L77" s="99">
        <f>$D77-vlookup(Summary!$C77,Summary!$C$2:$Q$103,3+counta($F$1:L$1),false)</f>
        <v>0.2</v>
      </c>
      <c r="M77" s="99">
        <f>$D77-vlookup(Summary!$C77,Summary!$C$2:$Q$103,3+counta($F$1:M$1),false)</f>
        <v>0</v>
      </c>
      <c r="N77" s="99">
        <f>$D77-vlookup(Summary!$C77,Summary!$C$2:$Q$103,3+counta($F$1:N$1),false)</f>
        <v>0.4</v>
      </c>
      <c r="O77" s="99">
        <f>$D77-vlookup(Summary!$C77,Summary!$C$2:$Q$103,3+counta($F$1:O$1),false)</f>
        <v>-0.099</v>
      </c>
      <c r="P77" s="99">
        <f>$D77-vlookup(Summary!$C77,Summary!$C$2:$Q$103,3+counta($F$1:P$1),false)</f>
        <v>0</v>
      </c>
      <c r="Q77" s="99">
        <f>$D77-vlookup(Summary!$C77,Summary!$C$2:$Q$103,3+counta($F$1:Q$1),false)</f>
        <v>0.4</v>
      </c>
    </row>
    <row r="78" ht="15.75" customHeight="1">
      <c r="A78" s="15">
        <f>Main!A78</f>
        <v>77</v>
      </c>
      <c r="B78" s="15" t="str">
        <f>Main!B78</f>
        <v>Facebook connect 2022 (or its 'meta' equivalent) will be hosted in virtual reality / a ('the'?) metaverse</v>
      </c>
      <c r="C78" s="15" t="str">
        <f>Main!C78</f>
        <v>Technology</v>
      </c>
      <c r="D78" s="15">
        <v>0.9</v>
      </c>
      <c r="F78" s="99">
        <f>$D78-vlookup(Summary!$C78,Summary!$C$2:$Q$103,3+counta($F$1:F$1),false)</f>
        <v>0.6</v>
      </c>
      <c r="G78" s="99">
        <f>$D78-vlookup(Summary!$C78,Summary!$C$2:$Q$103,3+counta($F$1:G$1),false)</f>
        <v>0.3</v>
      </c>
      <c r="H78" s="99">
        <f>$D78-vlookup(Summary!$C78,Summary!$C$2:$Q$103,3+counta($F$1:H$1),false)</f>
        <v>0</v>
      </c>
      <c r="I78" s="99">
        <f>$D78-vlookup(Summary!$C78,Summary!$C$2:$Q$103,3+counta($F$1:I$1),false)</f>
        <v>0.8</v>
      </c>
      <c r="J78" s="99">
        <f>$D78-vlookup(Summary!$C78,Summary!$C$2:$Q$103,3+counta($F$1:J$1),false)</f>
        <v>0</v>
      </c>
      <c r="K78" s="99">
        <f>$D78-vlookup(Summary!$C78,Summary!$C$2:$Q$103,3+counta($F$1:K$1),false)</f>
        <v>0.4</v>
      </c>
      <c r="L78" s="99">
        <f>$D78-vlookup(Summary!$C78,Summary!$C$2:$Q$103,3+counta($F$1:L$1),false)</f>
        <v>0.4</v>
      </c>
      <c r="M78" s="99">
        <f>$D78-vlookup(Summary!$C78,Summary!$C$2:$Q$103,3+counta($F$1:M$1),false)</f>
        <v>0</v>
      </c>
      <c r="N78" s="99">
        <f>$D78-vlookup(Summary!$C78,Summary!$C$2:$Q$103,3+counta($F$1:N$1),false)</f>
        <v>0.7</v>
      </c>
      <c r="O78" s="99">
        <f>$D78-vlookup(Summary!$C78,Summary!$C$2:$Q$103,3+counta($F$1:O$1),false)</f>
        <v>0.55</v>
      </c>
      <c r="P78" s="99">
        <f>$D78-vlookup(Summary!$C78,Summary!$C$2:$Q$103,3+counta($F$1:P$1),false)</f>
        <v>0.4</v>
      </c>
      <c r="Q78" s="99">
        <f>$D78-vlookup(Summary!$C78,Summary!$C$2:$Q$103,3+counta($F$1:Q$1),false)</f>
        <v>0.2</v>
      </c>
    </row>
    <row r="79" ht="15.75" customHeight="1">
      <c r="A79" s="15">
        <f>Main!A79</f>
        <v>78</v>
      </c>
      <c r="B79" s="15" t="str">
        <f>Main!B79</f>
        <v>Apple will announce mixed reality glasses</v>
      </c>
      <c r="C79" s="15" t="str">
        <f>Main!C79</f>
        <v>Technology</v>
      </c>
      <c r="D79" s="15">
        <v>0.2</v>
      </c>
      <c r="F79" s="99">
        <f>$D79-vlookup(Summary!$C79,Summary!$C$2:$Q$103,3+counta($F$1:F$1),false)</f>
        <v>-0.05</v>
      </c>
      <c r="G79" s="99">
        <f>$D79-vlookup(Summary!$C79,Summary!$C$2:$Q$103,3+counta($F$1:G$1),false)</f>
        <v>-0.2</v>
      </c>
      <c r="H79" s="99">
        <f>$D79-vlookup(Summary!$C79,Summary!$C$2:$Q$103,3+counta($F$1:H$1),false)</f>
        <v>0</v>
      </c>
      <c r="I79" s="99">
        <f>$D79-vlookup(Summary!$C79,Summary!$C$2:$Q$103,3+counta($F$1:I$1),false)</f>
        <v>0.1</v>
      </c>
      <c r="J79" s="99">
        <f>$D79-vlookup(Summary!$C79,Summary!$C$2:$Q$103,3+counta($F$1:J$1),false)</f>
        <v>-0.7</v>
      </c>
      <c r="K79" s="99">
        <f>$D79-vlookup(Summary!$C79,Summary!$C$2:$Q$103,3+counta($F$1:K$1),false)</f>
        <v>-0.475</v>
      </c>
      <c r="L79" s="99">
        <f>$D79-vlookup(Summary!$C79,Summary!$C$2:$Q$103,3+counta($F$1:L$1),false)</f>
        <v>-0.25</v>
      </c>
      <c r="M79" s="99">
        <f>$D79-vlookup(Summary!$C79,Summary!$C$2:$Q$103,3+counta($F$1:M$1),false)</f>
        <v>0</v>
      </c>
      <c r="N79" s="99">
        <f>$D79-vlookup(Summary!$C79,Summary!$C$2:$Q$103,3+counta($F$1:N$1),false)</f>
        <v>-0.5</v>
      </c>
      <c r="O79" s="99">
        <f>$D79-vlookup(Summary!$C79,Summary!$C$2:$Q$103,3+counta($F$1:O$1),false)</f>
        <v>-0.15</v>
      </c>
      <c r="P79" s="99">
        <f>$D79-vlookup(Summary!$C79,Summary!$C$2:$Q$103,3+counta($F$1:P$1),false)</f>
        <v>0.1</v>
      </c>
      <c r="Q79" s="99">
        <f>$D79-vlookup(Summary!$C79,Summary!$C$2:$Q$103,3+counta($F$1:Q$1),false)</f>
        <v>-0.6</v>
      </c>
    </row>
    <row r="80" ht="15.75" customHeight="1">
      <c r="A80" s="15">
        <f>Main!A80</f>
        <v>79</v>
      </c>
      <c r="B80" s="15" t="str">
        <f>Main!B80</f>
        <v> In-app purchases of Kindle books will be possible in the Kindle iphone app</v>
      </c>
      <c r="C80" s="15" t="str">
        <f>Main!C80</f>
        <v>Technology</v>
      </c>
      <c r="D80" s="15">
        <v>0.2</v>
      </c>
      <c r="F80" s="99">
        <f>$D80-vlookup(Summary!$C80,Summary!$C$2:$Q$103,3+counta($F$1:F$1),false)</f>
        <v>-0.3</v>
      </c>
      <c r="G80" s="99">
        <f>$D80-vlookup(Summary!$C80,Summary!$C$2:$Q$103,3+counta($F$1:G$1),false)</f>
        <v>-0.35</v>
      </c>
      <c r="H80" s="99">
        <f>$D80-vlookup(Summary!$C80,Summary!$C$2:$Q$103,3+counta($F$1:H$1),false)</f>
        <v>0</v>
      </c>
      <c r="I80" s="99">
        <f>$D80-vlookup(Summary!$C80,Summary!$C$2:$Q$103,3+counta($F$1:I$1),false)</f>
        <v>-0.3</v>
      </c>
      <c r="J80" s="99">
        <f>$D80-vlookup(Summary!$C80,Summary!$C$2:$Q$103,3+counta($F$1:J$1),false)</f>
        <v>-0.7</v>
      </c>
      <c r="K80" s="99">
        <f>$D80-vlookup(Summary!$C80,Summary!$C$2:$Q$103,3+counta($F$1:K$1),false)</f>
        <v>-0.65</v>
      </c>
      <c r="L80" s="99">
        <f>$D80-vlookup(Summary!$C80,Summary!$C$2:$Q$103,3+counta($F$1:L$1),false)</f>
        <v>0</v>
      </c>
      <c r="M80" s="99">
        <f>$D80-vlookup(Summary!$C80,Summary!$C$2:$Q$103,3+counta($F$1:M$1),false)</f>
        <v>0</v>
      </c>
      <c r="N80" s="99">
        <f>$D80-vlookup(Summary!$C80,Summary!$C$2:$Q$103,3+counta($F$1:N$1),false)</f>
        <v>-0.6</v>
      </c>
      <c r="O80" s="99">
        <f>$D80-vlookup(Summary!$C80,Summary!$C$2:$Q$103,3+counta($F$1:O$1),false)</f>
        <v>0.05</v>
      </c>
      <c r="P80" s="99">
        <f>$D80-vlookup(Summary!$C80,Summary!$C$2:$Q$103,3+counta($F$1:P$1),false)</f>
        <v>-0.3</v>
      </c>
      <c r="Q80" s="99">
        <f>$D80-vlookup(Summary!$C80,Summary!$C$2:$Q$103,3+counta($F$1:Q$1),false)</f>
        <v>-0.3</v>
      </c>
    </row>
    <row r="81" ht="15.75" customHeight="1">
      <c r="A81" s="15">
        <f>Main!A81</f>
        <v>80</v>
      </c>
      <c r="B81" s="15" t="str">
        <f>Main!B81</f>
        <v>It will be possible for at least one of the prediction participants to have food delivered by drone to their place of residence as a mainstream service, without it being part of a specific trial.</v>
      </c>
      <c r="C81" s="15" t="str">
        <f>Main!C81</f>
        <v>Technology</v>
      </c>
      <c r="D81" s="15">
        <v>0.1</v>
      </c>
      <c r="F81" s="99">
        <f>$D81-vlookup(Summary!$C81,Summary!$C$2:$Q$103,3+counta($F$1:F$1),false)</f>
        <v>-0.1</v>
      </c>
      <c r="G81" s="99">
        <f>$D81-vlookup(Summary!$C81,Summary!$C$2:$Q$103,3+counta($F$1:G$1),false)</f>
        <v>-0.2</v>
      </c>
      <c r="H81" s="99">
        <f>$D81-vlookup(Summary!$C81,Summary!$C$2:$Q$103,3+counta($F$1:H$1),false)</f>
        <v>0</v>
      </c>
      <c r="I81" s="99">
        <f>$D81-vlookup(Summary!$C81,Summary!$C$2:$Q$103,3+counta($F$1:I$1),false)</f>
        <v>0</v>
      </c>
      <c r="J81" s="99">
        <f>$D81-vlookup(Summary!$C81,Summary!$C$2:$Q$103,3+counta($F$1:J$1),false)</f>
        <v>-0.3</v>
      </c>
      <c r="K81" s="99">
        <f>$D81-vlookup(Summary!$C81,Summary!$C$2:$Q$103,3+counta($F$1:K$1),false)</f>
        <v>-0.55</v>
      </c>
      <c r="L81" s="99">
        <f>$D81-vlookup(Summary!$C81,Summary!$C$2:$Q$103,3+counta($F$1:L$1),false)</f>
        <v>-0.4</v>
      </c>
      <c r="M81" s="99">
        <f>$D81-vlookup(Summary!$C81,Summary!$C$2:$Q$103,3+counta($F$1:M$1),false)</f>
        <v>0</v>
      </c>
      <c r="N81" s="99">
        <f>$D81-vlookup(Summary!$C81,Summary!$C$2:$Q$103,3+counta($F$1:N$1),false)</f>
        <v>-0.6</v>
      </c>
      <c r="O81" s="99">
        <f>$D81-vlookup(Summary!$C81,Summary!$C$2:$Q$103,3+counta($F$1:O$1),false)</f>
        <v>-0.55</v>
      </c>
      <c r="P81" s="99">
        <f>$D81-vlookup(Summary!$C81,Summary!$C$2:$Q$103,3+counta($F$1:P$1),false)</f>
        <v>-0.8</v>
      </c>
      <c r="Q81" s="99">
        <f>$D81-vlookup(Summary!$C81,Summary!$C$2:$Q$103,3+counta($F$1:Q$1),false)</f>
        <v>-0.55</v>
      </c>
    </row>
    <row r="82" ht="15.75" customHeight="1">
      <c r="A82" s="15">
        <f>Main!A82</f>
        <v>81</v>
      </c>
      <c r="B82" s="15" t="str">
        <f>Main!B82</f>
        <v>TMTG, the company that owns Trump’s “TRUTH Social” platform, will have a market cap of over $20 billion USD. (Twitter is around 35b)</v>
      </c>
      <c r="C82" s="15" t="str">
        <f>Main!C82</f>
        <v>Technology</v>
      </c>
      <c r="D82" s="15">
        <v>0.2</v>
      </c>
      <c r="F82" s="99">
        <f>$D82-vlookup(Summary!$C82,Summary!$C$2:$Q$103,3+counta($F$1:F$1),false)</f>
        <v>-0.7</v>
      </c>
      <c r="G82" s="99">
        <f>$D82-vlookup(Summary!$C82,Summary!$C$2:$Q$103,3+counta($F$1:G$1),false)</f>
        <v>-0.79</v>
      </c>
      <c r="H82" s="99">
        <f>$D82-vlookup(Summary!$C82,Summary!$C$2:$Q$103,3+counta($F$1:H$1),false)</f>
        <v>0</v>
      </c>
      <c r="I82" s="99">
        <f>$D82-vlookup(Summary!$C82,Summary!$C$2:$Q$103,3+counta($F$1:I$1),false)</f>
        <v>-0.7</v>
      </c>
      <c r="J82" s="99">
        <f>$D82-vlookup(Summary!$C82,Summary!$C$2:$Q$103,3+counta($F$1:J$1),false)</f>
        <v>-0.1</v>
      </c>
      <c r="K82" s="99">
        <f>$D82-vlookup(Summary!$C82,Summary!$C$2:$Q$103,3+counta($F$1:K$1),false)</f>
        <v>-0.6</v>
      </c>
      <c r="L82" s="99">
        <f>$D82-vlookup(Summary!$C82,Summary!$C$2:$Q$103,3+counta($F$1:L$1),false)</f>
        <v>0</v>
      </c>
      <c r="M82" s="99">
        <f>$D82-vlookup(Summary!$C82,Summary!$C$2:$Q$103,3+counta($F$1:M$1),false)</f>
        <v>0</v>
      </c>
      <c r="N82" s="99">
        <f>$D82-vlookup(Summary!$C82,Summary!$C$2:$Q$103,3+counta($F$1:N$1),false)</f>
        <v>0.1</v>
      </c>
      <c r="O82" s="99">
        <f>$D82-vlookup(Summary!$C82,Summary!$C$2:$Q$103,3+counta($F$1:O$1),false)</f>
        <v>0.05</v>
      </c>
      <c r="P82" s="99">
        <f>$D82-vlookup(Summary!$C82,Summary!$C$2:$Q$103,3+counta($F$1:P$1),false)</f>
        <v>-0.3</v>
      </c>
      <c r="Q82" s="99">
        <f>$D82-vlookup(Summary!$C82,Summary!$C$2:$Q$103,3+counta($F$1:Q$1),false)</f>
        <v>-0.1</v>
      </c>
    </row>
    <row r="83" ht="15.75" customHeight="1">
      <c r="A83" s="15">
        <f>Main!A83</f>
        <v>82</v>
      </c>
      <c r="B83" s="15" t="str">
        <f>Main!B83</f>
        <v>It will not be financially viable to mine ethereum using commercial GPUs.</v>
      </c>
      <c r="C83" s="15" t="str">
        <f>Main!C83</f>
        <v>Technology</v>
      </c>
      <c r="D83" s="15">
        <v>0.9</v>
      </c>
      <c r="F83" s="99">
        <f>$D83-vlookup(Summary!$C83,Summary!$C$2:$Q$103,3+counta($F$1:F$1),false)</f>
        <v>0.25</v>
      </c>
      <c r="G83" s="99">
        <f>$D83-vlookup(Summary!$C83,Summary!$C$2:$Q$103,3+counta($F$1:G$1),false)</f>
        <v>0.1</v>
      </c>
      <c r="H83" s="99">
        <f>$D83-vlookup(Summary!$C83,Summary!$C$2:$Q$103,3+counta($F$1:H$1),false)</f>
        <v>0</v>
      </c>
      <c r="I83" s="99">
        <f>$D83-vlookup(Summary!$C83,Summary!$C$2:$Q$103,3+counta($F$1:I$1),false)</f>
        <v>0.4</v>
      </c>
      <c r="J83" s="99">
        <f>$D83-vlookup(Summary!$C83,Summary!$C$2:$Q$103,3+counta($F$1:J$1),false)</f>
        <v>0.4</v>
      </c>
      <c r="K83" s="99">
        <f>$D83-vlookup(Summary!$C83,Summary!$C$2:$Q$103,3+counta($F$1:K$1),false)</f>
        <v>0.4</v>
      </c>
      <c r="L83" s="99">
        <f>$D83-vlookup(Summary!$C83,Summary!$C$2:$Q$103,3+counta($F$1:L$1),false)</f>
        <v>0.45</v>
      </c>
      <c r="M83" s="99">
        <f>$D83-vlookup(Summary!$C83,Summary!$C$2:$Q$103,3+counta($F$1:M$1),false)</f>
        <v>0</v>
      </c>
      <c r="N83" s="99">
        <f>$D83-vlookup(Summary!$C83,Summary!$C$2:$Q$103,3+counta($F$1:N$1),false)</f>
        <v>0.1</v>
      </c>
      <c r="O83" s="99">
        <f>$D83-vlookup(Summary!$C83,Summary!$C$2:$Q$103,3+counta($F$1:O$1),false)</f>
        <v>0.05</v>
      </c>
      <c r="P83" s="99">
        <f>$D83-vlookup(Summary!$C83,Summary!$C$2:$Q$103,3+counta($F$1:P$1),false)</f>
        <v>0.4</v>
      </c>
      <c r="Q83" s="99">
        <f>$D83-vlookup(Summary!$C83,Summary!$C$2:$Q$103,3+counta($F$1:Q$1),false)</f>
        <v>0.3</v>
      </c>
    </row>
    <row r="84" ht="15.75" customHeight="1">
      <c r="A84" s="15">
        <f>Main!A84</f>
        <v>83</v>
      </c>
      <c r="B84" s="15" t="str">
        <f>Main!B84</f>
        <v>China will have more than 800 satellites in orbit (currently around 500)</v>
      </c>
      <c r="C84" s="15" t="str">
        <f>Main!C84</f>
        <v>Technology</v>
      </c>
      <c r="D84" s="15">
        <v>0.05</v>
      </c>
      <c r="F84" s="99">
        <f>$D84-vlookup(Summary!$C84,Summary!$C$2:$Q$103,3+counta($F$1:F$1),false)</f>
        <v>-0.35</v>
      </c>
      <c r="G84" s="99">
        <f>$D84-vlookup(Summary!$C84,Summary!$C$2:$Q$103,3+counta($F$1:G$1),false)</f>
        <v>-0.6</v>
      </c>
      <c r="H84" s="99">
        <f>$D84-vlookup(Summary!$C84,Summary!$C$2:$Q$103,3+counta($F$1:H$1),false)</f>
        <v>0</v>
      </c>
      <c r="I84" s="99">
        <f>$D84-vlookup(Summary!$C84,Summary!$C$2:$Q$103,3+counta($F$1:I$1),false)</f>
        <v>-0.15</v>
      </c>
      <c r="J84" s="99">
        <f>$D84-vlookup(Summary!$C84,Summary!$C$2:$Q$103,3+counta($F$1:J$1),false)</f>
        <v>-0.65</v>
      </c>
      <c r="K84" s="99">
        <f>$D84-vlookup(Summary!$C84,Summary!$C$2:$Q$103,3+counta($F$1:K$1),false)</f>
        <v>-0.8</v>
      </c>
      <c r="L84" s="99">
        <f>$D84-vlookup(Summary!$C84,Summary!$C$2:$Q$103,3+counta($F$1:L$1),false)</f>
        <v>0.049</v>
      </c>
      <c r="M84" s="99">
        <f>$D84-vlookup(Summary!$C84,Summary!$C$2:$Q$103,3+counta($F$1:M$1),false)</f>
        <v>0</v>
      </c>
      <c r="N84" s="99">
        <f>$D84-vlookup(Summary!$C84,Summary!$C$2:$Q$103,3+counta($F$1:N$1),false)</f>
        <v>-0.05</v>
      </c>
      <c r="O84" s="99">
        <f>$D84-vlookup(Summary!$C84,Summary!$C$2:$Q$103,3+counta($F$1:O$1),false)</f>
        <v>0.049</v>
      </c>
      <c r="P84" s="99">
        <f>$D84-vlookup(Summary!$C84,Summary!$C$2:$Q$103,3+counta($F$1:P$1),false)</f>
        <v>-0.45</v>
      </c>
      <c r="Q84" s="99">
        <f>$D84-vlookup(Summary!$C84,Summary!$C$2:$Q$103,3+counta($F$1:Q$1),false)</f>
        <v>-0.6</v>
      </c>
    </row>
    <row r="85" ht="15.75" customHeight="1">
      <c r="A85" s="15">
        <f>Main!A85</f>
        <v>84</v>
      </c>
      <c r="B85" s="15" t="str">
        <f>Main!B85</f>
        <v>Australia will be in the top 40 countries for broadband speed (as tracked in wiki page)</v>
      </c>
      <c r="C85" s="15" t="str">
        <f>Main!C85</f>
        <v>Technology</v>
      </c>
      <c r="D85" s="15">
        <v>0.05</v>
      </c>
      <c r="F85" s="99">
        <f>$D85-vlookup(Summary!$C85,Summary!$C$2:$Q$103,3+counta($F$1:F$1),false)</f>
        <v>-0.15</v>
      </c>
      <c r="G85" s="99">
        <f>$D85-vlookup(Summary!$C85,Summary!$C$2:$Q$103,3+counta($F$1:G$1),false)</f>
        <v>-0.85</v>
      </c>
      <c r="H85" s="99">
        <f>$D85-vlookup(Summary!$C85,Summary!$C$2:$Q$103,3+counta($F$1:H$1),false)</f>
        <v>0</v>
      </c>
      <c r="I85" s="99">
        <f>$D85-vlookup(Summary!$C85,Summary!$C$2:$Q$103,3+counta($F$1:I$1),false)</f>
        <v>-0.25</v>
      </c>
      <c r="J85" s="99">
        <f>$D85-vlookup(Summary!$C85,Summary!$C$2:$Q$103,3+counta($F$1:J$1),false)</f>
        <v>-0.15</v>
      </c>
      <c r="K85" s="99">
        <f>$D85-vlookup(Summary!$C85,Summary!$C$2:$Q$103,3+counta($F$1:K$1),false)</f>
        <v>-0.65</v>
      </c>
      <c r="L85" s="99">
        <f>$D85-vlookup(Summary!$C85,Summary!$C$2:$Q$103,3+counta($F$1:L$1),false)</f>
        <v>0</v>
      </c>
      <c r="M85" s="99">
        <f>$D85-vlookup(Summary!$C85,Summary!$C$2:$Q$103,3+counta($F$1:M$1),false)</f>
        <v>0</v>
      </c>
      <c r="N85" s="99">
        <f>$D85-vlookup(Summary!$C85,Summary!$C$2:$Q$103,3+counta($F$1:N$1),false)</f>
        <v>-0.65</v>
      </c>
      <c r="O85" s="99">
        <f>$D85-vlookup(Summary!$C85,Summary!$C$2:$Q$103,3+counta($F$1:O$1),false)</f>
        <v>-0.1</v>
      </c>
      <c r="P85" s="99">
        <f>$D85-vlookup(Summary!$C85,Summary!$C$2:$Q$103,3+counta($F$1:P$1),false)</f>
        <v>-0.75</v>
      </c>
      <c r="Q85" s="99">
        <f>$D85-vlookup(Summary!$C85,Summary!$C$2:$Q$103,3+counta($F$1:Q$1),false)</f>
        <v>-0.65</v>
      </c>
    </row>
    <row r="86" ht="15.75" customHeight="1">
      <c r="A86" s="15">
        <f>Main!A86</f>
        <v>85</v>
      </c>
      <c r="B86" s="15" t="str">
        <f>Main!B86</f>
        <v>India will produce more total CO2 emissions than the US</v>
      </c>
      <c r="C86" s="15" t="str">
        <f>Main!C86</f>
        <v>Technology</v>
      </c>
      <c r="D86" s="15">
        <v>0.1</v>
      </c>
      <c r="F86" s="99">
        <f>$D86-vlookup(Summary!$C86,Summary!$C$2:$Q$103,3+counta($F$1:F$1),false)</f>
        <v>-0.2</v>
      </c>
      <c r="G86" s="99">
        <f>$D86-vlookup(Summary!$C86,Summary!$C$2:$Q$103,3+counta($F$1:G$1),false)</f>
        <v>-0.1</v>
      </c>
      <c r="H86" s="99">
        <f>$D86-vlookup(Summary!$C86,Summary!$C$2:$Q$103,3+counta($F$1:H$1),false)</f>
        <v>0</v>
      </c>
      <c r="I86" s="99">
        <f>$D86-vlookup(Summary!$C86,Summary!$C$2:$Q$103,3+counta($F$1:I$1),false)</f>
        <v>0</v>
      </c>
      <c r="J86" s="99">
        <f>$D86-vlookup(Summary!$C86,Summary!$C$2:$Q$103,3+counta($F$1:J$1),false)</f>
        <v>-0.4</v>
      </c>
      <c r="K86" s="99">
        <f>$D86-vlookup(Summary!$C86,Summary!$C$2:$Q$103,3+counta($F$1:K$1),false)</f>
        <v>-0.7</v>
      </c>
      <c r="L86" s="99">
        <f>$D86-vlookup(Summary!$C86,Summary!$C$2:$Q$103,3+counta($F$1:L$1),false)</f>
        <v>0.099</v>
      </c>
      <c r="M86" s="99">
        <f>$D86-vlookup(Summary!$C86,Summary!$C$2:$Q$103,3+counta($F$1:M$1),false)</f>
        <v>0</v>
      </c>
      <c r="N86" s="99">
        <f>$D86-vlookup(Summary!$C86,Summary!$C$2:$Q$103,3+counta($F$1:N$1),false)</f>
        <v>-0.7</v>
      </c>
      <c r="O86" s="99">
        <f>$D86-vlookup(Summary!$C86,Summary!$C$2:$Q$103,3+counta($F$1:O$1),false)</f>
        <v>-0.25</v>
      </c>
      <c r="P86" s="99">
        <f>$D86-vlookup(Summary!$C86,Summary!$C$2:$Q$103,3+counta($F$1:P$1),false)</f>
        <v>-0.7</v>
      </c>
      <c r="Q86" s="99">
        <f>$D86-vlookup(Summary!$C86,Summary!$C$2:$Q$103,3+counta($F$1:Q$1),false)</f>
        <v>-0.5</v>
      </c>
    </row>
    <row r="87" ht="15.75" customHeight="1">
      <c r="A87" s="15">
        <f>Main!A87</f>
        <v>86</v>
      </c>
      <c r="B87" s="15" t="str">
        <f>Main!B87</f>
        <v>The number of electric vehicles under $50K (excl on road costs) grows 67% or more in Australia, as listed on carsguide.com.au. Currently there are three cars: Hyundai Ioniq, Nissan Leaf and MG ZS EV</v>
      </c>
      <c r="C87" s="15" t="str">
        <f>Main!C87</f>
        <v>Technology</v>
      </c>
      <c r="D87" s="15">
        <v>0.7</v>
      </c>
      <c r="F87" s="99">
        <f>$D87-vlookup(Summary!$C87,Summary!$C$2:$Q$103,3+counta($F$1:F$1),false)</f>
        <v>0.3</v>
      </c>
      <c r="G87" s="99">
        <f>$D87-vlookup(Summary!$C87,Summary!$C$2:$Q$103,3+counta($F$1:G$1),false)</f>
        <v>-0.1</v>
      </c>
      <c r="H87" s="99">
        <f>$D87-vlookup(Summary!$C87,Summary!$C$2:$Q$103,3+counta($F$1:H$1),false)</f>
        <v>0</v>
      </c>
      <c r="I87" s="99">
        <f>$D87-vlookup(Summary!$C87,Summary!$C$2:$Q$103,3+counta($F$1:I$1),false)</f>
        <v>0.5</v>
      </c>
      <c r="J87" s="99">
        <f>$D87-vlookup(Summary!$C87,Summary!$C$2:$Q$103,3+counta($F$1:J$1),false)</f>
        <v>0.4</v>
      </c>
      <c r="K87" s="99">
        <f>$D87-vlookup(Summary!$C87,Summary!$C$2:$Q$103,3+counta($F$1:K$1),false)</f>
        <v>0.05</v>
      </c>
      <c r="L87" s="99">
        <f>$D87-vlookup(Summary!$C87,Summary!$C$2:$Q$103,3+counta($F$1:L$1),false)</f>
        <v>0.15</v>
      </c>
      <c r="M87" s="99">
        <f>$D87-vlookup(Summary!$C87,Summary!$C$2:$Q$103,3+counta($F$1:M$1),false)</f>
        <v>0</v>
      </c>
      <c r="N87" s="99">
        <f>$D87-vlookup(Summary!$C87,Summary!$C$2:$Q$103,3+counta($F$1:N$1),false)</f>
        <v>-0.2</v>
      </c>
      <c r="O87" s="99">
        <f>$D87-vlookup(Summary!$C87,Summary!$C$2:$Q$103,3+counta($F$1:O$1),false)</f>
        <v>0.35</v>
      </c>
      <c r="P87" s="99">
        <f>$D87-vlookup(Summary!$C87,Summary!$C$2:$Q$103,3+counta($F$1:P$1),false)</f>
        <v>0</v>
      </c>
      <c r="Q87" s="99">
        <f>$D87-vlookup(Summary!$C87,Summary!$C$2:$Q$103,3+counta($F$1:Q$1),false)</f>
        <v>0.35</v>
      </c>
    </row>
    <row r="88" ht="15.75" customHeight="1">
      <c r="A88" s="15">
        <f>Main!A88</f>
        <v>87</v>
      </c>
      <c r="B88" s="15" t="str">
        <f>Main!B88</f>
        <v>Boris Johnson will be replaced as Prime Minister by the Tory Party</v>
      </c>
      <c r="C88" s="15" t="str">
        <f>Main!C88</f>
        <v>World Politics</v>
      </c>
      <c r="D88" s="15">
        <v>0.3</v>
      </c>
      <c r="F88" s="99">
        <f>$D88-vlookup(Summary!$C88,Summary!$C$2:$Q$103,3+counta($F$1:F$1),false)</f>
        <v>-0.55</v>
      </c>
      <c r="G88" s="99">
        <f>$D88-vlookup(Summary!$C88,Summary!$C$2:$Q$103,3+counta($F$1:G$1),false)</f>
        <v>-0.5</v>
      </c>
      <c r="H88" s="99">
        <f>$D88-vlookup(Summary!$C88,Summary!$C$2:$Q$103,3+counta($F$1:H$1),false)</f>
        <v>0</v>
      </c>
      <c r="I88" s="99">
        <f>$D88-vlookup(Summary!$C88,Summary!$C$2:$Q$103,3+counta($F$1:I$1),false)</f>
        <v>-0.5</v>
      </c>
      <c r="J88" s="99">
        <f>$D88-vlookup(Summary!$C88,Summary!$C$2:$Q$103,3+counta($F$1:J$1),false)</f>
        <v>-0.1</v>
      </c>
      <c r="K88" s="99">
        <f>$D88-vlookup(Summary!$C88,Summary!$C$2:$Q$103,3+counta($F$1:K$1),false)</f>
        <v>-0.55</v>
      </c>
      <c r="L88" s="99">
        <f>$D88-vlookup(Summary!$C88,Summary!$C$2:$Q$103,3+counta($F$1:L$1),false)</f>
        <v>0.2</v>
      </c>
      <c r="M88" s="99">
        <f>$D88-vlookup(Summary!$C88,Summary!$C$2:$Q$103,3+counta($F$1:M$1),false)</f>
        <v>0</v>
      </c>
      <c r="N88" s="99">
        <f>$D88-vlookup(Summary!$C88,Summary!$C$2:$Q$103,3+counta($F$1:N$1),false)</f>
        <v>-0.6</v>
      </c>
      <c r="O88" s="99">
        <f>$D88-vlookup(Summary!$C88,Summary!$C$2:$Q$103,3+counta($F$1:O$1),false)</f>
        <v>-0.35</v>
      </c>
      <c r="P88" s="99">
        <f>$D88-vlookup(Summary!$C88,Summary!$C$2:$Q$103,3+counta($F$1:P$1),false)</f>
        <v>-0.6</v>
      </c>
      <c r="Q88" s="99">
        <f>$D88-vlookup(Summary!$C88,Summary!$C$2:$Q$103,3+counta($F$1:Q$1),false)</f>
        <v>-0.2</v>
      </c>
    </row>
    <row r="89" ht="15.75" customHeight="1">
      <c r="A89" s="15">
        <f>Main!A89</f>
        <v>88</v>
      </c>
      <c r="B89" s="15" t="str">
        <f>Main!B89</f>
        <v>Boris Johnson will be the Prime Minister of the UK</v>
      </c>
      <c r="C89" s="15" t="str">
        <f>Main!C89</f>
        <v>World Politics</v>
      </c>
      <c r="D89" s="15">
        <v>0.7</v>
      </c>
      <c r="F89" s="99">
        <f>$D89-vlookup(Summary!$C89,Summary!$C$2:$Q$103,3+counta($F$1:F$1),false)</f>
        <v>0.55</v>
      </c>
      <c r="G89" s="99">
        <f>$D89-vlookup(Summary!$C89,Summary!$C$2:$Q$103,3+counta($F$1:G$1),false)</f>
        <v>0.5</v>
      </c>
      <c r="H89" s="99">
        <f>$D89-vlookup(Summary!$C89,Summary!$C$2:$Q$103,3+counta($F$1:H$1),false)</f>
        <v>0</v>
      </c>
      <c r="I89" s="99">
        <f>$D89-vlookup(Summary!$C89,Summary!$C$2:$Q$103,3+counta($F$1:I$1),false)</f>
        <v>0.5</v>
      </c>
      <c r="J89" s="99">
        <f>$D89-vlookup(Summary!$C89,Summary!$C$2:$Q$103,3+counta($F$1:J$1),false)</f>
        <v>0.1</v>
      </c>
      <c r="K89" s="99">
        <f>$D89-vlookup(Summary!$C89,Summary!$C$2:$Q$103,3+counta($F$1:K$1),false)</f>
        <v>0.45</v>
      </c>
      <c r="L89" s="99">
        <f>$D89-vlookup(Summary!$C89,Summary!$C$2:$Q$103,3+counta($F$1:L$1),false)</f>
        <v>-0.15</v>
      </c>
      <c r="M89" s="99">
        <f>$D89-vlookup(Summary!$C89,Summary!$C$2:$Q$103,3+counta($F$1:M$1),false)</f>
        <v>0</v>
      </c>
      <c r="N89" s="99">
        <f>$D89-vlookup(Summary!$C89,Summary!$C$2:$Q$103,3+counta($F$1:N$1),false)</f>
        <v>0.5</v>
      </c>
      <c r="O89" s="99">
        <f>$D89-vlookup(Summary!$C89,Summary!$C$2:$Q$103,3+counta($F$1:O$1),false)</f>
        <v>0.35</v>
      </c>
      <c r="P89" s="99">
        <f>$D89-vlookup(Summary!$C89,Summary!$C$2:$Q$103,3+counta($F$1:P$1),false)</f>
        <v>0.6</v>
      </c>
      <c r="Q89" s="99">
        <f>$D89-vlookup(Summary!$C89,Summary!$C$2:$Q$103,3+counta($F$1:Q$1),false)</f>
        <v>0.3</v>
      </c>
    </row>
    <row r="90" ht="15.75" customHeight="1">
      <c r="A90" s="15">
        <f>Main!A90</f>
        <v>89</v>
      </c>
      <c r="B90" s="15" t="str">
        <f>Main!B90</f>
        <v>At least some American states will resort to proclaimed and violent civil war rather that accept democratic elections</v>
      </c>
      <c r="C90" s="15" t="str">
        <f>Main!C90</f>
        <v>World Politics</v>
      </c>
      <c r="D90" s="15">
        <v>0.1</v>
      </c>
      <c r="F90" s="99">
        <f>$D90-vlookup(Summary!$C90,Summary!$C$2:$Q$103,3+counta($F$1:F$1),false)</f>
        <v>-0.2</v>
      </c>
      <c r="G90" s="99">
        <f>$D90-vlookup(Summary!$C90,Summary!$C$2:$Q$103,3+counta($F$1:G$1),false)</f>
        <v>0</v>
      </c>
      <c r="H90" s="99">
        <f>$D90-vlookup(Summary!$C90,Summary!$C$2:$Q$103,3+counta($F$1:H$1),false)</f>
        <v>0</v>
      </c>
      <c r="I90" s="99">
        <f>$D90-vlookup(Summary!$C90,Summary!$C$2:$Q$103,3+counta($F$1:I$1),false)</f>
        <v>0</v>
      </c>
      <c r="J90" s="99">
        <f>$D90-vlookup(Summary!$C90,Summary!$C$2:$Q$103,3+counta($F$1:J$1),false)</f>
        <v>-0.6</v>
      </c>
      <c r="K90" s="99">
        <f>$D90-vlookup(Summary!$C90,Summary!$C$2:$Q$103,3+counta($F$1:K$1),false)</f>
        <v>-0.1</v>
      </c>
      <c r="L90" s="99">
        <f>$D90-vlookup(Summary!$C90,Summary!$C$2:$Q$103,3+counta($F$1:L$1),false)</f>
        <v>0.05</v>
      </c>
      <c r="M90" s="99">
        <f>$D90-vlookup(Summary!$C90,Summary!$C$2:$Q$103,3+counta($F$1:M$1),false)</f>
        <v>0</v>
      </c>
      <c r="N90" s="99">
        <f>$D90-vlookup(Summary!$C90,Summary!$C$2:$Q$103,3+counta($F$1:N$1),false)</f>
        <v>0</v>
      </c>
      <c r="O90" s="99">
        <f>$D90-vlookup(Summary!$C90,Summary!$C$2:$Q$103,3+counta($F$1:O$1),false)</f>
        <v>0.099</v>
      </c>
      <c r="P90" s="99">
        <f>$D90-vlookup(Summary!$C90,Summary!$C$2:$Q$103,3+counta($F$1:P$1),false)</f>
        <v>0</v>
      </c>
      <c r="Q90" s="99">
        <f>$D90-vlookup(Summary!$C90,Summary!$C$2:$Q$103,3+counta($F$1:Q$1),false)</f>
        <v>-0.15</v>
      </c>
    </row>
    <row r="91" ht="15.75" customHeight="1">
      <c r="A91" s="15">
        <f>Main!A91</f>
        <v>90</v>
      </c>
      <c r="B91" s="15" t="str">
        <f>Main!B91</f>
        <v>Democrats will lose control of the US House of Representatives at the midterm elections</v>
      </c>
      <c r="C91" s="15" t="str">
        <f>Main!C91</f>
        <v>World Politics</v>
      </c>
      <c r="D91" s="15">
        <v>0.7</v>
      </c>
      <c r="F91" s="99">
        <f>$D91-vlookup(Summary!$C91,Summary!$C$2:$Q$103,3+counta($F$1:F$1),false)</f>
        <v>-0.1</v>
      </c>
      <c r="G91" s="99">
        <f>$D91-vlookup(Summary!$C91,Summary!$C$2:$Q$103,3+counta($F$1:G$1),false)</f>
        <v>-0.2</v>
      </c>
      <c r="H91" s="99">
        <f>$D91-vlookup(Summary!$C91,Summary!$C$2:$Q$103,3+counta($F$1:H$1),false)</f>
        <v>0</v>
      </c>
      <c r="I91" s="99">
        <f>$D91-vlookup(Summary!$C91,Summary!$C$2:$Q$103,3+counta($F$1:I$1),false)</f>
        <v>0.1</v>
      </c>
      <c r="J91" s="99">
        <f>$D91-vlookup(Summary!$C91,Summary!$C$2:$Q$103,3+counta($F$1:J$1),false)</f>
        <v>-0.2</v>
      </c>
      <c r="K91" s="99">
        <f>$D91-vlookup(Summary!$C91,Summary!$C$2:$Q$103,3+counta($F$1:K$1),false)</f>
        <v>0</v>
      </c>
      <c r="L91" s="99">
        <f>$D91-vlookup(Summary!$C91,Summary!$C$2:$Q$103,3+counta($F$1:L$1),false)</f>
        <v>0</v>
      </c>
      <c r="M91" s="99">
        <f>$D91-vlookup(Summary!$C91,Summary!$C$2:$Q$103,3+counta($F$1:M$1),false)</f>
        <v>0</v>
      </c>
      <c r="N91" s="99">
        <f>$D91-vlookup(Summary!$C91,Summary!$C$2:$Q$103,3+counta($F$1:N$1),false)</f>
        <v>-0.1</v>
      </c>
      <c r="O91" s="99">
        <f>$D91-vlookup(Summary!$C91,Summary!$C$2:$Q$103,3+counta($F$1:O$1),false)</f>
        <v>-0.299</v>
      </c>
      <c r="P91" s="99">
        <f>$D91-vlookup(Summary!$C91,Summary!$C$2:$Q$103,3+counta($F$1:P$1),false)</f>
        <v>0.6</v>
      </c>
      <c r="Q91" s="99">
        <f>$D91-vlookup(Summary!$C91,Summary!$C$2:$Q$103,3+counta($F$1:Q$1),false)</f>
        <v>0.3</v>
      </c>
    </row>
    <row r="92" ht="15.75" customHeight="1">
      <c r="A92" s="15">
        <f>Main!A92</f>
        <v>91</v>
      </c>
      <c r="B92" s="15" t="str">
        <f>Main!B92</f>
        <v>Democrats will not have control of the US Senate after the midterm election</v>
      </c>
      <c r="C92" s="15" t="str">
        <f>Main!C92</f>
        <v>World Politics</v>
      </c>
      <c r="D92" s="15">
        <v>0.7</v>
      </c>
      <c r="F92" s="99">
        <f>$D92-vlookup(Summary!$C92,Summary!$C$2:$Q$103,3+counta($F$1:F$1),false)</f>
        <v>-0.1</v>
      </c>
      <c r="G92" s="99">
        <f>$D92-vlookup(Summary!$C92,Summary!$C$2:$Q$103,3+counta($F$1:G$1),false)</f>
        <v>-0.2</v>
      </c>
      <c r="H92" s="99">
        <f>$D92-vlookup(Summary!$C92,Summary!$C$2:$Q$103,3+counta($F$1:H$1),false)</f>
        <v>0</v>
      </c>
      <c r="I92" s="99">
        <f>$D92-vlookup(Summary!$C92,Summary!$C$2:$Q$103,3+counta($F$1:I$1),false)</f>
        <v>0.1</v>
      </c>
      <c r="J92" s="99">
        <f>$D92-vlookup(Summary!$C92,Summary!$C$2:$Q$103,3+counta($F$1:J$1),false)</f>
        <v>-0.2</v>
      </c>
      <c r="K92" s="99">
        <f>$D92-vlookup(Summary!$C92,Summary!$C$2:$Q$103,3+counta($F$1:K$1),false)</f>
        <v>-0.1</v>
      </c>
      <c r="L92" s="99">
        <f>$D92-vlookup(Summary!$C92,Summary!$C$2:$Q$103,3+counta($F$1:L$1),false)</f>
        <v>-0.1</v>
      </c>
      <c r="M92" s="99">
        <f>$D92-vlookup(Summary!$C92,Summary!$C$2:$Q$103,3+counta($F$1:M$1),false)</f>
        <v>0</v>
      </c>
      <c r="N92" s="99">
        <f>$D92-vlookup(Summary!$C92,Summary!$C$2:$Q$103,3+counta($F$1:N$1),false)</f>
        <v>-0.1</v>
      </c>
      <c r="O92" s="99">
        <f>$D92-vlookup(Summary!$C92,Summary!$C$2:$Q$103,3+counta($F$1:O$1),false)</f>
        <v>-0.299</v>
      </c>
      <c r="P92" s="99">
        <f>$D92-vlookup(Summary!$C92,Summary!$C$2:$Q$103,3+counta($F$1:P$1),false)</f>
        <v>0.6</v>
      </c>
      <c r="Q92" s="99">
        <f>$D92-vlookup(Summary!$C92,Summary!$C$2:$Q$103,3+counta($F$1:Q$1),false)</f>
        <v>0.5</v>
      </c>
    </row>
    <row r="93" ht="15.75" customHeight="1">
      <c r="A93" s="15">
        <f>Main!A93</f>
        <v>92</v>
      </c>
      <c r="B93" s="15" t="str">
        <f>Main!B93</f>
        <v>Donald Trump will recieve at least 1 vote in the selection of the Speaker of the US house of Representatives (Congress)</v>
      </c>
      <c r="C93" s="15" t="str">
        <f>Main!C93</f>
        <v>World Politics</v>
      </c>
      <c r="D93" s="15">
        <v>0.7</v>
      </c>
      <c r="F93" s="99">
        <f>$D93-vlookup(Summary!$C93,Summary!$C$2:$Q$103,3+counta($F$1:F$1),false)</f>
        <v>0.4</v>
      </c>
      <c r="G93" s="99">
        <f>$D93-vlookup(Summary!$C93,Summary!$C$2:$Q$103,3+counta($F$1:G$1),false)</f>
        <v>0.4</v>
      </c>
      <c r="H93" s="99">
        <f>$D93-vlookup(Summary!$C93,Summary!$C$2:$Q$103,3+counta($F$1:H$1),false)</f>
        <v>0</v>
      </c>
      <c r="I93" s="99">
        <f>$D93-vlookup(Summary!$C93,Summary!$C$2:$Q$103,3+counta($F$1:I$1),false)</f>
        <v>0.6</v>
      </c>
      <c r="J93" s="99">
        <f>$D93-vlookup(Summary!$C93,Summary!$C$2:$Q$103,3+counta($F$1:J$1),false)</f>
        <v>-0.2</v>
      </c>
      <c r="K93" s="99">
        <f>$D93-vlookup(Summary!$C93,Summary!$C$2:$Q$103,3+counta($F$1:K$1),false)</f>
        <v>0.35</v>
      </c>
      <c r="L93" s="99">
        <f>$D93-vlookup(Summary!$C93,Summary!$C$2:$Q$103,3+counta($F$1:L$1),false)</f>
        <v>0</v>
      </c>
      <c r="M93" s="99">
        <f>$D93-vlookup(Summary!$C93,Summary!$C$2:$Q$103,3+counta($F$1:M$1),false)</f>
        <v>0</v>
      </c>
      <c r="N93" s="99">
        <f>$D93-vlookup(Summary!$C93,Summary!$C$2:$Q$103,3+counta($F$1:N$1),false)</f>
        <v>-0.2</v>
      </c>
      <c r="O93" s="99">
        <f>$D93-vlookup(Summary!$C93,Summary!$C$2:$Q$103,3+counta($F$1:O$1),false)</f>
        <v>0.05</v>
      </c>
      <c r="P93" s="99">
        <f>$D93-vlookup(Summary!$C93,Summary!$C$2:$Q$103,3+counta($F$1:P$1),false)</f>
        <v>0.6</v>
      </c>
      <c r="Q93" s="99">
        <f>$D93-vlookup(Summary!$C93,Summary!$C$2:$Q$103,3+counta($F$1:Q$1),false)</f>
        <v>0.2</v>
      </c>
    </row>
    <row r="94" ht="15.75" customHeight="1">
      <c r="A94" s="15">
        <f>Main!A94</f>
        <v>93</v>
      </c>
      <c r="B94" s="15" t="str">
        <f>Main!B94</f>
        <v>Donald Trump will release a book in 2022</v>
      </c>
      <c r="C94" s="15" t="str">
        <f>Main!C94</f>
        <v>World Politics</v>
      </c>
      <c r="D94" s="15">
        <v>0.8</v>
      </c>
      <c r="F94" s="99">
        <f>$D94-vlookup(Summary!$C94,Summary!$C$2:$Q$103,3+counta($F$1:F$1),false)</f>
        <v>0.25</v>
      </c>
      <c r="G94" s="99">
        <f>$D94-vlookup(Summary!$C94,Summary!$C$2:$Q$103,3+counta($F$1:G$1),false)</f>
        <v>0.1</v>
      </c>
      <c r="H94" s="99">
        <f>$D94-vlookup(Summary!$C94,Summary!$C$2:$Q$103,3+counta($F$1:H$1),false)</f>
        <v>0</v>
      </c>
      <c r="I94" s="99">
        <f>$D94-vlookup(Summary!$C94,Summary!$C$2:$Q$103,3+counta($F$1:I$1),false)</f>
        <v>0.6</v>
      </c>
      <c r="J94" s="99">
        <f>$D94-vlookup(Summary!$C94,Summary!$C$2:$Q$103,3+counta($F$1:J$1),false)</f>
        <v>-0.1</v>
      </c>
      <c r="K94" s="99">
        <f>$D94-vlookup(Summary!$C94,Summary!$C$2:$Q$103,3+counta($F$1:K$1),false)</f>
        <v>0</v>
      </c>
      <c r="L94" s="99">
        <f>$D94-vlookup(Summary!$C94,Summary!$C$2:$Q$103,3+counta($F$1:L$1),false)</f>
        <v>0.25</v>
      </c>
      <c r="M94" s="99">
        <f>$D94-vlookup(Summary!$C94,Summary!$C$2:$Q$103,3+counta($F$1:M$1),false)</f>
        <v>0</v>
      </c>
      <c r="N94" s="99">
        <f>$D94-vlookup(Summary!$C94,Summary!$C$2:$Q$103,3+counta($F$1:N$1),false)</f>
        <v>-0.1</v>
      </c>
      <c r="O94" s="99">
        <f>$D94-vlookup(Summary!$C94,Summary!$C$2:$Q$103,3+counta($F$1:O$1),false)</f>
        <v>0.65</v>
      </c>
      <c r="P94" s="99">
        <f>$D94-vlookup(Summary!$C94,Summary!$C$2:$Q$103,3+counta($F$1:P$1),false)</f>
        <v>0.3</v>
      </c>
      <c r="Q94" s="99">
        <f>$D94-vlookup(Summary!$C94,Summary!$C$2:$Q$103,3+counta($F$1:Q$1),false)</f>
        <v>0.25</v>
      </c>
    </row>
    <row r="95" ht="15.75" customHeight="1">
      <c r="A95" s="15">
        <f>Main!A95</f>
        <v>94</v>
      </c>
      <c r="B95" s="15" t="str">
        <f>Main!B95</f>
        <v>Trump will announce he will contest the Republican presidential candidacy and launch an NFT</v>
      </c>
      <c r="C95" s="15" t="str">
        <f>Main!C95</f>
        <v>World Politics</v>
      </c>
      <c r="D95" s="15">
        <v>0.7</v>
      </c>
      <c r="F95" s="99">
        <f>$D95-vlookup(Summary!$C95,Summary!$C$2:$Q$103,3+counta($F$1:F$1),false)</f>
        <v>0.4</v>
      </c>
      <c r="G95" s="99">
        <f>$D95-vlookup(Summary!$C95,Summary!$C$2:$Q$103,3+counta($F$1:G$1),false)</f>
        <v>0.3</v>
      </c>
      <c r="H95" s="99">
        <f>$D95-vlookup(Summary!$C95,Summary!$C$2:$Q$103,3+counta($F$1:H$1),false)</f>
        <v>0</v>
      </c>
      <c r="I95" s="99">
        <f>$D95-vlookup(Summary!$C95,Summary!$C$2:$Q$103,3+counta($F$1:I$1),false)</f>
        <v>0.65</v>
      </c>
      <c r="J95" s="99">
        <f>$D95-vlookup(Summary!$C95,Summary!$C$2:$Q$103,3+counta($F$1:J$1),false)</f>
        <v>0.1</v>
      </c>
      <c r="K95" s="99">
        <f>$D95-vlookup(Summary!$C95,Summary!$C$2:$Q$103,3+counta($F$1:K$1),false)</f>
        <v>-0.2</v>
      </c>
      <c r="L95" s="99">
        <f>$D95-vlookup(Summary!$C95,Summary!$C$2:$Q$103,3+counta($F$1:L$1),false)</f>
        <v>0.2</v>
      </c>
      <c r="M95" s="99">
        <f>$D95-vlookup(Summary!$C95,Summary!$C$2:$Q$103,3+counta($F$1:M$1),false)</f>
        <v>0</v>
      </c>
      <c r="N95" s="99">
        <f>$D95-vlookup(Summary!$C95,Summary!$C$2:$Q$103,3+counta($F$1:N$1),false)</f>
        <v>0.5</v>
      </c>
      <c r="O95" s="99">
        <f>$D95-vlookup(Summary!$C95,Summary!$C$2:$Q$103,3+counta($F$1:O$1),false)</f>
        <v>0.699</v>
      </c>
      <c r="P95" s="99">
        <f>$D95-vlookup(Summary!$C95,Summary!$C$2:$Q$103,3+counta($F$1:P$1),false)</f>
        <v>0.2</v>
      </c>
      <c r="Q95" s="99">
        <f>$D95-vlookup(Summary!$C95,Summary!$C$2:$Q$103,3+counta($F$1:Q$1),false)</f>
        <v>0.6</v>
      </c>
    </row>
    <row r="96" ht="15.75" customHeight="1">
      <c r="A96" s="15">
        <f>Main!A96</f>
        <v>95</v>
      </c>
      <c r="B96" s="15" t="str">
        <f>Main!B96</f>
        <v>China will invade Taiwan</v>
      </c>
      <c r="C96" s="15" t="str">
        <f>Main!C96</f>
        <v>World Politics</v>
      </c>
      <c r="D96" s="15">
        <v>0.7</v>
      </c>
      <c r="F96" s="99">
        <f>$D96-vlookup(Summary!$C96,Summary!$C$2:$Q$103,3+counta($F$1:F$1),false)</f>
        <v>0.35</v>
      </c>
      <c r="G96" s="99">
        <f>$D96-vlookup(Summary!$C96,Summary!$C$2:$Q$103,3+counta($F$1:G$1),false)</f>
        <v>0.5</v>
      </c>
      <c r="H96" s="99">
        <f>$D96-vlookup(Summary!$C96,Summary!$C$2:$Q$103,3+counta($F$1:H$1),false)</f>
        <v>0</v>
      </c>
      <c r="I96" s="99">
        <f>$D96-vlookup(Summary!$C96,Summary!$C$2:$Q$103,3+counta($F$1:I$1),false)</f>
        <v>0.1</v>
      </c>
      <c r="J96" s="99">
        <f>$D96-vlookup(Summary!$C96,Summary!$C$2:$Q$103,3+counta($F$1:J$1),false)</f>
        <v>0</v>
      </c>
      <c r="K96" s="99">
        <f>$D96-vlookup(Summary!$C96,Summary!$C$2:$Q$103,3+counta($F$1:K$1),false)</f>
        <v>0.3</v>
      </c>
      <c r="L96" s="99">
        <f>$D96-vlookup(Summary!$C96,Summary!$C$2:$Q$103,3+counta($F$1:L$1),false)</f>
        <v>0.65</v>
      </c>
      <c r="M96" s="99">
        <f>$D96-vlookup(Summary!$C96,Summary!$C$2:$Q$103,3+counta($F$1:M$1),false)</f>
        <v>0</v>
      </c>
      <c r="N96" s="99">
        <f>$D96-vlookup(Summary!$C96,Summary!$C$2:$Q$103,3+counta($F$1:N$1),false)</f>
        <v>0.5</v>
      </c>
      <c r="O96" s="99">
        <f>$D96-vlookup(Summary!$C96,Summary!$C$2:$Q$103,3+counta($F$1:O$1),false)</f>
        <v>0.699</v>
      </c>
      <c r="P96" s="99">
        <f>$D96-vlookup(Summary!$C96,Summary!$C$2:$Q$103,3+counta($F$1:P$1),false)</f>
        <v>0.6</v>
      </c>
      <c r="Q96" s="99">
        <f>$D96-vlookup(Summary!$C96,Summary!$C$2:$Q$103,3+counta($F$1:Q$1),false)</f>
        <v>0.2</v>
      </c>
    </row>
    <row r="97" ht="15.75" customHeight="1">
      <c r="A97" s="15">
        <f>Main!A97</f>
        <v>96</v>
      </c>
      <c r="B97" s="15" t="str">
        <f>Main!B97</f>
        <v>A nuclear weapon will be detonated for any purpose (including a test) somewhere on earth or in space</v>
      </c>
      <c r="C97" s="15" t="str">
        <f>Main!C97</f>
        <v>World Politics</v>
      </c>
      <c r="D97" s="15">
        <v>0.1</v>
      </c>
      <c r="F97" s="99">
        <f>$D97-vlookup(Summary!$C97,Summary!$C$2:$Q$103,3+counta($F$1:F$1),false)</f>
        <v>0</v>
      </c>
      <c r="G97" s="99">
        <f>$D97-vlookup(Summary!$C97,Summary!$C$2:$Q$103,3+counta($F$1:G$1),false)</f>
        <v>-0.3</v>
      </c>
      <c r="H97" s="99">
        <f>$D97-vlookup(Summary!$C97,Summary!$C$2:$Q$103,3+counta($F$1:H$1),false)</f>
        <v>0</v>
      </c>
      <c r="I97" s="99">
        <f>$D97-vlookup(Summary!$C97,Summary!$C$2:$Q$103,3+counta($F$1:I$1),false)</f>
        <v>-0.1</v>
      </c>
      <c r="J97" s="99">
        <f>$D97-vlookup(Summary!$C97,Summary!$C$2:$Q$103,3+counta($F$1:J$1),false)</f>
        <v>-0.7</v>
      </c>
      <c r="K97" s="99">
        <f>$D97-vlookup(Summary!$C97,Summary!$C$2:$Q$103,3+counta($F$1:K$1),false)</f>
        <v>-0.6</v>
      </c>
      <c r="L97" s="99">
        <f>$D97-vlookup(Summary!$C97,Summary!$C$2:$Q$103,3+counta($F$1:L$1),false)</f>
        <v>-0.2</v>
      </c>
      <c r="M97" s="99">
        <f>$D97-vlookup(Summary!$C97,Summary!$C$2:$Q$103,3+counta($F$1:M$1),false)</f>
        <v>0</v>
      </c>
      <c r="N97" s="99">
        <f>$D97-vlookup(Summary!$C97,Summary!$C$2:$Q$103,3+counta($F$1:N$1),false)</f>
        <v>0</v>
      </c>
      <c r="O97" s="99">
        <f>$D97-vlookup(Summary!$C97,Summary!$C$2:$Q$103,3+counta($F$1:O$1),false)</f>
        <v>-0.05</v>
      </c>
      <c r="P97" s="99">
        <f>$D97-vlookup(Summary!$C97,Summary!$C$2:$Q$103,3+counta($F$1:P$1),false)</f>
        <v>-0.4</v>
      </c>
      <c r="Q97" s="99">
        <f>$D97-vlookup(Summary!$C97,Summary!$C$2:$Q$103,3+counta($F$1:Q$1),false)</f>
        <v>-0.5</v>
      </c>
    </row>
    <row r="98" ht="15.75" customHeight="1">
      <c r="A98" s="15">
        <f>Main!A98</f>
        <v>97</v>
      </c>
      <c r="B98" s="15" t="str">
        <f>Main!B98</f>
        <v>Iran will announce it has produced a nuclear weapon</v>
      </c>
      <c r="C98" s="15" t="str">
        <f>Main!C98</f>
        <v>World Politics</v>
      </c>
      <c r="D98" s="15">
        <v>0.1</v>
      </c>
      <c r="F98" s="99">
        <f>$D98-vlookup(Summary!$C98,Summary!$C$2:$Q$103,3+counta($F$1:F$1),false)</f>
        <v>-0.35</v>
      </c>
      <c r="G98" s="99">
        <f>$D98-vlookup(Summary!$C98,Summary!$C$2:$Q$103,3+counta($F$1:G$1),false)</f>
        <v>-0.2</v>
      </c>
      <c r="H98" s="99">
        <f>$D98-vlookup(Summary!$C98,Summary!$C$2:$Q$103,3+counta($F$1:H$1),false)</f>
        <v>0</v>
      </c>
      <c r="I98" s="99">
        <f>$D98-vlookup(Summary!$C98,Summary!$C$2:$Q$103,3+counta($F$1:I$1),false)</f>
        <v>-0.1</v>
      </c>
      <c r="J98" s="99">
        <f>$D98-vlookup(Summary!$C98,Summary!$C$2:$Q$103,3+counta($F$1:J$1),false)</f>
        <v>-0.5</v>
      </c>
      <c r="K98" s="99">
        <f>$D98-vlookup(Summary!$C98,Summary!$C$2:$Q$103,3+counta($F$1:K$1),false)</f>
        <v>-0.6</v>
      </c>
      <c r="L98" s="99">
        <f>$D98-vlookup(Summary!$C98,Summary!$C$2:$Q$103,3+counta($F$1:L$1),false)</f>
        <v>-0.2</v>
      </c>
      <c r="M98" s="99">
        <f>$D98-vlookup(Summary!$C98,Summary!$C$2:$Q$103,3+counta($F$1:M$1),false)</f>
        <v>0</v>
      </c>
      <c r="N98" s="99">
        <f>$D98-vlookup(Summary!$C98,Summary!$C$2:$Q$103,3+counta($F$1:N$1),false)</f>
        <v>0</v>
      </c>
      <c r="O98" s="99">
        <f>$D98-vlookup(Summary!$C98,Summary!$C$2:$Q$103,3+counta($F$1:O$1),false)</f>
        <v>-0.05</v>
      </c>
      <c r="P98" s="99">
        <f>$D98-vlookup(Summary!$C98,Summary!$C$2:$Q$103,3+counta($F$1:P$1),false)</f>
        <v>-0.4</v>
      </c>
      <c r="Q98" s="99">
        <f>$D98-vlookup(Summary!$C98,Summary!$C$2:$Q$103,3+counta($F$1:Q$1),false)</f>
        <v>-0.5</v>
      </c>
    </row>
    <row r="99" ht="15.75" customHeight="1">
      <c r="A99" s="15">
        <f>Main!A99</f>
        <v>98</v>
      </c>
      <c r="B99" s="15" t="str">
        <f>Main!B99</f>
        <v>One or more of the G12 member countries will have diplomatically recognised Taiwan</v>
      </c>
      <c r="C99" s="15" t="str">
        <f>Main!C99</f>
        <v>World Politics</v>
      </c>
      <c r="D99" s="15">
        <v>0.1</v>
      </c>
      <c r="F99" s="99">
        <f>$D99-vlookup(Summary!$C99,Summary!$C$2:$Q$103,3+counta($F$1:F$1),false)</f>
        <v>-0.05</v>
      </c>
      <c r="G99" s="99">
        <f>$D99-vlookup(Summary!$C99,Summary!$C$2:$Q$103,3+counta($F$1:G$1),false)</f>
        <v>-0.1</v>
      </c>
      <c r="H99" s="99">
        <f>$D99-vlookup(Summary!$C99,Summary!$C$2:$Q$103,3+counta($F$1:H$1),false)</f>
        <v>0</v>
      </c>
      <c r="I99" s="99">
        <f>$D99-vlookup(Summary!$C99,Summary!$C$2:$Q$103,3+counta($F$1:I$1),false)</f>
        <v>-0.1</v>
      </c>
      <c r="J99" s="99">
        <f>$D99-vlookup(Summary!$C99,Summary!$C$2:$Q$103,3+counta($F$1:J$1),false)</f>
        <v>-0.3</v>
      </c>
      <c r="K99" s="99">
        <f>$D99-vlookup(Summary!$C99,Summary!$C$2:$Q$103,3+counta($F$1:K$1),false)</f>
        <v>-0.65</v>
      </c>
      <c r="L99" s="99">
        <f>$D99-vlookup(Summary!$C99,Summary!$C$2:$Q$103,3+counta($F$1:L$1),false)</f>
        <v>-0.2</v>
      </c>
      <c r="M99" s="99">
        <f>$D99-vlookup(Summary!$C99,Summary!$C$2:$Q$103,3+counta($F$1:M$1),false)</f>
        <v>0</v>
      </c>
      <c r="N99" s="99">
        <f>$D99-vlookup(Summary!$C99,Summary!$C$2:$Q$103,3+counta($F$1:N$1),false)</f>
        <v>-0.5</v>
      </c>
      <c r="O99" s="99">
        <f>$D99-vlookup(Summary!$C99,Summary!$C$2:$Q$103,3+counta($F$1:O$1),false)</f>
        <v>-0.05</v>
      </c>
      <c r="P99" s="99">
        <f>$D99-vlookup(Summary!$C99,Summary!$C$2:$Q$103,3+counta($F$1:P$1),false)</f>
        <v>-0.4</v>
      </c>
      <c r="Q99" s="99">
        <f>$D99-vlookup(Summary!$C99,Summary!$C$2:$Q$103,3+counta($F$1:Q$1),false)</f>
        <v>-0.5</v>
      </c>
    </row>
    <row r="100" ht="15.75" customHeight="1">
      <c r="A100" s="15">
        <f>Main!A100</f>
        <v>99</v>
      </c>
      <c r="B100" s="15" t="str">
        <f>Main!B100</f>
        <v>Russia will have invaded Ukraine (as reported by CNN, BBC, Guardian or NYT)</v>
      </c>
      <c r="C100" s="15" t="str">
        <f>Main!C100</f>
        <v>World Politics</v>
      </c>
      <c r="D100" s="15">
        <v>0.95</v>
      </c>
      <c r="F100" s="99">
        <f>$D100-vlookup(Summary!$C100,Summary!$C$2:$Q$103,3+counta($F$1:F$1),false)</f>
        <v>0.35</v>
      </c>
      <c r="G100" s="99">
        <f>$D100-vlookup(Summary!$C100,Summary!$C$2:$Q$103,3+counta($F$1:G$1),false)</f>
        <v>0.55</v>
      </c>
      <c r="H100" s="99">
        <f>$D100-vlookup(Summary!$C100,Summary!$C$2:$Q$103,3+counta($F$1:H$1),false)</f>
        <v>0</v>
      </c>
      <c r="I100" s="99">
        <f>$D100-vlookup(Summary!$C100,Summary!$C$2:$Q$103,3+counta($F$1:I$1),false)</f>
        <v>0.15</v>
      </c>
      <c r="J100" s="99">
        <f>$D100-vlookup(Summary!$C100,Summary!$C$2:$Q$103,3+counta($F$1:J$1),false)</f>
        <v>0.15</v>
      </c>
      <c r="K100" s="99">
        <f>$D100-vlookup(Summary!$C100,Summary!$C$2:$Q$103,3+counta($F$1:K$1),false)</f>
        <v>0.25</v>
      </c>
      <c r="L100" s="99">
        <f>$D100-vlookup(Summary!$C100,Summary!$C$2:$Q$103,3+counta($F$1:L$1),false)</f>
        <v>0.15</v>
      </c>
      <c r="M100" s="99">
        <f>$D100-vlookup(Summary!$C100,Summary!$C$2:$Q$103,3+counta($F$1:M$1),false)</f>
        <v>0</v>
      </c>
      <c r="N100" s="99">
        <f>$D100-vlookup(Summary!$C100,Summary!$C$2:$Q$103,3+counta($F$1:N$1),false)</f>
        <v>0.25</v>
      </c>
      <c r="O100" s="99">
        <f>$D100-vlookup(Summary!$C100,Summary!$C$2:$Q$103,3+counta($F$1:O$1),false)</f>
        <v>0.3</v>
      </c>
      <c r="P100" s="99">
        <f>$D100-vlookup(Summary!$C100,Summary!$C$2:$Q$103,3+counta($F$1:P$1),false)</f>
        <v>0.85</v>
      </c>
      <c r="Q100" s="99">
        <f>$D100-vlookup(Summary!$C100,Summary!$C$2:$Q$103,3+counta($F$1:Q$1),false)</f>
        <v>0.35</v>
      </c>
    </row>
    <row r="101" ht="15.75" customHeight="1">
      <c r="A101" s="15">
        <f>Main!A101</f>
        <v>100</v>
      </c>
      <c r="B101" s="15" t="str">
        <f>Main!B101</f>
        <v>The US will have gone to battle with China or Russia ( nuclear battle acceptable) agreed upon by at least half the people attending 2022 predictions</v>
      </c>
      <c r="C101" s="15" t="str">
        <f>Main!C101</f>
        <v>World Politics</v>
      </c>
      <c r="D101" s="15">
        <v>0.1</v>
      </c>
      <c r="F101" s="99">
        <f>$D101-vlookup(Summary!$C101,Summary!$C$2:$Q$103,3+counta($F$1:F$1),false)</f>
        <v>-0.2</v>
      </c>
      <c r="G101" s="99">
        <f>$D101-vlookup(Summary!$C101,Summary!$C$2:$Q$103,3+counta($F$1:G$1),false)</f>
        <v>0</v>
      </c>
      <c r="H101" s="99">
        <f>$D101-vlookup(Summary!$C101,Summary!$C$2:$Q$103,3+counta($F$1:H$1),false)</f>
        <v>0</v>
      </c>
      <c r="I101" s="99">
        <f>$D101-vlookup(Summary!$C101,Summary!$C$2:$Q$103,3+counta($F$1:I$1),false)</f>
        <v>0</v>
      </c>
      <c r="J101" s="99">
        <f>$D101-vlookup(Summary!$C101,Summary!$C$2:$Q$103,3+counta($F$1:J$1),false)</f>
        <v>-0.4</v>
      </c>
      <c r="K101" s="99">
        <f>$D101-vlookup(Summary!$C101,Summary!$C$2:$Q$103,3+counta($F$1:K$1),false)</f>
        <v>-0.5</v>
      </c>
      <c r="L101" s="99">
        <f>$D101-vlookup(Summary!$C101,Summary!$C$2:$Q$103,3+counta($F$1:L$1),false)</f>
        <v>0</v>
      </c>
      <c r="M101" s="99">
        <f>$D101-vlookup(Summary!$C101,Summary!$C$2:$Q$103,3+counta($F$1:M$1),false)</f>
        <v>0</v>
      </c>
      <c r="N101" s="99">
        <f>$D101-vlookup(Summary!$C101,Summary!$C$2:$Q$103,3+counta($F$1:N$1),false)</f>
        <v>-0.1</v>
      </c>
      <c r="O101" s="99">
        <f>$D101-vlookup(Summary!$C101,Summary!$C$2:$Q$103,3+counta($F$1:O$1),false)</f>
        <v>0.099</v>
      </c>
      <c r="P101" s="99">
        <f>$D101-vlookup(Summary!$C101,Summary!$C$2:$Q$103,3+counta($F$1:P$1),false)</f>
        <v>0</v>
      </c>
      <c r="Q101" s="99">
        <f>$D101-vlookup(Summary!$C101,Summary!$C$2:$Q$103,3+counta($F$1:Q$1),false)</f>
        <v>-0.1</v>
      </c>
    </row>
    <row r="102" ht="15.75" customHeight="1">
      <c r="A102" s="15">
        <f>Main!A102</f>
        <v>101</v>
      </c>
      <c r="B102" s="15" t="str">
        <f>Main!B102</f>
        <v>There is an assassination attempt on Xi Jinping as reported in The Guardian</v>
      </c>
      <c r="C102" s="15" t="str">
        <f>Main!C102</f>
        <v>World Politics</v>
      </c>
      <c r="D102" s="15">
        <v>0.05</v>
      </c>
      <c r="F102" s="99">
        <f>$D102-vlookup(Summary!$C102,Summary!$C$2:$Q$103,3+counta($F$1:F$1),false)</f>
        <v>-0.1</v>
      </c>
      <c r="G102" s="99">
        <f>$D102-vlookup(Summary!$C102,Summary!$C$2:$Q$103,3+counta($F$1:G$1),false)</f>
        <v>-0.35</v>
      </c>
      <c r="H102" s="99">
        <f>$D102-vlookup(Summary!$C102,Summary!$C$2:$Q$103,3+counta($F$1:H$1),false)</f>
        <v>0</v>
      </c>
      <c r="I102" s="99">
        <f>$D102-vlookup(Summary!$C102,Summary!$C$2:$Q$103,3+counta($F$1:I$1),false)</f>
        <v>-0.05</v>
      </c>
      <c r="J102" s="99">
        <f>$D102-vlookup(Summary!$C102,Summary!$C$2:$Q$103,3+counta($F$1:J$1),false)</f>
        <v>-0.25</v>
      </c>
      <c r="K102" s="99">
        <f>$D102-vlookup(Summary!$C102,Summary!$C$2:$Q$103,3+counta($F$1:K$1),false)</f>
        <v>-0.3</v>
      </c>
      <c r="L102" s="99">
        <f>$D102-vlookup(Summary!$C102,Summary!$C$2:$Q$103,3+counta($F$1:L$1),false)</f>
        <v>-0.45</v>
      </c>
      <c r="M102" s="99">
        <f>$D102-vlookup(Summary!$C102,Summary!$C$2:$Q$103,3+counta($F$1:M$1),false)</f>
        <v>0</v>
      </c>
      <c r="N102" s="99">
        <f>$D102-vlookup(Summary!$C102,Summary!$C$2:$Q$103,3+counta($F$1:N$1),false)</f>
        <v>-0.05</v>
      </c>
      <c r="O102" s="99">
        <f>$D102-vlookup(Summary!$C102,Summary!$C$2:$Q$103,3+counta($F$1:O$1),false)</f>
        <v>0.049</v>
      </c>
      <c r="P102" s="99">
        <f>$D102-vlookup(Summary!$C102,Summary!$C$2:$Q$103,3+counta($F$1:P$1),false)</f>
        <v>-0.05</v>
      </c>
      <c r="Q102" s="99">
        <f>$D102-vlookup(Summary!$C102,Summary!$C$2:$Q$103,3+counta($F$1:Q$1),false)</f>
        <v>-0.4</v>
      </c>
    </row>
    <row r="103" ht="15.75" customHeight="1">
      <c r="A103" s="15">
        <f>Main!A103</f>
        <v>102</v>
      </c>
      <c r="B103" s="15" t="str">
        <f>Main!B103</f>
        <v>Bolsanaro wins the next Brazilian elections</v>
      </c>
      <c r="C103" s="15" t="str">
        <f>Main!C103</f>
        <v>World Politics</v>
      </c>
      <c r="D103" s="15">
        <v>0.4</v>
      </c>
      <c r="F103" s="99">
        <f>$D103-vlookup(Summary!$C103,Summary!$C$2:$Q$103,3+counta($F$1:F$1),false)</f>
        <v>0</v>
      </c>
      <c r="G103" s="99">
        <f>$D103-vlookup(Summary!$C103,Summary!$C$2:$Q$103,3+counta($F$1:G$1),false)</f>
        <v>0.1</v>
      </c>
      <c r="H103" s="99">
        <f>$D103-vlookup(Summary!$C103,Summary!$C$2:$Q$103,3+counta($F$1:H$1),false)</f>
        <v>0</v>
      </c>
      <c r="I103" s="99">
        <f>$D103-vlookup(Summary!$C103,Summary!$C$2:$Q$103,3+counta($F$1:I$1),false)</f>
        <v>0</v>
      </c>
      <c r="J103" s="99">
        <f>$D103-vlookup(Summary!$C103,Summary!$C$2:$Q$103,3+counta($F$1:J$1),false)</f>
        <v>-0.4</v>
      </c>
      <c r="K103" s="99">
        <f>$D103-vlookup(Summary!$C103,Summary!$C$2:$Q$103,3+counta($F$1:K$1),false)</f>
        <v>-0.35</v>
      </c>
      <c r="L103" s="99">
        <f>$D103-vlookup(Summary!$C103,Summary!$C$2:$Q$103,3+counta($F$1:L$1),false)</f>
        <v>0.1</v>
      </c>
      <c r="M103" s="99">
        <f>$D103-vlookup(Summary!$C103,Summary!$C$2:$Q$103,3+counta($F$1:M$1),false)</f>
        <v>0</v>
      </c>
      <c r="N103" s="99">
        <f>$D103-vlookup(Summary!$C103,Summary!$C$2:$Q$103,3+counta($F$1:N$1),false)</f>
        <v>0.2</v>
      </c>
      <c r="O103" s="99">
        <f>$D103-vlookup(Summary!$C103,Summary!$C$2:$Q$103,3+counta($F$1:O$1),false)</f>
        <v>-0.25</v>
      </c>
      <c r="P103" s="99">
        <f>$D103-vlookup(Summary!$C103,Summary!$C$2:$Q$103,3+counta($F$1:P$1),false)</f>
        <v>0.3</v>
      </c>
      <c r="Q103" s="99">
        <f>$D103-vlookup(Summary!$C103,Summary!$C$2:$Q$103,3+counta($F$1:Q$1),false)</f>
        <v>-0.2</v>
      </c>
    </row>
    <row r="104" ht="15.75" customHeight="1">
      <c r="A104" s="15" t="str">
        <f>Main!A104</f>
        <v/>
      </c>
      <c r="B104" s="15" t="str">
        <f>Main!B104</f>
        <v/>
      </c>
      <c r="C104" s="15" t="str">
        <f>Main!C104</f>
        <v/>
      </c>
      <c r="E104" s="104" t="s">
        <v>197</v>
      </c>
      <c r="F104" s="102">
        <f t="shared" ref="F104:Q104" si="1">countif(F$2:F$103,"&gt;=0.5")+countif(F$2:F$103,"&lt;=-0.5")</f>
        <v>19</v>
      </c>
      <c r="G104" s="101">
        <f t="shared" si="1"/>
        <v>24</v>
      </c>
      <c r="H104" s="101">
        <f t="shared" si="1"/>
        <v>0</v>
      </c>
      <c r="I104" s="101">
        <f t="shared" si="1"/>
        <v>28</v>
      </c>
      <c r="J104" s="101">
        <f t="shared" si="1"/>
        <v>23</v>
      </c>
      <c r="K104" s="101">
        <f t="shared" si="1"/>
        <v>28</v>
      </c>
      <c r="L104" s="101">
        <f t="shared" si="1"/>
        <v>22</v>
      </c>
      <c r="M104" s="101">
        <f t="shared" si="1"/>
        <v>1</v>
      </c>
      <c r="N104" s="103">
        <f t="shared" si="1"/>
        <v>34</v>
      </c>
      <c r="O104" s="101">
        <f t="shared" si="1"/>
        <v>22</v>
      </c>
      <c r="P104" s="101">
        <f t="shared" si="1"/>
        <v>24</v>
      </c>
      <c r="Q104" s="101">
        <f t="shared" si="1"/>
        <v>23</v>
      </c>
    </row>
    <row r="105" ht="15.75" customHeight="1">
      <c r="A105" s="15" t="str">
        <f>Main!A105</f>
        <v/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14:B1000">
    <cfRule type="notContainsBlanks" dxfId="2" priority="1">
      <formula>LEN(TRIM(B114))&gt;0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111.0"/>
    <col customWidth="1" min="3" max="3" width="12.63"/>
    <col customWidth="1" min="4" max="4" width="19.75"/>
    <col customWidth="1" min="5" max="5" width="19.88"/>
    <col customWidth="1" min="6" max="7" width="12.63"/>
  </cols>
  <sheetData>
    <row r="1" ht="15.75" customHeight="1">
      <c r="A1" s="92" t="s">
        <v>4</v>
      </c>
      <c r="B1" s="92" t="s">
        <v>6</v>
      </c>
      <c r="C1" s="92" t="s">
        <v>5</v>
      </c>
      <c r="D1" s="92" t="s">
        <v>194</v>
      </c>
      <c r="E1" s="92" t="s">
        <v>195</v>
      </c>
      <c r="F1" s="8" t="s">
        <v>9</v>
      </c>
      <c r="G1" s="10" t="s">
        <v>21</v>
      </c>
      <c r="H1" s="8" t="s">
        <v>11</v>
      </c>
      <c r="I1" s="10" t="s">
        <v>12</v>
      </c>
      <c r="J1" s="8" t="s">
        <v>13</v>
      </c>
      <c r="K1" s="98" t="s">
        <v>196</v>
      </c>
      <c r="L1" s="8" t="s">
        <v>15</v>
      </c>
      <c r="M1" s="10" t="s">
        <v>16</v>
      </c>
      <c r="N1" s="8" t="s">
        <v>17</v>
      </c>
      <c r="O1" s="10" t="s">
        <v>18</v>
      </c>
      <c r="P1" s="8" t="s">
        <v>19</v>
      </c>
      <c r="Q1" s="10" t="s">
        <v>20</v>
      </c>
    </row>
    <row r="2" ht="15.75" customHeight="1">
      <c r="A2" s="15">
        <f>Main!A2</f>
        <v>1</v>
      </c>
      <c r="B2" s="15" t="str">
        <f>Main!B2</f>
        <v>That there will be a hung parliament at the next election and Labor will take office</v>
      </c>
      <c r="C2" s="15" t="str">
        <f>Main!C2</f>
        <v>Aus Politics</v>
      </c>
      <c r="D2" s="15">
        <v>0.2</v>
      </c>
      <c r="F2" s="99">
        <f>$D2-vlookup(Summary!$C2,Summary!$C$2:$Q$103,3+counta($F$1:F$1),false)</f>
        <v>-0.2</v>
      </c>
      <c r="G2" s="99">
        <f>$D2-vlookup(Summary!$C2,Summary!$C$2:$Q$103,3+counta($F$1:G$1),false)</f>
        <v>-0.5</v>
      </c>
      <c r="H2" s="99">
        <f>$D2-vlookup(Summary!$C2,Summary!$C$2:$Q$103,3+counta($F$1:H$1),false)</f>
        <v>0.1</v>
      </c>
      <c r="I2" s="99">
        <f>$D2-vlookup(Summary!$C2,Summary!$C$2:$Q$103,3+counta($F$1:I$1),false)</f>
        <v>0</v>
      </c>
      <c r="J2" s="99">
        <f>$D2-vlookup(Summary!$C2,Summary!$C$2:$Q$103,3+counta($F$1:J$1),false)</f>
        <v>-0.3</v>
      </c>
      <c r="K2" s="99">
        <f>$D2-vlookup(Summary!$C2,Summary!$C$2:$Q$103,3+counta($F$1:K$1),false)</f>
        <v>-0.45</v>
      </c>
      <c r="L2" s="99">
        <f>$D2-vlookup(Summary!$C2,Summary!$C$2:$Q$103,3+counta($F$1:L$1),false)</f>
        <v>0</v>
      </c>
      <c r="M2" s="99">
        <f>$D2-vlookup(Summary!$C2,Summary!$C$2:$Q$103,3+counta($F$1:M$1),false)</f>
        <v>0.1</v>
      </c>
      <c r="N2" s="99">
        <f>$D2-vlookup(Summary!$C2,Summary!$C$2:$Q$103,3+counta($F$1:N$1),false)</f>
        <v>-0.6</v>
      </c>
      <c r="O2" s="99">
        <f>$D2-vlookup(Summary!$C2,Summary!$C$2:$Q$103,3+counta($F$1:O$1),false)</f>
        <v>-0.15</v>
      </c>
      <c r="P2" s="99">
        <f>$D2-vlookup(Summary!$C2,Summary!$C$2:$Q$103,3+counta($F$1:P$1),false)</f>
        <v>0.1</v>
      </c>
      <c r="Q2" s="99">
        <f>$D2-vlookup(Summary!$C2,Summary!$C$2:$Q$103,3+counta($F$1:Q$1),false)</f>
        <v>-0.25</v>
      </c>
    </row>
    <row r="3" ht="15.75" customHeight="1">
      <c r="A3" s="15">
        <f>Main!A3</f>
        <v>2</v>
      </c>
      <c r="B3" s="15" t="str">
        <f>Main!B3</f>
        <v>Dan Andrews will become leader of the Australian Labor Party</v>
      </c>
      <c r="C3" s="15" t="str">
        <f>Main!C3</f>
        <v>Aus Politics</v>
      </c>
      <c r="D3" s="15">
        <v>0.2</v>
      </c>
      <c r="F3" s="99">
        <f>$D3-vlookup(Summary!$C3,Summary!$C$2:$Q$103,3+counta($F$1:F$1),false)</f>
        <v>0</v>
      </c>
      <c r="G3" s="99">
        <f>$D3-vlookup(Summary!$C3,Summary!$C$2:$Q$103,3+counta($F$1:G$1),false)</f>
        <v>0.1</v>
      </c>
      <c r="H3" s="99">
        <f>$D3-vlookup(Summary!$C3,Summary!$C$2:$Q$103,3+counta($F$1:H$1),false)</f>
        <v>0.15</v>
      </c>
      <c r="I3" s="99">
        <f>$D3-vlookup(Summary!$C3,Summary!$C$2:$Q$103,3+counta($F$1:I$1),false)</f>
        <v>0</v>
      </c>
      <c r="J3" s="99">
        <f>$D3-vlookup(Summary!$C3,Summary!$C$2:$Q$103,3+counta($F$1:J$1),false)</f>
        <v>0.1</v>
      </c>
      <c r="K3" s="99">
        <f>$D3-vlookup(Summary!$C3,Summary!$C$2:$Q$103,3+counta($F$1:K$1),false)</f>
        <v>0.2</v>
      </c>
      <c r="L3" s="99">
        <f>$D3-vlookup(Summary!$C3,Summary!$C$2:$Q$103,3+counta($F$1:L$1),false)</f>
        <v>0.199</v>
      </c>
      <c r="M3" s="99">
        <f>$D3-vlookup(Summary!$C3,Summary!$C$2:$Q$103,3+counta($F$1:M$1),false)</f>
        <v>0.15</v>
      </c>
      <c r="N3" s="99">
        <f>$D3-vlookup(Summary!$C3,Summary!$C$2:$Q$103,3+counta($F$1:N$1),false)</f>
        <v>0.1</v>
      </c>
      <c r="O3" s="99">
        <f>$D3-vlookup(Summary!$C3,Summary!$C$2:$Q$103,3+counta($F$1:O$1),false)</f>
        <v>0.199</v>
      </c>
      <c r="P3" s="99">
        <f>$D3-vlookup(Summary!$C3,Summary!$C$2:$Q$103,3+counta($F$1:P$1),false)</f>
        <v>0.1</v>
      </c>
      <c r="Q3" s="99">
        <f>$D3-vlookup(Summary!$C3,Summary!$C$2:$Q$103,3+counta($F$1:Q$1),false)</f>
        <v>0.19</v>
      </c>
    </row>
    <row r="4" ht="15.75" customHeight="1">
      <c r="A4" s="15">
        <f>Main!A4</f>
        <v>3</v>
      </c>
      <c r="B4" s="15" t="str">
        <f>Main!B4</f>
        <v>The Greens will get more than 9 senators in the next federal election</v>
      </c>
      <c r="C4" s="15" t="str">
        <f>Main!C4</f>
        <v>Aus Politics</v>
      </c>
      <c r="D4" s="15">
        <v>0.6</v>
      </c>
      <c r="F4" s="99">
        <f>$D4-vlookup(Summary!$C4,Summary!$C$2:$Q$103,3+counta($F$1:F$1),false)</f>
        <v>0</v>
      </c>
      <c r="G4" s="99">
        <f>$D4-vlookup(Summary!$C4,Summary!$C$2:$Q$103,3+counta($F$1:G$1),false)</f>
        <v>0.3</v>
      </c>
      <c r="H4" s="99">
        <f>$D4-vlookup(Summary!$C4,Summary!$C$2:$Q$103,3+counta($F$1:H$1),false)</f>
        <v>0.5</v>
      </c>
      <c r="I4" s="99">
        <f>$D4-vlookup(Summary!$C4,Summary!$C$2:$Q$103,3+counta($F$1:I$1),false)</f>
        <v>0</v>
      </c>
      <c r="J4" s="99">
        <f>$D4-vlookup(Summary!$C4,Summary!$C$2:$Q$103,3+counta($F$1:J$1),false)</f>
        <v>-0.1</v>
      </c>
      <c r="K4" s="99">
        <f>$D4-vlookup(Summary!$C4,Summary!$C$2:$Q$103,3+counta($F$1:K$1),false)</f>
        <v>0</v>
      </c>
      <c r="L4" s="99">
        <f>$D4-vlookup(Summary!$C4,Summary!$C$2:$Q$103,3+counta($F$1:L$1),false)</f>
        <v>-0.1</v>
      </c>
      <c r="M4" s="99">
        <f>$D4-vlookup(Summary!$C4,Summary!$C$2:$Q$103,3+counta($F$1:M$1),false)</f>
        <v>0.5</v>
      </c>
      <c r="N4" s="99">
        <f>$D4-vlookup(Summary!$C4,Summary!$C$2:$Q$103,3+counta($F$1:N$1),false)</f>
        <v>0.5</v>
      </c>
      <c r="O4" s="99">
        <f>$D4-vlookup(Summary!$C4,Summary!$C$2:$Q$103,3+counta($F$1:O$1),false)</f>
        <v>0.1</v>
      </c>
      <c r="P4" s="99">
        <f>$D4-vlookup(Summary!$C4,Summary!$C$2:$Q$103,3+counta($F$1:P$1),false)</f>
        <v>0.1</v>
      </c>
      <c r="Q4" s="99">
        <f>$D4-vlookup(Summary!$C4,Summary!$C$2:$Q$103,3+counta($F$1:Q$1),false)</f>
        <v>0.05</v>
      </c>
    </row>
    <row r="5" ht="15.75" customHeight="1">
      <c r="A5" s="15">
        <f>Main!A5</f>
        <v>4</v>
      </c>
      <c r="B5" s="15" t="str">
        <f>Main!B5</f>
        <v>The House of Reps will include 5 independents by the end of the federal election</v>
      </c>
      <c r="C5" s="15" t="str">
        <f>Main!C5</f>
        <v>Aus Politics</v>
      </c>
      <c r="D5" s="15">
        <v>0.7</v>
      </c>
      <c r="F5" s="99">
        <f>$D5-vlookup(Summary!$C5,Summary!$C$2:$Q$103,3+counta($F$1:F$1),false)</f>
        <v>0</v>
      </c>
      <c r="G5" s="99">
        <f>$D5-vlookup(Summary!$C5,Summary!$C$2:$Q$103,3+counta($F$1:G$1),false)</f>
        <v>0.4</v>
      </c>
      <c r="H5" s="99">
        <f>$D5-vlookup(Summary!$C5,Summary!$C$2:$Q$103,3+counta($F$1:H$1),false)</f>
        <v>0.6</v>
      </c>
      <c r="I5" s="99">
        <f>$D5-vlookup(Summary!$C5,Summary!$C$2:$Q$103,3+counta($F$1:I$1),false)</f>
        <v>0</v>
      </c>
      <c r="J5" s="99">
        <f>$D5-vlookup(Summary!$C5,Summary!$C$2:$Q$103,3+counta($F$1:J$1),false)</f>
        <v>-0.2</v>
      </c>
      <c r="K5" s="99">
        <f>$D5-vlookup(Summary!$C5,Summary!$C$2:$Q$103,3+counta($F$1:K$1),false)</f>
        <v>-0.05</v>
      </c>
      <c r="L5" s="99">
        <f>$D5-vlookup(Summary!$C5,Summary!$C$2:$Q$103,3+counta($F$1:L$1),false)</f>
        <v>0.699</v>
      </c>
      <c r="M5" s="99">
        <f>$D5-vlookup(Summary!$C5,Summary!$C$2:$Q$103,3+counta($F$1:M$1),false)</f>
        <v>0.6</v>
      </c>
      <c r="N5" s="99">
        <f>$D5-vlookup(Summary!$C5,Summary!$C$2:$Q$103,3+counta($F$1:N$1),false)</f>
        <v>-0.2</v>
      </c>
      <c r="O5" s="99">
        <f>$D5-vlookup(Summary!$C5,Summary!$C$2:$Q$103,3+counta($F$1:O$1),false)</f>
        <v>0.2</v>
      </c>
      <c r="P5" s="99">
        <f>$D5-vlookup(Summary!$C5,Summary!$C$2:$Q$103,3+counta($F$1:P$1),false)</f>
        <v>-0.1</v>
      </c>
      <c r="Q5" s="99">
        <f>$D5-vlookup(Summary!$C5,Summary!$C$2:$Q$103,3+counta($F$1:Q$1),false)</f>
        <v>0</v>
      </c>
    </row>
    <row r="6" ht="15.75" customHeight="1">
      <c r="A6" s="15">
        <f>Main!A6</f>
        <v>5</v>
      </c>
      <c r="B6" s="15" t="str">
        <f>Main!B6</f>
        <v>The Australian Labor Party will not pledge to reverse the uni fee structure introduced in 2020</v>
      </c>
      <c r="C6" s="15" t="str">
        <f>Main!C6</f>
        <v>Aus Politics</v>
      </c>
      <c r="D6" s="15">
        <v>0.7</v>
      </c>
      <c r="F6" s="99">
        <f>$D6-vlookup(Summary!$C6,Summary!$C$2:$Q$103,3+counta($F$1:F$1),false)</f>
        <v>0.1</v>
      </c>
      <c r="G6" s="99">
        <f>$D6-vlookup(Summary!$C6,Summary!$C$2:$Q$103,3+counta($F$1:G$1),false)</f>
        <v>-0.1</v>
      </c>
      <c r="H6" s="99">
        <f>$D6-vlookup(Summary!$C6,Summary!$C$2:$Q$103,3+counta($F$1:H$1),false)</f>
        <v>-0.2</v>
      </c>
      <c r="I6" s="99">
        <f>$D6-vlookup(Summary!$C6,Summary!$C$2:$Q$103,3+counta($F$1:I$1),false)</f>
        <v>0</v>
      </c>
      <c r="J6" s="99">
        <f>$D6-vlookup(Summary!$C6,Summary!$C$2:$Q$103,3+counta($F$1:J$1),false)</f>
        <v>0.2</v>
      </c>
      <c r="K6" s="99">
        <f>$D6-vlookup(Summary!$C6,Summary!$C$2:$Q$103,3+counta($F$1:K$1),false)</f>
        <v>-0.15</v>
      </c>
      <c r="L6" s="99">
        <f>$D6-vlookup(Summary!$C6,Summary!$C$2:$Q$103,3+counta($F$1:L$1),false)</f>
        <v>-0.2</v>
      </c>
      <c r="M6" s="99">
        <f>$D6-vlookup(Summary!$C6,Summary!$C$2:$Q$103,3+counta($F$1:M$1),false)</f>
        <v>-0.2</v>
      </c>
      <c r="N6" s="99">
        <f>$D6-vlookup(Summary!$C6,Summary!$C$2:$Q$103,3+counta($F$1:N$1),false)</f>
        <v>-0.2</v>
      </c>
      <c r="O6" s="99">
        <f>$D6-vlookup(Summary!$C6,Summary!$C$2:$Q$103,3+counta($F$1:O$1),false)</f>
        <v>-0.15</v>
      </c>
      <c r="P6" s="99">
        <f>$D6-vlookup(Summary!$C6,Summary!$C$2:$Q$103,3+counta($F$1:P$1),false)</f>
        <v>-0.1</v>
      </c>
      <c r="Q6" s="99">
        <f>$D6-vlookup(Summary!$C6,Summary!$C$2:$Q$103,3+counta($F$1:Q$1),false)</f>
        <v>-0.05</v>
      </c>
    </row>
    <row r="7" ht="15.75" customHeight="1">
      <c r="A7" s="15">
        <f>Main!A7</f>
        <v>6</v>
      </c>
      <c r="B7" s="15" t="str">
        <f>Main!B7</f>
        <v>Zali Steggal and Helen Haines will both retain their seats in Federal Parliament</v>
      </c>
      <c r="C7" s="15" t="str">
        <f>Main!C7</f>
        <v>Aus Politics</v>
      </c>
      <c r="D7" s="15">
        <v>0.7</v>
      </c>
      <c r="F7" s="99">
        <f>$D7-vlookup(Summary!$C7,Summary!$C$2:$Q$103,3+counta($F$1:F$1),false)</f>
        <v>0.2</v>
      </c>
      <c r="G7" s="99">
        <f>$D7-vlookup(Summary!$C7,Summary!$C$2:$Q$103,3+counta($F$1:G$1),false)</f>
        <v>-0.2</v>
      </c>
      <c r="H7" s="99">
        <f>$D7-vlookup(Summary!$C7,Summary!$C$2:$Q$103,3+counta($F$1:H$1),false)</f>
        <v>0.2</v>
      </c>
      <c r="I7" s="99">
        <f>$D7-vlookup(Summary!$C7,Summary!$C$2:$Q$103,3+counta($F$1:I$1),false)</f>
        <v>0</v>
      </c>
      <c r="J7" s="99">
        <f>$D7-vlookup(Summary!$C7,Summary!$C$2:$Q$103,3+counta($F$1:J$1),false)</f>
        <v>-0.2</v>
      </c>
      <c r="K7" s="99">
        <f>$D7-vlookup(Summary!$C7,Summary!$C$2:$Q$103,3+counta($F$1:K$1),false)</f>
        <v>-0.25</v>
      </c>
      <c r="L7" s="99">
        <f>$D7-vlookup(Summary!$C7,Summary!$C$2:$Q$103,3+counta($F$1:L$1),false)</f>
        <v>0.3</v>
      </c>
      <c r="M7" s="99">
        <f>$D7-vlookup(Summary!$C7,Summary!$C$2:$Q$103,3+counta($F$1:M$1),false)</f>
        <v>0.2</v>
      </c>
      <c r="N7" s="99">
        <f>$D7-vlookup(Summary!$C7,Summary!$C$2:$Q$103,3+counta($F$1:N$1),false)</f>
        <v>-0.2</v>
      </c>
      <c r="O7" s="99">
        <f>$D7-vlookup(Summary!$C7,Summary!$C$2:$Q$103,3+counta($F$1:O$1),false)</f>
        <v>-0.15</v>
      </c>
      <c r="P7" s="99">
        <f>$D7-vlookup(Summary!$C7,Summary!$C$2:$Q$103,3+counta($F$1:P$1),false)</f>
        <v>-0.2</v>
      </c>
      <c r="Q7" s="99">
        <f>$D7-vlookup(Summary!$C7,Summary!$C$2:$Q$103,3+counta($F$1:Q$1),false)</f>
        <v>0.2</v>
      </c>
    </row>
    <row r="8" ht="15.75" customHeight="1">
      <c r="A8" s="15">
        <f>Main!A8</f>
        <v>7</v>
      </c>
      <c r="B8" s="15" t="str">
        <f>Main!B8</f>
        <v>Scott Morrison will lose leadership of the Liberal Party at least once</v>
      </c>
      <c r="C8" s="15" t="str">
        <f>Main!C8</f>
        <v>Aus Politics</v>
      </c>
      <c r="D8" s="15">
        <v>0.3</v>
      </c>
      <c r="F8" s="99">
        <f>$D8-vlookup(Summary!$C8,Summary!$C$2:$Q$103,3+counta($F$1:F$1),false)</f>
        <v>-0.5</v>
      </c>
      <c r="G8" s="99">
        <f>$D8-vlookup(Summary!$C8,Summary!$C$2:$Q$103,3+counta($F$1:G$1),false)</f>
        <v>-0.4</v>
      </c>
      <c r="H8" s="99">
        <f>$D8-vlookup(Summary!$C8,Summary!$C$2:$Q$103,3+counta($F$1:H$1),false)</f>
        <v>0.15</v>
      </c>
      <c r="I8" s="99">
        <f>$D8-vlookup(Summary!$C8,Summary!$C$2:$Q$103,3+counta($F$1:I$1),false)</f>
        <v>0</v>
      </c>
      <c r="J8" s="99">
        <f>$D8-vlookup(Summary!$C8,Summary!$C$2:$Q$103,3+counta($F$1:J$1),false)</f>
        <v>-0.3</v>
      </c>
      <c r="K8" s="99">
        <f>$D8-vlookup(Summary!$C8,Summary!$C$2:$Q$103,3+counta($F$1:K$1),false)</f>
        <v>-0.45</v>
      </c>
      <c r="L8" s="99">
        <f>$D8-vlookup(Summary!$C8,Summary!$C$2:$Q$103,3+counta($F$1:L$1),false)</f>
        <v>-0.2</v>
      </c>
      <c r="M8" s="99">
        <f>$D8-vlookup(Summary!$C8,Summary!$C$2:$Q$103,3+counta($F$1:M$1),false)</f>
        <v>0.25</v>
      </c>
      <c r="N8" s="99">
        <f>$D8-vlookup(Summary!$C8,Summary!$C$2:$Q$103,3+counta($F$1:N$1),false)</f>
        <v>-0.6</v>
      </c>
      <c r="O8" s="99">
        <f>$D8-vlookup(Summary!$C8,Summary!$C$2:$Q$103,3+counta($F$1:O$1),false)</f>
        <v>-0.05</v>
      </c>
      <c r="P8" s="99">
        <f>$D8-vlookup(Summary!$C8,Summary!$C$2:$Q$103,3+counta($F$1:P$1),false)</f>
        <v>-0.4</v>
      </c>
      <c r="Q8" s="99">
        <f>$D8-vlookup(Summary!$C8,Summary!$C$2:$Q$103,3+counta($F$1:Q$1),false)</f>
        <v>-0.6</v>
      </c>
    </row>
    <row r="9" ht="15.75" customHeight="1">
      <c r="A9" s="15">
        <f>Main!A9</f>
        <v>8</v>
      </c>
      <c r="B9" s="15" t="str">
        <f>Main!B9</f>
        <v>Anthony Albanese will be Prime Minister on at least one day</v>
      </c>
      <c r="C9" s="15" t="str">
        <f>Main!C9</f>
        <v>Aus Politics</v>
      </c>
      <c r="D9" s="15">
        <v>0.3</v>
      </c>
      <c r="F9" s="99">
        <f>$D9-vlookup(Summary!$C9,Summary!$C$2:$Q$103,3+counta($F$1:F$1),false)</f>
        <v>-0.3</v>
      </c>
      <c r="G9" s="99">
        <f>$D9-vlookup(Summary!$C9,Summary!$C$2:$Q$103,3+counta($F$1:G$1),false)</f>
        <v>-0.6</v>
      </c>
      <c r="H9" s="99">
        <f>$D9-vlookup(Summary!$C9,Summary!$C$2:$Q$103,3+counta($F$1:H$1),false)</f>
        <v>0.25</v>
      </c>
      <c r="I9" s="99">
        <f>$D9-vlookup(Summary!$C9,Summary!$C$2:$Q$103,3+counta($F$1:I$1),false)</f>
        <v>0</v>
      </c>
      <c r="J9" s="99">
        <f>$D9-vlookup(Summary!$C9,Summary!$C$2:$Q$103,3+counta($F$1:J$1),false)</f>
        <v>0.2</v>
      </c>
      <c r="K9" s="99">
        <f>$D9-vlookup(Summary!$C9,Summary!$C$2:$Q$103,3+counta($F$1:K$1),false)</f>
        <v>-0.45</v>
      </c>
      <c r="L9" s="99">
        <f>$D9-vlookup(Summary!$C9,Summary!$C$2:$Q$103,3+counta($F$1:L$1),false)</f>
        <v>0</v>
      </c>
      <c r="M9" s="99">
        <f>$D9-vlookup(Summary!$C9,Summary!$C$2:$Q$103,3+counta($F$1:M$1),false)</f>
        <v>0.25</v>
      </c>
      <c r="N9" s="99">
        <f>$D9-vlookup(Summary!$C9,Summary!$C$2:$Q$103,3+counta($F$1:N$1),false)</f>
        <v>-0.6</v>
      </c>
      <c r="O9" s="99">
        <f>$D9-vlookup(Summary!$C9,Summary!$C$2:$Q$103,3+counta($F$1:O$1),false)</f>
        <v>-0.05</v>
      </c>
      <c r="P9" s="99">
        <f>$D9-vlookup(Summary!$C9,Summary!$C$2:$Q$103,3+counta($F$1:P$1),false)</f>
        <v>-0.5</v>
      </c>
      <c r="Q9" s="99">
        <f>$D9-vlookup(Summary!$C9,Summary!$C$2:$Q$103,3+counta($F$1:Q$1),false)</f>
        <v>-0.1</v>
      </c>
    </row>
    <row r="10" ht="15.75" customHeight="1">
      <c r="A10" s="15">
        <f>Main!A10</f>
        <v>9</v>
      </c>
      <c r="B10" s="15" t="str">
        <f>Main!B10</f>
        <v>A sitting MP will make allegations of possible voter fraud or election 'rigging' in the 2022 Australian federal election</v>
      </c>
      <c r="C10" s="15" t="str">
        <f>Main!C10</f>
        <v>Aus Politics</v>
      </c>
      <c r="D10" s="15">
        <v>0.4</v>
      </c>
      <c r="F10" s="99">
        <f>$D10-vlookup(Summary!$C10,Summary!$C$2:$Q$103,3+counta($F$1:F$1),false)</f>
        <v>-0.15</v>
      </c>
      <c r="G10" s="99">
        <f>$D10-vlookup(Summary!$C10,Summary!$C$2:$Q$103,3+counta($F$1:G$1),false)</f>
        <v>0.1</v>
      </c>
      <c r="H10" s="99">
        <f>$D10-vlookup(Summary!$C10,Summary!$C$2:$Q$103,3+counta($F$1:H$1),false)</f>
        <v>0.1</v>
      </c>
      <c r="I10" s="99">
        <f>$D10-vlookup(Summary!$C10,Summary!$C$2:$Q$103,3+counta($F$1:I$1),false)</f>
        <v>0</v>
      </c>
      <c r="J10" s="99">
        <f>$D10-vlookup(Summary!$C10,Summary!$C$2:$Q$103,3+counta($F$1:J$1),false)</f>
        <v>-0.5</v>
      </c>
      <c r="K10" s="99">
        <f>$D10-vlookup(Summary!$C10,Summary!$C$2:$Q$103,3+counta($F$1:K$1),false)</f>
        <v>0.05</v>
      </c>
      <c r="L10" s="99">
        <f>$D10-vlookup(Summary!$C10,Summary!$C$2:$Q$103,3+counta($F$1:L$1),false)</f>
        <v>-0.5</v>
      </c>
      <c r="M10" s="99">
        <f>$D10-vlookup(Summary!$C10,Summary!$C$2:$Q$103,3+counta($F$1:M$1),false)</f>
        <v>0.1</v>
      </c>
      <c r="N10" s="99">
        <f>$D10-vlookup(Summary!$C10,Summary!$C$2:$Q$103,3+counta($F$1:N$1),false)</f>
        <v>-0.3</v>
      </c>
      <c r="O10" s="99">
        <f>$D10-vlookup(Summary!$C10,Summary!$C$2:$Q$103,3+counta($F$1:O$1),false)</f>
        <v>-0.45</v>
      </c>
      <c r="P10" s="99">
        <f>$D10-vlookup(Summary!$C10,Summary!$C$2:$Q$103,3+counta($F$1:P$1),false)</f>
        <v>0</v>
      </c>
      <c r="Q10" s="99">
        <f>$D10-vlookup(Summary!$C10,Summary!$C$2:$Q$103,3+counta($F$1:Q$1),false)</f>
        <v>-0.4</v>
      </c>
    </row>
    <row r="11" ht="15.75" customHeight="1">
      <c r="A11" s="15">
        <f>Main!A11</f>
        <v>10</v>
      </c>
      <c r="B11" s="15" t="str">
        <f>Main!B11</f>
        <v>The Australian Intelligence Community will release a statement contradicting a Government minister or MP during the 2022 election campaign</v>
      </c>
      <c r="C11" s="15" t="str">
        <f>Main!C11</f>
        <v>Aus Politics</v>
      </c>
      <c r="D11" s="15">
        <v>0.2</v>
      </c>
      <c r="F11" s="99">
        <f>$D11-vlookup(Summary!$C11,Summary!$C$2:$Q$103,3+counta($F$1:F$1),false)</f>
        <v>-0.2</v>
      </c>
      <c r="G11" s="99">
        <f>$D11-vlookup(Summary!$C11,Summary!$C$2:$Q$103,3+counta($F$1:G$1),false)</f>
        <v>0</v>
      </c>
      <c r="H11" s="99">
        <f>$D11-vlookup(Summary!$C11,Summary!$C$2:$Q$103,3+counta($F$1:H$1),false)</f>
        <v>0.1</v>
      </c>
      <c r="I11" s="99">
        <f>$D11-vlookup(Summary!$C11,Summary!$C$2:$Q$103,3+counta($F$1:I$1),false)</f>
        <v>0</v>
      </c>
      <c r="J11" s="99">
        <f>$D11-vlookup(Summary!$C11,Summary!$C$2:$Q$103,3+counta($F$1:J$1),false)</f>
        <v>0.1</v>
      </c>
      <c r="K11" s="99">
        <f>$D11-vlookup(Summary!$C11,Summary!$C$2:$Q$103,3+counta($F$1:K$1),false)</f>
        <v>-0.35</v>
      </c>
      <c r="L11" s="99">
        <f>$D11-vlookup(Summary!$C11,Summary!$C$2:$Q$103,3+counta($F$1:L$1),false)</f>
        <v>0.05</v>
      </c>
      <c r="M11" s="99">
        <f>$D11-vlookup(Summary!$C11,Summary!$C$2:$Q$103,3+counta($F$1:M$1),false)</f>
        <v>0.1</v>
      </c>
      <c r="N11" s="99">
        <f>$D11-vlookup(Summary!$C11,Summary!$C$2:$Q$103,3+counta($F$1:N$1),false)</f>
        <v>-0.7</v>
      </c>
      <c r="O11" s="99">
        <f>$D11-vlookup(Summary!$C11,Summary!$C$2:$Q$103,3+counta($F$1:O$1),false)</f>
        <v>0.199</v>
      </c>
      <c r="P11" s="99">
        <f>$D11-vlookup(Summary!$C11,Summary!$C$2:$Q$103,3+counta($F$1:P$1),false)</f>
        <v>0.1</v>
      </c>
      <c r="Q11" s="99">
        <f>$D11-vlookup(Summary!$C11,Summary!$C$2:$Q$103,3+counta($F$1:Q$1),false)</f>
        <v>-0.55</v>
      </c>
    </row>
    <row r="12" ht="15.75" customHeight="1">
      <c r="A12" s="15">
        <f>Main!A12</f>
        <v>11</v>
      </c>
      <c r="B12" s="15" t="str">
        <f>Main!B12</f>
        <v>Scott Morrison will still be the Prime Minister of Australia</v>
      </c>
      <c r="C12" s="15" t="str">
        <f>Main!C12</f>
        <v>Aus Politics</v>
      </c>
      <c r="D12" s="15">
        <v>0.8</v>
      </c>
      <c r="F12" s="99">
        <f>$D12-vlookup(Summary!$C12,Summary!$C$2:$Q$103,3+counta($F$1:F$1),false)</f>
        <v>0.4</v>
      </c>
      <c r="G12" s="99">
        <f>$D12-vlookup(Summary!$C12,Summary!$C$2:$Q$103,3+counta($F$1:G$1),false)</f>
        <v>0.6</v>
      </c>
      <c r="H12" s="99">
        <f>$D12-vlookup(Summary!$C12,Summary!$C$2:$Q$103,3+counta($F$1:H$1),false)</f>
        <v>0.6</v>
      </c>
      <c r="I12" s="99">
        <f>$D12-vlookup(Summary!$C12,Summary!$C$2:$Q$103,3+counta($F$1:I$1),false)</f>
        <v>0</v>
      </c>
      <c r="J12" s="99">
        <f>$D12-vlookup(Summary!$C12,Summary!$C$2:$Q$103,3+counta($F$1:J$1),false)</f>
        <v>0.3</v>
      </c>
      <c r="K12" s="99">
        <f>$D12-vlookup(Summary!$C12,Summary!$C$2:$Q$103,3+counta($F$1:K$1),false)</f>
        <v>0.05</v>
      </c>
      <c r="L12" s="99">
        <f>$D12-vlookup(Summary!$C12,Summary!$C$2:$Q$103,3+counta($F$1:L$1),false)</f>
        <v>0.1</v>
      </c>
      <c r="M12" s="99">
        <f>$D12-vlookup(Summary!$C12,Summary!$C$2:$Q$103,3+counta($F$1:M$1),false)</f>
        <v>0.75</v>
      </c>
      <c r="N12" s="99">
        <f>$D12-vlookup(Summary!$C12,Summary!$C$2:$Q$103,3+counta($F$1:N$1),false)</f>
        <v>0.7</v>
      </c>
      <c r="O12" s="99">
        <f>$D12-vlookup(Summary!$C12,Summary!$C$2:$Q$103,3+counta($F$1:O$1),false)</f>
        <v>0.15</v>
      </c>
      <c r="P12" s="99">
        <f>$D12-vlookup(Summary!$C12,Summary!$C$2:$Q$103,3+counta($F$1:P$1),false)</f>
        <v>0.5</v>
      </c>
      <c r="Q12" s="99">
        <f>$D12-vlookup(Summary!$C12,Summary!$C$2:$Q$103,3+counta($F$1:Q$1),false)</f>
        <v>0.7</v>
      </c>
    </row>
    <row r="13" ht="15.75" customHeight="1">
      <c r="A13" s="15">
        <f>Main!A13</f>
        <v>12</v>
      </c>
      <c r="B13" s="15" t="str">
        <f>Main!B13</f>
        <v>An Australian federal Minister will step down from their position due to direct involvement (proven or otherwise) in sexual misconduct at some point in the year.</v>
      </c>
      <c r="C13" s="15" t="str">
        <f>Main!C13</f>
        <v>Aus Politics</v>
      </c>
      <c r="D13" s="15">
        <v>0.9</v>
      </c>
      <c r="F13" s="99">
        <f>$D13-vlookup(Summary!$C13,Summary!$C$2:$Q$103,3+counta($F$1:F$1),false)</f>
        <v>0.25</v>
      </c>
      <c r="G13" s="99">
        <f>$D13-vlookup(Summary!$C13,Summary!$C$2:$Q$103,3+counta($F$1:G$1),false)</f>
        <v>0.5</v>
      </c>
      <c r="H13" s="99">
        <f>$D13-vlookup(Summary!$C13,Summary!$C$2:$Q$103,3+counta($F$1:H$1),false)</f>
        <v>0.8</v>
      </c>
      <c r="I13" s="99">
        <f>$D13-vlookup(Summary!$C13,Summary!$C$2:$Q$103,3+counta($F$1:I$1),false)</f>
        <v>0</v>
      </c>
      <c r="J13" s="99">
        <f>$D13-vlookup(Summary!$C13,Summary!$C$2:$Q$103,3+counta($F$1:J$1),false)</f>
        <v>0</v>
      </c>
      <c r="K13" s="99">
        <f>$D13-vlookup(Summary!$C13,Summary!$C$2:$Q$103,3+counta($F$1:K$1),false)</f>
        <v>0.55</v>
      </c>
      <c r="L13" s="99">
        <f>$D13-vlookup(Summary!$C13,Summary!$C$2:$Q$103,3+counta($F$1:L$1),false)</f>
        <v>0.7</v>
      </c>
      <c r="M13" s="99">
        <f>$D13-vlookup(Summary!$C13,Summary!$C$2:$Q$103,3+counta($F$1:M$1),false)</f>
        <v>0.8</v>
      </c>
      <c r="N13" s="99">
        <f>$D13-vlookup(Summary!$C13,Summary!$C$2:$Q$103,3+counta($F$1:N$1),false)</f>
        <v>0.3</v>
      </c>
      <c r="O13" s="99">
        <f>$D13-vlookup(Summary!$C13,Summary!$C$2:$Q$103,3+counta($F$1:O$1),false)</f>
        <v>0.75</v>
      </c>
      <c r="P13" s="99">
        <f>$D13-vlookup(Summary!$C13,Summary!$C$2:$Q$103,3+counta($F$1:P$1),false)</f>
        <v>0.6</v>
      </c>
      <c r="Q13" s="99">
        <f>$D13-vlookup(Summary!$C13,Summary!$C$2:$Q$103,3+counta($F$1:Q$1),false)</f>
        <v>0.3</v>
      </c>
    </row>
    <row r="14" ht="15.75" customHeight="1">
      <c r="A14" s="15">
        <f>Main!A14</f>
        <v>13</v>
      </c>
      <c r="B14" s="15" t="str">
        <f>Main!B14</f>
        <v>Friendlyjordies, or evidence he has brought to light, will feature in a court case or ICAC inquiry.</v>
      </c>
      <c r="C14" s="15" t="str">
        <f>Main!C14</f>
        <v>Aus Politics</v>
      </c>
      <c r="D14" s="15">
        <v>0.6</v>
      </c>
      <c r="F14" s="99">
        <f>$D14-vlookup(Summary!$C14,Summary!$C$2:$Q$103,3+counta($F$1:F$1),false)</f>
        <v>0.05</v>
      </c>
      <c r="G14" s="99">
        <f>$D14-vlookup(Summary!$C14,Summary!$C$2:$Q$103,3+counta($F$1:G$1),false)</f>
        <v>-0.1</v>
      </c>
      <c r="H14" s="99">
        <f>$D14-vlookup(Summary!$C14,Summary!$C$2:$Q$103,3+counta($F$1:H$1),false)</f>
        <v>0.3</v>
      </c>
      <c r="I14" s="99">
        <f>$D14-vlookup(Summary!$C14,Summary!$C$2:$Q$103,3+counta($F$1:I$1),false)</f>
        <v>0</v>
      </c>
      <c r="J14" s="99">
        <f>$D14-vlookup(Summary!$C14,Summary!$C$2:$Q$103,3+counta($F$1:J$1),false)</f>
        <v>-0.1</v>
      </c>
      <c r="K14" s="99">
        <f>$D14-vlookup(Summary!$C14,Summary!$C$2:$Q$103,3+counta($F$1:K$1),false)</f>
        <v>-0.05</v>
      </c>
      <c r="L14" s="99">
        <f>$D14-vlookup(Summary!$C14,Summary!$C$2:$Q$103,3+counta($F$1:L$1),false)</f>
        <v>0.1</v>
      </c>
      <c r="M14" s="99">
        <f>$D14-vlookup(Summary!$C14,Summary!$C$2:$Q$103,3+counta($F$1:M$1),false)</f>
        <v>0.3</v>
      </c>
      <c r="N14" s="99">
        <f>$D14-vlookup(Summary!$C14,Summary!$C$2:$Q$103,3+counta($F$1:N$1),false)</f>
        <v>0.5</v>
      </c>
      <c r="O14" s="99">
        <f>$D14-vlookup(Summary!$C14,Summary!$C$2:$Q$103,3+counta($F$1:O$1),false)</f>
        <v>0.45</v>
      </c>
      <c r="P14" s="99">
        <f>$D14-vlookup(Summary!$C14,Summary!$C$2:$Q$103,3+counta($F$1:P$1),false)</f>
        <v>0.1</v>
      </c>
      <c r="Q14" s="99">
        <f>$D14-vlookup(Summary!$C14,Summary!$C$2:$Q$103,3+counta($F$1:Q$1),false)</f>
        <v>0.1</v>
      </c>
    </row>
    <row r="15" ht="15.75" customHeight="1">
      <c r="A15" s="15">
        <f>Main!A15</f>
        <v>14</v>
      </c>
      <c r="B15" s="15" t="str">
        <f>Main!B15</f>
        <v>At least one person commits suicide as an effect of the Royal Commission into Defence and Veteran Suicide, as reported in The Guardian</v>
      </c>
      <c r="C15" s="15" t="str">
        <f>Main!C15</f>
        <v>Aus Politics</v>
      </c>
      <c r="D15" s="15">
        <v>0.4</v>
      </c>
      <c r="F15" s="99">
        <f>$D15-vlookup(Summary!$C15,Summary!$C$2:$Q$103,3+counta($F$1:F$1),false)</f>
        <v>0</v>
      </c>
      <c r="G15" s="99">
        <f>$D15-vlookup(Summary!$C15,Summary!$C$2:$Q$103,3+counta($F$1:G$1),false)</f>
        <v>-0.4</v>
      </c>
      <c r="H15" s="99">
        <f>$D15-vlookup(Summary!$C15,Summary!$C$2:$Q$103,3+counta($F$1:H$1),false)</f>
        <v>-0.3</v>
      </c>
      <c r="I15" s="99">
        <f>$D15-vlookup(Summary!$C15,Summary!$C$2:$Q$103,3+counta($F$1:I$1),false)</f>
        <v>0</v>
      </c>
      <c r="J15" s="99">
        <f>$D15-vlookup(Summary!$C15,Summary!$C$2:$Q$103,3+counta($F$1:J$1),false)</f>
        <v>0.1</v>
      </c>
      <c r="K15" s="99">
        <f>$D15-vlookup(Summary!$C15,Summary!$C$2:$Q$103,3+counta($F$1:K$1),false)</f>
        <v>-0.45</v>
      </c>
      <c r="L15" s="99">
        <f>$D15-vlookup(Summary!$C15,Summary!$C$2:$Q$103,3+counta($F$1:L$1),false)</f>
        <v>-0.2</v>
      </c>
      <c r="M15" s="99">
        <f>$D15-vlookup(Summary!$C15,Summary!$C$2:$Q$103,3+counta($F$1:M$1),false)</f>
        <v>-0.3</v>
      </c>
      <c r="N15" s="99">
        <f>$D15-vlookup(Summary!$C15,Summary!$C$2:$Q$103,3+counta($F$1:N$1),false)</f>
        <v>-0.5</v>
      </c>
      <c r="O15" s="99">
        <f>$D15-vlookup(Summary!$C15,Summary!$C$2:$Q$103,3+counta($F$1:O$1),false)</f>
        <v>0.25</v>
      </c>
      <c r="P15" s="99">
        <f>$D15-vlookup(Summary!$C15,Summary!$C$2:$Q$103,3+counta($F$1:P$1),false)</f>
        <v>-0.1</v>
      </c>
      <c r="Q15" s="99">
        <f>$D15-vlookup(Summary!$C15,Summary!$C$2:$Q$103,3+counta($F$1:Q$1),false)</f>
        <v>0</v>
      </c>
    </row>
    <row r="16" ht="15.75" customHeight="1">
      <c r="A16" s="15">
        <f>Main!A16</f>
        <v>15</v>
      </c>
      <c r="B16" s="15" t="str">
        <f>Main!B16</f>
        <v>Taylor Swift will get married</v>
      </c>
      <c r="C16" s="15" t="str">
        <f>Main!C16</f>
        <v>Celebrities</v>
      </c>
      <c r="D16" s="15">
        <v>0.15</v>
      </c>
      <c r="F16" s="99">
        <f>$D16-vlookup(Summary!$C16,Summary!$C$2:$Q$103,3+counta($F$1:F$1),false)</f>
        <v>-0.4</v>
      </c>
      <c r="G16" s="99">
        <f>$D16-vlookup(Summary!$C16,Summary!$C$2:$Q$103,3+counta($F$1:G$1),false)</f>
        <v>-0.25</v>
      </c>
      <c r="H16" s="99">
        <f>$D16-vlookup(Summary!$C16,Summary!$C$2:$Q$103,3+counta($F$1:H$1),false)</f>
        <v>-0.55</v>
      </c>
      <c r="I16" s="99">
        <f>$D16-vlookup(Summary!$C16,Summary!$C$2:$Q$103,3+counta($F$1:I$1),false)</f>
        <v>0</v>
      </c>
      <c r="J16" s="99">
        <f>$D16-vlookup(Summary!$C16,Summary!$C$2:$Q$103,3+counta($F$1:J$1),false)</f>
        <v>-0.45</v>
      </c>
      <c r="K16" s="99">
        <f>$D16-vlookup(Summary!$C16,Summary!$C$2:$Q$103,3+counta($F$1:K$1),false)</f>
        <v>-0.65</v>
      </c>
      <c r="L16" s="99">
        <f>$D16-vlookup(Summary!$C16,Summary!$C$2:$Q$103,3+counta($F$1:L$1),false)</f>
        <v>-0.05</v>
      </c>
      <c r="M16" s="99">
        <f>$D16-vlookup(Summary!$C16,Summary!$C$2:$Q$103,3+counta($F$1:M$1),false)</f>
        <v>-0.55</v>
      </c>
      <c r="N16" s="99">
        <f>$D16-vlookup(Summary!$C16,Summary!$C$2:$Q$103,3+counta($F$1:N$1),false)</f>
        <v>-0.65</v>
      </c>
      <c r="O16" s="99">
        <f>$D16-vlookup(Summary!$C16,Summary!$C$2:$Q$103,3+counta($F$1:O$1),false)</f>
        <v>0</v>
      </c>
      <c r="P16" s="99">
        <f>$D16-vlookup(Summary!$C16,Summary!$C$2:$Q$103,3+counta($F$1:P$1),false)</f>
        <v>-0.35</v>
      </c>
      <c r="Q16" s="99">
        <f>$D16-vlookup(Summary!$C16,Summary!$C$2:$Q$103,3+counta($F$1:Q$1),false)</f>
        <v>0.14</v>
      </c>
    </row>
    <row r="17" ht="15.75" customHeight="1">
      <c r="A17" s="15">
        <f>Main!A17</f>
        <v>16</v>
      </c>
      <c r="B17" s="15" t="str">
        <f>Main!B17</f>
        <v>Jane Campion will win the Oscar for Best Director</v>
      </c>
      <c r="C17" s="15" t="str">
        <f>Main!C17</f>
        <v>Celebrities</v>
      </c>
      <c r="D17" s="15">
        <v>0.9</v>
      </c>
      <c r="F17" s="99">
        <f>$D17-vlookup(Summary!$C17,Summary!$C$2:$Q$103,3+counta($F$1:F$1),false)</f>
        <v>0.1</v>
      </c>
      <c r="G17" s="99">
        <f>$D17-vlookup(Summary!$C17,Summary!$C$2:$Q$103,3+counta($F$1:G$1),false)</f>
        <v>0.3</v>
      </c>
      <c r="H17" s="99">
        <f>$D17-vlookup(Summary!$C17,Summary!$C$2:$Q$103,3+counta($F$1:H$1),false)</f>
        <v>0.7</v>
      </c>
      <c r="I17" s="99">
        <f>$D17-vlookup(Summary!$C17,Summary!$C$2:$Q$103,3+counta($F$1:I$1),false)</f>
        <v>0</v>
      </c>
      <c r="J17" s="99">
        <f>$D17-vlookup(Summary!$C17,Summary!$C$2:$Q$103,3+counta($F$1:J$1),false)</f>
        <v>0</v>
      </c>
      <c r="K17" s="99">
        <f>$D17-vlookup(Summary!$C17,Summary!$C$2:$Q$103,3+counta($F$1:K$1),false)</f>
        <v>-0.05</v>
      </c>
      <c r="L17" s="99">
        <f>$D17-vlookup(Summary!$C17,Summary!$C$2:$Q$103,3+counta($F$1:L$1),false)</f>
        <v>0.2</v>
      </c>
      <c r="M17" s="99">
        <f>$D17-vlookup(Summary!$C17,Summary!$C$2:$Q$103,3+counta($F$1:M$1),false)</f>
        <v>0.7</v>
      </c>
      <c r="N17" s="99">
        <f>$D17-vlookup(Summary!$C17,Summary!$C$2:$Q$103,3+counta($F$1:N$1),false)</f>
        <v>0.8</v>
      </c>
      <c r="O17" s="99">
        <f>$D17-vlookup(Summary!$C17,Summary!$C$2:$Q$103,3+counta($F$1:O$1),false)</f>
        <v>0.4</v>
      </c>
      <c r="P17" s="99">
        <f>$D17-vlookup(Summary!$C17,Summary!$C$2:$Q$103,3+counta($F$1:P$1),false)</f>
        <v>0.4</v>
      </c>
      <c r="Q17" s="99">
        <f>$D17-vlookup(Summary!$C17,Summary!$C$2:$Q$103,3+counta($F$1:Q$1),false)</f>
        <v>0.6</v>
      </c>
    </row>
    <row r="18" ht="15.75" customHeight="1">
      <c r="A18" s="15">
        <f>Main!A18</f>
        <v>17</v>
      </c>
      <c r="B18" s="15" t="str">
        <f>Main!B18</f>
        <v>Harry and Megan's animated series "Pearl" will be released and have over 50% on Rotten Tomatoes</v>
      </c>
      <c r="C18" s="15" t="str">
        <f>Main!C18</f>
        <v>Celebrities</v>
      </c>
      <c r="D18" s="15">
        <v>0.4</v>
      </c>
      <c r="F18" s="99">
        <f>$D18-vlookup(Summary!$C18,Summary!$C$2:$Q$103,3+counta($F$1:F$1),false)</f>
        <v>0</v>
      </c>
      <c r="G18" s="99">
        <f>$D18-vlookup(Summary!$C18,Summary!$C$2:$Q$103,3+counta($F$1:G$1),false)</f>
        <v>0.1</v>
      </c>
      <c r="H18" s="99">
        <f>$D18-vlookup(Summary!$C18,Summary!$C$2:$Q$103,3+counta($F$1:H$1),false)</f>
        <v>-0.4</v>
      </c>
      <c r="I18" s="99">
        <f>$D18-vlookup(Summary!$C18,Summary!$C$2:$Q$103,3+counta($F$1:I$1),false)</f>
        <v>0</v>
      </c>
      <c r="J18" s="99">
        <f>$D18-vlookup(Summary!$C18,Summary!$C$2:$Q$103,3+counta($F$1:J$1),false)</f>
        <v>0.3</v>
      </c>
      <c r="K18" s="99">
        <f>$D18-vlookup(Summary!$C18,Summary!$C$2:$Q$103,3+counta($F$1:K$1),false)</f>
        <v>-0.4</v>
      </c>
      <c r="L18" s="99">
        <f>$D18-vlookup(Summary!$C18,Summary!$C$2:$Q$103,3+counta($F$1:L$1),false)</f>
        <v>0.2</v>
      </c>
      <c r="M18" s="99">
        <f>$D18-vlookup(Summary!$C18,Summary!$C$2:$Q$103,3+counta($F$1:M$1),false)</f>
        <v>-0.4</v>
      </c>
      <c r="N18" s="99">
        <f>$D18-vlookup(Summary!$C18,Summary!$C$2:$Q$103,3+counta($F$1:N$1),false)</f>
        <v>-0.4</v>
      </c>
      <c r="O18" s="99">
        <f>$D18-vlookup(Summary!$C18,Summary!$C$2:$Q$103,3+counta($F$1:O$1),false)</f>
        <v>0.25</v>
      </c>
      <c r="P18" s="99">
        <f>$D18-vlookup(Summary!$C18,Summary!$C$2:$Q$103,3+counta($F$1:P$1),false)</f>
        <v>-0.1</v>
      </c>
      <c r="Q18" s="99">
        <f>$D18-vlookup(Summary!$C18,Summary!$C$2:$Q$103,3+counta($F$1:Q$1),false)</f>
        <v>0</v>
      </c>
    </row>
    <row r="19" ht="15.75" customHeight="1">
      <c r="A19" s="15">
        <f>Main!A19</f>
        <v>18</v>
      </c>
      <c r="B19" s="15" t="str">
        <f>Main!B19</f>
        <v>Prince Andrew will enter or exit a courtroom wearing an oxygen mask and/or sitting in a wheelchair</v>
      </c>
      <c r="C19" s="15" t="str">
        <f>Main!C19</f>
        <v>Celebrities</v>
      </c>
      <c r="D19" s="15">
        <v>0.1</v>
      </c>
      <c r="F19" s="99">
        <f>$D19-vlookup(Summary!$C19,Summary!$C$2:$Q$103,3+counta($F$1:F$1),false)</f>
        <v>-0.2</v>
      </c>
      <c r="G19" s="99">
        <f>$D19-vlookup(Summary!$C19,Summary!$C$2:$Q$103,3+counta($F$1:G$1),false)</f>
        <v>-0.1</v>
      </c>
      <c r="H19" s="99">
        <f>$D19-vlookup(Summary!$C19,Summary!$C$2:$Q$103,3+counta($F$1:H$1),false)</f>
        <v>-0.6</v>
      </c>
      <c r="I19" s="99">
        <f>$D19-vlookup(Summary!$C19,Summary!$C$2:$Q$103,3+counta($F$1:I$1),false)</f>
        <v>0</v>
      </c>
      <c r="J19" s="99">
        <f>$D19-vlookup(Summary!$C19,Summary!$C$2:$Q$103,3+counta($F$1:J$1),false)</f>
        <v>-0.3</v>
      </c>
      <c r="K19" s="99">
        <f>$D19-vlookup(Summary!$C19,Summary!$C$2:$Q$103,3+counta($F$1:K$1),false)</f>
        <v>-0.1</v>
      </c>
      <c r="L19" s="99">
        <f>$D19-vlookup(Summary!$C19,Summary!$C$2:$Q$103,3+counta($F$1:L$1),false)</f>
        <v>0</v>
      </c>
      <c r="M19" s="99">
        <f>$D19-vlookup(Summary!$C19,Summary!$C$2:$Q$103,3+counta($F$1:M$1),false)</f>
        <v>0.05</v>
      </c>
      <c r="N19" s="99">
        <f>$D19-vlookup(Summary!$C19,Summary!$C$2:$Q$103,3+counta($F$1:N$1),false)</f>
        <v>0</v>
      </c>
      <c r="O19" s="99">
        <f>$D19-vlookup(Summary!$C19,Summary!$C$2:$Q$103,3+counta($F$1:O$1),false)</f>
        <v>-0.05</v>
      </c>
      <c r="P19" s="99">
        <f>$D19-vlookup(Summary!$C19,Summary!$C$2:$Q$103,3+counta($F$1:P$1),false)</f>
        <v>0</v>
      </c>
      <c r="Q19" s="99">
        <f>$D19-vlookup(Summary!$C19,Summary!$C$2:$Q$103,3+counta($F$1:Q$1),false)</f>
        <v>-0.1</v>
      </c>
    </row>
    <row r="20" ht="15.75" customHeight="1">
      <c r="A20" s="15">
        <f>Main!A20</f>
        <v>19</v>
      </c>
      <c r="B20" s="15" t="str">
        <f>Main!B20</f>
        <v>News Ltd will report on the emergence of a conspiracy theory relating to the Queen's death: that the palace is either secretly concealing her death or her continuing life</v>
      </c>
      <c r="C20" s="15" t="str">
        <f>Main!C20</f>
        <v>Celebrities</v>
      </c>
      <c r="D20" s="15">
        <v>0.05</v>
      </c>
      <c r="F20" s="99">
        <f>$D20-vlookup(Summary!$C20,Summary!$C$2:$Q$103,3+counta($F$1:F$1),false)</f>
        <v>-0.2</v>
      </c>
      <c r="G20" s="99">
        <f>$D20-vlookup(Summary!$C20,Summary!$C$2:$Q$103,3+counta($F$1:G$1),false)</f>
        <v>-0.35</v>
      </c>
      <c r="H20" s="99">
        <f>$D20-vlookup(Summary!$C20,Summary!$C$2:$Q$103,3+counta($F$1:H$1),false)</f>
        <v>-0.75</v>
      </c>
      <c r="I20" s="99">
        <f>$D20-vlookup(Summary!$C20,Summary!$C$2:$Q$103,3+counta($F$1:I$1),false)</f>
        <v>0</v>
      </c>
      <c r="J20" s="99">
        <f>$D20-vlookup(Summary!$C20,Summary!$C$2:$Q$103,3+counta($F$1:J$1),false)</f>
        <v>-0.45</v>
      </c>
      <c r="K20" s="99">
        <f>$D20-vlookup(Summary!$C20,Summary!$C$2:$Q$103,3+counta($F$1:K$1),false)</f>
        <v>-0.8</v>
      </c>
      <c r="L20" s="99">
        <f>$D20-vlookup(Summary!$C20,Summary!$C$2:$Q$103,3+counta($F$1:L$1),false)</f>
        <v>0</v>
      </c>
      <c r="M20" s="99">
        <f>$D20-vlookup(Summary!$C20,Summary!$C$2:$Q$103,3+counta($F$1:M$1),false)</f>
        <v>-0.75</v>
      </c>
      <c r="N20" s="99">
        <f>$D20-vlookup(Summary!$C20,Summary!$C$2:$Q$103,3+counta($F$1:N$1),false)</f>
        <v>-0.05</v>
      </c>
      <c r="O20" s="99">
        <f>$D20-vlookup(Summary!$C20,Summary!$C$2:$Q$103,3+counta($F$1:O$1),false)</f>
        <v>0.049</v>
      </c>
      <c r="P20" s="99">
        <f>$D20-vlookup(Summary!$C20,Summary!$C$2:$Q$103,3+counta($F$1:P$1),false)</f>
        <v>-0.05</v>
      </c>
      <c r="Q20" s="99">
        <f>$D20-vlookup(Summary!$C20,Summary!$C$2:$Q$103,3+counta($F$1:Q$1),false)</f>
        <v>-0.45</v>
      </c>
    </row>
    <row r="21" ht="15.75" customHeight="1">
      <c r="A21" s="15">
        <f>Main!A21</f>
        <v>20</v>
      </c>
      <c r="B21" s="15" t="str">
        <f>Main!B21</f>
        <v>Julian Assange will be located in Australia</v>
      </c>
      <c r="C21" s="15" t="str">
        <f>Main!C21</f>
        <v>Celebrities</v>
      </c>
      <c r="D21" s="15">
        <v>0.05</v>
      </c>
      <c r="F21" s="99">
        <f>$D21-vlookup(Summary!$C21,Summary!$C$2:$Q$103,3+counta($F$1:F$1),false)</f>
        <v>-0.15</v>
      </c>
      <c r="G21" s="99">
        <f>$D21-vlookup(Summary!$C21,Summary!$C$2:$Q$103,3+counta($F$1:G$1),false)</f>
        <v>-0.15</v>
      </c>
      <c r="H21" s="99">
        <f>$D21-vlookup(Summary!$C21,Summary!$C$2:$Q$103,3+counta($F$1:H$1),false)</f>
        <v>-0.05</v>
      </c>
      <c r="I21" s="99">
        <f>$D21-vlookup(Summary!$C21,Summary!$C$2:$Q$103,3+counta($F$1:I$1),false)</f>
        <v>0</v>
      </c>
      <c r="J21" s="99">
        <f>$D21-vlookup(Summary!$C21,Summary!$C$2:$Q$103,3+counta($F$1:J$1),false)</f>
        <v>-0.25</v>
      </c>
      <c r="K21" s="99">
        <f>$D21-vlookup(Summary!$C21,Summary!$C$2:$Q$103,3+counta($F$1:K$1),false)</f>
        <v>-0.5</v>
      </c>
      <c r="L21" s="99">
        <f>$D21-vlookup(Summary!$C21,Summary!$C$2:$Q$103,3+counta($F$1:L$1),false)</f>
        <v>-0.15</v>
      </c>
      <c r="M21" s="99">
        <f>$D21-vlookup(Summary!$C21,Summary!$C$2:$Q$103,3+counta($F$1:M$1),false)</f>
        <v>-0.05</v>
      </c>
      <c r="N21" s="99">
        <f>$D21-vlookup(Summary!$C21,Summary!$C$2:$Q$103,3+counta($F$1:N$1),false)</f>
        <v>-0.15</v>
      </c>
      <c r="O21" s="99">
        <f>$D21-vlookup(Summary!$C21,Summary!$C$2:$Q$103,3+counta($F$1:O$1),false)</f>
        <v>-0.1</v>
      </c>
      <c r="P21" s="99">
        <f>$D21-vlookup(Summary!$C21,Summary!$C$2:$Q$103,3+counta($F$1:P$1),false)</f>
        <v>-0.05</v>
      </c>
      <c r="Q21" s="99">
        <f>$D21-vlookup(Summary!$C21,Summary!$C$2:$Q$103,3+counta($F$1:Q$1),false)</f>
        <v>-0.25</v>
      </c>
    </row>
    <row r="22" ht="15.75" customHeight="1">
      <c r="A22" s="15">
        <f>Main!A22</f>
        <v>21</v>
      </c>
      <c r="B22" s="15" t="str">
        <f>Main!B22</f>
        <v>An alleged sexual predator will recieve an Emmy or Oscar by mainstream media (Andrew’s system)</v>
      </c>
      <c r="C22" s="15" t="str">
        <f>Main!C22</f>
        <v>Celebrities</v>
      </c>
      <c r="D22" s="15">
        <v>0.2</v>
      </c>
      <c r="F22" s="99">
        <f>$D22-vlookup(Summary!$C22,Summary!$C$2:$Q$103,3+counta($F$1:F$1),false)</f>
        <v>-0.2</v>
      </c>
      <c r="G22" s="99">
        <f>$D22-vlookup(Summary!$C22,Summary!$C$2:$Q$103,3+counta($F$1:G$1),false)</f>
        <v>-0.1</v>
      </c>
      <c r="H22" s="99">
        <f>$D22-vlookup(Summary!$C22,Summary!$C$2:$Q$103,3+counta($F$1:H$1),false)</f>
        <v>-0.1</v>
      </c>
      <c r="I22" s="99">
        <f>$D22-vlookup(Summary!$C22,Summary!$C$2:$Q$103,3+counta($F$1:I$1),false)</f>
        <v>0</v>
      </c>
      <c r="J22" s="99">
        <f>$D22-vlookup(Summary!$C22,Summary!$C$2:$Q$103,3+counta($F$1:J$1),false)</f>
        <v>-0.4</v>
      </c>
      <c r="K22" s="99">
        <f>$D22-vlookup(Summary!$C22,Summary!$C$2:$Q$103,3+counta($F$1:K$1),false)</f>
        <v>-0.5</v>
      </c>
      <c r="L22" s="99">
        <f>$D22-vlookup(Summary!$C22,Summary!$C$2:$Q$103,3+counta($F$1:L$1),false)</f>
        <v>0</v>
      </c>
      <c r="M22" s="99">
        <f>$D22-vlookup(Summary!$C22,Summary!$C$2:$Q$103,3+counta($F$1:M$1),false)</f>
        <v>-0.1</v>
      </c>
      <c r="N22" s="99">
        <f>$D22-vlookup(Summary!$C22,Summary!$C$2:$Q$103,3+counta($F$1:N$1),false)</f>
        <v>-0.6</v>
      </c>
      <c r="O22" s="99">
        <f>$D22-vlookup(Summary!$C22,Summary!$C$2:$Q$103,3+counta($F$1:O$1),false)</f>
        <v>-0.45</v>
      </c>
      <c r="P22" s="99">
        <f>$D22-vlookup(Summary!$C22,Summary!$C$2:$Q$103,3+counta($F$1:P$1),false)</f>
        <v>0.1</v>
      </c>
      <c r="Q22" s="99">
        <f>$D22-vlookup(Summary!$C22,Summary!$C$2:$Q$103,3+counta($F$1:Q$1),false)</f>
        <v>-0.4</v>
      </c>
    </row>
    <row r="23" ht="15.75" customHeight="1">
      <c r="A23" s="15">
        <f>Main!A23</f>
        <v>22</v>
      </c>
      <c r="B23" s="15" t="str">
        <f>Main!B23</f>
        <v>The Queen will die</v>
      </c>
      <c r="C23" s="15" t="str">
        <f>Main!C23</f>
        <v>Celebrities</v>
      </c>
      <c r="D23" s="15">
        <v>0.3</v>
      </c>
      <c r="F23" s="99">
        <f>$D23-vlookup(Summary!$C23,Summary!$C$2:$Q$103,3+counta($F$1:F$1),false)</f>
        <v>-0.1</v>
      </c>
      <c r="G23" s="99">
        <f>$D23-vlookup(Summary!$C23,Summary!$C$2:$Q$103,3+counta($F$1:G$1),false)</f>
        <v>0.1</v>
      </c>
      <c r="H23" s="99">
        <f>$D23-vlookup(Summary!$C23,Summary!$C$2:$Q$103,3+counta($F$1:H$1),false)</f>
        <v>-0.6</v>
      </c>
      <c r="I23" s="99">
        <f>$D23-vlookup(Summary!$C23,Summary!$C$2:$Q$103,3+counta($F$1:I$1),false)</f>
        <v>0</v>
      </c>
      <c r="J23" s="99">
        <f>$D23-vlookup(Summary!$C23,Summary!$C$2:$Q$103,3+counta($F$1:J$1),false)</f>
        <v>-0.4</v>
      </c>
      <c r="K23" s="99">
        <f>$D23-vlookup(Summary!$C23,Summary!$C$2:$Q$103,3+counta($F$1:K$1),false)</f>
        <v>-0.4</v>
      </c>
      <c r="L23" s="99">
        <f>$D23-vlookup(Summary!$C23,Summary!$C$2:$Q$103,3+counta($F$1:L$1),false)</f>
        <v>0.25</v>
      </c>
      <c r="M23" s="99">
        <f>$D23-vlookup(Summary!$C23,Summary!$C$2:$Q$103,3+counta($F$1:M$1),false)</f>
        <v>-0.6</v>
      </c>
      <c r="N23" s="99">
        <f>$D23-vlookup(Summary!$C23,Summary!$C$2:$Q$103,3+counta($F$1:N$1),false)</f>
        <v>-0.6</v>
      </c>
      <c r="O23" s="99">
        <f>$D23-vlookup(Summary!$C23,Summary!$C$2:$Q$103,3+counta($F$1:O$1),false)</f>
        <v>-0.05</v>
      </c>
      <c r="P23" s="99">
        <f>$D23-vlookup(Summary!$C23,Summary!$C$2:$Q$103,3+counta($F$1:P$1),false)</f>
        <v>0.2</v>
      </c>
      <c r="Q23" s="99">
        <f>$D23-vlookup(Summary!$C23,Summary!$C$2:$Q$103,3+counta($F$1:Q$1),false)</f>
        <v>0</v>
      </c>
    </row>
    <row r="24" ht="15.75" customHeight="1">
      <c r="A24" s="15">
        <f>Main!A24</f>
        <v>23</v>
      </c>
      <c r="B24" s="15" t="str">
        <f>Main!B24</f>
        <v>Ghislaine Maxwell will successfully strike a plea deal and reduce her aggregate sentence to no greater than 10 years with parole no greater than 5 years.</v>
      </c>
      <c r="C24" s="15" t="str">
        <f>Main!C24</f>
        <v>Celebrities</v>
      </c>
      <c r="D24" s="15">
        <v>0.1</v>
      </c>
      <c r="F24" s="99">
        <f>$D24-vlookup(Summary!$C24,Summary!$C$2:$Q$103,3+counta($F$1:F$1),false)</f>
        <v>-0.35</v>
      </c>
      <c r="G24" s="99">
        <f>$D24-vlookup(Summary!$C24,Summary!$C$2:$Q$103,3+counta($F$1:G$1),false)</f>
        <v>-0.6</v>
      </c>
      <c r="H24" s="99">
        <f>$D24-vlookup(Summary!$C24,Summary!$C$2:$Q$103,3+counta($F$1:H$1),false)</f>
        <v>-0.6</v>
      </c>
      <c r="I24" s="99">
        <f>$D24-vlookup(Summary!$C24,Summary!$C$2:$Q$103,3+counta($F$1:I$1),false)</f>
        <v>0</v>
      </c>
      <c r="J24" s="99">
        <f>$D24-vlookup(Summary!$C24,Summary!$C$2:$Q$103,3+counta($F$1:J$1),false)</f>
        <v>-0.8</v>
      </c>
      <c r="K24" s="99">
        <f>$D24-vlookup(Summary!$C24,Summary!$C$2:$Q$103,3+counta($F$1:K$1),false)</f>
        <v>-0.55</v>
      </c>
      <c r="L24" s="99">
        <f>$D24-vlookup(Summary!$C24,Summary!$C$2:$Q$103,3+counta($F$1:L$1),false)</f>
        <v>-0.1</v>
      </c>
      <c r="M24" s="99">
        <f>$D24-vlookup(Summary!$C24,Summary!$C$2:$Q$103,3+counta($F$1:M$1),false)</f>
        <v>-0.6</v>
      </c>
      <c r="N24" s="99">
        <f>$D24-vlookup(Summary!$C24,Summary!$C$2:$Q$103,3+counta($F$1:N$1),false)</f>
        <v>0</v>
      </c>
      <c r="O24" s="99">
        <f>$D24-vlookup(Summary!$C24,Summary!$C$2:$Q$103,3+counta($F$1:O$1),false)</f>
        <v>-0.55</v>
      </c>
      <c r="P24" s="99">
        <f>$D24-vlookup(Summary!$C24,Summary!$C$2:$Q$103,3+counta($F$1:P$1),false)</f>
        <v>-0.6</v>
      </c>
      <c r="Q24" s="99">
        <f>$D24-vlookup(Summary!$C24,Summary!$C$2:$Q$103,3+counta($F$1:Q$1),false)</f>
        <v>-0.4</v>
      </c>
    </row>
    <row r="25" ht="15.75" customHeight="1">
      <c r="A25" s="15">
        <f>Main!A25</f>
        <v>24</v>
      </c>
      <c r="B25" s="15" t="str">
        <f>Main!B25</f>
        <v>Formal criminal charges will be laid against Prince Andrew for sex offenses</v>
      </c>
      <c r="C25" s="15" t="str">
        <f>Main!C25</f>
        <v>Celebrities</v>
      </c>
      <c r="D25" s="15">
        <v>0.9</v>
      </c>
      <c r="F25" s="99">
        <f>$D25-vlookup(Summary!$C25,Summary!$C$2:$Q$103,3+counta($F$1:F$1),false)</f>
        <v>0.3</v>
      </c>
      <c r="G25" s="99">
        <f>$D25-vlookup(Summary!$C25,Summary!$C$2:$Q$103,3+counta($F$1:G$1),false)</f>
        <v>0.7</v>
      </c>
      <c r="H25" s="99">
        <f>$D25-vlookup(Summary!$C25,Summary!$C$2:$Q$103,3+counta($F$1:H$1),false)</f>
        <v>0.2</v>
      </c>
      <c r="I25" s="99">
        <f>$D25-vlookup(Summary!$C25,Summary!$C$2:$Q$103,3+counta($F$1:I$1),false)</f>
        <v>0</v>
      </c>
      <c r="J25" s="99">
        <f>$D25-vlookup(Summary!$C25,Summary!$C$2:$Q$103,3+counta($F$1:J$1),false)</f>
        <v>0.8</v>
      </c>
      <c r="K25" s="99">
        <f>$D25-vlookup(Summary!$C25,Summary!$C$2:$Q$103,3+counta($F$1:K$1),false)</f>
        <v>0.25</v>
      </c>
      <c r="L25" s="99">
        <f>$D25-vlookup(Summary!$C25,Summary!$C$2:$Q$103,3+counta($F$1:L$1),false)</f>
        <v>0.75</v>
      </c>
      <c r="M25" s="99">
        <f>$D25-vlookup(Summary!$C25,Summary!$C$2:$Q$103,3+counta($F$1:M$1),false)</f>
        <v>0.2</v>
      </c>
      <c r="N25" s="99">
        <f>$D25-vlookup(Summary!$C25,Summary!$C$2:$Q$103,3+counta($F$1:N$1),false)</f>
        <v>0.7</v>
      </c>
      <c r="O25" s="99">
        <f>$D25-vlookup(Summary!$C25,Summary!$C$2:$Q$103,3+counta($F$1:O$1),false)</f>
        <v>0.75</v>
      </c>
      <c r="P25" s="99">
        <f>$D25-vlookup(Summary!$C25,Summary!$C$2:$Q$103,3+counta($F$1:P$1),false)</f>
        <v>0.4</v>
      </c>
      <c r="Q25" s="99">
        <f>$D25-vlookup(Summary!$C25,Summary!$C$2:$Q$103,3+counta($F$1:Q$1),false)</f>
        <v>0.4</v>
      </c>
    </row>
    <row r="26" ht="15.75" customHeight="1">
      <c r="A26" s="15">
        <f>Main!A26</f>
        <v>25</v>
      </c>
      <c r="B26" s="15" t="str">
        <f>Main!B26</f>
        <v>Elizabeth Holmes will be sentenced to no greater than 15 years imprisonment.</v>
      </c>
      <c r="C26" s="15" t="str">
        <f>Main!C26</f>
        <v>Celebrities</v>
      </c>
      <c r="D26" s="15">
        <v>0.5</v>
      </c>
      <c r="F26" s="99">
        <f>$D26-vlookup(Summary!$C26,Summary!$C$2:$Q$103,3+counta($F$1:F$1),false)</f>
        <v>-0.1</v>
      </c>
      <c r="G26" s="99">
        <f>$D26-vlookup(Summary!$C26,Summary!$C$2:$Q$103,3+counta($F$1:G$1),false)</f>
        <v>-0.4</v>
      </c>
      <c r="H26" s="99">
        <f>$D26-vlookup(Summary!$C26,Summary!$C$2:$Q$103,3+counta($F$1:H$1),false)</f>
        <v>-0.3</v>
      </c>
      <c r="I26" s="99">
        <f>$D26-vlookup(Summary!$C26,Summary!$C$2:$Q$103,3+counta($F$1:I$1),false)</f>
        <v>0</v>
      </c>
      <c r="J26" s="99">
        <f>$D26-vlookup(Summary!$C26,Summary!$C$2:$Q$103,3+counta($F$1:J$1),false)</f>
        <v>-0.4</v>
      </c>
      <c r="K26" s="99">
        <f>$D26-vlookup(Summary!$C26,Summary!$C$2:$Q$103,3+counta($F$1:K$1),false)</f>
        <v>-0.2</v>
      </c>
      <c r="L26" s="99">
        <f>$D26-vlookup(Summary!$C26,Summary!$C$2:$Q$103,3+counta($F$1:L$1),false)</f>
        <v>-0.2</v>
      </c>
      <c r="M26" s="99">
        <f>$D26-vlookup(Summary!$C26,Summary!$C$2:$Q$103,3+counta($F$1:M$1),false)</f>
        <v>-0.3</v>
      </c>
      <c r="N26" s="99">
        <f>$D26-vlookup(Summary!$C26,Summary!$C$2:$Q$103,3+counta($F$1:N$1),false)</f>
        <v>-0.4</v>
      </c>
      <c r="O26" s="99">
        <f>$D26-vlookup(Summary!$C26,Summary!$C$2:$Q$103,3+counta($F$1:O$1),false)</f>
        <v>-0.35</v>
      </c>
      <c r="P26" s="99">
        <f>$D26-vlookup(Summary!$C26,Summary!$C$2:$Q$103,3+counta($F$1:P$1),false)</f>
        <v>0</v>
      </c>
      <c r="Q26" s="99">
        <f>$D26-vlookup(Summary!$C26,Summary!$C$2:$Q$103,3+counta($F$1:Q$1),false)</f>
        <v>-0.2</v>
      </c>
    </row>
    <row r="27" ht="15.75" customHeight="1">
      <c r="A27" s="15">
        <f>Main!A27</f>
        <v>26</v>
      </c>
      <c r="B27" s="15" t="str">
        <f>Main!B27</f>
        <v>Meghan and Harry will separate</v>
      </c>
      <c r="C27" s="15" t="str">
        <f>Main!C27</f>
        <v>Celebrities</v>
      </c>
      <c r="D27" s="15">
        <v>0.1</v>
      </c>
      <c r="F27" s="99">
        <f>$D27-vlookup(Summary!$C27,Summary!$C$2:$Q$103,3+counta($F$1:F$1),false)</f>
        <v>-0.1</v>
      </c>
      <c r="G27" s="99">
        <f>$D27-vlookup(Summary!$C27,Summary!$C$2:$Q$103,3+counta($F$1:G$1),false)</f>
        <v>0</v>
      </c>
      <c r="H27" s="99">
        <f>$D27-vlookup(Summary!$C27,Summary!$C$2:$Q$103,3+counta($F$1:H$1),false)</f>
        <v>-0.1</v>
      </c>
      <c r="I27" s="99">
        <f>$D27-vlookup(Summary!$C27,Summary!$C$2:$Q$103,3+counta($F$1:I$1),false)</f>
        <v>0</v>
      </c>
      <c r="J27" s="99">
        <f>$D27-vlookup(Summary!$C27,Summary!$C$2:$Q$103,3+counta($F$1:J$1),false)</f>
        <v>-0.4</v>
      </c>
      <c r="K27" s="99">
        <f>$D27-vlookup(Summary!$C27,Summary!$C$2:$Q$103,3+counta($F$1:K$1),false)</f>
        <v>-0.1</v>
      </c>
      <c r="L27" s="99">
        <f>$D27-vlookup(Summary!$C27,Summary!$C$2:$Q$103,3+counta($F$1:L$1),false)</f>
        <v>0.05</v>
      </c>
      <c r="M27" s="99">
        <f>$D27-vlookup(Summary!$C27,Summary!$C$2:$Q$103,3+counta($F$1:M$1),false)</f>
        <v>-0.1</v>
      </c>
      <c r="N27" s="99">
        <f>$D27-vlookup(Summary!$C27,Summary!$C$2:$Q$103,3+counta($F$1:N$1),false)</f>
        <v>-0.7</v>
      </c>
      <c r="O27" s="99">
        <f>$D27-vlookup(Summary!$C27,Summary!$C$2:$Q$103,3+counta($F$1:O$1),false)</f>
        <v>-0.05</v>
      </c>
      <c r="P27" s="99">
        <f>$D27-vlookup(Summary!$C27,Summary!$C$2:$Q$103,3+counta($F$1:P$1),false)</f>
        <v>0</v>
      </c>
      <c r="Q27" s="99">
        <f>$D27-vlookup(Summary!$C27,Summary!$C$2:$Q$103,3+counta($F$1:Q$1),false)</f>
        <v>-0.2</v>
      </c>
    </row>
    <row r="28" ht="15.75" customHeight="1">
      <c r="A28" s="15">
        <f>Main!A28</f>
        <v>27</v>
      </c>
      <c r="B28" s="15" t="str">
        <f>Main!B28</f>
        <v>Tom Holland and Zendaya will separate.</v>
      </c>
      <c r="C28" s="15" t="str">
        <f>Main!C28</f>
        <v>Celebrities</v>
      </c>
      <c r="D28" s="15">
        <v>0.5</v>
      </c>
      <c r="F28" s="99">
        <f>$D28-vlookup(Summary!$C28,Summary!$C$2:$Q$103,3+counta($F$1:F$1),false)</f>
        <v>-0.1</v>
      </c>
      <c r="G28" s="99">
        <f>$D28-vlookup(Summary!$C28,Summary!$C$2:$Q$103,3+counta($F$1:G$1),false)</f>
        <v>-0.1</v>
      </c>
      <c r="H28" s="99">
        <f>$D28-vlookup(Summary!$C28,Summary!$C$2:$Q$103,3+counta($F$1:H$1),false)</f>
        <v>0.3</v>
      </c>
      <c r="I28" s="99">
        <f>$D28-vlookup(Summary!$C28,Summary!$C$2:$Q$103,3+counta($F$1:I$1),false)</f>
        <v>0</v>
      </c>
      <c r="J28" s="99">
        <f>$D28-vlookup(Summary!$C28,Summary!$C$2:$Q$103,3+counta($F$1:J$1),false)</f>
        <v>0.1</v>
      </c>
      <c r="K28" s="99">
        <f>$D28-vlookup(Summary!$C28,Summary!$C$2:$Q$103,3+counta($F$1:K$1),false)</f>
        <v>-0.15</v>
      </c>
      <c r="L28" s="99">
        <f>$D28-vlookup(Summary!$C28,Summary!$C$2:$Q$103,3+counta($F$1:L$1),false)</f>
        <v>0.3</v>
      </c>
      <c r="M28" s="99">
        <f>$D28-vlookup(Summary!$C28,Summary!$C$2:$Q$103,3+counta($F$1:M$1),false)</f>
        <v>0.3</v>
      </c>
      <c r="N28" s="99">
        <f>$D28-vlookup(Summary!$C28,Summary!$C$2:$Q$103,3+counta($F$1:N$1),false)</f>
        <v>-0.4</v>
      </c>
      <c r="O28" s="99">
        <f>$D28-vlookup(Summary!$C28,Summary!$C$2:$Q$103,3+counta($F$1:O$1),false)</f>
        <v>0</v>
      </c>
      <c r="P28" s="99">
        <f>$D28-vlookup(Summary!$C28,Summary!$C$2:$Q$103,3+counta($F$1:P$1),false)</f>
        <v>0</v>
      </c>
      <c r="Q28" s="99">
        <f>$D28-vlookup(Summary!$C28,Summary!$C$2:$Q$103,3+counta($F$1:Q$1),false)</f>
        <v>0.1</v>
      </c>
    </row>
    <row r="29" ht="15.75" customHeight="1">
      <c r="A29" s="15">
        <f>Main!A29</f>
        <v>28</v>
      </c>
      <c r="B29" s="15" t="str">
        <f>Main!B29</f>
        <v>Donald Trump endorses on social media a movement that is called White Lives Matter</v>
      </c>
      <c r="C29" s="15" t="str">
        <f>Main!C29</f>
        <v>Celebrities</v>
      </c>
      <c r="D29" s="15">
        <v>0.1</v>
      </c>
      <c r="F29" s="99">
        <f>$D29-vlookup(Summary!$C29,Summary!$C$2:$Q$103,3+counta($F$1:F$1),false)</f>
        <v>-0.2</v>
      </c>
      <c r="G29" s="99">
        <f>$D29-vlookup(Summary!$C29,Summary!$C$2:$Q$103,3+counta($F$1:G$1),false)</f>
        <v>-0.2</v>
      </c>
      <c r="H29" s="99">
        <f>$D29-vlookup(Summary!$C29,Summary!$C$2:$Q$103,3+counta($F$1:H$1),false)</f>
        <v>-0.7</v>
      </c>
      <c r="I29" s="99">
        <f>$D29-vlookup(Summary!$C29,Summary!$C$2:$Q$103,3+counta($F$1:I$1),false)</f>
        <v>0</v>
      </c>
      <c r="J29" s="99">
        <f>$D29-vlookup(Summary!$C29,Summary!$C$2:$Q$103,3+counta($F$1:J$1),false)</f>
        <v>-0.8</v>
      </c>
      <c r="K29" s="99">
        <f>$D29-vlookup(Summary!$C29,Summary!$C$2:$Q$103,3+counta($F$1:K$1),false)</f>
        <v>-0.35</v>
      </c>
      <c r="L29" s="99">
        <f>$D29-vlookup(Summary!$C29,Summary!$C$2:$Q$103,3+counta($F$1:L$1),false)</f>
        <v>0.099</v>
      </c>
      <c r="M29" s="99">
        <f>$D29-vlookup(Summary!$C29,Summary!$C$2:$Q$103,3+counta($F$1:M$1),false)</f>
        <v>-0.7</v>
      </c>
      <c r="N29" s="99">
        <f>$D29-vlookup(Summary!$C29,Summary!$C$2:$Q$103,3+counta($F$1:N$1),false)</f>
        <v>-0.8</v>
      </c>
      <c r="O29" s="99">
        <f>$D29-vlookup(Summary!$C29,Summary!$C$2:$Q$103,3+counta($F$1:O$1),false)</f>
        <v>0.099</v>
      </c>
      <c r="P29" s="99">
        <f>$D29-vlookup(Summary!$C29,Summary!$C$2:$Q$103,3+counta($F$1:P$1),false)</f>
        <v>0</v>
      </c>
      <c r="Q29" s="99">
        <f>$D29-vlookup(Summary!$C29,Summary!$C$2:$Q$103,3+counta($F$1:Q$1),false)</f>
        <v>-0.45</v>
      </c>
    </row>
    <row r="30" ht="15.75" customHeight="1">
      <c r="A30" s="15">
        <f>Main!A30</f>
        <v>29</v>
      </c>
      <c r="B30" s="15" t="str">
        <f>Main!B30</f>
        <v>Britney Spears returns under conservatorship</v>
      </c>
      <c r="C30" s="15" t="str">
        <f>Main!C30</f>
        <v>Celebrities</v>
      </c>
      <c r="D30" s="15">
        <v>0.05</v>
      </c>
      <c r="F30" s="99">
        <f>$D30-vlookup(Summary!$C30,Summary!$C$2:$Q$103,3+counta($F$1:F$1),false)</f>
        <v>-0.05</v>
      </c>
      <c r="G30" s="99">
        <f>$D30-vlookup(Summary!$C30,Summary!$C$2:$Q$103,3+counta($F$1:G$1),false)</f>
        <v>-0.05</v>
      </c>
      <c r="H30" s="99">
        <f>$D30-vlookup(Summary!$C30,Summary!$C$2:$Q$103,3+counta($F$1:H$1),false)</f>
        <v>0</v>
      </c>
      <c r="I30" s="99">
        <f>$D30-vlookup(Summary!$C30,Summary!$C$2:$Q$103,3+counta($F$1:I$1),false)</f>
        <v>0</v>
      </c>
      <c r="J30" s="99">
        <f>$D30-vlookup(Summary!$C30,Summary!$C$2:$Q$103,3+counta($F$1:J$1),false)</f>
        <v>-0.05</v>
      </c>
      <c r="K30" s="99">
        <f>$D30-vlookup(Summary!$C30,Summary!$C$2:$Q$103,3+counta($F$1:K$1),false)</f>
        <v>0.05</v>
      </c>
      <c r="L30" s="99">
        <f>$D30-vlookup(Summary!$C30,Summary!$C$2:$Q$103,3+counta($F$1:L$1),false)</f>
        <v>0</v>
      </c>
      <c r="M30" s="99">
        <f>$D30-vlookup(Summary!$C30,Summary!$C$2:$Q$103,3+counta($F$1:M$1),false)</f>
        <v>0</v>
      </c>
      <c r="N30" s="99">
        <f>$D30-vlookup(Summary!$C30,Summary!$C$2:$Q$103,3+counta($F$1:N$1),false)</f>
        <v>-0.05</v>
      </c>
      <c r="O30" s="99">
        <f>$D30-vlookup(Summary!$C30,Summary!$C$2:$Q$103,3+counta($F$1:O$1),false)</f>
        <v>0.049</v>
      </c>
      <c r="P30" s="99">
        <f>$D30-vlookup(Summary!$C30,Summary!$C$2:$Q$103,3+counta($F$1:P$1),false)</f>
        <v>-0.05</v>
      </c>
      <c r="Q30" s="99">
        <f>$D30-vlookup(Summary!$C30,Summary!$C$2:$Q$103,3+counta($F$1:Q$1),false)</f>
        <v>-0.45</v>
      </c>
    </row>
    <row r="31" ht="15.75" customHeight="1">
      <c r="A31" s="15">
        <f>Main!A31</f>
        <v>30</v>
      </c>
      <c r="B31" s="15" t="str">
        <f>Main!B31</f>
        <v>Taylor Swift and her partner separate, or announce they're expecting a child</v>
      </c>
      <c r="C31" s="15" t="str">
        <f>Main!C31</f>
        <v>Celebrities</v>
      </c>
      <c r="D31" s="15">
        <v>0.1</v>
      </c>
      <c r="F31" s="99">
        <f>$D31-vlookup(Summary!$C31,Summary!$C$2:$Q$103,3+counta($F$1:F$1),false)</f>
        <v>-0.3</v>
      </c>
      <c r="G31" s="99">
        <f>$D31-vlookup(Summary!$C31,Summary!$C$2:$Q$103,3+counta($F$1:G$1),false)</f>
        <v>-0.2</v>
      </c>
      <c r="H31" s="99">
        <f>$D31-vlookup(Summary!$C31,Summary!$C$2:$Q$103,3+counta($F$1:H$1),false)</f>
        <v>-0.6</v>
      </c>
      <c r="I31" s="99">
        <f>$D31-vlookup(Summary!$C31,Summary!$C$2:$Q$103,3+counta($F$1:I$1),false)</f>
        <v>0</v>
      </c>
      <c r="J31" s="99">
        <f>$D31-vlookup(Summary!$C31,Summary!$C$2:$Q$103,3+counta($F$1:J$1),false)</f>
        <v>-0.6</v>
      </c>
      <c r="K31" s="99">
        <f>$D31-vlookup(Summary!$C31,Summary!$C$2:$Q$103,3+counta($F$1:K$1),false)</f>
        <v>-0.5</v>
      </c>
      <c r="L31" s="99">
        <f>$D31-vlookup(Summary!$C31,Summary!$C$2:$Q$103,3+counta($F$1:L$1),false)</f>
        <v>0</v>
      </c>
      <c r="M31" s="99">
        <f>$D31-vlookup(Summary!$C31,Summary!$C$2:$Q$103,3+counta($F$1:M$1),false)</f>
        <v>-0.6</v>
      </c>
      <c r="N31" s="99">
        <f>$D31-vlookup(Summary!$C31,Summary!$C$2:$Q$103,3+counta($F$1:N$1),false)</f>
        <v>-0.8</v>
      </c>
      <c r="O31" s="99">
        <f>$D31-vlookup(Summary!$C31,Summary!$C$2:$Q$103,3+counta($F$1:O$1),false)</f>
        <v>-0.05</v>
      </c>
      <c r="P31" s="99">
        <f>$D31-vlookup(Summary!$C31,Summary!$C$2:$Q$103,3+counta($F$1:P$1),false)</f>
        <v>-0.4</v>
      </c>
      <c r="Q31" s="99">
        <f>$D31-vlookup(Summary!$C31,Summary!$C$2:$Q$103,3+counta($F$1:Q$1),false)</f>
        <v>-0.1</v>
      </c>
    </row>
    <row r="32" ht="15.75" customHeight="1">
      <c r="A32" s="15">
        <f>Main!A32</f>
        <v>31</v>
      </c>
      <c r="B32" s="15" t="str">
        <f>Main!B32</f>
        <v>Aung San Suu Kyi dies or announces she has a terminal illness (terminal illness including cancer)</v>
      </c>
      <c r="C32" s="15" t="str">
        <f>Main!C32</f>
        <v>Celebrities</v>
      </c>
      <c r="D32" s="15">
        <v>0.2</v>
      </c>
      <c r="F32" s="99">
        <f>$D32-vlookup(Summary!$C32,Summary!$C$2:$Q$103,3+counta($F$1:F$1),false)</f>
        <v>-0.3</v>
      </c>
      <c r="G32" s="99">
        <f>$D32-vlookup(Summary!$C32,Summary!$C$2:$Q$103,3+counta($F$1:G$1),false)</f>
        <v>-0.2</v>
      </c>
      <c r="H32" s="99">
        <f>$D32-vlookup(Summary!$C32,Summary!$C$2:$Q$103,3+counta($F$1:H$1),false)</f>
        <v>-0.3</v>
      </c>
      <c r="I32" s="99">
        <f>$D32-vlookup(Summary!$C32,Summary!$C$2:$Q$103,3+counta($F$1:I$1),false)</f>
        <v>0</v>
      </c>
      <c r="J32" s="99">
        <f>$D32-vlookup(Summary!$C32,Summary!$C$2:$Q$103,3+counta($F$1:J$1),false)</f>
        <v>-0.1</v>
      </c>
      <c r="K32" s="99">
        <f>$D32-vlookup(Summary!$C32,Summary!$C$2:$Q$103,3+counta($F$1:K$1),false)</f>
        <v>-0.25</v>
      </c>
      <c r="L32" s="99">
        <f>$D32-vlookup(Summary!$C32,Summary!$C$2:$Q$103,3+counta($F$1:L$1),false)</f>
        <v>0</v>
      </c>
      <c r="M32" s="99">
        <f>$D32-vlookup(Summary!$C32,Summary!$C$2:$Q$103,3+counta($F$1:M$1),false)</f>
        <v>-0.3</v>
      </c>
      <c r="N32" s="99">
        <f>$D32-vlookup(Summary!$C32,Summary!$C$2:$Q$103,3+counta($F$1:N$1),false)</f>
        <v>0.1</v>
      </c>
      <c r="O32" s="99">
        <f>$D32-vlookup(Summary!$C32,Summary!$C$2:$Q$103,3+counta($F$1:O$1),false)</f>
        <v>-0.15</v>
      </c>
      <c r="P32" s="99">
        <f>$D32-vlookup(Summary!$C32,Summary!$C$2:$Q$103,3+counta($F$1:P$1),false)</f>
        <v>0.1</v>
      </c>
      <c r="Q32" s="99">
        <f>$D32-vlookup(Summary!$C32,Summary!$C$2:$Q$103,3+counta($F$1:Q$1),false)</f>
        <v>-0.3</v>
      </c>
    </row>
    <row r="33" ht="15.75" customHeight="1">
      <c r="A33" s="15">
        <f>Main!A33</f>
        <v>32</v>
      </c>
      <c r="B33" s="15" t="str">
        <f>Main!B33</f>
        <v>Henry Cavill marries</v>
      </c>
      <c r="C33" s="15" t="str">
        <f>Main!C33</f>
        <v>Celebrities</v>
      </c>
      <c r="D33" s="15">
        <v>0.2</v>
      </c>
      <c r="F33" s="99">
        <f>$D33-vlookup(Summary!$C33,Summary!$C$2:$Q$103,3+counta($F$1:F$1),false)</f>
        <v>-0.35</v>
      </c>
      <c r="G33" s="99">
        <f>$D33-vlookup(Summary!$C33,Summary!$C$2:$Q$103,3+counta($F$1:G$1),false)</f>
        <v>-0.4</v>
      </c>
      <c r="H33" s="99">
        <f>$D33-vlookup(Summary!$C33,Summary!$C$2:$Q$103,3+counta($F$1:H$1),false)</f>
        <v>0.1</v>
      </c>
      <c r="I33" s="99">
        <f>$D33-vlookup(Summary!$C33,Summary!$C$2:$Q$103,3+counta($F$1:I$1),false)</f>
        <v>0</v>
      </c>
      <c r="J33" s="99">
        <f>$D33-vlookup(Summary!$C33,Summary!$C$2:$Q$103,3+counta($F$1:J$1),false)</f>
        <v>-0.2</v>
      </c>
      <c r="K33" s="99">
        <f>$D33-vlookup(Summary!$C33,Summary!$C$2:$Q$103,3+counta($F$1:K$1),false)</f>
        <v>-0.3</v>
      </c>
      <c r="L33" s="99">
        <f>$D33-vlookup(Summary!$C33,Summary!$C$2:$Q$103,3+counta($F$1:L$1),false)</f>
        <v>0</v>
      </c>
      <c r="M33" s="99">
        <f>$D33-vlookup(Summary!$C33,Summary!$C$2:$Q$103,3+counta($F$1:M$1),false)</f>
        <v>0.1</v>
      </c>
      <c r="N33" s="99">
        <f>$D33-vlookup(Summary!$C33,Summary!$C$2:$Q$103,3+counta($F$1:N$1),false)</f>
        <v>-0.3</v>
      </c>
      <c r="O33" s="99">
        <f>$D33-vlookup(Summary!$C33,Summary!$C$2:$Q$103,3+counta($F$1:O$1),false)</f>
        <v>0.05</v>
      </c>
      <c r="P33" s="99">
        <f>$D33-vlookup(Summary!$C33,Summary!$C$2:$Q$103,3+counta($F$1:P$1),false)</f>
        <v>-0.3</v>
      </c>
      <c r="Q33" s="99">
        <f>$D33-vlookup(Summary!$C33,Summary!$C$2:$Q$103,3+counta($F$1:Q$1),false)</f>
        <v>-0.2</v>
      </c>
    </row>
    <row r="34" ht="15.75" customHeight="1">
      <c r="A34" s="15">
        <f>Main!A34</f>
        <v>33</v>
      </c>
      <c r="B34" s="15" t="str">
        <f>Main!B34</f>
        <v>Daily COVID cases in Australia will reach 150,000 at least once</v>
      </c>
      <c r="C34" s="15" t="str">
        <f>Main!C34</f>
        <v>Covid</v>
      </c>
      <c r="D34" s="15">
        <v>0.1</v>
      </c>
      <c r="F34" s="99">
        <f>$D34-vlookup(Summary!$C34,Summary!$C$2:$Q$103,3+counta($F$1:F$1),false)</f>
        <v>0</v>
      </c>
      <c r="G34" s="99">
        <f>$D34-vlookup(Summary!$C34,Summary!$C$2:$Q$103,3+counta($F$1:G$1),false)</f>
        <v>-0.1</v>
      </c>
      <c r="H34" s="99">
        <f>$D34-vlookup(Summary!$C34,Summary!$C$2:$Q$103,3+counta($F$1:H$1),false)</f>
        <v>0.09</v>
      </c>
      <c r="I34" s="99">
        <f>$D34-vlookup(Summary!$C34,Summary!$C$2:$Q$103,3+counta($F$1:I$1),false)</f>
        <v>0</v>
      </c>
      <c r="J34" s="99">
        <f>$D34-vlookup(Summary!$C34,Summary!$C$2:$Q$103,3+counta($F$1:J$1),false)</f>
        <v>-0.8</v>
      </c>
      <c r="K34" s="99">
        <f>$D34-vlookup(Summary!$C34,Summary!$C$2:$Q$103,3+counta($F$1:K$1),false)</f>
        <v>-0.5</v>
      </c>
      <c r="L34" s="99">
        <f>$D34-vlookup(Summary!$C34,Summary!$C$2:$Q$103,3+counta($F$1:L$1),false)</f>
        <v>0.05</v>
      </c>
      <c r="M34" s="99">
        <f>$D34-vlookup(Summary!$C34,Summary!$C$2:$Q$103,3+counta($F$1:M$1),false)</f>
        <v>0.09</v>
      </c>
      <c r="N34" s="99">
        <f>$D34-vlookup(Summary!$C34,Summary!$C$2:$Q$103,3+counta($F$1:N$1),false)</f>
        <v>-0.3</v>
      </c>
      <c r="O34" s="99">
        <f>$D34-vlookup(Summary!$C34,Summary!$C$2:$Q$103,3+counta($F$1:O$1),false)</f>
        <v>-0.05</v>
      </c>
      <c r="P34" s="99">
        <f>$D34-vlookup(Summary!$C34,Summary!$C$2:$Q$103,3+counta($F$1:P$1),false)</f>
        <v>-0.8</v>
      </c>
      <c r="Q34" s="99">
        <f>$D34-vlookup(Summary!$C34,Summary!$C$2:$Q$103,3+counta($F$1:Q$1),false)</f>
        <v>-0.8</v>
      </c>
    </row>
    <row r="35" ht="15.75" customHeight="1">
      <c r="A35" s="15">
        <f>Main!A35</f>
        <v>34</v>
      </c>
      <c r="B35" s="15" t="str">
        <f>Main!B35</f>
        <v>More deaths will be attributed to Omicron by the WHO than all other covid variants combined</v>
      </c>
      <c r="C35" s="15" t="str">
        <f>Main!C35</f>
        <v>Covid</v>
      </c>
      <c r="D35" s="15">
        <v>0.1</v>
      </c>
      <c r="F35" s="99">
        <f>$D35-vlookup(Summary!$C35,Summary!$C$2:$Q$103,3+counta($F$1:F$1),false)</f>
        <v>-0.2</v>
      </c>
      <c r="G35" s="99">
        <f>$D35-vlookup(Summary!$C35,Summary!$C$2:$Q$103,3+counta($F$1:G$1),false)</f>
        <v>0</v>
      </c>
      <c r="H35" s="99">
        <f>$D35-vlookup(Summary!$C35,Summary!$C$2:$Q$103,3+counta($F$1:H$1),false)</f>
        <v>-0.7</v>
      </c>
      <c r="I35" s="99">
        <f>$D35-vlookup(Summary!$C35,Summary!$C$2:$Q$103,3+counta($F$1:I$1),false)</f>
        <v>0</v>
      </c>
      <c r="J35" s="99">
        <f>$D35-vlookup(Summary!$C35,Summary!$C$2:$Q$103,3+counta($F$1:J$1),false)</f>
        <v>-0.3</v>
      </c>
      <c r="K35" s="99">
        <f>$D35-vlookup(Summary!$C35,Summary!$C$2:$Q$103,3+counta($F$1:K$1),false)</f>
        <v>-0.65</v>
      </c>
      <c r="L35" s="99">
        <f>$D35-vlookup(Summary!$C35,Summary!$C$2:$Q$103,3+counta($F$1:L$1),false)</f>
        <v>0.099</v>
      </c>
      <c r="M35" s="99">
        <f>$D35-vlookup(Summary!$C35,Summary!$C$2:$Q$103,3+counta($F$1:M$1),false)</f>
        <v>-0.7</v>
      </c>
      <c r="N35" s="99">
        <f>$D35-vlookup(Summary!$C35,Summary!$C$2:$Q$103,3+counta($F$1:N$1),false)</f>
        <v>-0.2</v>
      </c>
      <c r="O35" s="99">
        <f>$D35-vlookup(Summary!$C35,Summary!$C$2:$Q$103,3+counta($F$1:O$1),false)</f>
        <v>-0.75</v>
      </c>
      <c r="P35" s="99">
        <f>$D35-vlookup(Summary!$C35,Summary!$C$2:$Q$103,3+counta($F$1:P$1),false)</f>
        <v>-0.4</v>
      </c>
      <c r="Q35" s="99">
        <f>$D35-vlookup(Summary!$C35,Summary!$C$2:$Q$103,3+counta($F$1:Q$1),false)</f>
        <v>-0.6</v>
      </c>
    </row>
    <row r="36" ht="15.75" customHeight="1">
      <c r="A36" s="15">
        <f>Main!A36</f>
        <v>35</v>
      </c>
      <c r="B36" s="15" t="str">
        <f>Main!B36</f>
        <v>The average number of covid vaccinations per person amongst members of Xmas eve 2022 will be &gt; 3</v>
      </c>
      <c r="C36" s="15" t="str">
        <f>Main!C36</f>
        <v>Covid</v>
      </c>
      <c r="D36" s="15">
        <v>0.5</v>
      </c>
      <c r="F36" s="99">
        <f>$D36-vlookup(Summary!$C36,Summary!$C$2:$Q$103,3+counta($F$1:F$1),false)</f>
        <v>-0.3</v>
      </c>
      <c r="G36" s="99">
        <f>$D36-vlookup(Summary!$C36,Summary!$C$2:$Q$103,3+counta($F$1:G$1),false)</f>
        <v>-0.4</v>
      </c>
      <c r="H36" s="99">
        <f>$D36-vlookup(Summary!$C36,Summary!$C$2:$Q$103,3+counta($F$1:H$1),false)</f>
        <v>-0.4</v>
      </c>
      <c r="I36" s="99">
        <f>$D36-vlookup(Summary!$C36,Summary!$C$2:$Q$103,3+counta($F$1:I$1),false)</f>
        <v>0</v>
      </c>
      <c r="J36" s="99">
        <f>$D36-vlookup(Summary!$C36,Summary!$C$2:$Q$103,3+counta($F$1:J$1),false)</f>
        <v>0.1</v>
      </c>
      <c r="K36" s="99">
        <f>$D36-vlookup(Summary!$C36,Summary!$C$2:$Q$103,3+counta($F$1:K$1),false)</f>
        <v>-0.3</v>
      </c>
      <c r="L36" s="99">
        <f>$D36-vlookup(Summary!$C36,Summary!$C$2:$Q$103,3+counta($F$1:L$1),false)</f>
        <v>-0.499</v>
      </c>
      <c r="M36" s="99">
        <f>$D36-vlookup(Summary!$C36,Summary!$C$2:$Q$103,3+counta($F$1:M$1),false)</f>
        <v>-0.4</v>
      </c>
      <c r="N36" s="99">
        <f>$D36-vlookup(Summary!$C36,Summary!$C$2:$Q$103,3+counta($F$1:N$1),false)</f>
        <v>-0.4</v>
      </c>
      <c r="O36" s="99">
        <f>$D36-vlookup(Summary!$C36,Summary!$C$2:$Q$103,3+counta($F$1:O$1),false)</f>
        <v>-0.35</v>
      </c>
      <c r="P36" s="99">
        <f>$D36-vlookup(Summary!$C36,Summary!$C$2:$Q$103,3+counta($F$1:P$1),false)</f>
        <v>-0.4</v>
      </c>
      <c r="Q36" s="99">
        <f>$D36-vlookup(Summary!$C36,Summary!$C$2:$Q$103,3+counta($F$1:Q$1),false)</f>
        <v>0.1</v>
      </c>
    </row>
    <row r="37" ht="15.75" customHeight="1">
      <c r="A37" s="15">
        <f>Main!A37</f>
        <v>36</v>
      </c>
      <c r="B37" s="15" t="str">
        <f>Main!B37</f>
        <v>2 new variants of Covid will be invented/discovered during 2022</v>
      </c>
      <c r="C37" s="15" t="str">
        <f>Main!C37</f>
        <v>Covid</v>
      </c>
      <c r="D37" s="15">
        <v>0.3</v>
      </c>
      <c r="F37" s="99">
        <f>$D37-vlookup(Summary!$C37,Summary!$C$2:$Q$103,3+counta($F$1:F$1),false)</f>
        <v>0</v>
      </c>
      <c r="G37" s="99">
        <f>$D37-vlookup(Summary!$C37,Summary!$C$2:$Q$103,3+counta($F$1:G$1),false)</f>
        <v>0</v>
      </c>
      <c r="H37" s="99">
        <f>$D37-vlookup(Summary!$C37,Summary!$C$2:$Q$103,3+counta($F$1:H$1),false)</f>
        <v>-0.5</v>
      </c>
      <c r="I37" s="99">
        <f>$D37-vlookup(Summary!$C37,Summary!$C$2:$Q$103,3+counta($F$1:I$1),false)</f>
        <v>0</v>
      </c>
      <c r="J37" s="99">
        <f>$D37-vlookup(Summary!$C37,Summary!$C$2:$Q$103,3+counta($F$1:J$1),false)</f>
        <v>-0.6</v>
      </c>
      <c r="K37" s="99">
        <f>$D37-vlookup(Summary!$C37,Summary!$C$2:$Q$103,3+counta($F$1:K$1),false)</f>
        <v>-0.55</v>
      </c>
      <c r="L37" s="99">
        <f>$D37-vlookup(Summary!$C37,Summary!$C$2:$Q$103,3+counta($F$1:L$1),false)</f>
        <v>0.299</v>
      </c>
      <c r="M37" s="99">
        <f>$D37-vlookup(Summary!$C37,Summary!$C$2:$Q$103,3+counta($F$1:M$1),false)</f>
        <v>-0.5</v>
      </c>
      <c r="N37" s="99">
        <f>$D37-vlookup(Summary!$C37,Summary!$C$2:$Q$103,3+counta($F$1:N$1),false)</f>
        <v>-0.6</v>
      </c>
      <c r="O37" s="99">
        <f>$D37-vlookup(Summary!$C37,Summary!$C$2:$Q$103,3+counta($F$1:O$1),false)</f>
        <v>-0.05</v>
      </c>
      <c r="P37" s="99">
        <f>$D37-vlookup(Summary!$C37,Summary!$C$2:$Q$103,3+counta($F$1:P$1),false)</f>
        <v>-0.6</v>
      </c>
      <c r="Q37" s="99">
        <f>$D37-vlookup(Summary!$C37,Summary!$C$2:$Q$103,3+counta($F$1:Q$1),false)</f>
        <v>-0.1</v>
      </c>
    </row>
    <row r="38" ht="15.75" customHeight="1">
      <c r="A38" s="15">
        <f>Main!A38</f>
        <v>37</v>
      </c>
      <c r="B38" s="15" t="str">
        <f>Main!B38</f>
        <v>Tasmania will have experienced at least 10,000 new cases in 1 day</v>
      </c>
      <c r="C38" s="15" t="str">
        <f>Main!C38</f>
        <v>Covid</v>
      </c>
      <c r="D38" s="15">
        <v>0.1</v>
      </c>
      <c r="F38" s="99">
        <f>$D38-vlookup(Summary!$C38,Summary!$C$2:$Q$103,3+counta($F$1:F$1),false)</f>
        <v>-0.05</v>
      </c>
      <c r="G38" s="99">
        <f>$D38-vlookup(Summary!$C38,Summary!$C$2:$Q$103,3+counta($F$1:G$1),false)</f>
        <v>0</v>
      </c>
      <c r="H38" s="99">
        <f>$D38-vlookup(Summary!$C38,Summary!$C$2:$Q$103,3+counta($F$1:H$1),false)</f>
        <v>0.05</v>
      </c>
      <c r="I38" s="99">
        <f>$D38-vlookup(Summary!$C38,Summary!$C$2:$Q$103,3+counta($F$1:I$1),false)</f>
        <v>0</v>
      </c>
      <c r="J38" s="99">
        <f>$D38-vlookup(Summary!$C38,Summary!$C$2:$Q$103,3+counta($F$1:J$1),false)</f>
        <v>-0.2</v>
      </c>
      <c r="K38" s="99">
        <f>$D38-vlookup(Summary!$C38,Summary!$C$2:$Q$103,3+counta($F$1:K$1),false)</f>
        <v>-0.35</v>
      </c>
      <c r="L38" s="99">
        <f>$D38-vlookup(Summary!$C38,Summary!$C$2:$Q$103,3+counta($F$1:L$1),false)</f>
        <v>0.099</v>
      </c>
      <c r="M38" s="99">
        <f>$D38-vlookup(Summary!$C38,Summary!$C$2:$Q$103,3+counta($F$1:M$1),false)</f>
        <v>0.08</v>
      </c>
      <c r="N38" s="99">
        <f>$D38-vlookup(Summary!$C38,Summary!$C$2:$Q$103,3+counta($F$1:N$1),false)</f>
        <v>0</v>
      </c>
      <c r="O38" s="99">
        <f>$D38-vlookup(Summary!$C38,Summary!$C$2:$Q$103,3+counta($F$1:O$1),false)</f>
        <v>0.099</v>
      </c>
      <c r="P38" s="99">
        <f>$D38-vlookup(Summary!$C38,Summary!$C$2:$Q$103,3+counta($F$1:P$1),false)</f>
        <v>-0.4</v>
      </c>
      <c r="Q38" s="99">
        <f>$D38-vlookup(Summary!$C38,Summary!$C$2:$Q$103,3+counta($F$1:Q$1),false)</f>
        <v>-0.45</v>
      </c>
    </row>
    <row r="39" ht="15.75" customHeight="1">
      <c r="A39" s="15">
        <f>Main!A39</f>
        <v>38</v>
      </c>
      <c r="B39" s="15" t="str">
        <f>Main!B39</f>
        <v>WHO switches to another alphabet than the Greek alphabet for Covid variants</v>
      </c>
      <c r="C39" s="15" t="str">
        <f>Main!C39</f>
        <v>Covid</v>
      </c>
      <c r="D39" s="15">
        <v>0.1</v>
      </c>
      <c r="F39" s="99">
        <f>$D39-vlookup(Summary!$C39,Summary!$C$2:$Q$103,3+counta($F$1:F$1),false)</f>
        <v>-0.35</v>
      </c>
      <c r="G39" s="99">
        <f>$D39-vlookup(Summary!$C39,Summary!$C$2:$Q$103,3+counta($F$1:G$1),false)</f>
        <v>-0.7</v>
      </c>
      <c r="H39" s="99">
        <f>$D39-vlookup(Summary!$C39,Summary!$C$2:$Q$103,3+counta($F$1:H$1),false)</f>
        <v>-0.1</v>
      </c>
      <c r="I39" s="99">
        <f>$D39-vlookup(Summary!$C39,Summary!$C$2:$Q$103,3+counta($F$1:I$1),false)</f>
        <v>0</v>
      </c>
      <c r="J39" s="99">
        <f>$D39-vlookup(Summary!$C39,Summary!$C$2:$Q$103,3+counta($F$1:J$1),false)</f>
        <v>-0.4</v>
      </c>
      <c r="K39" s="99">
        <f>$D39-vlookup(Summary!$C39,Summary!$C$2:$Q$103,3+counta($F$1:K$1),false)</f>
        <v>-0.8</v>
      </c>
      <c r="L39" s="99">
        <f>$D39-vlookup(Summary!$C39,Summary!$C$2:$Q$103,3+counta($F$1:L$1),false)</f>
        <v>-0.4</v>
      </c>
      <c r="M39" s="99">
        <f>$D39-vlookup(Summary!$C39,Summary!$C$2:$Q$103,3+counta($F$1:M$1),false)</f>
        <v>-0.1</v>
      </c>
      <c r="N39" s="99">
        <f>$D39-vlookup(Summary!$C39,Summary!$C$2:$Q$103,3+counta($F$1:N$1),false)</f>
        <v>-0.8</v>
      </c>
      <c r="O39" s="99">
        <f>$D39-vlookup(Summary!$C39,Summary!$C$2:$Q$103,3+counta($F$1:O$1),false)</f>
        <v>-0.05</v>
      </c>
      <c r="P39" s="99">
        <f>$D39-vlookup(Summary!$C39,Summary!$C$2:$Q$103,3+counta($F$1:P$1),false)</f>
        <v>0</v>
      </c>
      <c r="Q39" s="99">
        <f>$D39-vlookup(Summary!$C39,Summary!$C$2:$Q$103,3+counta($F$1:Q$1),false)</f>
        <v>-0.25</v>
      </c>
    </row>
    <row r="40" ht="15.75" customHeight="1">
      <c r="A40" s="15">
        <f>Main!A40</f>
        <v>39</v>
      </c>
      <c r="B40" s="15" t="str">
        <f>Main!B40</f>
        <v>Lachy and Jac's extension will be completed</v>
      </c>
      <c r="C40" s="15" t="str">
        <f>Main!C40</f>
        <v>Family</v>
      </c>
      <c r="D40" s="15">
        <v>0.5</v>
      </c>
      <c r="F40" s="99">
        <f>$D40-vlookup(Summary!$C40,Summary!$C$2:$Q$103,3+counta($F$1:F$1),false)</f>
        <v>-0.2</v>
      </c>
      <c r="G40" s="99">
        <f>$D40-vlookup(Summary!$C40,Summary!$C$2:$Q$103,3+counta($F$1:G$1),false)</f>
        <v>-0.3</v>
      </c>
      <c r="H40" s="99">
        <f>$D40-vlookup(Summary!$C40,Summary!$C$2:$Q$103,3+counta($F$1:H$1),false)</f>
        <v>0.4</v>
      </c>
      <c r="I40" s="99">
        <f>$D40-vlookup(Summary!$C40,Summary!$C$2:$Q$103,3+counta($F$1:I$1),false)</f>
        <v>0</v>
      </c>
      <c r="J40" s="99">
        <f>$D40-vlookup(Summary!$C40,Summary!$C$2:$Q$103,3+counta($F$1:J$1),false)</f>
        <v>-0.3</v>
      </c>
      <c r="K40" s="99">
        <f>$D40-vlookup(Summary!$C40,Summary!$C$2:$Q$103,3+counta($F$1:K$1),false)</f>
        <v>0.1</v>
      </c>
      <c r="L40" s="99">
        <f>$D40-vlookup(Summary!$C40,Summary!$C$2:$Q$103,3+counta($F$1:L$1),false)</f>
        <v>0</v>
      </c>
      <c r="M40" s="99">
        <f>$D40-vlookup(Summary!$C40,Summary!$C$2:$Q$103,3+counta($F$1:M$1),false)</f>
        <v>0.5</v>
      </c>
      <c r="N40" s="99">
        <f>$D40-vlookup(Summary!$C40,Summary!$C$2:$Q$103,3+counta($F$1:N$1),false)</f>
        <v>-0.4</v>
      </c>
      <c r="O40" s="99">
        <f>$D40-vlookup(Summary!$C40,Summary!$C$2:$Q$103,3+counta($F$1:O$1),false)</f>
        <v>-0.35</v>
      </c>
      <c r="P40" s="99">
        <f>$D40-vlookup(Summary!$C40,Summary!$C$2:$Q$103,3+counta($F$1:P$1),false)</f>
        <v>0</v>
      </c>
      <c r="Q40" s="99">
        <f>$D40-vlookup(Summary!$C40,Summary!$C$2:$Q$103,3+counta($F$1:Q$1),false)</f>
        <v>0.35</v>
      </c>
    </row>
    <row r="41" ht="15.75" customHeight="1">
      <c r="A41" s="15">
        <f>Main!A41</f>
        <v>40</v>
      </c>
      <c r="B41" s="15" t="str">
        <f>Main!B41</f>
        <v>Rohan will work for two different employers (not his own family members)</v>
      </c>
      <c r="C41" s="15" t="str">
        <f>Main!C41</f>
        <v>Family</v>
      </c>
      <c r="D41" s="15">
        <v>0.3</v>
      </c>
      <c r="F41" s="99">
        <f>$D41-vlookup(Summary!$C41,Summary!$C$2:$Q$103,3+counta($F$1:F$1),false)</f>
        <v>-0.1</v>
      </c>
      <c r="G41" s="99">
        <f>$D41-vlookup(Summary!$C41,Summary!$C$2:$Q$103,3+counta($F$1:G$1),false)</f>
        <v>-0.3</v>
      </c>
      <c r="H41" s="99">
        <f>$D41-vlookup(Summary!$C41,Summary!$C$2:$Q$103,3+counta($F$1:H$1),false)</f>
        <v>0.2</v>
      </c>
      <c r="I41" s="99">
        <f>$D41-vlookup(Summary!$C41,Summary!$C$2:$Q$103,3+counta($F$1:I$1),false)</f>
        <v>0</v>
      </c>
      <c r="J41" s="99">
        <f>$D41-vlookup(Summary!$C41,Summary!$C$2:$Q$103,3+counta($F$1:J$1),false)</f>
        <v>-0.2</v>
      </c>
      <c r="K41" s="99">
        <f>$D41-vlookup(Summary!$C41,Summary!$C$2:$Q$103,3+counta($F$1:K$1),false)</f>
        <v>0</v>
      </c>
      <c r="L41" s="99">
        <f>$D41-vlookup(Summary!$C41,Summary!$C$2:$Q$103,3+counta($F$1:L$1),false)</f>
        <v>0</v>
      </c>
      <c r="M41" s="99">
        <f>$D41-vlookup(Summary!$C41,Summary!$C$2:$Q$103,3+counta($F$1:M$1),false)</f>
        <v>0.2</v>
      </c>
      <c r="N41" s="99">
        <f>$D41-vlookup(Summary!$C41,Summary!$C$2:$Q$103,3+counta($F$1:N$1),false)</f>
        <v>-0.3</v>
      </c>
      <c r="O41" s="99">
        <f>$D41-vlookup(Summary!$C41,Summary!$C$2:$Q$103,3+counta($F$1:O$1),false)</f>
        <v>0.15</v>
      </c>
      <c r="P41" s="99">
        <f>$D41-vlookup(Summary!$C41,Summary!$C$2:$Q$103,3+counta($F$1:P$1),false)</f>
        <v>-0.2</v>
      </c>
      <c r="Q41" s="99">
        <f>$D41-vlookup(Summary!$C41,Summary!$C$2:$Q$103,3+counta($F$1:Q$1),false)</f>
        <v>0</v>
      </c>
    </row>
    <row r="42" ht="15.75" customHeight="1">
      <c r="A42" s="15">
        <f>Main!A42</f>
        <v>41</v>
      </c>
      <c r="B42" s="15" t="str">
        <f>Main!B42</f>
        <v>Kate will swim the Broulee Bay to Breakers in March 2022 and improve her position from 9th in the 40s women’s age group</v>
      </c>
      <c r="C42" s="15" t="str">
        <f>Main!C42</f>
        <v>Family</v>
      </c>
      <c r="D42" s="15">
        <v>0.5</v>
      </c>
      <c r="F42" s="99">
        <f>$D42-vlookup(Summary!$C42,Summary!$C$2:$Q$103,3+counta($F$1:F$1),false)</f>
        <v>-0.1</v>
      </c>
      <c r="G42" s="99">
        <f>$D42-vlookup(Summary!$C42,Summary!$C$2:$Q$103,3+counta($F$1:G$1),false)</f>
        <v>-0.3</v>
      </c>
      <c r="H42" s="99">
        <f>$D42-vlookup(Summary!$C42,Summary!$C$2:$Q$103,3+counta($F$1:H$1),false)</f>
        <v>-0.4</v>
      </c>
      <c r="I42" s="99">
        <f>$D42-vlookup(Summary!$C42,Summary!$C$2:$Q$103,3+counta($F$1:I$1),false)</f>
        <v>0</v>
      </c>
      <c r="J42" s="99">
        <f>$D42-vlookup(Summary!$C42,Summary!$C$2:$Q$103,3+counta($F$1:J$1),false)</f>
        <v>-0.4</v>
      </c>
      <c r="K42" s="99">
        <f>$D42-vlookup(Summary!$C42,Summary!$C$2:$Q$103,3+counta($F$1:K$1),false)</f>
        <v>-0.2</v>
      </c>
      <c r="L42" s="99">
        <f>$D42-vlookup(Summary!$C42,Summary!$C$2:$Q$103,3+counta($F$1:L$1),false)</f>
        <v>-0.1</v>
      </c>
      <c r="M42" s="99">
        <f>$D42-vlookup(Summary!$C42,Summary!$C$2:$Q$103,3+counta($F$1:M$1),false)</f>
        <v>-0.4</v>
      </c>
      <c r="N42" s="99">
        <f>$D42-vlookup(Summary!$C42,Summary!$C$2:$Q$103,3+counta($F$1:N$1),false)</f>
        <v>0.3</v>
      </c>
      <c r="O42" s="99">
        <f>$D42-vlookup(Summary!$C42,Summary!$C$2:$Q$103,3+counta($F$1:O$1),false)</f>
        <v>-0.35</v>
      </c>
      <c r="P42" s="99">
        <f>$D42-vlookup(Summary!$C42,Summary!$C$2:$Q$103,3+counta($F$1:P$1),false)</f>
        <v>-0.4</v>
      </c>
      <c r="Q42" s="99">
        <f>$D42-vlookup(Summary!$C42,Summary!$C$2:$Q$103,3+counta($F$1:Q$1),false)</f>
        <v>0</v>
      </c>
    </row>
    <row r="43" ht="15.75" customHeight="1">
      <c r="A43" s="15">
        <f>Main!A43</f>
        <v>42</v>
      </c>
      <c r="B43" s="15" t="str">
        <f>Main!B43</f>
        <v>Rohan will be at least 6ft tall</v>
      </c>
      <c r="C43" s="15" t="str">
        <f>Main!C43</f>
        <v>Family</v>
      </c>
      <c r="D43" s="15">
        <v>0.4</v>
      </c>
      <c r="F43" s="99">
        <f>$D43-vlookup(Summary!$C43,Summary!$C$2:$Q$103,3+counta($F$1:F$1),false)</f>
        <v>-0.1</v>
      </c>
      <c r="G43" s="99">
        <f>$D43-vlookup(Summary!$C43,Summary!$C$2:$Q$103,3+counta($F$1:G$1),false)</f>
        <v>-0.5</v>
      </c>
      <c r="H43" s="99">
        <f>$D43-vlookup(Summary!$C43,Summary!$C$2:$Q$103,3+counta($F$1:H$1),false)</f>
        <v>-0.5</v>
      </c>
      <c r="I43" s="99">
        <f>$D43-vlookup(Summary!$C43,Summary!$C$2:$Q$103,3+counta($F$1:I$1),false)</f>
        <v>0</v>
      </c>
      <c r="J43" s="99">
        <f>$D43-vlookup(Summary!$C43,Summary!$C$2:$Q$103,3+counta($F$1:J$1),false)</f>
        <v>-0.5</v>
      </c>
      <c r="K43" s="99">
        <f>$D43-vlookup(Summary!$C43,Summary!$C$2:$Q$103,3+counta($F$1:K$1),false)</f>
        <v>0.399</v>
      </c>
      <c r="L43" s="99">
        <f>$D43-vlookup(Summary!$C43,Summary!$C$2:$Q$103,3+counta($F$1:L$1),false)</f>
        <v>-0.59999</v>
      </c>
      <c r="M43" s="99">
        <f>$D43-vlookup(Summary!$C43,Summary!$C$2:$Q$103,3+counta($F$1:M$1),false)</f>
        <v>-0.5</v>
      </c>
      <c r="N43" s="99">
        <f>$D43-vlookup(Summary!$C43,Summary!$C$2:$Q$103,3+counta($F$1:N$1),false)</f>
        <v>-0.5</v>
      </c>
      <c r="O43" s="99">
        <f>$D43-vlookup(Summary!$C43,Summary!$C$2:$Q$103,3+counta($F$1:O$1),false)</f>
        <v>-0.599</v>
      </c>
      <c r="P43" s="99">
        <f>$D43-vlookup(Summary!$C43,Summary!$C$2:$Q$103,3+counta($F$1:P$1),false)</f>
        <v>-0.5</v>
      </c>
      <c r="Q43" s="99">
        <f>$D43-vlookup(Summary!$C43,Summary!$C$2:$Q$103,3+counta($F$1:Q$1),false)</f>
        <v>-0.59</v>
      </c>
    </row>
    <row r="44" ht="15.75" customHeight="1">
      <c r="A44" s="15">
        <f>Main!A44</f>
        <v>43</v>
      </c>
      <c r="B44" s="15" t="str">
        <f>Main!B44</f>
        <v>A participant in the prediction game will get a dog or another dog </v>
      </c>
      <c r="C44" s="15" t="str">
        <f>Main!C44</f>
        <v>Family</v>
      </c>
      <c r="D44" s="15">
        <v>0.1</v>
      </c>
      <c r="F44" s="99">
        <f>$D44-vlookup(Summary!$C44,Summary!$C$2:$Q$103,3+counta($F$1:F$1),false)</f>
        <v>-0.4</v>
      </c>
      <c r="G44" s="99">
        <f>$D44-vlookup(Summary!$C44,Summary!$C$2:$Q$103,3+counta($F$1:G$1),false)</f>
        <v>-0.85</v>
      </c>
      <c r="H44" s="99">
        <f>$D44-vlookup(Summary!$C44,Summary!$C$2:$Q$103,3+counta($F$1:H$1),false)</f>
        <v>0</v>
      </c>
      <c r="I44" s="99">
        <f>$D44-vlookup(Summary!$C44,Summary!$C$2:$Q$103,3+counta($F$1:I$1),false)</f>
        <v>0</v>
      </c>
      <c r="J44" s="99">
        <f>$D44-vlookup(Summary!$C44,Summary!$C$2:$Q$103,3+counta($F$1:J$1),false)</f>
        <v>-0.8</v>
      </c>
      <c r="K44" s="99">
        <f>$D44-vlookup(Summary!$C44,Summary!$C$2:$Q$103,3+counta($F$1:K$1),false)</f>
        <v>-0.65</v>
      </c>
      <c r="L44" s="99">
        <f>$D44-vlookup(Summary!$C44,Summary!$C$2:$Q$103,3+counta($F$1:L$1),false)</f>
        <v>-0.1</v>
      </c>
      <c r="M44" s="99">
        <f>$D44-vlookup(Summary!$C44,Summary!$C$2:$Q$103,3+counta($F$1:M$1),false)</f>
        <v>0</v>
      </c>
      <c r="N44" s="99">
        <f>$D44-vlookup(Summary!$C44,Summary!$C$2:$Q$103,3+counta($F$1:N$1),false)</f>
        <v>0</v>
      </c>
      <c r="O44" s="99">
        <f>$D44-vlookup(Summary!$C44,Summary!$C$2:$Q$103,3+counta($F$1:O$1),false)</f>
        <v>0.099</v>
      </c>
      <c r="P44" s="99">
        <f>$D44-vlookup(Summary!$C44,Summary!$C$2:$Q$103,3+counta($F$1:P$1),false)</f>
        <v>-0.4</v>
      </c>
      <c r="Q44" s="99">
        <f>$D44-vlookup(Summary!$C44,Summary!$C$2:$Q$103,3+counta($F$1:Q$1),false)</f>
        <v>-0.15</v>
      </c>
    </row>
    <row r="45" ht="15.75" customHeight="1">
      <c r="A45" s="15">
        <f>Main!A45</f>
        <v>44</v>
      </c>
      <c r="B45" s="15" t="str">
        <f>Main!B45</f>
        <v>There will be a flow of water into the Lake Eyre basin in 2022</v>
      </c>
      <c r="C45" s="15" t="str">
        <f>Main!C45</f>
        <v>Natural world</v>
      </c>
      <c r="D45" s="15">
        <v>0.5</v>
      </c>
      <c r="F45" s="99">
        <f>$D45-vlookup(Summary!$C45,Summary!$C$2:$Q$103,3+counta($F$1:F$1),false)</f>
        <v>-0.25</v>
      </c>
      <c r="G45" s="99">
        <f>$D45-vlookup(Summary!$C45,Summary!$C$2:$Q$103,3+counta($F$1:G$1),false)</f>
        <v>-0.3</v>
      </c>
      <c r="H45" s="99">
        <f>$D45-vlookup(Summary!$C45,Summary!$C$2:$Q$103,3+counta($F$1:H$1),false)</f>
        <v>0</v>
      </c>
      <c r="I45" s="99">
        <f>$D45-vlookup(Summary!$C45,Summary!$C$2:$Q$103,3+counta($F$1:I$1),false)</f>
        <v>0</v>
      </c>
      <c r="J45" s="99">
        <f>$D45-vlookup(Summary!$C45,Summary!$C$2:$Q$103,3+counta($F$1:J$1),false)</f>
        <v>0.2</v>
      </c>
      <c r="K45" s="99">
        <f>$D45-vlookup(Summary!$C45,Summary!$C$2:$Q$103,3+counta($F$1:K$1),false)</f>
        <v>-0.2</v>
      </c>
      <c r="L45" s="99">
        <f>$D45-vlookup(Summary!$C45,Summary!$C$2:$Q$103,3+counta($F$1:L$1),false)</f>
        <v>-0.3</v>
      </c>
      <c r="M45" s="99">
        <f>$D45-vlookup(Summary!$C45,Summary!$C$2:$Q$103,3+counta($F$1:M$1),false)</f>
        <v>0</v>
      </c>
      <c r="N45" s="99">
        <f>$D45-vlookup(Summary!$C45,Summary!$C$2:$Q$103,3+counta($F$1:N$1),false)</f>
        <v>-0.1</v>
      </c>
      <c r="O45" s="99">
        <f>$D45-vlookup(Summary!$C45,Summary!$C$2:$Q$103,3+counta($F$1:O$1),false)</f>
        <v>-0.15</v>
      </c>
      <c r="P45" s="99">
        <f>$D45-vlookup(Summary!$C45,Summary!$C$2:$Q$103,3+counta($F$1:P$1),false)</f>
        <v>-0.4</v>
      </c>
      <c r="Q45" s="99">
        <f>$D45-vlookup(Summary!$C45,Summary!$C$2:$Q$103,3+counta($F$1:Q$1),false)</f>
        <v>0</v>
      </c>
    </row>
    <row r="46" ht="15.75" customHeight="1">
      <c r="A46" s="15">
        <f>Main!A46</f>
        <v>45</v>
      </c>
      <c r="B46" s="15" t="str">
        <f>Main!B46</f>
        <v>Water from the Paroo will spill into the Darling in 2022</v>
      </c>
      <c r="C46" s="15" t="str">
        <f>Main!C46</f>
        <v>Natural world</v>
      </c>
      <c r="D46" s="15">
        <v>0.5</v>
      </c>
      <c r="F46" s="99">
        <f>$D46-vlookup(Summary!$C46,Summary!$C$2:$Q$103,3+counta($F$1:F$1),false)</f>
        <v>0</v>
      </c>
      <c r="G46" s="99">
        <f>$D46-vlookup(Summary!$C46,Summary!$C$2:$Q$103,3+counta($F$1:G$1),false)</f>
        <v>-0.2</v>
      </c>
      <c r="H46" s="99">
        <f>$D46-vlookup(Summary!$C46,Summary!$C$2:$Q$103,3+counta($F$1:H$1),false)</f>
        <v>0</v>
      </c>
      <c r="I46" s="99">
        <f>$D46-vlookup(Summary!$C46,Summary!$C$2:$Q$103,3+counta($F$1:I$1),false)</f>
        <v>0</v>
      </c>
      <c r="J46" s="99">
        <f>$D46-vlookup(Summary!$C46,Summary!$C$2:$Q$103,3+counta($F$1:J$1),false)</f>
        <v>-0.1</v>
      </c>
      <c r="K46" s="99">
        <f>$D46-vlookup(Summary!$C46,Summary!$C$2:$Q$103,3+counta($F$1:K$1),false)</f>
        <v>-0.1</v>
      </c>
      <c r="L46" s="99">
        <f>$D46-vlookup(Summary!$C46,Summary!$C$2:$Q$103,3+counta($F$1:L$1),false)</f>
        <v>-0.3</v>
      </c>
      <c r="M46" s="99">
        <f>$D46-vlookup(Summary!$C46,Summary!$C$2:$Q$103,3+counta($F$1:M$1),false)</f>
        <v>0</v>
      </c>
      <c r="N46" s="99">
        <f>$D46-vlookup(Summary!$C46,Summary!$C$2:$Q$103,3+counta($F$1:N$1),false)</f>
        <v>-0.1</v>
      </c>
      <c r="O46" s="99">
        <f>$D46-vlookup(Summary!$C46,Summary!$C$2:$Q$103,3+counta($F$1:O$1),false)</f>
        <v>0</v>
      </c>
      <c r="P46" s="99">
        <f>$D46-vlookup(Summary!$C46,Summary!$C$2:$Q$103,3+counta($F$1:P$1),false)</f>
        <v>0.4</v>
      </c>
      <c r="Q46" s="99">
        <f>$D46-vlookup(Summary!$C46,Summary!$C$2:$Q$103,3+counta($F$1:Q$1),false)</f>
        <v>0</v>
      </c>
    </row>
    <row r="47" ht="15.75" customHeight="1">
      <c r="A47" s="15">
        <f>Main!A47</f>
        <v>46</v>
      </c>
      <c r="B47" s="15" t="str">
        <f>Main!B47</f>
        <v>In the Antarctic the Thwaites Glacier ice-shelf will collapse in 2022</v>
      </c>
      <c r="C47" s="15" t="str">
        <f>Main!C47</f>
        <v>Natural world</v>
      </c>
      <c r="D47" s="15">
        <v>0.5</v>
      </c>
      <c r="F47" s="99">
        <f>$D47-vlookup(Summary!$C47,Summary!$C$2:$Q$103,3+counta($F$1:F$1),false)</f>
        <v>0</v>
      </c>
      <c r="G47" s="99">
        <f>$D47-vlookup(Summary!$C47,Summary!$C$2:$Q$103,3+counta($F$1:G$1),false)</f>
        <v>0.25</v>
      </c>
      <c r="H47" s="99">
        <f>$D47-vlookup(Summary!$C47,Summary!$C$2:$Q$103,3+counta($F$1:H$1),false)</f>
        <v>-0.2</v>
      </c>
      <c r="I47" s="99">
        <f>$D47-vlookup(Summary!$C47,Summary!$C$2:$Q$103,3+counta($F$1:I$1),false)</f>
        <v>0</v>
      </c>
      <c r="J47" s="99">
        <f>$D47-vlookup(Summary!$C47,Summary!$C$2:$Q$103,3+counta($F$1:J$1),false)</f>
        <v>-0.2</v>
      </c>
      <c r="K47" s="99">
        <f>$D47-vlookup(Summary!$C47,Summary!$C$2:$Q$103,3+counta($F$1:K$1),false)</f>
        <v>-0.2</v>
      </c>
      <c r="L47" s="99">
        <f>$D47-vlookup(Summary!$C47,Summary!$C$2:$Q$103,3+counta($F$1:L$1),false)</f>
        <v>0.4</v>
      </c>
      <c r="M47" s="99">
        <f>$D47-vlookup(Summary!$C47,Summary!$C$2:$Q$103,3+counta($F$1:M$1),false)</f>
        <v>-0.2</v>
      </c>
      <c r="N47" s="99">
        <f>$D47-vlookup(Summary!$C47,Summary!$C$2:$Q$103,3+counta($F$1:N$1),false)</f>
        <v>0.3</v>
      </c>
      <c r="O47" s="99">
        <f>$D47-vlookup(Summary!$C47,Summary!$C$2:$Q$103,3+counta($F$1:O$1),false)</f>
        <v>0.15</v>
      </c>
      <c r="P47" s="99">
        <f>$D47-vlookup(Summary!$C47,Summary!$C$2:$Q$103,3+counta($F$1:P$1),false)</f>
        <v>0</v>
      </c>
      <c r="Q47" s="99">
        <f>$D47-vlookup(Summary!$C47,Summary!$C$2:$Q$103,3+counta($F$1:Q$1),false)</f>
        <v>0</v>
      </c>
    </row>
    <row r="48" ht="15.75" customHeight="1">
      <c r="A48" s="15">
        <f>Main!A48</f>
        <v>47</v>
      </c>
      <c r="B48" s="15" t="str">
        <f>Main!B48</f>
        <v>At least three quarters of the Great Barrier Reef will be bleached as a result of warming seas.</v>
      </c>
      <c r="C48" s="15" t="str">
        <f>Main!C48</f>
        <v>Natural world</v>
      </c>
      <c r="D48" s="15">
        <v>0.5</v>
      </c>
      <c r="F48" s="99">
        <f>$D48-vlookup(Summary!$C48,Summary!$C$2:$Q$103,3+counta($F$1:F$1),false)</f>
        <v>0</v>
      </c>
      <c r="G48" s="99">
        <f>$D48-vlookup(Summary!$C48,Summary!$C$2:$Q$103,3+counta($F$1:G$1),false)</f>
        <v>-0.3</v>
      </c>
      <c r="H48" s="99">
        <f>$D48-vlookup(Summary!$C48,Summary!$C$2:$Q$103,3+counta($F$1:H$1),false)</f>
        <v>-0.2</v>
      </c>
      <c r="I48" s="99">
        <f>$D48-vlookup(Summary!$C48,Summary!$C$2:$Q$103,3+counta($F$1:I$1),false)</f>
        <v>0</v>
      </c>
      <c r="J48" s="99">
        <f>$D48-vlookup(Summary!$C48,Summary!$C$2:$Q$103,3+counta($F$1:J$1),false)</f>
        <v>-0.3</v>
      </c>
      <c r="K48" s="99">
        <f>$D48-vlookup(Summary!$C48,Summary!$C$2:$Q$103,3+counta($F$1:K$1),false)</f>
        <v>-0.35</v>
      </c>
      <c r="L48" s="99">
        <f>$D48-vlookup(Summary!$C48,Summary!$C$2:$Q$103,3+counta($F$1:L$1),false)</f>
        <v>0</v>
      </c>
      <c r="M48" s="99">
        <f>$D48-vlookup(Summary!$C48,Summary!$C$2:$Q$103,3+counta($F$1:M$1),false)</f>
        <v>-0.2</v>
      </c>
      <c r="N48" s="99">
        <f>$D48-vlookup(Summary!$C48,Summary!$C$2:$Q$103,3+counta($F$1:N$1),false)</f>
        <v>-0.2</v>
      </c>
      <c r="O48" s="99">
        <f>$D48-vlookup(Summary!$C48,Summary!$C$2:$Q$103,3+counta($F$1:O$1),false)</f>
        <v>0.15</v>
      </c>
      <c r="P48" s="99">
        <f>$D48-vlookup(Summary!$C48,Summary!$C$2:$Q$103,3+counta($F$1:P$1),false)</f>
        <v>0</v>
      </c>
      <c r="Q48" s="99">
        <f>$D48-vlookup(Summary!$C48,Summary!$C$2:$Q$103,3+counta($F$1:Q$1),false)</f>
        <v>0.1</v>
      </c>
    </row>
    <row r="49" ht="15.75" customHeight="1">
      <c r="A49" s="15">
        <f>Main!A49</f>
        <v>48</v>
      </c>
      <c r="B49" s="15" t="str">
        <f>Main!B49</f>
        <v>Sabine Hoffstader will release a Youtube video explaining that the nature of dark matter has been confirmed experimentally</v>
      </c>
      <c r="C49" s="15" t="str">
        <f>Main!C49</f>
        <v>Natural world</v>
      </c>
      <c r="D49" s="15">
        <v>0.5</v>
      </c>
      <c r="F49" s="99">
        <f>$D49-vlookup(Summary!$C49,Summary!$C$2:$Q$103,3+counta($F$1:F$1),false)</f>
        <v>0</v>
      </c>
      <c r="G49" s="99">
        <f>$D49-vlookup(Summary!$C49,Summary!$C$2:$Q$103,3+counta($F$1:G$1),false)</f>
        <v>0.25</v>
      </c>
      <c r="H49" s="99">
        <f>$D49-vlookup(Summary!$C49,Summary!$C$2:$Q$103,3+counta($F$1:H$1),false)</f>
        <v>0.4</v>
      </c>
      <c r="I49" s="99">
        <f>$D49-vlookup(Summary!$C49,Summary!$C$2:$Q$103,3+counta($F$1:I$1),false)</f>
        <v>0</v>
      </c>
      <c r="J49" s="99">
        <f>$D49-vlookup(Summary!$C49,Summary!$C$2:$Q$103,3+counta($F$1:J$1),false)</f>
        <v>0</v>
      </c>
      <c r="K49" s="99">
        <f>$D49-vlookup(Summary!$C49,Summary!$C$2:$Q$103,3+counta($F$1:K$1),false)</f>
        <v>-0.15</v>
      </c>
      <c r="L49" s="99">
        <f>$D49-vlookup(Summary!$C49,Summary!$C$2:$Q$103,3+counta($F$1:L$1),false)</f>
        <v>-0.1</v>
      </c>
      <c r="M49" s="99">
        <f>$D49-vlookup(Summary!$C49,Summary!$C$2:$Q$103,3+counta($F$1:M$1),false)</f>
        <v>0.4</v>
      </c>
      <c r="N49" s="99">
        <f>$D49-vlookup(Summary!$C49,Summary!$C$2:$Q$103,3+counta($F$1:N$1),false)</f>
        <v>0</v>
      </c>
      <c r="O49" s="99">
        <f>$D49-vlookup(Summary!$C49,Summary!$C$2:$Q$103,3+counta($F$1:O$1),false)</f>
        <v>0.499</v>
      </c>
      <c r="P49" s="99">
        <f>$D49-vlookup(Summary!$C49,Summary!$C$2:$Q$103,3+counta($F$1:P$1),false)</f>
        <v>0</v>
      </c>
      <c r="Q49" s="99">
        <f>$D49-vlookup(Summary!$C49,Summary!$C$2:$Q$103,3+counta($F$1:Q$1),false)</f>
        <v>0</v>
      </c>
    </row>
    <row r="50" ht="15.75" customHeight="1">
      <c r="A50" s="15">
        <f>Main!A50</f>
        <v>49</v>
      </c>
      <c r="B50" s="15" t="str">
        <f>Main!B50</f>
        <v>2022 will be the hottest year on record globally (via NASA)</v>
      </c>
      <c r="C50" s="15" t="str">
        <f>Main!C50</f>
        <v>Natural world</v>
      </c>
      <c r="D50" s="15">
        <v>0.3</v>
      </c>
      <c r="F50" s="99">
        <f>$D50-vlookup(Summary!$C50,Summary!$C$2:$Q$103,3+counta($F$1:F$1),false)</f>
        <v>0</v>
      </c>
      <c r="G50" s="99">
        <f>$D50-vlookup(Summary!$C50,Summary!$C$2:$Q$103,3+counta($F$1:G$1),false)</f>
        <v>-0.15</v>
      </c>
      <c r="H50" s="99">
        <f>$D50-vlookup(Summary!$C50,Summary!$C$2:$Q$103,3+counta($F$1:H$1),false)</f>
        <v>-0.65</v>
      </c>
      <c r="I50" s="99">
        <f>$D50-vlookup(Summary!$C50,Summary!$C$2:$Q$103,3+counta($F$1:I$1),false)</f>
        <v>0</v>
      </c>
      <c r="J50" s="99">
        <f>$D50-vlookup(Summary!$C50,Summary!$C$2:$Q$103,3+counta($F$1:J$1),false)</f>
        <v>-0.5</v>
      </c>
      <c r="K50" s="99">
        <f>$D50-vlookup(Summary!$C50,Summary!$C$2:$Q$103,3+counta($F$1:K$1),false)</f>
        <v>-0.52</v>
      </c>
      <c r="L50" s="99">
        <f>$D50-vlookup(Summary!$C50,Summary!$C$2:$Q$103,3+counta($F$1:L$1),false)</f>
        <v>0.1</v>
      </c>
      <c r="M50" s="99">
        <f>$D50-vlookup(Summary!$C50,Summary!$C$2:$Q$103,3+counta($F$1:M$1),false)</f>
        <v>-0.65</v>
      </c>
      <c r="N50" s="99">
        <f>$D50-vlookup(Summary!$C50,Summary!$C$2:$Q$103,3+counta($F$1:N$1),false)</f>
        <v>0</v>
      </c>
      <c r="O50" s="99">
        <f>$D50-vlookup(Summary!$C50,Summary!$C$2:$Q$103,3+counta($F$1:O$1),false)</f>
        <v>0.15</v>
      </c>
      <c r="P50" s="99">
        <f>$D50-vlookup(Summary!$C50,Summary!$C$2:$Q$103,3+counta($F$1:P$1),false)</f>
        <v>-0.3</v>
      </c>
      <c r="Q50" s="99">
        <f>$D50-vlookup(Summary!$C50,Summary!$C$2:$Q$103,3+counta($F$1:Q$1),false)</f>
        <v>-0.1</v>
      </c>
    </row>
    <row r="51" ht="15.75" customHeight="1">
      <c r="A51" s="15">
        <f>Main!A51</f>
        <v>50</v>
      </c>
      <c r="B51" s="15" t="str">
        <f>Main!B51</f>
        <v>A cultivated chilli will replace the Carolina Reaper as the world’s hottest, as measured in scoville units (GWR seems to be the source of this currently)</v>
      </c>
      <c r="C51" s="15" t="str">
        <f>Main!C51</f>
        <v>Natural world</v>
      </c>
      <c r="D51" s="15">
        <v>0.8</v>
      </c>
      <c r="F51" s="99">
        <f>$D51-vlookup(Summary!$C51,Summary!$C$2:$Q$103,3+counta($F$1:F$1),false)</f>
        <v>0.2</v>
      </c>
      <c r="G51" s="99">
        <f>$D51-vlookup(Summary!$C51,Summary!$C$2:$Q$103,3+counta($F$1:G$1),false)</f>
        <v>0.29</v>
      </c>
      <c r="H51" s="99">
        <f>$D51-vlookup(Summary!$C51,Summary!$C$2:$Q$103,3+counta($F$1:H$1),false)</f>
        <v>0.1</v>
      </c>
      <c r="I51" s="99">
        <f>$D51-vlookup(Summary!$C51,Summary!$C$2:$Q$103,3+counta($F$1:I$1),false)</f>
        <v>0</v>
      </c>
      <c r="J51" s="99">
        <f>$D51-vlookup(Summary!$C51,Summary!$C$2:$Q$103,3+counta($F$1:J$1),false)</f>
        <v>0.6</v>
      </c>
      <c r="K51" s="99">
        <f>$D51-vlookup(Summary!$C51,Summary!$C$2:$Q$103,3+counta($F$1:K$1),false)</f>
        <v>0.05</v>
      </c>
      <c r="L51" s="99">
        <f>$D51-vlookup(Summary!$C51,Summary!$C$2:$Q$103,3+counta($F$1:L$1),false)</f>
        <v>0.3</v>
      </c>
      <c r="M51" s="99">
        <f>$D51-vlookup(Summary!$C51,Summary!$C$2:$Q$103,3+counta($F$1:M$1),false)</f>
        <v>0.1</v>
      </c>
      <c r="N51" s="99">
        <f>$D51-vlookup(Summary!$C51,Summary!$C$2:$Q$103,3+counta($F$1:N$1),false)</f>
        <v>0</v>
      </c>
      <c r="O51" s="99">
        <f>$D51-vlookup(Summary!$C51,Summary!$C$2:$Q$103,3+counta($F$1:O$1),false)</f>
        <v>0.15</v>
      </c>
      <c r="P51" s="99">
        <f>$D51-vlookup(Summary!$C51,Summary!$C$2:$Q$103,3+counta($F$1:P$1),false)</f>
        <v>0.3</v>
      </c>
      <c r="Q51" s="99">
        <f>$D51-vlookup(Summary!$C51,Summary!$C$2:$Q$103,3+counta($F$1:Q$1),false)</f>
        <v>0</v>
      </c>
    </row>
    <row r="52" ht="15.75" customHeight="1">
      <c r="A52" s="15">
        <f>Main!A52</f>
        <v>51</v>
      </c>
      <c r="B52" s="15" t="str">
        <f>Main!B52</f>
        <v>Christchurch will experience an earthquake of at least 4 on the Richter scale</v>
      </c>
      <c r="C52" s="15" t="str">
        <f>Main!C52</f>
        <v>Natural world</v>
      </c>
      <c r="D52" s="15">
        <v>0.7</v>
      </c>
      <c r="F52" s="99">
        <f>$D52-vlookup(Summary!$C52,Summary!$C$2:$Q$103,3+counta($F$1:F$1),false)</f>
        <v>0.3</v>
      </c>
      <c r="G52" s="99">
        <f>$D52-vlookup(Summary!$C52,Summary!$C$2:$Q$103,3+counta($F$1:G$1),false)</f>
        <v>0.45</v>
      </c>
      <c r="H52" s="99">
        <f>$D52-vlookup(Summary!$C52,Summary!$C$2:$Q$103,3+counta($F$1:H$1),false)</f>
        <v>0</v>
      </c>
      <c r="I52" s="99">
        <f>$D52-vlookup(Summary!$C52,Summary!$C$2:$Q$103,3+counta($F$1:I$1),false)</f>
        <v>0</v>
      </c>
      <c r="J52" s="99">
        <f>$D52-vlookup(Summary!$C52,Summary!$C$2:$Q$103,3+counta($F$1:J$1),false)</f>
        <v>0.2</v>
      </c>
      <c r="K52" s="99">
        <f>$D52-vlookup(Summary!$C52,Summary!$C$2:$Q$103,3+counta($F$1:K$1),false)</f>
        <v>0.05</v>
      </c>
      <c r="L52" s="99">
        <f>$D52-vlookup(Summary!$C52,Summary!$C$2:$Q$103,3+counta($F$1:L$1),false)</f>
        <v>0.4</v>
      </c>
      <c r="M52" s="99">
        <f>$D52-vlookup(Summary!$C52,Summary!$C$2:$Q$103,3+counta($F$1:M$1),false)</f>
        <v>0</v>
      </c>
      <c r="N52" s="99">
        <f>$D52-vlookup(Summary!$C52,Summary!$C$2:$Q$103,3+counta($F$1:N$1),false)</f>
        <v>0.3</v>
      </c>
      <c r="O52" s="99">
        <f>$D52-vlookup(Summary!$C52,Summary!$C$2:$Q$103,3+counta($F$1:O$1),false)</f>
        <v>0.05</v>
      </c>
      <c r="P52" s="99">
        <f>$D52-vlookup(Summary!$C52,Summary!$C$2:$Q$103,3+counta($F$1:P$1),false)</f>
        <v>0.6</v>
      </c>
      <c r="Q52" s="99">
        <f>$D52-vlookup(Summary!$C52,Summary!$C$2:$Q$103,3+counta($F$1:Q$1),false)</f>
        <v>0.2</v>
      </c>
    </row>
    <row r="53" ht="15.75" customHeight="1">
      <c r="A53" s="15">
        <f>Main!A53</f>
        <v>52</v>
      </c>
      <c r="B53" s="15" t="str">
        <f>Main!B53</f>
        <v>Pope Francis will condemn the metaverse or warn of its potential damage</v>
      </c>
      <c r="C53" s="15" t="str">
        <f>Main!C53</f>
        <v>Society</v>
      </c>
      <c r="D53" s="15">
        <v>0.5</v>
      </c>
      <c r="F53" s="99">
        <f>$D53-vlookup(Summary!$C53,Summary!$C$2:$Q$103,3+counta($F$1:F$1),false)</f>
        <v>-0.1</v>
      </c>
      <c r="G53" s="99">
        <f>$D53-vlookup(Summary!$C53,Summary!$C$2:$Q$103,3+counta($F$1:G$1),false)</f>
        <v>0.3</v>
      </c>
      <c r="H53" s="99">
        <f>$D53-vlookup(Summary!$C53,Summary!$C$2:$Q$103,3+counta($F$1:H$1),false)</f>
        <v>0.2</v>
      </c>
      <c r="I53" s="99">
        <f>$D53-vlookup(Summary!$C53,Summary!$C$2:$Q$103,3+counta($F$1:I$1),false)</f>
        <v>0</v>
      </c>
      <c r="J53" s="99">
        <f>$D53-vlookup(Summary!$C53,Summary!$C$2:$Q$103,3+counta($F$1:J$1),false)</f>
        <v>-0.4</v>
      </c>
      <c r="K53" s="99">
        <f>$D53-vlookup(Summary!$C53,Summary!$C$2:$Q$103,3+counta($F$1:K$1),false)</f>
        <v>-0.3</v>
      </c>
      <c r="L53" s="99">
        <f>$D53-vlookup(Summary!$C53,Summary!$C$2:$Q$103,3+counta($F$1:L$1),false)</f>
        <v>0</v>
      </c>
      <c r="M53" s="99">
        <f>$D53-vlookup(Summary!$C53,Summary!$C$2:$Q$103,3+counta($F$1:M$1),false)</f>
        <v>0.2</v>
      </c>
      <c r="N53" s="99">
        <f>$D53-vlookup(Summary!$C53,Summary!$C$2:$Q$103,3+counta($F$1:N$1),false)</f>
        <v>0.4</v>
      </c>
      <c r="O53" s="99">
        <f>$D53-vlookup(Summary!$C53,Summary!$C$2:$Q$103,3+counta($F$1:O$1),false)</f>
        <v>0.15</v>
      </c>
      <c r="P53" s="99">
        <f>$D53-vlookup(Summary!$C53,Summary!$C$2:$Q$103,3+counta($F$1:P$1),false)</f>
        <v>0</v>
      </c>
      <c r="Q53" s="99">
        <f>$D53-vlookup(Summary!$C53,Summary!$C$2:$Q$103,3+counta($F$1:Q$1),false)</f>
        <v>0.3</v>
      </c>
    </row>
    <row r="54" ht="15.75" customHeight="1">
      <c r="A54" s="15">
        <f>Main!A54</f>
        <v>53</v>
      </c>
      <c r="B54" s="15" t="str">
        <f>Main!B54</f>
        <v>The 4th most popular baby name for girls in Australia will be Isla according to the NSW Government popular baby names site</v>
      </c>
      <c r="C54" s="15" t="str">
        <f>Main!C54</f>
        <v>Society</v>
      </c>
      <c r="D54" s="15">
        <v>0.1</v>
      </c>
      <c r="F54" s="99">
        <f>$D54-vlookup(Summary!$C54,Summary!$C$2:$Q$103,3+counta($F$1:F$1),false)</f>
        <v>-0.25</v>
      </c>
      <c r="G54" s="99">
        <f>$D54-vlookup(Summary!$C54,Summary!$C$2:$Q$103,3+counta($F$1:G$1),false)</f>
        <v>-0.3</v>
      </c>
      <c r="H54" s="99">
        <f>$D54-vlookup(Summary!$C54,Summary!$C$2:$Q$103,3+counta($F$1:H$1),false)</f>
        <v>-0.4</v>
      </c>
      <c r="I54" s="99">
        <f>$D54-vlookup(Summary!$C54,Summary!$C$2:$Q$103,3+counta($F$1:I$1),false)</f>
        <v>0</v>
      </c>
      <c r="J54" s="99">
        <f>$D54-vlookup(Summary!$C54,Summary!$C$2:$Q$103,3+counta($F$1:J$1),false)</f>
        <v>-0.7</v>
      </c>
      <c r="K54" s="99">
        <f>$D54-vlookup(Summary!$C54,Summary!$C$2:$Q$103,3+counta($F$1:K$1),false)</f>
        <v>-0.8</v>
      </c>
      <c r="L54" s="99">
        <f>$D54-vlookup(Summary!$C54,Summary!$C$2:$Q$103,3+counta($F$1:L$1),false)</f>
        <v>-0.1</v>
      </c>
      <c r="M54" s="99">
        <f>$D54-vlookup(Summary!$C54,Summary!$C$2:$Q$103,3+counta($F$1:M$1),false)</f>
        <v>-0.4</v>
      </c>
      <c r="N54" s="99">
        <f>$D54-vlookup(Summary!$C54,Summary!$C$2:$Q$103,3+counta($F$1:N$1),false)</f>
        <v>-0.8</v>
      </c>
      <c r="O54" s="99">
        <f>$D54-vlookup(Summary!$C54,Summary!$C$2:$Q$103,3+counta($F$1:O$1),false)</f>
        <v>-0.25</v>
      </c>
      <c r="P54" s="99">
        <f>$D54-vlookup(Summary!$C54,Summary!$C$2:$Q$103,3+counta($F$1:P$1),false)</f>
        <v>0</v>
      </c>
      <c r="Q54" s="99">
        <f>$D54-vlookup(Summary!$C54,Summary!$C$2:$Q$103,3+counta($F$1:Q$1),false)</f>
        <v>-0.7</v>
      </c>
    </row>
    <row r="55" ht="15.75" customHeight="1">
      <c r="A55" s="15">
        <f>Main!A55</f>
        <v>54</v>
      </c>
      <c r="B55" s="15" t="str">
        <f>Main!B55</f>
        <v>The 4th most popular baby name for boys in Australia will be Leo according to the NSW Government popular baby names site</v>
      </c>
      <c r="C55" s="15" t="str">
        <f>Main!C55</f>
        <v>Society</v>
      </c>
      <c r="D55" s="15">
        <v>0.1</v>
      </c>
      <c r="F55" s="99">
        <f>$D55-vlookup(Summary!$C55,Summary!$C$2:$Q$103,3+counta($F$1:F$1),false)</f>
        <v>-0.25</v>
      </c>
      <c r="G55" s="99">
        <f>$D55-vlookup(Summary!$C55,Summary!$C$2:$Q$103,3+counta($F$1:G$1),false)</f>
        <v>-0.3</v>
      </c>
      <c r="H55" s="99">
        <f>$D55-vlookup(Summary!$C55,Summary!$C$2:$Q$103,3+counta($F$1:H$1),false)</f>
        <v>-0.4</v>
      </c>
      <c r="I55" s="99">
        <f>$D55-vlookup(Summary!$C55,Summary!$C$2:$Q$103,3+counta($F$1:I$1),false)</f>
        <v>0</v>
      </c>
      <c r="J55" s="99">
        <f>$D55-vlookup(Summary!$C55,Summary!$C$2:$Q$103,3+counta($F$1:J$1),false)</f>
        <v>-0.6</v>
      </c>
      <c r="K55" s="99">
        <f>$D55-vlookup(Summary!$C55,Summary!$C$2:$Q$103,3+counta($F$1:K$1),false)</f>
        <v>-0.8</v>
      </c>
      <c r="L55" s="99">
        <f>$D55-vlookup(Summary!$C55,Summary!$C$2:$Q$103,3+counta($F$1:L$1),false)</f>
        <v>-0.1</v>
      </c>
      <c r="M55" s="99">
        <f>$D55-vlookup(Summary!$C55,Summary!$C$2:$Q$103,3+counta($F$1:M$1),false)</f>
        <v>-0.4</v>
      </c>
      <c r="N55" s="99">
        <f>$D55-vlookup(Summary!$C55,Summary!$C$2:$Q$103,3+counta($F$1:N$1),false)</f>
        <v>-0.1</v>
      </c>
      <c r="O55" s="99">
        <f>$D55-vlookup(Summary!$C55,Summary!$C$2:$Q$103,3+counta($F$1:O$1),false)</f>
        <v>-0.25</v>
      </c>
      <c r="P55" s="99">
        <f>$D55-vlookup(Summary!$C55,Summary!$C$2:$Q$103,3+counta($F$1:P$1),false)</f>
        <v>0</v>
      </c>
      <c r="Q55" s="99">
        <f>$D55-vlookup(Summary!$C55,Summary!$C$2:$Q$103,3+counta($F$1:Q$1),false)</f>
        <v>-0.1</v>
      </c>
    </row>
    <row r="56" ht="15.75" customHeight="1">
      <c r="A56" s="15">
        <f>Main!A56</f>
        <v>55</v>
      </c>
      <c r="B56" s="15" t="str">
        <f>Main!B56</f>
        <v>A statue in Australia will be removed because of negative associations with its history or colonial ties.</v>
      </c>
      <c r="C56" s="15" t="str">
        <f>Main!C56</f>
        <v>Society</v>
      </c>
      <c r="D56" s="15">
        <v>0.2</v>
      </c>
      <c r="F56" s="99">
        <f>$D56-vlookup(Summary!$C56,Summary!$C$2:$Q$103,3+counta($F$1:F$1),false)</f>
        <v>0</v>
      </c>
      <c r="G56" s="99">
        <f>$D56-vlookup(Summary!$C56,Summary!$C$2:$Q$103,3+counta($F$1:G$1),false)</f>
        <v>-0.7</v>
      </c>
      <c r="H56" s="99">
        <f>$D56-vlookup(Summary!$C56,Summary!$C$2:$Q$103,3+counta($F$1:H$1),false)</f>
        <v>-0.6</v>
      </c>
      <c r="I56" s="99">
        <f>$D56-vlookup(Summary!$C56,Summary!$C$2:$Q$103,3+counta($F$1:I$1),false)</f>
        <v>0</v>
      </c>
      <c r="J56" s="99">
        <f>$D56-vlookup(Summary!$C56,Summary!$C$2:$Q$103,3+counta($F$1:J$1),false)</f>
        <v>-0.6</v>
      </c>
      <c r="K56" s="99">
        <f>$D56-vlookup(Summary!$C56,Summary!$C$2:$Q$103,3+counta($F$1:K$1),false)</f>
        <v>-0.4</v>
      </c>
      <c r="L56" s="99">
        <f>$D56-vlookup(Summary!$C56,Summary!$C$2:$Q$103,3+counta($F$1:L$1),false)</f>
        <v>-0.2</v>
      </c>
      <c r="M56" s="99">
        <f>$D56-vlookup(Summary!$C56,Summary!$C$2:$Q$103,3+counta($F$1:M$1),false)</f>
        <v>-0.6</v>
      </c>
      <c r="N56" s="99">
        <f>$D56-vlookup(Summary!$C56,Summary!$C$2:$Q$103,3+counta($F$1:N$1),false)</f>
        <v>0.1</v>
      </c>
      <c r="O56" s="99">
        <f>$D56-vlookup(Summary!$C56,Summary!$C$2:$Q$103,3+counta($F$1:O$1),false)</f>
        <v>0.05</v>
      </c>
      <c r="P56" s="99">
        <f>$D56-vlookup(Summary!$C56,Summary!$C$2:$Q$103,3+counta($F$1:P$1),false)</f>
        <v>-0.5</v>
      </c>
      <c r="Q56" s="99">
        <f>$D56-vlookup(Summary!$C56,Summary!$C$2:$Q$103,3+counta($F$1:Q$1),false)</f>
        <v>-0.4</v>
      </c>
    </row>
    <row r="57" ht="15.75" customHeight="1">
      <c r="A57" s="15">
        <f>Main!A57</f>
        <v>56</v>
      </c>
      <c r="B57" s="15" t="str">
        <f>Main!B57</f>
        <v>Dave Chapelle’s special ‘The Closer’ will be available to watch on Netflix (Aus or US)</v>
      </c>
      <c r="C57" s="15" t="str">
        <f>Main!C57</f>
        <v>Society</v>
      </c>
      <c r="D57" s="15">
        <v>0.8</v>
      </c>
      <c r="F57" s="99">
        <f>$D57-vlookup(Summary!$C57,Summary!$C$2:$Q$103,3+counta($F$1:F$1),false)</f>
        <v>0</v>
      </c>
      <c r="G57" s="99">
        <f>$D57-vlookup(Summary!$C57,Summary!$C$2:$Q$103,3+counta($F$1:G$1),false)</f>
        <v>0.2</v>
      </c>
      <c r="H57" s="99">
        <f>$D57-vlookup(Summary!$C57,Summary!$C$2:$Q$103,3+counta($F$1:H$1),false)</f>
        <v>0.3</v>
      </c>
      <c r="I57" s="99">
        <f>$D57-vlookup(Summary!$C57,Summary!$C$2:$Q$103,3+counta($F$1:I$1),false)</f>
        <v>0</v>
      </c>
      <c r="J57" s="99">
        <f>$D57-vlookup(Summary!$C57,Summary!$C$2:$Q$103,3+counta($F$1:J$1),false)</f>
        <v>0.2</v>
      </c>
      <c r="K57" s="99">
        <f>$D57-vlookup(Summary!$C57,Summary!$C$2:$Q$103,3+counta($F$1:K$1),false)</f>
        <v>0.3</v>
      </c>
      <c r="L57" s="99">
        <f>$D57-vlookup(Summary!$C57,Summary!$C$2:$Q$103,3+counta($F$1:L$1),false)</f>
        <v>0.2</v>
      </c>
      <c r="M57" s="99">
        <f>$D57-vlookup(Summary!$C57,Summary!$C$2:$Q$103,3+counta($F$1:M$1),false)</f>
        <v>0.3</v>
      </c>
      <c r="N57" s="99">
        <f>$D57-vlookup(Summary!$C57,Summary!$C$2:$Q$103,3+counta($F$1:N$1),false)</f>
        <v>0.6</v>
      </c>
      <c r="O57" s="99">
        <f>$D57-vlookup(Summary!$C57,Summary!$C$2:$Q$103,3+counta($F$1:O$1),false)</f>
        <v>-0.199</v>
      </c>
      <c r="P57" s="99">
        <f>$D57-vlookup(Summary!$C57,Summary!$C$2:$Q$103,3+counta($F$1:P$1),false)</f>
        <v>0.3</v>
      </c>
      <c r="Q57" s="99">
        <f>$D57-vlookup(Summary!$C57,Summary!$C$2:$Q$103,3+counta($F$1:Q$1),false)</f>
        <v>0.3</v>
      </c>
    </row>
    <row r="58" ht="15.75" customHeight="1">
      <c r="A58" s="15">
        <f>Main!A58</f>
        <v>57</v>
      </c>
      <c r="B58" s="15" t="str">
        <f>Main!B58</f>
        <v>An actor in a Disney film or TV show will have their contract ‘cancelled’ due to social pressure related to a social media post or opinion they have expressed publicly.</v>
      </c>
      <c r="C58" s="15" t="str">
        <f>Main!C58</f>
        <v>Society</v>
      </c>
      <c r="D58" s="15">
        <v>0.8</v>
      </c>
      <c r="F58" s="99">
        <f>$D58-vlookup(Summary!$C58,Summary!$C$2:$Q$103,3+counta($F$1:F$1),false)</f>
        <v>0.1</v>
      </c>
      <c r="G58" s="99">
        <f>$D58-vlookup(Summary!$C58,Summary!$C$2:$Q$103,3+counta($F$1:G$1),false)</f>
        <v>0.4</v>
      </c>
      <c r="H58" s="99">
        <f>$D58-vlookup(Summary!$C58,Summary!$C$2:$Q$103,3+counta($F$1:H$1),false)</f>
        <v>0.2</v>
      </c>
      <c r="I58" s="99">
        <f>$D58-vlookup(Summary!$C58,Summary!$C$2:$Q$103,3+counta($F$1:I$1),false)</f>
        <v>0</v>
      </c>
      <c r="J58" s="99">
        <f>$D58-vlookup(Summary!$C58,Summary!$C$2:$Q$103,3+counta($F$1:J$1),false)</f>
        <v>0</v>
      </c>
      <c r="K58" s="99">
        <f>$D58-vlookup(Summary!$C58,Summary!$C$2:$Q$103,3+counta($F$1:K$1),false)</f>
        <v>0.1</v>
      </c>
      <c r="L58" s="99">
        <f>$D58-vlookup(Summary!$C58,Summary!$C$2:$Q$103,3+counta($F$1:L$1),false)</f>
        <v>0.3</v>
      </c>
      <c r="M58" s="99">
        <f>$D58-vlookup(Summary!$C58,Summary!$C$2:$Q$103,3+counta($F$1:M$1),false)</f>
        <v>0.2</v>
      </c>
      <c r="N58" s="99">
        <f>$D58-vlookup(Summary!$C58,Summary!$C$2:$Q$103,3+counta($F$1:N$1),false)</f>
        <v>0</v>
      </c>
      <c r="O58" s="99">
        <f>$D58-vlookup(Summary!$C58,Summary!$C$2:$Q$103,3+counta($F$1:O$1),false)</f>
        <v>0.15</v>
      </c>
      <c r="P58" s="99">
        <f>$D58-vlookup(Summary!$C58,Summary!$C$2:$Q$103,3+counta($F$1:P$1),false)</f>
        <v>0.3</v>
      </c>
      <c r="Q58" s="99">
        <f>$D58-vlookup(Summary!$C58,Summary!$C$2:$Q$103,3+counta($F$1:Q$1),false)</f>
        <v>0.4</v>
      </c>
    </row>
    <row r="59" ht="15.75" customHeight="1">
      <c r="A59" s="15">
        <f>Main!A59</f>
        <v>58</v>
      </c>
      <c r="B59" s="15" t="str">
        <f>Main!B59</f>
        <v>An Australian company or department will mandate the inclusion or visibility of preferred gender pronouns, whether through an HR directory or email signatures.</v>
      </c>
      <c r="C59" s="15" t="str">
        <f>Main!C59</f>
        <v>Society</v>
      </c>
      <c r="D59" s="15">
        <v>0.8</v>
      </c>
      <c r="F59" s="99">
        <f>$D59-vlookup(Summary!$C59,Summary!$C$2:$Q$103,3+counta($F$1:F$1),false)</f>
        <v>0.15</v>
      </c>
      <c r="G59" s="99">
        <f>$D59-vlookup(Summary!$C59,Summary!$C$2:$Q$103,3+counta($F$1:G$1),false)</f>
        <v>-0.15</v>
      </c>
      <c r="H59" s="99">
        <f>$D59-vlookup(Summary!$C59,Summary!$C$2:$Q$103,3+counta($F$1:H$1),false)</f>
        <v>0.2</v>
      </c>
      <c r="I59" s="99">
        <f>$D59-vlookup(Summary!$C59,Summary!$C$2:$Q$103,3+counta($F$1:I$1),false)</f>
        <v>0</v>
      </c>
      <c r="J59" s="99">
        <f>$D59-vlookup(Summary!$C59,Summary!$C$2:$Q$103,3+counta($F$1:J$1),false)</f>
        <v>0.3</v>
      </c>
      <c r="K59" s="99">
        <f>$D59-vlookup(Summary!$C59,Summary!$C$2:$Q$103,3+counta($F$1:K$1),false)</f>
        <v>0.05</v>
      </c>
      <c r="L59" s="99">
        <f>$D59-vlookup(Summary!$C59,Summary!$C$2:$Q$103,3+counta($F$1:L$1),false)</f>
        <v>0.3</v>
      </c>
      <c r="M59" s="99">
        <f>$D59-vlookup(Summary!$C59,Summary!$C$2:$Q$103,3+counta($F$1:M$1),false)</f>
        <v>0.2</v>
      </c>
      <c r="N59" s="99">
        <f>$D59-vlookup(Summary!$C59,Summary!$C$2:$Q$103,3+counta($F$1:N$1),false)</f>
        <v>0</v>
      </c>
      <c r="O59" s="99">
        <f>$D59-vlookup(Summary!$C59,Summary!$C$2:$Q$103,3+counta($F$1:O$1),false)</f>
        <v>0.45</v>
      </c>
      <c r="P59" s="99">
        <f>$D59-vlookup(Summary!$C59,Summary!$C$2:$Q$103,3+counta($F$1:P$1),false)</f>
        <v>0.3</v>
      </c>
      <c r="Q59" s="99">
        <f>$D59-vlookup(Summary!$C59,Summary!$C$2:$Q$103,3+counta($F$1:Q$1),false)</f>
        <v>0.4</v>
      </c>
    </row>
    <row r="60" ht="15.75" customHeight="1">
      <c r="A60" s="15">
        <f>Main!A60</f>
        <v>59</v>
      </c>
      <c r="B60" s="15" t="str">
        <f>Main!B60</f>
        <v>More than 30% of Australians will have been born overseas (currently 29.8%)</v>
      </c>
      <c r="C60" s="15" t="str">
        <f>Main!C60</f>
        <v>Society</v>
      </c>
      <c r="D60" s="15">
        <v>0.6</v>
      </c>
      <c r="F60" s="99">
        <f>$D60-vlookup(Summary!$C60,Summary!$C$2:$Q$103,3+counta($F$1:F$1),false)</f>
        <v>0.4</v>
      </c>
      <c r="G60" s="99">
        <f>$D60-vlookup(Summary!$C60,Summary!$C$2:$Q$103,3+counta($F$1:G$1),false)</f>
        <v>0</v>
      </c>
      <c r="H60" s="99">
        <f>$D60-vlookup(Summary!$C60,Summary!$C$2:$Q$103,3+counta($F$1:H$1),false)</f>
        <v>0.5</v>
      </c>
      <c r="I60" s="99">
        <f>$D60-vlookup(Summary!$C60,Summary!$C$2:$Q$103,3+counta($F$1:I$1),false)</f>
        <v>0</v>
      </c>
      <c r="J60" s="99">
        <f>$D60-vlookup(Summary!$C60,Summary!$C$2:$Q$103,3+counta($F$1:J$1),false)</f>
        <v>-0.3</v>
      </c>
      <c r="K60" s="99">
        <f>$D60-vlookup(Summary!$C60,Summary!$C$2:$Q$103,3+counta($F$1:K$1),false)</f>
        <v>-0.3</v>
      </c>
      <c r="L60" s="99">
        <f>$D60-vlookup(Summary!$C60,Summary!$C$2:$Q$103,3+counta($F$1:L$1),false)</f>
        <v>0.3</v>
      </c>
      <c r="M60" s="99">
        <f>$D60-vlookup(Summary!$C60,Summary!$C$2:$Q$103,3+counta($F$1:M$1),false)</f>
        <v>0.5</v>
      </c>
      <c r="N60" s="99">
        <f>$D60-vlookup(Summary!$C60,Summary!$C$2:$Q$103,3+counta($F$1:N$1),false)</f>
        <v>0.4</v>
      </c>
      <c r="O60" s="99">
        <f>$D60-vlookup(Summary!$C60,Summary!$C$2:$Q$103,3+counta($F$1:O$1),false)</f>
        <v>-0.05</v>
      </c>
      <c r="P60" s="99">
        <f>$D60-vlookup(Summary!$C60,Summary!$C$2:$Q$103,3+counta($F$1:P$1),false)</f>
        <v>0.5</v>
      </c>
      <c r="Q60" s="99">
        <f>$D60-vlookup(Summary!$C60,Summary!$C$2:$Q$103,3+counta($F$1:Q$1),false)</f>
        <v>0.05</v>
      </c>
    </row>
    <row r="61" ht="15.75" customHeight="1">
      <c r="A61" s="15">
        <f>Main!A61</f>
        <v>60</v>
      </c>
      <c r="B61" s="15" t="str">
        <f>Main!B61</f>
        <v>LGBTIQ+ will be the acronym in widespread usage throughout Australia, as determined by the definition from LGBTIQ+ Health Australia (the peak body org for health and research related to that community)</v>
      </c>
      <c r="C61" s="15" t="str">
        <f>Main!C61</f>
        <v>Society</v>
      </c>
      <c r="D61" s="15">
        <v>0.7</v>
      </c>
      <c r="F61" s="99">
        <f>$D61-vlookup(Summary!$C61,Summary!$C$2:$Q$103,3+counta($F$1:F$1),false)</f>
        <v>0.25</v>
      </c>
      <c r="G61" s="99">
        <f>$D61-vlookup(Summary!$C61,Summary!$C$2:$Q$103,3+counta($F$1:G$1),false)</f>
        <v>0</v>
      </c>
      <c r="H61" s="99">
        <f>$D61-vlookup(Summary!$C61,Summary!$C$2:$Q$103,3+counta($F$1:H$1),false)</f>
        <v>0.2</v>
      </c>
      <c r="I61" s="99">
        <f>$D61-vlookup(Summary!$C61,Summary!$C$2:$Q$103,3+counta($F$1:I$1),false)</f>
        <v>0</v>
      </c>
      <c r="J61" s="99">
        <f>$D61-vlookup(Summary!$C61,Summary!$C$2:$Q$103,3+counta($F$1:J$1),false)</f>
        <v>0</v>
      </c>
      <c r="K61" s="99">
        <f>$D61-vlookup(Summary!$C61,Summary!$C$2:$Q$103,3+counta($F$1:K$1),false)</f>
        <v>-0.05</v>
      </c>
      <c r="L61" s="99">
        <f>$D61-vlookup(Summary!$C61,Summary!$C$2:$Q$103,3+counta($F$1:L$1),false)</f>
        <v>-0.2</v>
      </c>
      <c r="M61" s="99">
        <f>$D61-vlookup(Summary!$C61,Summary!$C$2:$Q$103,3+counta($F$1:M$1),false)</f>
        <v>0.2</v>
      </c>
      <c r="N61" s="99">
        <f>$D61-vlookup(Summary!$C61,Summary!$C$2:$Q$103,3+counta($F$1:N$1),false)</f>
        <v>0.5</v>
      </c>
      <c r="O61" s="99">
        <f>$D61-vlookup(Summary!$C61,Summary!$C$2:$Q$103,3+counta($F$1:O$1),false)</f>
        <v>-0.299</v>
      </c>
      <c r="P61" s="99">
        <f>$D61-vlookup(Summary!$C61,Summary!$C$2:$Q$103,3+counta($F$1:P$1),false)</f>
        <v>0.2</v>
      </c>
      <c r="Q61" s="99">
        <f>$D61-vlookup(Summary!$C61,Summary!$C$2:$Q$103,3+counta($F$1:Q$1),false)</f>
        <v>0.4</v>
      </c>
    </row>
    <row r="62" ht="15.75" customHeight="1">
      <c r="A62" s="15">
        <f>Main!A62</f>
        <v>61</v>
      </c>
      <c r="B62" s="15" t="str">
        <f>Main!B62</f>
        <v>The meat industry in Australia and/or the US will succeed in controlling the use of ‘meat terms’ (meat, beef etc.) for non-animal protein products</v>
      </c>
      <c r="C62" s="15" t="str">
        <f>Main!C62</f>
        <v>Society</v>
      </c>
      <c r="D62" s="15">
        <v>0.6</v>
      </c>
      <c r="F62" s="99">
        <f>$D62-vlookup(Summary!$C62,Summary!$C$2:$Q$103,3+counta($F$1:F$1),false)</f>
        <v>0.25</v>
      </c>
      <c r="G62" s="99">
        <f>$D62-vlookup(Summary!$C62,Summary!$C$2:$Q$103,3+counta($F$1:G$1),false)</f>
        <v>0</v>
      </c>
      <c r="H62" s="99">
        <f>$D62-vlookup(Summary!$C62,Summary!$C$2:$Q$103,3+counta($F$1:H$1),false)</f>
        <v>0.4</v>
      </c>
      <c r="I62" s="99">
        <f>$D62-vlookup(Summary!$C62,Summary!$C$2:$Q$103,3+counta($F$1:I$1),false)</f>
        <v>0</v>
      </c>
      <c r="J62" s="99">
        <f>$D62-vlookup(Summary!$C62,Summary!$C$2:$Q$103,3+counta($F$1:J$1),false)</f>
        <v>-0.2</v>
      </c>
      <c r="K62" s="99">
        <f>$D62-vlookup(Summary!$C62,Summary!$C$2:$Q$103,3+counta($F$1:K$1),false)</f>
        <v>-0.14</v>
      </c>
      <c r="L62" s="99">
        <f>$D62-vlookup(Summary!$C62,Summary!$C$2:$Q$103,3+counta($F$1:L$1),false)</f>
        <v>0.5</v>
      </c>
      <c r="M62" s="99">
        <f>$D62-vlookup(Summary!$C62,Summary!$C$2:$Q$103,3+counta($F$1:M$1),false)</f>
        <v>0.4</v>
      </c>
      <c r="N62" s="99">
        <f>$D62-vlookup(Summary!$C62,Summary!$C$2:$Q$103,3+counta($F$1:N$1),false)</f>
        <v>0.5</v>
      </c>
      <c r="O62" s="99">
        <f>$D62-vlookup(Summary!$C62,Summary!$C$2:$Q$103,3+counta($F$1:O$1),false)</f>
        <v>-0.399</v>
      </c>
      <c r="P62" s="99">
        <f>$D62-vlookup(Summary!$C62,Summary!$C$2:$Q$103,3+counta($F$1:P$1),false)</f>
        <v>-0.2</v>
      </c>
      <c r="Q62" s="99">
        <f>$D62-vlookup(Summary!$C62,Summary!$C$2:$Q$103,3+counta($F$1:Q$1),false)</f>
        <v>0.1</v>
      </c>
    </row>
    <row r="63" ht="15.75" customHeight="1">
      <c r="A63" s="15">
        <f>Main!A63</f>
        <v>62</v>
      </c>
      <c r="B63" s="15" t="str">
        <f>Main!B63</f>
        <v>The median house price in Canberra will be over $1,200,000 (currently $1,015,833)</v>
      </c>
      <c r="C63" s="15" t="str">
        <f>Main!C63</f>
        <v>Society</v>
      </c>
      <c r="D63" s="15">
        <v>0.8</v>
      </c>
      <c r="F63" s="99">
        <f>$D63-vlookup(Summary!$C63,Summary!$C$2:$Q$103,3+counta($F$1:F$1),false)</f>
        <v>0.1</v>
      </c>
      <c r="G63" s="99">
        <f>$D63-vlookup(Summary!$C63,Summary!$C$2:$Q$103,3+counta($F$1:G$1),false)</f>
        <v>0.6</v>
      </c>
      <c r="H63" s="99">
        <f>$D63-vlookup(Summary!$C63,Summary!$C$2:$Q$103,3+counta($F$1:H$1),false)</f>
        <v>0.6</v>
      </c>
      <c r="I63" s="99">
        <f>$D63-vlookup(Summary!$C63,Summary!$C$2:$Q$103,3+counta($F$1:I$1),false)</f>
        <v>0</v>
      </c>
      <c r="J63" s="99">
        <f>$D63-vlookup(Summary!$C63,Summary!$C$2:$Q$103,3+counta($F$1:J$1),false)</f>
        <v>0</v>
      </c>
      <c r="K63" s="99">
        <f>$D63-vlookup(Summary!$C63,Summary!$C$2:$Q$103,3+counta($F$1:K$1),false)</f>
        <v>0</v>
      </c>
      <c r="L63" s="99">
        <f>$D63-vlookup(Summary!$C63,Summary!$C$2:$Q$103,3+counta($F$1:L$1),false)</f>
        <v>-0.19999</v>
      </c>
      <c r="M63" s="99">
        <f>$D63-vlookup(Summary!$C63,Summary!$C$2:$Q$103,3+counta($F$1:M$1),false)</f>
        <v>0.6</v>
      </c>
      <c r="N63" s="99">
        <f>$D63-vlookup(Summary!$C63,Summary!$C$2:$Q$103,3+counta($F$1:N$1),false)</f>
        <v>-0.1</v>
      </c>
      <c r="O63" s="99">
        <f>$D63-vlookup(Summary!$C63,Summary!$C$2:$Q$103,3+counta($F$1:O$1),false)</f>
        <v>0.65</v>
      </c>
      <c r="P63" s="99">
        <f>$D63-vlookup(Summary!$C63,Summary!$C$2:$Q$103,3+counta($F$1:P$1),false)</f>
        <v>0.2</v>
      </c>
      <c r="Q63" s="99">
        <f>$D63-vlookup(Summary!$C63,Summary!$C$2:$Q$103,3+counta($F$1:Q$1),false)</f>
        <v>0.35</v>
      </c>
    </row>
    <row r="64" ht="15.75" customHeight="1">
      <c r="A64" s="15">
        <f>Main!A64</f>
        <v>63</v>
      </c>
      <c r="B64" s="15" t="str">
        <f>Main!B64</f>
        <v>An artist or band on the Rock and Roll Hall of Fame has a performance using digital avatar (source https://en.wikipedia.org/wiki/List_of_Rock_and_Roll_Hall_of_Fame_inductees)</v>
      </c>
      <c r="C64" s="15" t="str">
        <f>Main!C64</f>
        <v>Society</v>
      </c>
      <c r="D64" s="15">
        <v>0.3</v>
      </c>
      <c r="F64" s="99">
        <f>$D64-vlookup(Summary!$C64,Summary!$C$2:$Q$103,3+counta($F$1:F$1),false)</f>
        <v>-0.1</v>
      </c>
      <c r="G64" s="99">
        <f>$D64-vlookup(Summary!$C64,Summary!$C$2:$Q$103,3+counta($F$1:G$1),false)</f>
        <v>-0.3</v>
      </c>
      <c r="H64" s="99">
        <f>$D64-vlookup(Summary!$C64,Summary!$C$2:$Q$103,3+counta($F$1:H$1),false)</f>
        <v>-0.4</v>
      </c>
      <c r="I64" s="99">
        <f>$D64-vlookup(Summary!$C64,Summary!$C$2:$Q$103,3+counta($F$1:I$1),false)</f>
        <v>0</v>
      </c>
      <c r="J64" s="99">
        <f>$D64-vlookup(Summary!$C64,Summary!$C$2:$Q$103,3+counta($F$1:J$1),false)</f>
        <v>-0.2</v>
      </c>
      <c r="K64" s="99">
        <f>$D64-vlookup(Summary!$C64,Summary!$C$2:$Q$103,3+counta($F$1:K$1),false)</f>
        <v>-0.3</v>
      </c>
      <c r="L64" s="99">
        <f>$D64-vlookup(Summary!$C64,Summary!$C$2:$Q$103,3+counta($F$1:L$1),false)</f>
        <v>-0.3</v>
      </c>
      <c r="M64" s="99">
        <f>$D64-vlookup(Summary!$C64,Summary!$C$2:$Q$103,3+counta($F$1:M$1),false)</f>
        <v>-0.4</v>
      </c>
      <c r="N64" s="99">
        <f>$D64-vlookup(Summary!$C64,Summary!$C$2:$Q$103,3+counta($F$1:N$1),false)</f>
        <v>0.1</v>
      </c>
      <c r="O64" s="99">
        <f>$D64-vlookup(Summary!$C64,Summary!$C$2:$Q$103,3+counta($F$1:O$1),false)</f>
        <v>0.15</v>
      </c>
      <c r="P64" s="99">
        <f>$D64-vlookup(Summary!$C64,Summary!$C$2:$Q$103,3+counta($F$1:P$1),false)</f>
        <v>0.2</v>
      </c>
      <c r="Q64" s="99">
        <f>$D64-vlookup(Summary!$C64,Summary!$C$2:$Q$103,3+counta($F$1:Q$1),false)</f>
        <v>-0.2</v>
      </c>
    </row>
    <row r="65" ht="15.75" customHeight="1">
      <c r="A65" s="15">
        <f>Main!A65</f>
        <v>64</v>
      </c>
      <c r="B65" s="15" t="str">
        <f>Main!B65</f>
        <v>No Australian tennis player will win a senior Championship event at the Australian Open in 2022</v>
      </c>
      <c r="C65" s="15" t="str">
        <f>Main!C65</f>
        <v>Sport</v>
      </c>
      <c r="D65" s="15">
        <v>0.0</v>
      </c>
      <c r="F65" s="99">
        <f>$D65-vlookup(Summary!$C65,Summary!$C$2:$Q$103,3+counta($F$1:F$1),false)</f>
        <v>0</v>
      </c>
      <c r="G65" s="99">
        <f>$D65-vlookup(Summary!$C65,Summary!$C$2:$Q$103,3+counta($F$1:G$1),false)</f>
        <v>0</v>
      </c>
      <c r="H65" s="99">
        <f>$D65-vlookup(Summary!$C65,Summary!$C$2:$Q$103,3+counta($F$1:H$1),false)</f>
        <v>0</v>
      </c>
      <c r="I65" s="99">
        <f>$D65-vlookup(Summary!$C65,Summary!$C$2:$Q$103,3+counta($F$1:I$1),false)</f>
        <v>0</v>
      </c>
      <c r="J65" s="99">
        <f>$D65-vlookup(Summary!$C65,Summary!$C$2:$Q$103,3+counta($F$1:J$1),false)</f>
        <v>-0.6</v>
      </c>
      <c r="K65" s="99">
        <f>$D65-vlookup(Summary!$C65,Summary!$C$2:$Q$103,3+counta($F$1:K$1),false)</f>
        <v>0</v>
      </c>
      <c r="L65" s="99">
        <f>$D65-vlookup(Summary!$C65,Summary!$C$2:$Q$103,3+counta($F$1:L$1),false)</f>
        <v>0</v>
      </c>
      <c r="M65" s="99">
        <f>$D65-vlookup(Summary!$C65,Summary!$C$2:$Q$103,3+counta($F$1:M$1),false)</f>
        <v>0</v>
      </c>
      <c r="N65" s="99">
        <f>$D65-vlookup(Summary!$C65,Summary!$C$2:$Q$103,3+counta($F$1:N$1),false)</f>
        <v>-0.1</v>
      </c>
      <c r="O65" s="99">
        <f>$D65-vlookup(Summary!$C65,Summary!$C$2:$Q$103,3+counta($F$1:O$1),false)</f>
        <v>0</v>
      </c>
      <c r="P65" s="99">
        <f>$D65-vlookup(Summary!$C65,Summary!$C$2:$Q$103,3+counta($F$1:P$1),false)</f>
        <v>-0.5</v>
      </c>
      <c r="Q65" s="99">
        <f>$D65-vlookup(Summary!$C65,Summary!$C$2:$Q$103,3+counta($F$1:Q$1),false)</f>
        <v>-0.2</v>
      </c>
    </row>
    <row r="66" ht="15.75" customHeight="1">
      <c r="A66" s="15">
        <f>Main!A66</f>
        <v>65</v>
      </c>
      <c r="B66" s="15" t="str">
        <f>Main!B66</f>
        <v>Daniel Ricciardo will win the Australian GP in 2022.</v>
      </c>
      <c r="C66" s="15" t="str">
        <f>Main!C66</f>
        <v>Sport</v>
      </c>
      <c r="D66" s="15">
        <v>0.5</v>
      </c>
      <c r="F66" s="99">
        <f>$D66-vlookup(Summary!$C66,Summary!$C$2:$Q$103,3+counta($F$1:F$1),false)</f>
        <v>0</v>
      </c>
      <c r="G66" s="99">
        <f>$D66-vlookup(Summary!$C66,Summary!$C$2:$Q$103,3+counta($F$1:G$1),false)</f>
        <v>0.4</v>
      </c>
      <c r="H66" s="99">
        <f>$D66-vlookup(Summary!$C66,Summary!$C$2:$Q$103,3+counta($F$1:H$1),false)</f>
        <v>0</v>
      </c>
      <c r="I66" s="99">
        <f>$D66-vlookup(Summary!$C66,Summary!$C$2:$Q$103,3+counta($F$1:I$1),false)</f>
        <v>0</v>
      </c>
      <c r="J66" s="99">
        <f>$D66-vlookup(Summary!$C66,Summary!$C$2:$Q$103,3+counta($F$1:J$1),false)</f>
        <v>0.2</v>
      </c>
      <c r="K66" s="99">
        <f>$D66-vlookup(Summary!$C66,Summary!$C$2:$Q$103,3+counta($F$1:K$1),false)</f>
        <v>-0.1</v>
      </c>
      <c r="L66" s="99">
        <f>$D66-vlookup(Summary!$C66,Summary!$C$2:$Q$103,3+counta($F$1:L$1),false)</f>
        <v>0.3</v>
      </c>
      <c r="M66" s="99">
        <f>$D66-vlookup(Summary!$C66,Summary!$C$2:$Q$103,3+counta($F$1:M$1),false)</f>
        <v>0</v>
      </c>
      <c r="N66" s="99">
        <f>$D66-vlookup(Summary!$C66,Summary!$C$2:$Q$103,3+counta($F$1:N$1),false)</f>
        <v>0.4</v>
      </c>
      <c r="O66" s="99">
        <f>$D66-vlookup(Summary!$C66,Summary!$C$2:$Q$103,3+counta($F$1:O$1),false)</f>
        <v>0</v>
      </c>
      <c r="P66" s="99">
        <f>$D66-vlookup(Summary!$C66,Summary!$C$2:$Q$103,3+counta($F$1:P$1),false)</f>
        <v>0.4</v>
      </c>
      <c r="Q66" s="99">
        <f>$D66-vlookup(Summary!$C66,Summary!$C$2:$Q$103,3+counta($F$1:Q$1),false)</f>
        <v>0.4</v>
      </c>
    </row>
    <row r="67" ht="15.75" customHeight="1">
      <c r="A67" s="15">
        <f>Main!A67</f>
        <v>66</v>
      </c>
      <c r="B67" s="15" t="str">
        <f>Main!B67</f>
        <v>Collingwood will make it into the top 8 at the end of the footy season</v>
      </c>
      <c r="C67" s="15" t="str">
        <f>Main!C67</f>
        <v>Sport</v>
      </c>
      <c r="D67" s="15">
        <v>0.5</v>
      </c>
      <c r="F67" s="99">
        <f>$D67-vlookup(Summary!$C67,Summary!$C$2:$Q$103,3+counta($F$1:F$1),false)</f>
        <v>0</v>
      </c>
      <c r="G67" s="99">
        <f>$D67-vlookup(Summary!$C67,Summary!$C$2:$Q$103,3+counta($F$1:G$1),false)</f>
        <v>0.4</v>
      </c>
      <c r="H67" s="99">
        <f>$D67-vlookup(Summary!$C67,Summary!$C$2:$Q$103,3+counta($F$1:H$1),false)</f>
        <v>0.05</v>
      </c>
      <c r="I67" s="99">
        <f>$D67-vlookup(Summary!$C67,Summary!$C$2:$Q$103,3+counta($F$1:I$1),false)</f>
        <v>0</v>
      </c>
      <c r="J67" s="99">
        <f>$D67-vlookup(Summary!$C67,Summary!$C$2:$Q$103,3+counta($F$1:J$1),false)</f>
        <v>-0.1</v>
      </c>
      <c r="K67" s="99">
        <f>$D67-vlookup(Summary!$C67,Summary!$C$2:$Q$103,3+counta($F$1:K$1),false)</f>
        <v>-0.1</v>
      </c>
      <c r="L67" s="99">
        <f>$D67-vlookup(Summary!$C67,Summary!$C$2:$Q$103,3+counta($F$1:L$1),false)</f>
        <v>0</v>
      </c>
      <c r="M67" s="99">
        <f>$D67-vlookup(Summary!$C67,Summary!$C$2:$Q$103,3+counta($F$1:M$1),false)</f>
        <v>0.05</v>
      </c>
      <c r="N67" s="99">
        <f>$D67-vlookup(Summary!$C67,Summary!$C$2:$Q$103,3+counta($F$1:N$1),false)</f>
        <v>-0.2</v>
      </c>
      <c r="O67" s="99">
        <f>$D67-vlookup(Summary!$C67,Summary!$C$2:$Q$103,3+counta($F$1:O$1),false)</f>
        <v>0</v>
      </c>
      <c r="P67" s="99">
        <f>$D67-vlookup(Summary!$C67,Summary!$C$2:$Q$103,3+counta($F$1:P$1),false)</f>
        <v>0.4</v>
      </c>
      <c r="Q67" s="99">
        <f>$D67-vlookup(Summary!$C67,Summary!$C$2:$Q$103,3+counta($F$1:Q$1),false)</f>
        <v>-0.1</v>
      </c>
    </row>
    <row r="68" ht="15.75" customHeight="1">
      <c r="A68" s="15">
        <f>Main!A68</f>
        <v>67</v>
      </c>
      <c r="B68" s="15" t="str">
        <f>Main!B68</f>
        <v>Italy will defeat Portugal in their qualifying match and reach the finals of the Football World Cup</v>
      </c>
      <c r="C68" s="15" t="str">
        <f>Main!C68</f>
        <v>Sport</v>
      </c>
      <c r="D68" s="15">
        <v>0.5</v>
      </c>
      <c r="F68" s="99">
        <f>$D68-vlookup(Summary!$C68,Summary!$C$2:$Q$103,3+counta($F$1:F$1),false)</f>
        <v>0</v>
      </c>
      <c r="G68" s="99">
        <f>$D68-vlookup(Summary!$C68,Summary!$C$2:$Q$103,3+counta($F$1:G$1),false)</f>
        <v>-0.1</v>
      </c>
      <c r="H68" s="99">
        <f>$D68-vlookup(Summary!$C68,Summary!$C$2:$Q$103,3+counta($F$1:H$1),false)</f>
        <v>-0.2</v>
      </c>
      <c r="I68" s="99">
        <f>$D68-vlookup(Summary!$C68,Summary!$C$2:$Q$103,3+counta($F$1:I$1),false)</f>
        <v>0</v>
      </c>
      <c r="J68" s="99">
        <f>$D68-vlookup(Summary!$C68,Summary!$C$2:$Q$103,3+counta($F$1:J$1),false)</f>
        <v>0</v>
      </c>
      <c r="K68" s="99">
        <f>$D68-vlookup(Summary!$C68,Summary!$C$2:$Q$103,3+counta($F$1:K$1),false)</f>
        <v>-0.35</v>
      </c>
      <c r="L68" s="99">
        <f>$D68-vlookup(Summary!$C68,Summary!$C$2:$Q$103,3+counta($F$1:L$1),false)</f>
        <v>0.45</v>
      </c>
      <c r="M68" s="99">
        <f>$D68-vlookup(Summary!$C68,Summary!$C$2:$Q$103,3+counta($F$1:M$1),false)</f>
        <v>-0.2</v>
      </c>
      <c r="N68" s="99">
        <f>$D68-vlookup(Summary!$C68,Summary!$C$2:$Q$103,3+counta($F$1:N$1),false)</f>
        <v>0</v>
      </c>
      <c r="O68" s="99">
        <f>$D68-vlookup(Summary!$C68,Summary!$C$2:$Q$103,3+counta($F$1:O$1),false)</f>
        <v>0</v>
      </c>
      <c r="P68" s="99">
        <f>$D68-vlookup(Summary!$C68,Summary!$C$2:$Q$103,3+counta($F$1:P$1),false)</f>
        <v>-0.4</v>
      </c>
      <c r="Q68" s="99">
        <f>$D68-vlookup(Summary!$C68,Summary!$C$2:$Q$103,3+counta($F$1:Q$1),false)</f>
        <v>-0.3</v>
      </c>
    </row>
    <row r="69" ht="15.75" customHeight="1">
      <c r="A69" s="15">
        <f>Main!A69</f>
        <v>68</v>
      </c>
      <c r="B69" s="15" t="str">
        <f>Main!B69</f>
        <v>Ash Barty will be world number 1 in the WRA rankings after the US Open</v>
      </c>
      <c r="C69" s="15" t="str">
        <f>Main!C69</f>
        <v>Sport</v>
      </c>
      <c r="D69" s="15">
        <v>0.8</v>
      </c>
      <c r="F69" s="99">
        <f>$D69-vlookup(Summary!$C69,Summary!$C$2:$Q$103,3+counta($F$1:F$1),false)</f>
        <v>0</v>
      </c>
      <c r="G69" s="99">
        <f>$D69-vlookup(Summary!$C69,Summary!$C$2:$Q$103,3+counta($F$1:G$1),false)</f>
        <v>-0.1</v>
      </c>
      <c r="H69" s="99">
        <f>$D69-vlookup(Summary!$C69,Summary!$C$2:$Q$103,3+counta($F$1:H$1),false)</f>
        <v>0</v>
      </c>
      <c r="I69" s="99">
        <f>$D69-vlookup(Summary!$C69,Summary!$C$2:$Q$103,3+counta($F$1:I$1),false)</f>
        <v>0</v>
      </c>
      <c r="J69" s="99">
        <f>$D69-vlookup(Summary!$C69,Summary!$C$2:$Q$103,3+counta($F$1:J$1),false)</f>
        <v>0</v>
      </c>
      <c r="K69" s="99">
        <f>$D69-vlookup(Summary!$C69,Summary!$C$2:$Q$103,3+counta($F$1:K$1),false)</f>
        <v>-0.18</v>
      </c>
      <c r="L69" s="99">
        <f>$D69-vlookup(Summary!$C69,Summary!$C$2:$Q$103,3+counta($F$1:L$1),false)</f>
        <v>-0.199</v>
      </c>
      <c r="M69" s="99">
        <f>$D69-vlookup(Summary!$C69,Summary!$C$2:$Q$103,3+counta($F$1:M$1),false)</f>
        <v>0</v>
      </c>
      <c r="N69" s="99">
        <f>$D69-vlookup(Summary!$C69,Summary!$C$2:$Q$103,3+counta($F$1:N$1),false)</f>
        <v>-0.1</v>
      </c>
      <c r="O69" s="99">
        <f>$D69-vlookup(Summary!$C69,Summary!$C$2:$Q$103,3+counta($F$1:O$1),false)</f>
        <v>0.3</v>
      </c>
      <c r="P69" s="99">
        <f>$D69-vlookup(Summary!$C69,Summary!$C$2:$Q$103,3+counta($F$1:P$1),false)</f>
        <v>-0.1</v>
      </c>
      <c r="Q69" s="99">
        <f>$D69-vlookup(Summary!$C69,Summary!$C$2:$Q$103,3+counta($F$1:Q$1),false)</f>
        <v>0.25</v>
      </c>
    </row>
    <row r="70" ht="15.75" customHeight="1">
      <c r="A70" s="15">
        <f>Main!A70</f>
        <v>69</v>
      </c>
      <c r="B70" s="15" t="str">
        <f>Main!B70</f>
        <v>Neither Roger Federer nor Serena Williams will win a Grand Slam tennis tournament</v>
      </c>
      <c r="C70" s="15" t="str">
        <f>Main!C70</f>
        <v>Sport</v>
      </c>
      <c r="D70" s="15">
        <v>0.4</v>
      </c>
      <c r="F70" s="99">
        <f>$D70-vlookup(Summary!$C70,Summary!$C$2:$Q$103,3+counta($F$1:F$1),false)</f>
        <v>-0.25</v>
      </c>
      <c r="G70" s="99">
        <f>$D70-vlookup(Summary!$C70,Summary!$C$2:$Q$103,3+counta($F$1:G$1),false)</f>
        <v>-0.4</v>
      </c>
      <c r="H70" s="99">
        <f>$D70-vlookup(Summary!$C70,Summary!$C$2:$Q$103,3+counta($F$1:H$1),false)</f>
        <v>-0.55</v>
      </c>
      <c r="I70" s="99">
        <f>$D70-vlookup(Summary!$C70,Summary!$C$2:$Q$103,3+counta($F$1:I$1),false)</f>
        <v>0</v>
      </c>
      <c r="J70" s="99">
        <f>$D70-vlookup(Summary!$C70,Summary!$C$2:$Q$103,3+counta($F$1:J$1),false)</f>
        <v>-0.4</v>
      </c>
      <c r="K70" s="99">
        <f>$D70-vlookup(Summary!$C70,Summary!$C$2:$Q$103,3+counta($F$1:K$1),false)</f>
        <v>-0.5</v>
      </c>
      <c r="L70" s="99">
        <f>$D70-vlookup(Summary!$C70,Summary!$C$2:$Q$103,3+counta($F$1:L$1),false)</f>
        <v>-0.599</v>
      </c>
      <c r="M70" s="99">
        <f>$D70-vlookup(Summary!$C70,Summary!$C$2:$Q$103,3+counta($F$1:M$1),false)</f>
        <v>-0.55</v>
      </c>
      <c r="N70" s="99">
        <f>$D70-vlookup(Summary!$C70,Summary!$C$2:$Q$103,3+counta($F$1:N$1),false)</f>
        <v>-0.4</v>
      </c>
      <c r="O70" s="99">
        <f>$D70-vlookup(Summary!$C70,Summary!$C$2:$Q$103,3+counta($F$1:O$1),false)</f>
        <v>-0.45</v>
      </c>
      <c r="P70" s="99">
        <f>$D70-vlookup(Summary!$C70,Summary!$C$2:$Q$103,3+counta($F$1:P$1),false)</f>
        <v>0.3</v>
      </c>
      <c r="Q70" s="99">
        <f>$D70-vlookup(Summary!$C70,Summary!$C$2:$Q$103,3+counta($F$1:Q$1),false)</f>
        <v>-0.1</v>
      </c>
    </row>
    <row r="71" ht="15.75" customHeight="1">
      <c r="A71" s="15">
        <f>Main!A71</f>
        <v>70</v>
      </c>
      <c r="B71" s="15" t="str">
        <f>Main!B71</f>
        <v>The Football World Cup will not go ahead on the scheduled dates in Qatar</v>
      </c>
      <c r="C71" s="15" t="str">
        <f>Main!C71</f>
        <v>Sport</v>
      </c>
      <c r="D71" s="15">
        <v>0.5</v>
      </c>
      <c r="F71" s="99">
        <f>$D71-vlookup(Summary!$C71,Summary!$C$2:$Q$103,3+counta($F$1:F$1),false)</f>
        <v>0.1</v>
      </c>
      <c r="G71" s="99">
        <f>$D71-vlookup(Summary!$C71,Summary!$C$2:$Q$103,3+counta($F$1:G$1),false)</f>
        <v>0.25</v>
      </c>
      <c r="H71" s="99">
        <f>$D71-vlookup(Summary!$C71,Summary!$C$2:$Q$103,3+counta($F$1:H$1),false)</f>
        <v>0.4</v>
      </c>
      <c r="I71" s="99">
        <f>$D71-vlookup(Summary!$C71,Summary!$C$2:$Q$103,3+counta($F$1:I$1),false)</f>
        <v>0</v>
      </c>
      <c r="J71" s="99">
        <f>$D71-vlookup(Summary!$C71,Summary!$C$2:$Q$103,3+counta($F$1:J$1),false)</f>
        <v>0</v>
      </c>
      <c r="K71" s="99">
        <f>$D71-vlookup(Summary!$C71,Summary!$C$2:$Q$103,3+counta($F$1:K$1),false)</f>
        <v>0.2</v>
      </c>
      <c r="L71" s="99">
        <f>$D71-vlookup(Summary!$C71,Summary!$C$2:$Q$103,3+counta($F$1:L$1),false)</f>
        <v>-0.05</v>
      </c>
      <c r="M71" s="99">
        <f>$D71-vlookup(Summary!$C71,Summary!$C$2:$Q$103,3+counta($F$1:M$1),false)</f>
        <v>0.4</v>
      </c>
      <c r="N71" s="99">
        <f>$D71-vlookup(Summary!$C71,Summary!$C$2:$Q$103,3+counta($F$1:N$1),false)</f>
        <v>0.4</v>
      </c>
      <c r="O71" s="99">
        <f>$D71-vlookup(Summary!$C71,Summary!$C$2:$Q$103,3+counta($F$1:O$1),false)</f>
        <v>-0.15</v>
      </c>
      <c r="P71" s="99">
        <f>$D71-vlookup(Summary!$C71,Summary!$C$2:$Q$103,3+counta($F$1:P$1),false)</f>
        <v>-0.4</v>
      </c>
      <c r="Q71" s="99">
        <f>$D71-vlookup(Summary!$C71,Summary!$C$2:$Q$103,3+counta($F$1:Q$1),false)</f>
        <v>0.3</v>
      </c>
    </row>
    <row r="72" ht="15.75" customHeight="1">
      <c r="A72" s="15">
        <f>Main!A72</f>
        <v>71</v>
      </c>
      <c r="B72" s="15" t="str">
        <f>Main!B72</f>
        <v>Lewis hamilton will win the 2022 world championship in Formula 1</v>
      </c>
      <c r="C72" s="15" t="str">
        <f>Main!C72</f>
        <v>Sport</v>
      </c>
      <c r="D72" s="15">
        <v>0.5</v>
      </c>
      <c r="F72" s="99">
        <f>$D72-vlookup(Summary!$C72,Summary!$C$2:$Q$103,3+counta($F$1:F$1),false)</f>
        <v>-0.1</v>
      </c>
      <c r="G72" s="99">
        <f>$D72-vlookup(Summary!$C72,Summary!$C$2:$Q$103,3+counta($F$1:G$1),false)</f>
        <v>0.3</v>
      </c>
      <c r="H72" s="99">
        <f>$D72-vlookup(Summary!$C72,Summary!$C$2:$Q$103,3+counta($F$1:H$1),false)</f>
        <v>-0.1</v>
      </c>
      <c r="I72" s="99">
        <f>$D72-vlookup(Summary!$C72,Summary!$C$2:$Q$103,3+counta($F$1:I$1),false)</f>
        <v>0</v>
      </c>
      <c r="J72" s="99">
        <f>$D72-vlookup(Summary!$C72,Summary!$C$2:$Q$103,3+counta($F$1:J$1),false)</f>
        <v>-0.3</v>
      </c>
      <c r="K72" s="99">
        <f>$D72-vlookup(Summary!$C72,Summary!$C$2:$Q$103,3+counta($F$1:K$1),false)</f>
        <v>-0.3</v>
      </c>
      <c r="L72" s="99">
        <f>$D72-vlookup(Summary!$C72,Summary!$C$2:$Q$103,3+counta($F$1:L$1),false)</f>
        <v>-0.1</v>
      </c>
      <c r="M72" s="99">
        <f>$D72-vlookup(Summary!$C72,Summary!$C$2:$Q$103,3+counta($F$1:M$1),false)</f>
        <v>-0.1</v>
      </c>
      <c r="N72" s="99">
        <f>$D72-vlookup(Summary!$C72,Summary!$C$2:$Q$103,3+counta($F$1:N$1),false)</f>
        <v>-0.3</v>
      </c>
      <c r="O72" s="99">
        <f>$D72-vlookup(Summary!$C72,Summary!$C$2:$Q$103,3+counta($F$1:O$1),false)</f>
        <v>0.15</v>
      </c>
      <c r="P72" s="99">
        <f>$D72-vlookup(Summary!$C72,Summary!$C$2:$Q$103,3+counta($F$1:P$1),false)</f>
        <v>-0.4</v>
      </c>
      <c r="Q72" s="99">
        <f>$D72-vlookup(Summary!$C72,Summary!$C$2:$Q$103,3+counta($F$1:Q$1),false)</f>
        <v>-0.15</v>
      </c>
    </row>
    <row r="73" ht="15.75" customHeight="1">
      <c r="A73" s="15">
        <f>Main!A73</f>
        <v>72</v>
      </c>
      <c r="B73" s="15" t="str">
        <f>Main!B73</f>
        <v>The Haas F1 team will score 0 points in the 2022 season</v>
      </c>
      <c r="C73" s="15" t="str">
        <f>Main!C73</f>
        <v>Sport</v>
      </c>
      <c r="D73" s="15">
        <v>0.5</v>
      </c>
      <c r="F73" s="99">
        <f>$D73-vlookup(Summary!$C73,Summary!$C$2:$Q$103,3+counta($F$1:F$1),false)</f>
        <v>0</v>
      </c>
      <c r="G73" s="99">
        <f>$D73-vlookup(Summary!$C73,Summary!$C$2:$Q$103,3+counta($F$1:G$1),false)</f>
        <v>-0.2</v>
      </c>
      <c r="H73" s="99">
        <f>$D73-vlookup(Summary!$C73,Summary!$C$2:$Q$103,3+counta($F$1:H$1),false)</f>
        <v>0</v>
      </c>
      <c r="I73" s="99">
        <f>$D73-vlookup(Summary!$C73,Summary!$C$2:$Q$103,3+counta($F$1:I$1),false)</f>
        <v>0</v>
      </c>
      <c r="J73" s="99">
        <f>$D73-vlookup(Summary!$C73,Summary!$C$2:$Q$103,3+counta($F$1:J$1),false)</f>
        <v>0.2</v>
      </c>
      <c r="K73" s="99">
        <f>$D73-vlookup(Summary!$C73,Summary!$C$2:$Q$103,3+counta($F$1:K$1),false)</f>
        <v>0</v>
      </c>
      <c r="L73" s="99">
        <f>$D73-vlookup(Summary!$C73,Summary!$C$2:$Q$103,3+counta($F$1:L$1),false)</f>
        <v>0</v>
      </c>
      <c r="M73" s="99">
        <f>$D73-vlookup(Summary!$C73,Summary!$C$2:$Q$103,3+counta($F$1:M$1),false)</f>
        <v>0</v>
      </c>
      <c r="N73" s="99">
        <f>$D73-vlookup(Summary!$C73,Summary!$C$2:$Q$103,3+counta($F$1:N$1),false)</f>
        <v>0</v>
      </c>
      <c r="O73" s="99">
        <f>$D73-vlookup(Summary!$C73,Summary!$C$2:$Q$103,3+counta($F$1:O$1),false)</f>
        <v>-0.15</v>
      </c>
      <c r="P73" s="99">
        <f>$D73-vlookup(Summary!$C73,Summary!$C$2:$Q$103,3+counta($F$1:P$1),false)</f>
        <v>0.4</v>
      </c>
      <c r="Q73" s="99">
        <f>$D73-vlookup(Summary!$C73,Summary!$C$2:$Q$103,3+counta($F$1:Q$1),false)</f>
        <v>-0.1</v>
      </c>
    </row>
    <row r="74" ht="15.75" customHeight="1">
      <c r="A74" s="15">
        <f>Main!A74</f>
        <v>73</v>
      </c>
      <c r="B74" s="15" t="str">
        <f>Main!B74</f>
        <v>ULA's vulcan centaur will launch succesfully (places a payload into orbit)</v>
      </c>
      <c r="C74" s="15" t="str">
        <f>Main!C74</f>
        <v>Technology</v>
      </c>
      <c r="D74" s="15">
        <v>0.6</v>
      </c>
      <c r="F74" s="99">
        <f>$D74-vlookup(Summary!$C74,Summary!$C$2:$Q$103,3+counta($F$1:F$1),false)</f>
        <v>0</v>
      </c>
      <c r="G74" s="99">
        <f>$D74-vlookup(Summary!$C74,Summary!$C$2:$Q$103,3+counta($F$1:G$1),false)</f>
        <v>-0.1</v>
      </c>
      <c r="H74" s="99">
        <f>$D74-vlookup(Summary!$C74,Summary!$C$2:$Q$103,3+counta($F$1:H$1),false)</f>
        <v>-0.1</v>
      </c>
      <c r="I74" s="99">
        <f>$D74-vlookup(Summary!$C74,Summary!$C$2:$Q$103,3+counta($F$1:I$1),false)</f>
        <v>0</v>
      </c>
      <c r="J74" s="99">
        <f>$D74-vlookup(Summary!$C74,Summary!$C$2:$Q$103,3+counta($F$1:J$1),false)</f>
        <v>0</v>
      </c>
      <c r="K74" s="99">
        <f>$D74-vlookup(Summary!$C74,Summary!$C$2:$Q$103,3+counta($F$1:K$1),false)</f>
        <v>0</v>
      </c>
      <c r="L74" s="99">
        <f>$D74-vlookup(Summary!$C74,Summary!$C$2:$Q$103,3+counta($F$1:L$1),false)</f>
        <v>0.4</v>
      </c>
      <c r="M74" s="99">
        <f>$D74-vlookup(Summary!$C74,Summary!$C$2:$Q$103,3+counta($F$1:M$1),false)</f>
        <v>-0.1</v>
      </c>
      <c r="N74" s="99">
        <f>$D74-vlookup(Summary!$C74,Summary!$C$2:$Q$103,3+counta($F$1:N$1),false)</f>
        <v>0.2</v>
      </c>
      <c r="O74" s="99">
        <f>$D74-vlookup(Summary!$C74,Summary!$C$2:$Q$103,3+counta($F$1:O$1),false)</f>
        <v>-0.25</v>
      </c>
      <c r="P74" s="99">
        <f>$D74-vlookup(Summary!$C74,Summary!$C$2:$Q$103,3+counta($F$1:P$1),false)</f>
        <v>0.1</v>
      </c>
      <c r="Q74" s="99">
        <f>$D74-vlookup(Summary!$C74,Summary!$C$2:$Q$103,3+counta($F$1:Q$1),false)</f>
        <v>0.1</v>
      </c>
    </row>
    <row r="75" ht="15.75" customHeight="1">
      <c r="A75" s="15">
        <f>Main!A75</f>
        <v>74</v>
      </c>
      <c r="B75" s="15" t="str">
        <f>Main!B75</f>
        <v>NASA will declare its Artemis 1 mission a success</v>
      </c>
      <c r="C75" s="15" t="str">
        <f>Main!C75</f>
        <v>Technology</v>
      </c>
      <c r="D75" s="15">
        <v>0.7</v>
      </c>
      <c r="F75" s="99">
        <f>$D75-vlookup(Summary!$C75,Summary!$C$2:$Q$103,3+counta($F$1:F$1),false)</f>
        <v>0</v>
      </c>
      <c r="G75" s="99">
        <f>$D75-vlookup(Summary!$C75,Summary!$C$2:$Q$103,3+counta($F$1:G$1),false)</f>
        <v>-0.1</v>
      </c>
      <c r="H75" s="99">
        <f>$D75-vlookup(Summary!$C75,Summary!$C$2:$Q$103,3+counta($F$1:H$1),false)</f>
        <v>0</v>
      </c>
      <c r="I75" s="99">
        <f>$D75-vlookup(Summary!$C75,Summary!$C$2:$Q$103,3+counta($F$1:I$1),false)</f>
        <v>0</v>
      </c>
      <c r="J75" s="99">
        <f>$D75-vlookup(Summary!$C75,Summary!$C$2:$Q$103,3+counta($F$1:J$1),false)</f>
        <v>0</v>
      </c>
      <c r="K75" s="99">
        <f>$D75-vlookup(Summary!$C75,Summary!$C$2:$Q$103,3+counta($F$1:K$1),false)</f>
        <v>-0.1</v>
      </c>
      <c r="L75" s="99">
        <f>$D75-vlookup(Summary!$C75,Summary!$C$2:$Q$103,3+counta($F$1:L$1),false)</f>
        <v>0.1</v>
      </c>
      <c r="M75" s="99">
        <f>$D75-vlookup(Summary!$C75,Summary!$C$2:$Q$103,3+counta($F$1:M$1),false)</f>
        <v>0</v>
      </c>
      <c r="N75" s="99">
        <f>$D75-vlookup(Summary!$C75,Summary!$C$2:$Q$103,3+counta($F$1:N$1),false)</f>
        <v>0.2</v>
      </c>
      <c r="O75" s="99">
        <f>$D75-vlookup(Summary!$C75,Summary!$C$2:$Q$103,3+counta($F$1:O$1),false)</f>
        <v>0.05</v>
      </c>
      <c r="P75" s="99">
        <f>$D75-vlookup(Summary!$C75,Summary!$C$2:$Q$103,3+counta($F$1:P$1),false)</f>
        <v>0.2</v>
      </c>
      <c r="Q75" s="99">
        <f>$D75-vlookup(Summary!$C75,Summary!$C$2:$Q$103,3+counta($F$1:Q$1),false)</f>
        <v>0</v>
      </c>
    </row>
    <row r="76" ht="15.75" customHeight="1">
      <c r="A76" s="15">
        <f>Main!A76</f>
        <v>75</v>
      </c>
      <c r="B76" s="15" t="str">
        <f>Main!B76</f>
        <v>Starship/Superheavy will place Starship into a (partial) orbital trajectory</v>
      </c>
      <c r="C76" s="15" t="str">
        <f>Main!C76</f>
        <v>Technology</v>
      </c>
      <c r="D76" s="15">
        <v>0.65</v>
      </c>
      <c r="F76" s="99">
        <f>$D76-vlookup(Summary!$C76,Summary!$C$2:$Q$103,3+counta($F$1:F$1),false)</f>
        <v>0</v>
      </c>
      <c r="G76" s="99">
        <f>$D76-vlookup(Summary!$C76,Summary!$C$2:$Q$103,3+counta($F$1:G$1),false)</f>
        <v>0.05</v>
      </c>
      <c r="H76" s="99">
        <f>$D76-vlookup(Summary!$C76,Summary!$C$2:$Q$103,3+counta($F$1:H$1),false)</f>
        <v>0.05</v>
      </c>
      <c r="I76" s="99">
        <f>$D76-vlookup(Summary!$C76,Summary!$C$2:$Q$103,3+counta($F$1:I$1),false)</f>
        <v>0</v>
      </c>
      <c r="J76" s="99">
        <f>$D76-vlookup(Summary!$C76,Summary!$C$2:$Q$103,3+counta($F$1:J$1),false)</f>
        <v>-0.05</v>
      </c>
      <c r="K76" s="99">
        <f>$D76-vlookup(Summary!$C76,Summary!$C$2:$Q$103,3+counta($F$1:K$1),false)</f>
        <v>0.15</v>
      </c>
      <c r="L76" s="99">
        <f>$D76-vlookup(Summary!$C76,Summary!$C$2:$Q$103,3+counta($F$1:L$1),false)</f>
        <v>0.15</v>
      </c>
      <c r="M76" s="99">
        <f>$D76-vlookup(Summary!$C76,Summary!$C$2:$Q$103,3+counta($F$1:M$1),false)</f>
        <v>0.05</v>
      </c>
      <c r="N76" s="99">
        <f>$D76-vlookup(Summary!$C76,Summary!$C$2:$Q$103,3+counta($F$1:N$1),false)</f>
        <v>0.15</v>
      </c>
      <c r="O76" s="99">
        <f>$D76-vlookup(Summary!$C76,Summary!$C$2:$Q$103,3+counta($F$1:O$1),false)</f>
        <v>-0.2</v>
      </c>
      <c r="P76" s="99">
        <f>$D76-vlookup(Summary!$C76,Summary!$C$2:$Q$103,3+counta($F$1:P$1),false)</f>
        <v>0.15</v>
      </c>
      <c r="Q76" s="99">
        <f>$D76-vlookup(Summary!$C76,Summary!$C$2:$Q$103,3+counta($F$1:Q$1),false)</f>
        <v>0.15</v>
      </c>
    </row>
    <row r="77" ht="15.75" customHeight="1">
      <c r="A77" s="15">
        <f>Main!A77</f>
        <v>76</v>
      </c>
      <c r="B77" s="15" t="str">
        <f>Main!B77</f>
        <v>James Webb telescope will deploy at L2 and 1 image from its Near-Infrared Camera (NIRCam) will be available on the internet for viewing by the public</v>
      </c>
      <c r="C77" s="15" t="str">
        <f>Main!C77</f>
        <v>Technology</v>
      </c>
      <c r="D77" s="15">
        <v>0.7</v>
      </c>
      <c r="F77" s="99">
        <f>$D77-vlookup(Summary!$C77,Summary!$C$2:$Q$103,3+counta($F$1:F$1),false)</f>
        <v>0</v>
      </c>
      <c r="G77" s="99">
        <f>$D77-vlookup(Summary!$C77,Summary!$C$2:$Q$103,3+counta($F$1:G$1),false)</f>
        <v>-0.1</v>
      </c>
      <c r="H77" s="99">
        <f>$D77-vlookup(Summary!$C77,Summary!$C$2:$Q$103,3+counta($F$1:H$1),false)</f>
        <v>-0.2</v>
      </c>
      <c r="I77" s="99">
        <f>$D77-vlookup(Summary!$C77,Summary!$C$2:$Q$103,3+counta($F$1:I$1),false)</f>
        <v>0</v>
      </c>
      <c r="J77" s="99">
        <f>$D77-vlookup(Summary!$C77,Summary!$C$2:$Q$103,3+counta($F$1:J$1),false)</f>
        <v>-0.1</v>
      </c>
      <c r="K77" s="99">
        <f>$D77-vlookup(Summary!$C77,Summary!$C$2:$Q$103,3+counta($F$1:K$1),false)</f>
        <v>0.05</v>
      </c>
      <c r="L77" s="99">
        <f>$D77-vlookup(Summary!$C77,Summary!$C$2:$Q$103,3+counta($F$1:L$1),false)</f>
        <v>0</v>
      </c>
      <c r="M77" s="99">
        <f>$D77-vlookup(Summary!$C77,Summary!$C$2:$Q$103,3+counta($F$1:M$1),false)</f>
        <v>-0.2</v>
      </c>
      <c r="N77" s="99">
        <f>$D77-vlookup(Summary!$C77,Summary!$C$2:$Q$103,3+counta($F$1:N$1),false)</f>
        <v>0.2</v>
      </c>
      <c r="O77" s="99">
        <f>$D77-vlookup(Summary!$C77,Summary!$C$2:$Q$103,3+counta($F$1:O$1),false)</f>
        <v>-0.299</v>
      </c>
      <c r="P77" s="99">
        <f>$D77-vlookup(Summary!$C77,Summary!$C$2:$Q$103,3+counta($F$1:P$1),false)</f>
        <v>-0.2</v>
      </c>
      <c r="Q77" s="99">
        <f>$D77-vlookup(Summary!$C77,Summary!$C$2:$Q$103,3+counta($F$1:Q$1),false)</f>
        <v>0.2</v>
      </c>
    </row>
    <row r="78" ht="15.75" customHeight="1">
      <c r="A78" s="15">
        <f>Main!A78</f>
        <v>77</v>
      </c>
      <c r="B78" s="15" t="str">
        <f>Main!B78</f>
        <v>Facebook connect 2022 (or its 'meta' equivalent) will be hosted in virtual reality / a ('the'?) metaverse</v>
      </c>
      <c r="C78" s="15" t="str">
        <f>Main!C78</f>
        <v>Technology</v>
      </c>
      <c r="D78" s="15">
        <v>0.1</v>
      </c>
      <c r="F78" s="99">
        <f>$D78-vlookup(Summary!$C78,Summary!$C$2:$Q$103,3+counta($F$1:F$1),false)</f>
        <v>-0.2</v>
      </c>
      <c r="G78" s="99">
        <f>$D78-vlookup(Summary!$C78,Summary!$C$2:$Q$103,3+counta($F$1:G$1),false)</f>
        <v>-0.5</v>
      </c>
      <c r="H78" s="99">
        <f>$D78-vlookup(Summary!$C78,Summary!$C$2:$Q$103,3+counta($F$1:H$1),false)</f>
        <v>-0.8</v>
      </c>
      <c r="I78" s="99">
        <f>$D78-vlookup(Summary!$C78,Summary!$C$2:$Q$103,3+counta($F$1:I$1),false)</f>
        <v>0</v>
      </c>
      <c r="J78" s="99">
        <f>$D78-vlookup(Summary!$C78,Summary!$C$2:$Q$103,3+counta($F$1:J$1),false)</f>
        <v>-0.8</v>
      </c>
      <c r="K78" s="99">
        <f>$D78-vlookup(Summary!$C78,Summary!$C$2:$Q$103,3+counta($F$1:K$1),false)</f>
        <v>-0.4</v>
      </c>
      <c r="L78" s="99">
        <f>$D78-vlookup(Summary!$C78,Summary!$C$2:$Q$103,3+counta($F$1:L$1),false)</f>
        <v>-0.4</v>
      </c>
      <c r="M78" s="99">
        <f>$D78-vlookup(Summary!$C78,Summary!$C$2:$Q$103,3+counta($F$1:M$1),false)</f>
        <v>-0.8</v>
      </c>
      <c r="N78" s="99">
        <f>$D78-vlookup(Summary!$C78,Summary!$C$2:$Q$103,3+counta($F$1:N$1),false)</f>
        <v>-0.1</v>
      </c>
      <c r="O78" s="99">
        <f>$D78-vlookup(Summary!$C78,Summary!$C$2:$Q$103,3+counta($F$1:O$1),false)</f>
        <v>-0.25</v>
      </c>
      <c r="P78" s="99">
        <f>$D78-vlookup(Summary!$C78,Summary!$C$2:$Q$103,3+counta($F$1:P$1),false)</f>
        <v>-0.4</v>
      </c>
      <c r="Q78" s="99">
        <f>$D78-vlookup(Summary!$C78,Summary!$C$2:$Q$103,3+counta($F$1:Q$1),false)</f>
        <v>-0.6</v>
      </c>
    </row>
    <row r="79" ht="15.75" customHeight="1">
      <c r="A79" s="15">
        <f>Main!A79</f>
        <v>78</v>
      </c>
      <c r="B79" s="15" t="str">
        <f>Main!B79</f>
        <v>Apple will announce mixed reality glasses</v>
      </c>
      <c r="C79" s="15" t="str">
        <f>Main!C79</f>
        <v>Technology</v>
      </c>
      <c r="D79" s="15">
        <v>0.1</v>
      </c>
      <c r="F79" s="99">
        <f>$D79-vlookup(Summary!$C79,Summary!$C$2:$Q$103,3+counta($F$1:F$1),false)</f>
        <v>-0.15</v>
      </c>
      <c r="G79" s="99">
        <f>$D79-vlookup(Summary!$C79,Summary!$C$2:$Q$103,3+counta($F$1:G$1),false)</f>
        <v>-0.3</v>
      </c>
      <c r="H79" s="99">
        <f>$D79-vlookup(Summary!$C79,Summary!$C$2:$Q$103,3+counta($F$1:H$1),false)</f>
        <v>-0.1</v>
      </c>
      <c r="I79" s="99">
        <f>$D79-vlookup(Summary!$C79,Summary!$C$2:$Q$103,3+counta($F$1:I$1),false)</f>
        <v>0</v>
      </c>
      <c r="J79" s="99">
        <f>$D79-vlookup(Summary!$C79,Summary!$C$2:$Q$103,3+counta($F$1:J$1),false)</f>
        <v>-0.8</v>
      </c>
      <c r="K79" s="99">
        <f>$D79-vlookup(Summary!$C79,Summary!$C$2:$Q$103,3+counta($F$1:K$1),false)</f>
        <v>-0.575</v>
      </c>
      <c r="L79" s="99">
        <f>$D79-vlookup(Summary!$C79,Summary!$C$2:$Q$103,3+counta($F$1:L$1),false)</f>
        <v>-0.35</v>
      </c>
      <c r="M79" s="99">
        <f>$D79-vlookup(Summary!$C79,Summary!$C$2:$Q$103,3+counta($F$1:M$1),false)</f>
        <v>-0.1</v>
      </c>
      <c r="N79" s="99">
        <f>$D79-vlookup(Summary!$C79,Summary!$C$2:$Q$103,3+counta($F$1:N$1),false)</f>
        <v>-0.6</v>
      </c>
      <c r="O79" s="99">
        <f>$D79-vlookup(Summary!$C79,Summary!$C$2:$Q$103,3+counta($F$1:O$1),false)</f>
        <v>-0.25</v>
      </c>
      <c r="P79" s="99">
        <f>$D79-vlookup(Summary!$C79,Summary!$C$2:$Q$103,3+counta($F$1:P$1),false)</f>
        <v>0</v>
      </c>
      <c r="Q79" s="99">
        <f>$D79-vlookup(Summary!$C79,Summary!$C$2:$Q$103,3+counta($F$1:Q$1),false)</f>
        <v>-0.7</v>
      </c>
    </row>
    <row r="80" ht="15.75" customHeight="1">
      <c r="A80" s="15">
        <f>Main!A80</f>
        <v>79</v>
      </c>
      <c r="B80" s="15" t="str">
        <f>Main!B80</f>
        <v> In-app purchases of Kindle books will be possible in the Kindle iphone app</v>
      </c>
      <c r="C80" s="15" t="str">
        <f>Main!C80</f>
        <v>Technology</v>
      </c>
      <c r="D80" s="15">
        <v>0.5</v>
      </c>
      <c r="F80" s="99">
        <f>$D80-vlookup(Summary!$C80,Summary!$C$2:$Q$103,3+counta($F$1:F$1),false)</f>
        <v>0</v>
      </c>
      <c r="G80" s="99">
        <f>$D80-vlookup(Summary!$C80,Summary!$C$2:$Q$103,3+counta($F$1:G$1),false)</f>
        <v>-0.05</v>
      </c>
      <c r="H80" s="99">
        <f>$D80-vlookup(Summary!$C80,Summary!$C$2:$Q$103,3+counta($F$1:H$1),false)</f>
        <v>0.3</v>
      </c>
      <c r="I80" s="99">
        <f>$D80-vlookup(Summary!$C80,Summary!$C$2:$Q$103,3+counta($F$1:I$1),false)</f>
        <v>0</v>
      </c>
      <c r="J80" s="99">
        <f>$D80-vlookup(Summary!$C80,Summary!$C$2:$Q$103,3+counta($F$1:J$1),false)</f>
        <v>-0.4</v>
      </c>
      <c r="K80" s="99">
        <f>$D80-vlookup(Summary!$C80,Summary!$C$2:$Q$103,3+counta($F$1:K$1),false)</f>
        <v>-0.35</v>
      </c>
      <c r="L80" s="99">
        <f>$D80-vlookup(Summary!$C80,Summary!$C$2:$Q$103,3+counta($F$1:L$1),false)</f>
        <v>0.3</v>
      </c>
      <c r="M80" s="99">
        <f>$D80-vlookup(Summary!$C80,Summary!$C$2:$Q$103,3+counta($F$1:M$1),false)</f>
        <v>0.3</v>
      </c>
      <c r="N80" s="99">
        <f>$D80-vlookup(Summary!$C80,Summary!$C$2:$Q$103,3+counta($F$1:N$1),false)</f>
        <v>-0.3</v>
      </c>
      <c r="O80" s="99">
        <f>$D80-vlookup(Summary!$C80,Summary!$C$2:$Q$103,3+counta($F$1:O$1),false)</f>
        <v>0.35</v>
      </c>
      <c r="P80" s="99">
        <f>$D80-vlookup(Summary!$C80,Summary!$C$2:$Q$103,3+counta($F$1:P$1),false)</f>
        <v>0</v>
      </c>
      <c r="Q80" s="99">
        <f>$D80-vlookup(Summary!$C80,Summary!$C$2:$Q$103,3+counta($F$1:Q$1),false)</f>
        <v>0</v>
      </c>
    </row>
    <row r="81" ht="15.75" customHeight="1">
      <c r="A81" s="15">
        <f>Main!A81</f>
        <v>80</v>
      </c>
      <c r="B81" s="15" t="str">
        <f>Main!B81</f>
        <v>It will be possible for at least one of the prediction participants to have food delivered by drone to their place of residence as a mainstream service, without it being part of a specific trial.</v>
      </c>
      <c r="C81" s="15" t="str">
        <f>Main!C81</f>
        <v>Technology</v>
      </c>
      <c r="D81" s="15">
        <v>0.1</v>
      </c>
      <c r="F81" s="99">
        <f>$D81-vlookup(Summary!$C81,Summary!$C$2:$Q$103,3+counta($F$1:F$1),false)</f>
        <v>-0.1</v>
      </c>
      <c r="G81" s="99">
        <f>$D81-vlookup(Summary!$C81,Summary!$C$2:$Q$103,3+counta($F$1:G$1),false)</f>
        <v>-0.2</v>
      </c>
      <c r="H81" s="99">
        <f>$D81-vlookup(Summary!$C81,Summary!$C$2:$Q$103,3+counta($F$1:H$1),false)</f>
        <v>0</v>
      </c>
      <c r="I81" s="99">
        <f>$D81-vlookup(Summary!$C81,Summary!$C$2:$Q$103,3+counta($F$1:I$1),false)</f>
        <v>0</v>
      </c>
      <c r="J81" s="99">
        <f>$D81-vlookup(Summary!$C81,Summary!$C$2:$Q$103,3+counta($F$1:J$1),false)</f>
        <v>-0.3</v>
      </c>
      <c r="K81" s="99">
        <f>$D81-vlookup(Summary!$C81,Summary!$C$2:$Q$103,3+counta($F$1:K$1),false)</f>
        <v>-0.55</v>
      </c>
      <c r="L81" s="99">
        <f>$D81-vlookup(Summary!$C81,Summary!$C$2:$Q$103,3+counta($F$1:L$1),false)</f>
        <v>-0.4</v>
      </c>
      <c r="M81" s="99">
        <f>$D81-vlookup(Summary!$C81,Summary!$C$2:$Q$103,3+counta($F$1:M$1),false)</f>
        <v>0</v>
      </c>
      <c r="N81" s="99">
        <f>$D81-vlookup(Summary!$C81,Summary!$C$2:$Q$103,3+counta($F$1:N$1),false)</f>
        <v>-0.6</v>
      </c>
      <c r="O81" s="99">
        <f>$D81-vlookup(Summary!$C81,Summary!$C$2:$Q$103,3+counta($F$1:O$1),false)</f>
        <v>-0.55</v>
      </c>
      <c r="P81" s="99">
        <f>$D81-vlookup(Summary!$C81,Summary!$C$2:$Q$103,3+counta($F$1:P$1),false)</f>
        <v>-0.8</v>
      </c>
      <c r="Q81" s="99">
        <f>$D81-vlookup(Summary!$C81,Summary!$C$2:$Q$103,3+counta($F$1:Q$1),false)</f>
        <v>-0.55</v>
      </c>
    </row>
    <row r="82" ht="15.75" customHeight="1">
      <c r="A82" s="15">
        <f>Main!A82</f>
        <v>81</v>
      </c>
      <c r="B82" s="15" t="str">
        <f>Main!B82</f>
        <v>TMTG, the company that owns Trump’s “TRUTH Social” platform, will have a market cap of over $20 billion USD. (Twitter is around 35b)</v>
      </c>
      <c r="C82" s="15" t="str">
        <f>Main!C82</f>
        <v>Technology</v>
      </c>
      <c r="D82" s="15">
        <v>0.9</v>
      </c>
      <c r="F82" s="99">
        <f>$D82-vlookup(Summary!$C82,Summary!$C$2:$Q$103,3+counta($F$1:F$1),false)</f>
        <v>0</v>
      </c>
      <c r="G82" s="99">
        <f>$D82-vlookup(Summary!$C82,Summary!$C$2:$Q$103,3+counta($F$1:G$1),false)</f>
        <v>-0.09</v>
      </c>
      <c r="H82" s="99">
        <f>$D82-vlookup(Summary!$C82,Summary!$C$2:$Q$103,3+counta($F$1:H$1),false)</f>
        <v>0.7</v>
      </c>
      <c r="I82" s="99">
        <f>$D82-vlookup(Summary!$C82,Summary!$C$2:$Q$103,3+counta($F$1:I$1),false)</f>
        <v>0</v>
      </c>
      <c r="J82" s="99">
        <f>$D82-vlookup(Summary!$C82,Summary!$C$2:$Q$103,3+counta($F$1:J$1),false)</f>
        <v>0.6</v>
      </c>
      <c r="K82" s="99">
        <f>$D82-vlookup(Summary!$C82,Summary!$C$2:$Q$103,3+counta($F$1:K$1),false)</f>
        <v>0.1</v>
      </c>
      <c r="L82" s="99">
        <f>$D82-vlookup(Summary!$C82,Summary!$C$2:$Q$103,3+counta($F$1:L$1),false)</f>
        <v>0.7</v>
      </c>
      <c r="M82" s="99">
        <f>$D82-vlookup(Summary!$C82,Summary!$C$2:$Q$103,3+counta($F$1:M$1),false)</f>
        <v>0.7</v>
      </c>
      <c r="N82" s="99">
        <f>$D82-vlookup(Summary!$C82,Summary!$C$2:$Q$103,3+counta($F$1:N$1),false)</f>
        <v>0.8</v>
      </c>
      <c r="O82" s="99">
        <f>$D82-vlookup(Summary!$C82,Summary!$C$2:$Q$103,3+counta($F$1:O$1),false)</f>
        <v>0.75</v>
      </c>
      <c r="P82" s="99">
        <f>$D82-vlookup(Summary!$C82,Summary!$C$2:$Q$103,3+counta($F$1:P$1),false)</f>
        <v>0.4</v>
      </c>
      <c r="Q82" s="99">
        <f>$D82-vlookup(Summary!$C82,Summary!$C$2:$Q$103,3+counta($F$1:Q$1),false)</f>
        <v>0.6</v>
      </c>
    </row>
    <row r="83" ht="15.75" customHeight="1">
      <c r="A83" s="15">
        <f>Main!A83</f>
        <v>82</v>
      </c>
      <c r="B83" s="15" t="str">
        <f>Main!B83</f>
        <v>It will not be financially viable to mine ethereum using commercial GPUs.</v>
      </c>
      <c r="C83" s="15" t="str">
        <f>Main!C83</f>
        <v>Technology</v>
      </c>
      <c r="D83" s="15">
        <v>0.5</v>
      </c>
      <c r="F83" s="99">
        <f>$D83-vlookup(Summary!$C83,Summary!$C$2:$Q$103,3+counta($F$1:F$1),false)</f>
        <v>-0.15</v>
      </c>
      <c r="G83" s="99">
        <f>$D83-vlookup(Summary!$C83,Summary!$C$2:$Q$103,3+counta($F$1:G$1),false)</f>
        <v>-0.3</v>
      </c>
      <c r="H83" s="99">
        <f>$D83-vlookup(Summary!$C83,Summary!$C$2:$Q$103,3+counta($F$1:H$1),false)</f>
        <v>-0.4</v>
      </c>
      <c r="I83" s="99">
        <f>$D83-vlookup(Summary!$C83,Summary!$C$2:$Q$103,3+counta($F$1:I$1),false)</f>
        <v>0</v>
      </c>
      <c r="J83" s="99">
        <f>$D83-vlookup(Summary!$C83,Summary!$C$2:$Q$103,3+counta($F$1:J$1),false)</f>
        <v>0</v>
      </c>
      <c r="K83" s="99">
        <f>$D83-vlookup(Summary!$C83,Summary!$C$2:$Q$103,3+counta($F$1:K$1),false)</f>
        <v>0</v>
      </c>
      <c r="L83" s="99">
        <f>$D83-vlookup(Summary!$C83,Summary!$C$2:$Q$103,3+counta($F$1:L$1),false)</f>
        <v>0.05</v>
      </c>
      <c r="M83" s="99">
        <f>$D83-vlookup(Summary!$C83,Summary!$C$2:$Q$103,3+counta($F$1:M$1),false)</f>
        <v>-0.4</v>
      </c>
      <c r="N83" s="99">
        <f>$D83-vlookup(Summary!$C83,Summary!$C$2:$Q$103,3+counta($F$1:N$1),false)</f>
        <v>-0.3</v>
      </c>
      <c r="O83" s="99">
        <f>$D83-vlookup(Summary!$C83,Summary!$C$2:$Q$103,3+counta($F$1:O$1),false)</f>
        <v>-0.35</v>
      </c>
      <c r="P83" s="99">
        <f>$D83-vlookup(Summary!$C83,Summary!$C$2:$Q$103,3+counta($F$1:P$1),false)</f>
        <v>0</v>
      </c>
      <c r="Q83" s="99">
        <f>$D83-vlookup(Summary!$C83,Summary!$C$2:$Q$103,3+counta($F$1:Q$1),false)</f>
        <v>-0.1</v>
      </c>
    </row>
    <row r="84" ht="15.75" customHeight="1">
      <c r="A84" s="15">
        <f>Main!A84</f>
        <v>83</v>
      </c>
      <c r="B84" s="15" t="str">
        <f>Main!B84</f>
        <v>China will have more than 800 satellites in orbit (currently around 500)</v>
      </c>
      <c r="C84" s="15" t="str">
        <f>Main!C84</f>
        <v>Technology</v>
      </c>
      <c r="D84" s="15">
        <v>0.2</v>
      </c>
      <c r="F84" s="99">
        <f>$D84-vlookup(Summary!$C84,Summary!$C$2:$Q$103,3+counta($F$1:F$1),false)</f>
        <v>-0.2</v>
      </c>
      <c r="G84" s="99">
        <f>$D84-vlookup(Summary!$C84,Summary!$C$2:$Q$103,3+counta($F$1:G$1),false)</f>
        <v>-0.45</v>
      </c>
      <c r="H84" s="99">
        <f>$D84-vlookup(Summary!$C84,Summary!$C$2:$Q$103,3+counta($F$1:H$1),false)</f>
        <v>0.15</v>
      </c>
      <c r="I84" s="99">
        <f>$D84-vlookup(Summary!$C84,Summary!$C$2:$Q$103,3+counta($F$1:I$1),false)</f>
        <v>0</v>
      </c>
      <c r="J84" s="99">
        <f>$D84-vlookup(Summary!$C84,Summary!$C$2:$Q$103,3+counta($F$1:J$1),false)</f>
        <v>-0.5</v>
      </c>
      <c r="K84" s="99">
        <f>$D84-vlookup(Summary!$C84,Summary!$C$2:$Q$103,3+counta($F$1:K$1),false)</f>
        <v>-0.65</v>
      </c>
      <c r="L84" s="99">
        <f>$D84-vlookup(Summary!$C84,Summary!$C$2:$Q$103,3+counta($F$1:L$1),false)</f>
        <v>0.199</v>
      </c>
      <c r="M84" s="99">
        <f>$D84-vlookup(Summary!$C84,Summary!$C$2:$Q$103,3+counta($F$1:M$1),false)</f>
        <v>0.15</v>
      </c>
      <c r="N84" s="99">
        <f>$D84-vlookup(Summary!$C84,Summary!$C$2:$Q$103,3+counta($F$1:N$1),false)</f>
        <v>0.1</v>
      </c>
      <c r="O84" s="99">
        <f>$D84-vlookup(Summary!$C84,Summary!$C$2:$Q$103,3+counta($F$1:O$1),false)</f>
        <v>0.199</v>
      </c>
      <c r="P84" s="99">
        <f>$D84-vlookup(Summary!$C84,Summary!$C$2:$Q$103,3+counta($F$1:P$1),false)</f>
        <v>-0.3</v>
      </c>
      <c r="Q84" s="99">
        <f>$D84-vlookup(Summary!$C84,Summary!$C$2:$Q$103,3+counta($F$1:Q$1),false)</f>
        <v>-0.45</v>
      </c>
    </row>
    <row r="85" ht="15.75" customHeight="1">
      <c r="A85" s="15">
        <f>Main!A85</f>
        <v>84</v>
      </c>
      <c r="B85" s="15" t="str">
        <f>Main!B85</f>
        <v>Australia will be in the top 40 countries for broadband speed (as tracked in wiki page)</v>
      </c>
      <c r="C85" s="15" t="str">
        <f>Main!C85</f>
        <v>Technology</v>
      </c>
      <c r="D85" s="15">
        <v>0.3</v>
      </c>
      <c r="F85" s="99">
        <f>$D85-vlookup(Summary!$C85,Summary!$C$2:$Q$103,3+counta($F$1:F$1),false)</f>
        <v>0.1</v>
      </c>
      <c r="G85" s="99">
        <f>$D85-vlookup(Summary!$C85,Summary!$C$2:$Q$103,3+counta($F$1:G$1),false)</f>
        <v>-0.6</v>
      </c>
      <c r="H85" s="99">
        <f>$D85-vlookup(Summary!$C85,Summary!$C$2:$Q$103,3+counta($F$1:H$1),false)</f>
        <v>0.25</v>
      </c>
      <c r="I85" s="99">
        <f>$D85-vlookup(Summary!$C85,Summary!$C$2:$Q$103,3+counta($F$1:I$1),false)</f>
        <v>0</v>
      </c>
      <c r="J85" s="99">
        <f>$D85-vlookup(Summary!$C85,Summary!$C$2:$Q$103,3+counta($F$1:J$1),false)</f>
        <v>0.1</v>
      </c>
      <c r="K85" s="99">
        <f>$D85-vlookup(Summary!$C85,Summary!$C$2:$Q$103,3+counta($F$1:K$1),false)</f>
        <v>-0.4</v>
      </c>
      <c r="L85" s="99">
        <f>$D85-vlookup(Summary!$C85,Summary!$C$2:$Q$103,3+counta($F$1:L$1),false)</f>
        <v>0.25</v>
      </c>
      <c r="M85" s="99">
        <f>$D85-vlookup(Summary!$C85,Summary!$C$2:$Q$103,3+counta($F$1:M$1),false)</f>
        <v>0.25</v>
      </c>
      <c r="N85" s="99">
        <f>$D85-vlookup(Summary!$C85,Summary!$C$2:$Q$103,3+counta($F$1:N$1),false)</f>
        <v>-0.4</v>
      </c>
      <c r="O85" s="99">
        <f>$D85-vlookup(Summary!$C85,Summary!$C$2:$Q$103,3+counta($F$1:O$1),false)</f>
        <v>0.15</v>
      </c>
      <c r="P85" s="99">
        <f>$D85-vlookup(Summary!$C85,Summary!$C$2:$Q$103,3+counta($F$1:P$1),false)</f>
        <v>-0.5</v>
      </c>
      <c r="Q85" s="99">
        <f>$D85-vlookup(Summary!$C85,Summary!$C$2:$Q$103,3+counta($F$1:Q$1),false)</f>
        <v>-0.4</v>
      </c>
    </row>
    <row r="86" ht="15.75" customHeight="1">
      <c r="A86" s="15">
        <f>Main!A86</f>
        <v>85</v>
      </c>
      <c r="B86" s="15" t="str">
        <f>Main!B86</f>
        <v>India will produce more total CO2 emissions than the US</v>
      </c>
      <c r="C86" s="15" t="str">
        <f>Main!C86</f>
        <v>Technology</v>
      </c>
      <c r="D86" s="15">
        <v>0.1</v>
      </c>
      <c r="F86" s="99">
        <f>$D86-vlookup(Summary!$C86,Summary!$C$2:$Q$103,3+counta($F$1:F$1),false)</f>
        <v>-0.2</v>
      </c>
      <c r="G86" s="99">
        <f>$D86-vlookup(Summary!$C86,Summary!$C$2:$Q$103,3+counta($F$1:G$1),false)</f>
        <v>-0.1</v>
      </c>
      <c r="H86" s="99">
        <f>$D86-vlookup(Summary!$C86,Summary!$C$2:$Q$103,3+counta($F$1:H$1),false)</f>
        <v>0</v>
      </c>
      <c r="I86" s="99">
        <f>$D86-vlookup(Summary!$C86,Summary!$C$2:$Q$103,3+counta($F$1:I$1),false)</f>
        <v>0</v>
      </c>
      <c r="J86" s="99">
        <f>$D86-vlookup(Summary!$C86,Summary!$C$2:$Q$103,3+counta($F$1:J$1),false)</f>
        <v>-0.4</v>
      </c>
      <c r="K86" s="99">
        <f>$D86-vlookup(Summary!$C86,Summary!$C$2:$Q$103,3+counta($F$1:K$1),false)</f>
        <v>-0.7</v>
      </c>
      <c r="L86" s="99">
        <f>$D86-vlookup(Summary!$C86,Summary!$C$2:$Q$103,3+counta($F$1:L$1),false)</f>
        <v>0.099</v>
      </c>
      <c r="M86" s="99">
        <f>$D86-vlookup(Summary!$C86,Summary!$C$2:$Q$103,3+counta($F$1:M$1),false)</f>
        <v>0</v>
      </c>
      <c r="N86" s="99">
        <f>$D86-vlookup(Summary!$C86,Summary!$C$2:$Q$103,3+counta($F$1:N$1),false)</f>
        <v>-0.7</v>
      </c>
      <c r="O86" s="99">
        <f>$D86-vlookup(Summary!$C86,Summary!$C$2:$Q$103,3+counta($F$1:O$1),false)</f>
        <v>-0.25</v>
      </c>
      <c r="P86" s="99">
        <f>$D86-vlookup(Summary!$C86,Summary!$C$2:$Q$103,3+counta($F$1:P$1),false)</f>
        <v>-0.7</v>
      </c>
      <c r="Q86" s="99">
        <f>$D86-vlookup(Summary!$C86,Summary!$C$2:$Q$103,3+counta($F$1:Q$1),false)</f>
        <v>-0.5</v>
      </c>
    </row>
    <row r="87" ht="15.75" customHeight="1">
      <c r="A87" s="15">
        <f>Main!A87</f>
        <v>86</v>
      </c>
      <c r="B87" s="15" t="str">
        <f>Main!B87</f>
        <v>The number of electric vehicles under $50K (excl on road costs) grows 67% or more in Australia, as listed on carsguide.com.au. Currently there are three cars: Hyundai Ioniq, Nissan Leaf and MG ZS EV</v>
      </c>
      <c r="C87" s="15" t="str">
        <f>Main!C87</f>
        <v>Technology</v>
      </c>
      <c r="D87" s="15">
        <v>0.2</v>
      </c>
      <c r="F87" s="99">
        <f>$D87-vlookup(Summary!$C87,Summary!$C$2:$Q$103,3+counta($F$1:F$1),false)</f>
        <v>-0.2</v>
      </c>
      <c r="G87" s="99">
        <f>$D87-vlookup(Summary!$C87,Summary!$C$2:$Q$103,3+counta($F$1:G$1),false)</f>
        <v>-0.6</v>
      </c>
      <c r="H87" s="99">
        <f>$D87-vlookup(Summary!$C87,Summary!$C$2:$Q$103,3+counta($F$1:H$1),false)</f>
        <v>-0.5</v>
      </c>
      <c r="I87" s="99">
        <f>$D87-vlookup(Summary!$C87,Summary!$C$2:$Q$103,3+counta($F$1:I$1),false)</f>
        <v>0</v>
      </c>
      <c r="J87" s="99">
        <f>$D87-vlookup(Summary!$C87,Summary!$C$2:$Q$103,3+counta($F$1:J$1),false)</f>
        <v>-0.1</v>
      </c>
      <c r="K87" s="99">
        <f>$D87-vlookup(Summary!$C87,Summary!$C$2:$Q$103,3+counta($F$1:K$1),false)</f>
        <v>-0.45</v>
      </c>
      <c r="L87" s="99">
        <f>$D87-vlookup(Summary!$C87,Summary!$C$2:$Q$103,3+counta($F$1:L$1),false)</f>
        <v>-0.35</v>
      </c>
      <c r="M87" s="99">
        <f>$D87-vlookup(Summary!$C87,Summary!$C$2:$Q$103,3+counta($F$1:M$1),false)</f>
        <v>-0.5</v>
      </c>
      <c r="N87" s="99">
        <f>$D87-vlookup(Summary!$C87,Summary!$C$2:$Q$103,3+counta($F$1:N$1),false)</f>
        <v>-0.7</v>
      </c>
      <c r="O87" s="99">
        <f>$D87-vlookup(Summary!$C87,Summary!$C$2:$Q$103,3+counta($F$1:O$1),false)</f>
        <v>-0.15</v>
      </c>
      <c r="P87" s="99">
        <f>$D87-vlookup(Summary!$C87,Summary!$C$2:$Q$103,3+counta($F$1:P$1),false)</f>
        <v>-0.5</v>
      </c>
      <c r="Q87" s="99">
        <f>$D87-vlookup(Summary!$C87,Summary!$C$2:$Q$103,3+counta($F$1:Q$1),false)</f>
        <v>-0.15</v>
      </c>
    </row>
    <row r="88" ht="15.75" customHeight="1">
      <c r="A88" s="15">
        <f>Main!A88</f>
        <v>87</v>
      </c>
      <c r="B88" s="15" t="str">
        <f>Main!B88</f>
        <v>Boris Johnson will be replaced as Prime Minister by the Tory Party</v>
      </c>
      <c r="C88" s="15" t="str">
        <f>Main!C88</f>
        <v>World Politics</v>
      </c>
      <c r="D88" s="15">
        <v>0.8</v>
      </c>
      <c r="F88" s="99">
        <f>$D88-vlookup(Summary!$C88,Summary!$C$2:$Q$103,3+counta($F$1:F$1),false)</f>
        <v>-0.05</v>
      </c>
      <c r="G88" s="99">
        <f>$D88-vlookup(Summary!$C88,Summary!$C$2:$Q$103,3+counta($F$1:G$1),false)</f>
        <v>0</v>
      </c>
      <c r="H88" s="99">
        <f>$D88-vlookup(Summary!$C88,Summary!$C$2:$Q$103,3+counta($F$1:H$1),false)</f>
        <v>0.5</v>
      </c>
      <c r="I88" s="99">
        <f>$D88-vlookup(Summary!$C88,Summary!$C$2:$Q$103,3+counta($F$1:I$1),false)</f>
        <v>0</v>
      </c>
      <c r="J88" s="99">
        <f>$D88-vlookup(Summary!$C88,Summary!$C$2:$Q$103,3+counta($F$1:J$1),false)</f>
        <v>0.4</v>
      </c>
      <c r="K88" s="99">
        <f>$D88-vlookup(Summary!$C88,Summary!$C$2:$Q$103,3+counta($F$1:K$1),false)</f>
        <v>-0.05</v>
      </c>
      <c r="L88" s="99">
        <f>$D88-vlookup(Summary!$C88,Summary!$C$2:$Q$103,3+counta($F$1:L$1),false)</f>
        <v>0.7</v>
      </c>
      <c r="M88" s="99">
        <f>$D88-vlookup(Summary!$C88,Summary!$C$2:$Q$103,3+counta($F$1:M$1),false)</f>
        <v>0.5</v>
      </c>
      <c r="N88" s="99">
        <f>$D88-vlookup(Summary!$C88,Summary!$C$2:$Q$103,3+counta($F$1:N$1),false)</f>
        <v>-0.1</v>
      </c>
      <c r="O88" s="99">
        <f>$D88-vlookup(Summary!$C88,Summary!$C$2:$Q$103,3+counta($F$1:O$1),false)</f>
        <v>0.15</v>
      </c>
      <c r="P88" s="99">
        <f>$D88-vlookup(Summary!$C88,Summary!$C$2:$Q$103,3+counta($F$1:P$1),false)</f>
        <v>-0.1</v>
      </c>
      <c r="Q88" s="99">
        <f>$D88-vlookup(Summary!$C88,Summary!$C$2:$Q$103,3+counta($F$1:Q$1),false)</f>
        <v>0.3</v>
      </c>
    </row>
    <row r="89" ht="15.75" customHeight="1">
      <c r="A89" s="15">
        <f>Main!A89</f>
        <v>88</v>
      </c>
      <c r="B89" s="15" t="str">
        <f>Main!B89</f>
        <v>Boris Johnson will be the Prime Minister of the UK</v>
      </c>
      <c r="C89" s="15" t="str">
        <f>Main!C89</f>
        <v>World Politics</v>
      </c>
      <c r="D89" s="15">
        <v>0.2</v>
      </c>
      <c r="F89" s="99">
        <f>$D89-vlookup(Summary!$C89,Summary!$C$2:$Q$103,3+counta($F$1:F$1),false)</f>
        <v>0.05</v>
      </c>
      <c r="G89" s="99">
        <f>$D89-vlookup(Summary!$C89,Summary!$C$2:$Q$103,3+counta($F$1:G$1),false)</f>
        <v>0</v>
      </c>
      <c r="H89" s="99">
        <f>$D89-vlookup(Summary!$C89,Summary!$C$2:$Q$103,3+counta($F$1:H$1),false)</f>
        <v>-0.5</v>
      </c>
      <c r="I89" s="99">
        <f>$D89-vlookup(Summary!$C89,Summary!$C$2:$Q$103,3+counta($F$1:I$1),false)</f>
        <v>0</v>
      </c>
      <c r="J89" s="99">
        <f>$D89-vlookup(Summary!$C89,Summary!$C$2:$Q$103,3+counta($F$1:J$1),false)</f>
        <v>-0.4</v>
      </c>
      <c r="K89" s="99">
        <f>$D89-vlookup(Summary!$C89,Summary!$C$2:$Q$103,3+counta($F$1:K$1),false)</f>
        <v>-0.05</v>
      </c>
      <c r="L89" s="99">
        <f>$D89-vlookup(Summary!$C89,Summary!$C$2:$Q$103,3+counta($F$1:L$1),false)</f>
        <v>-0.65</v>
      </c>
      <c r="M89" s="99">
        <f>$D89-vlookup(Summary!$C89,Summary!$C$2:$Q$103,3+counta($F$1:M$1),false)</f>
        <v>-0.5</v>
      </c>
      <c r="N89" s="99">
        <f>$D89-vlookup(Summary!$C89,Summary!$C$2:$Q$103,3+counta($F$1:N$1),false)</f>
        <v>0</v>
      </c>
      <c r="O89" s="99">
        <f>$D89-vlookup(Summary!$C89,Summary!$C$2:$Q$103,3+counta($F$1:O$1),false)</f>
        <v>-0.15</v>
      </c>
      <c r="P89" s="99">
        <f>$D89-vlookup(Summary!$C89,Summary!$C$2:$Q$103,3+counta($F$1:P$1),false)</f>
        <v>0.1</v>
      </c>
      <c r="Q89" s="99">
        <f>$D89-vlookup(Summary!$C89,Summary!$C$2:$Q$103,3+counta($F$1:Q$1),false)</f>
        <v>-0.2</v>
      </c>
    </row>
    <row r="90" ht="15.75" customHeight="1">
      <c r="A90" s="15">
        <f>Main!A90</f>
        <v>89</v>
      </c>
      <c r="B90" s="15" t="str">
        <f>Main!B90</f>
        <v>At least some American states will resort to proclaimed and violent civil war rather that accept democratic elections</v>
      </c>
      <c r="C90" s="15" t="str">
        <f>Main!C90</f>
        <v>World Politics</v>
      </c>
      <c r="D90" s="15">
        <v>0.1</v>
      </c>
      <c r="F90" s="99">
        <f>$D90-vlookup(Summary!$C90,Summary!$C$2:$Q$103,3+counta($F$1:F$1),false)</f>
        <v>-0.2</v>
      </c>
      <c r="G90" s="99">
        <f>$D90-vlookup(Summary!$C90,Summary!$C$2:$Q$103,3+counta($F$1:G$1),false)</f>
        <v>0</v>
      </c>
      <c r="H90" s="99">
        <f>$D90-vlookup(Summary!$C90,Summary!$C$2:$Q$103,3+counta($F$1:H$1),false)</f>
        <v>0</v>
      </c>
      <c r="I90" s="99">
        <f>$D90-vlookup(Summary!$C90,Summary!$C$2:$Q$103,3+counta($F$1:I$1),false)</f>
        <v>0</v>
      </c>
      <c r="J90" s="99">
        <f>$D90-vlookup(Summary!$C90,Summary!$C$2:$Q$103,3+counta($F$1:J$1),false)</f>
        <v>-0.6</v>
      </c>
      <c r="K90" s="99">
        <f>$D90-vlookup(Summary!$C90,Summary!$C$2:$Q$103,3+counta($F$1:K$1),false)</f>
        <v>-0.1</v>
      </c>
      <c r="L90" s="99">
        <f>$D90-vlookup(Summary!$C90,Summary!$C$2:$Q$103,3+counta($F$1:L$1),false)</f>
        <v>0.05</v>
      </c>
      <c r="M90" s="99">
        <f>$D90-vlookup(Summary!$C90,Summary!$C$2:$Q$103,3+counta($F$1:M$1),false)</f>
        <v>0</v>
      </c>
      <c r="N90" s="99">
        <f>$D90-vlookup(Summary!$C90,Summary!$C$2:$Q$103,3+counta($F$1:N$1),false)</f>
        <v>0</v>
      </c>
      <c r="O90" s="99">
        <f>$D90-vlookup(Summary!$C90,Summary!$C$2:$Q$103,3+counta($F$1:O$1),false)</f>
        <v>0.099</v>
      </c>
      <c r="P90" s="99">
        <f>$D90-vlookup(Summary!$C90,Summary!$C$2:$Q$103,3+counta($F$1:P$1),false)</f>
        <v>0</v>
      </c>
      <c r="Q90" s="99">
        <f>$D90-vlookup(Summary!$C90,Summary!$C$2:$Q$103,3+counta($F$1:Q$1),false)</f>
        <v>-0.15</v>
      </c>
    </row>
    <row r="91" ht="15.75" customHeight="1">
      <c r="A91" s="15">
        <f>Main!A91</f>
        <v>90</v>
      </c>
      <c r="B91" s="15" t="str">
        <f>Main!B91</f>
        <v>Democrats will lose control of the US House of Representatives at the midterm elections</v>
      </c>
      <c r="C91" s="15" t="str">
        <f>Main!C91</f>
        <v>World Politics</v>
      </c>
      <c r="D91" s="15">
        <v>0.6</v>
      </c>
      <c r="F91" s="99">
        <f>$D91-vlookup(Summary!$C91,Summary!$C$2:$Q$103,3+counta($F$1:F$1),false)</f>
        <v>-0.2</v>
      </c>
      <c r="G91" s="99">
        <f>$D91-vlookup(Summary!$C91,Summary!$C$2:$Q$103,3+counta($F$1:G$1),false)</f>
        <v>-0.3</v>
      </c>
      <c r="H91" s="99">
        <f>$D91-vlookup(Summary!$C91,Summary!$C$2:$Q$103,3+counta($F$1:H$1),false)</f>
        <v>-0.1</v>
      </c>
      <c r="I91" s="99">
        <f>$D91-vlookup(Summary!$C91,Summary!$C$2:$Q$103,3+counta($F$1:I$1),false)</f>
        <v>0</v>
      </c>
      <c r="J91" s="99">
        <f>$D91-vlookup(Summary!$C91,Summary!$C$2:$Q$103,3+counta($F$1:J$1),false)</f>
        <v>-0.3</v>
      </c>
      <c r="K91" s="99">
        <f>$D91-vlookup(Summary!$C91,Summary!$C$2:$Q$103,3+counta($F$1:K$1),false)</f>
        <v>-0.1</v>
      </c>
      <c r="L91" s="99">
        <f>$D91-vlookup(Summary!$C91,Summary!$C$2:$Q$103,3+counta($F$1:L$1),false)</f>
        <v>-0.1</v>
      </c>
      <c r="M91" s="99">
        <f>$D91-vlookup(Summary!$C91,Summary!$C$2:$Q$103,3+counta($F$1:M$1),false)</f>
        <v>-0.1</v>
      </c>
      <c r="N91" s="99">
        <f>$D91-vlookup(Summary!$C91,Summary!$C$2:$Q$103,3+counta($F$1:N$1),false)</f>
        <v>-0.2</v>
      </c>
      <c r="O91" s="99">
        <f>$D91-vlookup(Summary!$C91,Summary!$C$2:$Q$103,3+counta($F$1:O$1),false)</f>
        <v>-0.399</v>
      </c>
      <c r="P91" s="99">
        <f>$D91-vlookup(Summary!$C91,Summary!$C$2:$Q$103,3+counta($F$1:P$1),false)</f>
        <v>0.5</v>
      </c>
      <c r="Q91" s="99">
        <f>$D91-vlookup(Summary!$C91,Summary!$C$2:$Q$103,3+counta($F$1:Q$1),false)</f>
        <v>0.2</v>
      </c>
    </row>
    <row r="92" ht="15.75" customHeight="1">
      <c r="A92" s="15">
        <f>Main!A92</f>
        <v>91</v>
      </c>
      <c r="B92" s="15" t="str">
        <f>Main!B92</f>
        <v>Democrats will not have control of the US Senate after the midterm election</v>
      </c>
      <c r="C92" s="15" t="str">
        <f>Main!C92</f>
        <v>World Politics</v>
      </c>
      <c r="D92" s="15">
        <v>0.6</v>
      </c>
      <c r="F92" s="99">
        <f>$D92-vlookup(Summary!$C92,Summary!$C$2:$Q$103,3+counta($F$1:F$1),false)</f>
        <v>-0.2</v>
      </c>
      <c r="G92" s="99">
        <f>$D92-vlookup(Summary!$C92,Summary!$C$2:$Q$103,3+counta($F$1:G$1),false)</f>
        <v>-0.3</v>
      </c>
      <c r="H92" s="99">
        <f>$D92-vlookup(Summary!$C92,Summary!$C$2:$Q$103,3+counta($F$1:H$1),false)</f>
        <v>-0.1</v>
      </c>
      <c r="I92" s="99">
        <f>$D92-vlookup(Summary!$C92,Summary!$C$2:$Q$103,3+counta($F$1:I$1),false)</f>
        <v>0</v>
      </c>
      <c r="J92" s="99">
        <f>$D92-vlookup(Summary!$C92,Summary!$C$2:$Q$103,3+counta($F$1:J$1),false)</f>
        <v>-0.3</v>
      </c>
      <c r="K92" s="99">
        <f>$D92-vlookup(Summary!$C92,Summary!$C$2:$Q$103,3+counta($F$1:K$1),false)</f>
        <v>-0.2</v>
      </c>
      <c r="L92" s="99">
        <f>$D92-vlookup(Summary!$C92,Summary!$C$2:$Q$103,3+counta($F$1:L$1),false)</f>
        <v>-0.2</v>
      </c>
      <c r="M92" s="99">
        <f>$D92-vlookup(Summary!$C92,Summary!$C$2:$Q$103,3+counta($F$1:M$1),false)</f>
        <v>-0.1</v>
      </c>
      <c r="N92" s="99">
        <f>$D92-vlookup(Summary!$C92,Summary!$C$2:$Q$103,3+counta($F$1:N$1),false)</f>
        <v>-0.2</v>
      </c>
      <c r="O92" s="99">
        <f>$D92-vlookup(Summary!$C92,Summary!$C$2:$Q$103,3+counta($F$1:O$1),false)</f>
        <v>-0.399</v>
      </c>
      <c r="P92" s="99">
        <f>$D92-vlookup(Summary!$C92,Summary!$C$2:$Q$103,3+counta($F$1:P$1),false)</f>
        <v>0.5</v>
      </c>
      <c r="Q92" s="99">
        <f>$D92-vlookup(Summary!$C92,Summary!$C$2:$Q$103,3+counta($F$1:Q$1),false)</f>
        <v>0.4</v>
      </c>
    </row>
    <row r="93" ht="15.75" customHeight="1">
      <c r="A93" s="15">
        <f>Main!A93</f>
        <v>92</v>
      </c>
      <c r="B93" s="15" t="str">
        <f>Main!B93</f>
        <v>Donald Trump will recieve at least 1 vote in the selection of the Speaker of the US house of Representatives (Congress)</v>
      </c>
      <c r="C93" s="15" t="str">
        <f>Main!C93</f>
        <v>World Politics</v>
      </c>
      <c r="D93" s="15">
        <v>0.1</v>
      </c>
      <c r="F93" s="99">
        <f>$D93-vlookup(Summary!$C93,Summary!$C$2:$Q$103,3+counta($F$1:F$1),false)</f>
        <v>-0.2</v>
      </c>
      <c r="G93" s="99">
        <f>$D93-vlookup(Summary!$C93,Summary!$C$2:$Q$103,3+counta($F$1:G$1),false)</f>
        <v>-0.2</v>
      </c>
      <c r="H93" s="99">
        <f>$D93-vlookup(Summary!$C93,Summary!$C$2:$Q$103,3+counta($F$1:H$1),false)</f>
        <v>-0.6</v>
      </c>
      <c r="I93" s="99">
        <f>$D93-vlookup(Summary!$C93,Summary!$C$2:$Q$103,3+counta($F$1:I$1),false)</f>
        <v>0</v>
      </c>
      <c r="J93" s="99">
        <f>$D93-vlookup(Summary!$C93,Summary!$C$2:$Q$103,3+counta($F$1:J$1),false)</f>
        <v>-0.8</v>
      </c>
      <c r="K93" s="99">
        <f>$D93-vlookup(Summary!$C93,Summary!$C$2:$Q$103,3+counta($F$1:K$1),false)</f>
        <v>-0.25</v>
      </c>
      <c r="L93" s="99">
        <f>$D93-vlookup(Summary!$C93,Summary!$C$2:$Q$103,3+counta($F$1:L$1),false)</f>
        <v>-0.6</v>
      </c>
      <c r="M93" s="99">
        <f>$D93-vlookup(Summary!$C93,Summary!$C$2:$Q$103,3+counta($F$1:M$1),false)</f>
        <v>-0.6</v>
      </c>
      <c r="N93" s="99">
        <f>$D93-vlookup(Summary!$C93,Summary!$C$2:$Q$103,3+counta($F$1:N$1),false)</f>
        <v>-0.8</v>
      </c>
      <c r="O93" s="99">
        <f>$D93-vlookup(Summary!$C93,Summary!$C$2:$Q$103,3+counta($F$1:O$1),false)</f>
        <v>-0.55</v>
      </c>
      <c r="P93" s="99">
        <f>$D93-vlookup(Summary!$C93,Summary!$C$2:$Q$103,3+counta($F$1:P$1),false)</f>
        <v>0</v>
      </c>
      <c r="Q93" s="99">
        <f>$D93-vlookup(Summary!$C93,Summary!$C$2:$Q$103,3+counta($F$1:Q$1),false)</f>
        <v>-0.4</v>
      </c>
    </row>
    <row r="94" ht="15.75" customHeight="1">
      <c r="A94" s="15">
        <f>Main!A94</f>
        <v>93</v>
      </c>
      <c r="B94" s="15" t="str">
        <f>Main!B94</f>
        <v>Donald Trump will release a book in 2022</v>
      </c>
      <c r="C94" s="15" t="str">
        <f>Main!C94</f>
        <v>World Politics</v>
      </c>
      <c r="D94" s="15">
        <v>0.2</v>
      </c>
      <c r="F94" s="99">
        <f>$D94-vlookup(Summary!$C94,Summary!$C$2:$Q$103,3+counta($F$1:F$1),false)</f>
        <v>-0.35</v>
      </c>
      <c r="G94" s="99">
        <f>$D94-vlookup(Summary!$C94,Summary!$C$2:$Q$103,3+counta($F$1:G$1),false)</f>
        <v>-0.5</v>
      </c>
      <c r="H94" s="99">
        <f>$D94-vlookup(Summary!$C94,Summary!$C$2:$Q$103,3+counta($F$1:H$1),false)</f>
        <v>-0.6</v>
      </c>
      <c r="I94" s="99">
        <f>$D94-vlookup(Summary!$C94,Summary!$C$2:$Q$103,3+counta($F$1:I$1),false)</f>
        <v>0</v>
      </c>
      <c r="J94" s="99">
        <f>$D94-vlookup(Summary!$C94,Summary!$C$2:$Q$103,3+counta($F$1:J$1),false)</f>
        <v>-0.7</v>
      </c>
      <c r="K94" s="99">
        <f>$D94-vlookup(Summary!$C94,Summary!$C$2:$Q$103,3+counta($F$1:K$1),false)</f>
        <v>-0.6</v>
      </c>
      <c r="L94" s="99">
        <f>$D94-vlookup(Summary!$C94,Summary!$C$2:$Q$103,3+counta($F$1:L$1),false)</f>
        <v>-0.35</v>
      </c>
      <c r="M94" s="99">
        <f>$D94-vlookup(Summary!$C94,Summary!$C$2:$Q$103,3+counta($F$1:M$1),false)</f>
        <v>-0.6</v>
      </c>
      <c r="N94" s="99">
        <f>$D94-vlookup(Summary!$C94,Summary!$C$2:$Q$103,3+counta($F$1:N$1),false)</f>
        <v>-0.7</v>
      </c>
      <c r="O94" s="99">
        <f>$D94-vlookup(Summary!$C94,Summary!$C$2:$Q$103,3+counta($F$1:O$1),false)</f>
        <v>0.05</v>
      </c>
      <c r="P94" s="99">
        <f>$D94-vlookup(Summary!$C94,Summary!$C$2:$Q$103,3+counta($F$1:P$1),false)</f>
        <v>-0.3</v>
      </c>
      <c r="Q94" s="99">
        <f>$D94-vlookup(Summary!$C94,Summary!$C$2:$Q$103,3+counta($F$1:Q$1),false)</f>
        <v>-0.35</v>
      </c>
    </row>
    <row r="95" ht="15.75" customHeight="1">
      <c r="A95" s="15">
        <f>Main!A95</f>
        <v>94</v>
      </c>
      <c r="B95" s="15" t="str">
        <f>Main!B95</f>
        <v>Trump will announce he will contest the Republican presidential candidacy and launch an NFT</v>
      </c>
      <c r="C95" s="15" t="str">
        <f>Main!C95</f>
        <v>World Politics</v>
      </c>
      <c r="D95" s="15">
        <v>0.05</v>
      </c>
      <c r="F95" s="99">
        <f>$D95-vlookup(Summary!$C95,Summary!$C$2:$Q$103,3+counta($F$1:F$1),false)</f>
        <v>-0.25</v>
      </c>
      <c r="G95" s="99">
        <f>$D95-vlookup(Summary!$C95,Summary!$C$2:$Q$103,3+counta($F$1:G$1),false)</f>
        <v>-0.35</v>
      </c>
      <c r="H95" s="99">
        <f>$D95-vlookup(Summary!$C95,Summary!$C$2:$Q$103,3+counta($F$1:H$1),false)</f>
        <v>-0.65</v>
      </c>
      <c r="I95" s="99">
        <f>$D95-vlookup(Summary!$C95,Summary!$C$2:$Q$103,3+counta($F$1:I$1),false)</f>
        <v>0</v>
      </c>
      <c r="J95" s="99">
        <f>$D95-vlookup(Summary!$C95,Summary!$C$2:$Q$103,3+counta($F$1:J$1),false)</f>
        <v>-0.55</v>
      </c>
      <c r="K95" s="99">
        <f>$D95-vlookup(Summary!$C95,Summary!$C$2:$Q$103,3+counta($F$1:K$1),false)</f>
        <v>-0.85</v>
      </c>
      <c r="L95" s="99">
        <f>$D95-vlookup(Summary!$C95,Summary!$C$2:$Q$103,3+counta($F$1:L$1),false)</f>
        <v>-0.45</v>
      </c>
      <c r="M95" s="99">
        <f>$D95-vlookup(Summary!$C95,Summary!$C$2:$Q$103,3+counta($F$1:M$1),false)</f>
        <v>-0.65</v>
      </c>
      <c r="N95" s="99">
        <f>$D95-vlookup(Summary!$C95,Summary!$C$2:$Q$103,3+counta($F$1:N$1),false)</f>
        <v>-0.15</v>
      </c>
      <c r="O95" s="99">
        <f>$D95-vlookup(Summary!$C95,Summary!$C$2:$Q$103,3+counta($F$1:O$1),false)</f>
        <v>0.049</v>
      </c>
      <c r="P95" s="99">
        <f>$D95-vlookup(Summary!$C95,Summary!$C$2:$Q$103,3+counta($F$1:P$1),false)</f>
        <v>-0.45</v>
      </c>
      <c r="Q95" s="99">
        <f>$D95-vlookup(Summary!$C95,Summary!$C$2:$Q$103,3+counta($F$1:Q$1),false)</f>
        <v>-0.05</v>
      </c>
    </row>
    <row r="96" ht="15.75" customHeight="1">
      <c r="A96" s="15">
        <f>Main!A96</f>
        <v>95</v>
      </c>
      <c r="B96" s="15" t="str">
        <f>Main!B96</f>
        <v>China will invade Taiwan</v>
      </c>
      <c r="C96" s="15" t="str">
        <f>Main!C96</f>
        <v>World Politics</v>
      </c>
      <c r="D96" s="15">
        <v>0.6</v>
      </c>
      <c r="F96" s="99">
        <f>$D96-vlookup(Summary!$C96,Summary!$C$2:$Q$103,3+counta($F$1:F$1),false)</f>
        <v>0.25</v>
      </c>
      <c r="G96" s="99">
        <f>$D96-vlookup(Summary!$C96,Summary!$C$2:$Q$103,3+counta($F$1:G$1),false)</f>
        <v>0.4</v>
      </c>
      <c r="H96" s="99">
        <f>$D96-vlookup(Summary!$C96,Summary!$C$2:$Q$103,3+counta($F$1:H$1),false)</f>
        <v>-0.1</v>
      </c>
      <c r="I96" s="99">
        <f>$D96-vlookup(Summary!$C96,Summary!$C$2:$Q$103,3+counta($F$1:I$1),false)</f>
        <v>0</v>
      </c>
      <c r="J96" s="99">
        <f>$D96-vlookup(Summary!$C96,Summary!$C$2:$Q$103,3+counta($F$1:J$1),false)</f>
        <v>-0.1</v>
      </c>
      <c r="K96" s="99">
        <f>$D96-vlookup(Summary!$C96,Summary!$C$2:$Q$103,3+counta($F$1:K$1),false)</f>
        <v>0.2</v>
      </c>
      <c r="L96" s="99">
        <f>$D96-vlookup(Summary!$C96,Summary!$C$2:$Q$103,3+counta($F$1:L$1),false)</f>
        <v>0.55</v>
      </c>
      <c r="M96" s="99">
        <f>$D96-vlookup(Summary!$C96,Summary!$C$2:$Q$103,3+counta($F$1:M$1),false)</f>
        <v>-0.1</v>
      </c>
      <c r="N96" s="99">
        <f>$D96-vlookup(Summary!$C96,Summary!$C$2:$Q$103,3+counta($F$1:N$1),false)</f>
        <v>0.4</v>
      </c>
      <c r="O96" s="99">
        <f>$D96-vlookup(Summary!$C96,Summary!$C$2:$Q$103,3+counta($F$1:O$1),false)</f>
        <v>0.599</v>
      </c>
      <c r="P96" s="99">
        <f>$D96-vlookup(Summary!$C96,Summary!$C$2:$Q$103,3+counta($F$1:P$1),false)</f>
        <v>0.5</v>
      </c>
      <c r="Q96" s="99">
        <f>$D96-vlookup(Summary!$C96,Summary!$C$2:$Q$103,3+counta($F$1:Q$1),false)</f>
        <v>0.1</v>
      </c>
    </row>
    <row r="97" ht="15.75" customHeight="1">
      <c r="A97" s="15">
        <f>Main!A97</f>
        <v>96</v>
      </c>
      <c r="B97" s="15" t="str">
        <f>Main!B97</f>
        <v>A nuclear weapon will be detonated for any purpose (including a test) somewhere on earth or in space</v>
      </c>
      <c r="C97" s="15" t="str">
        <f>Main!C97</f>
        <v>World Politics</v>
      </c>
      <c r="D97" s="15">
        <v>0.2</v>
      </c>
      <c r="F97" s="99">
        <f>$D97-vlookup(Summary!$C97,Summary!$C$2:$Q$103,3+counta($F$1:F$1),false)</f>
        <v>0.1</v>
      </c>
      <c r="G97" s="99">
        <f>$D97-vlookup(Summary!$C97,Summary!$C$2:$Q$103,3+counta($F$1:G$1),false)</f>
        <v>-0.2</v>
      </c>
      <c r="H97" s="99">
        <f>$D97-vlookup(Summary!$C97,Summary!$C$2:$Q$103,3+counta($F$1:H$1),false)</f>
        <v>0.1</v>
      </c>
      <c r="I97" s="99">
        <f>$D97-vlookup(Summary!$C97,Summary!$C$2:$Q$103,3+counta($F$1:I$1),false)</f>
        <v>0</v>
      </c>
      <c r="J97" s="99">
        <f>$D97-vlookup(Summary!$C97,Summary!$C$2:$Q$103,3+counta($F$1:J$1),false)</f>
        <v>-0.6</v>
      </c>
      <c r="K97" s="99">
        <f>$D97-vlookup(Summary!$C97,Summary!$C$2:$Q$103,3+counta($F$1:K$1),false)</f>
        <v>-0.5</v>
      </c>
      <c r="L97" s="99">
        <f>$D97-vlookup(Summary!$C97,Summary!$C$2:$Q$103,3+counta($F$1:L$1),false)</f>
        <v>-0.1</v>
      </c>
      <c r="M97" s="99">
        <f>$D97-vlookup(Summary!$C97,Summary!$C$2:$Q$103,3+counta($F$1:M$1),false)</f>
        <v>0.1</v>
      </c>
      <c r="N97" s="99">
        <f>$D97-vlookup(Summary!$C97,Summary!$C$2:$Q$103,3+counta($F$1:N$1),false)</f>
        <v>0.1</v>
      </c>
      <c r="O97" s="99">
        <f>$D97-vlookup(Summary!$C97,Summary!$C$2:$Q$103,3+counta($F$1:O$1),false)</f>
        <v>0.05</v>
      </c>
      <c r="P97" s="99">
        <f>$D97-vlookup(Summary!$C97,Summary!$C$2:$Q$103,3+counta($F$1:P$1),false)</f>
        <v>-0.3</v>
      </c>
      <c r="Q97" s="99">
        <f>$D97-vlookup(Summary!$C97,Summary!$C$2:$Q$103,3+counta($F$1:Q$1),false)</f>
        <v>-0.4</v>
      </c>
    </row>
    <row r="98" ht="15.75" customHeight="1">
      <c r="A98" s="15">
        <f>Main!A98</f>
        <v>97</v>
      </c>
      <c r="B98" s="15" t="str">
        <f>Main!B98</f>
        <v>Iran will announce it has produced a nuclear weapon</v>
      </c>
      <c r="C98" s="15" t="str">
        <f>Main!C98</f>
        <v>World Politics</v>
      </c>
      <c r="D98" s="15">
        <v>0.2</v>
      </c>
      <c r="F98" s="99">
        <f>$D98-vlookup(Summary!$C98,Summary!$C$2:$Q$103,3+counta($F$1:F$1),false)</f>
        <v>-0.25</v>
      </c>
      <c r="G98" s="99">
        <f>$D98-vlookup(Summary!$C98,Summary!$C$2:$Q$103,3+counta($F$1:G$1),false)</f>
        <v>-0.1</v>
      </c>
      <c r="H98" s="99">
        <f>$D98-vlookup(Summary!$C98,Summary!$C$2:$Q$103,3+counta($F$1:H$1),false)</f>
        <v>0.1</v>
      </c>
      <c r="I98" s="99">
        <f>$D98-vlookup(Summary!$C98,Summary!$C$2:$Q$103,3+counta($F$1:I$1),false)</f>
        <v>0</v>
      </c>
      <c r="J98" s="99">
        <f>$D98-vlookup(Summary!$C98,Summary!$C$2:$Q$103,3+counta($F$1:J$1),false)</f>
        <v>-0.4</v>
      </c>
      <c r="K98" s="99">
        <f>$D98-vlookup(Summary!$C98,Summary!$C$2:$Q$103,3+counta($F$1:K$1),false)</f>
        <v>-0.5</v>
      </c>
      <c r="L98" s="99">
        <f>$D98-vlookup(Summary!$C98,Summary!$C$2:$Q$103,3+counta($F$1:L$1),false)</f>
        <v>-0.1</v>
      </c>
      <c r="M98" s="99">
        <f>$D98-vlookup(Summary!$C98,Summary!$C$2:$Q$103,3+counta($F$1:M$1),false)</f>
        <v>0.1</v>
      </c>
      <c r="N98" s="99">
        <f>$D98-vlookup(Summary!$C98,Summary!$C$2:$Q$103,3+counta($F$1:N$1),false)</f>
        <v>0.1</v>
      </c>
      <c r="O98" s="99">
        <f>$D98-vlookup(Summary!$C98,Summary!$C$2:$Q$103,3+counta($F$1:O$1),false)</f>
        <v>0.05</v>
      </c>
      <c r="P98" s="99">
        <f>$D98-vlookup(Summary!$C98,Summary!$C$2:$Q$103,3+counta($F$1:P$1),false)</f>
        <v>-0.3</v>
      </c>
      <c r="Q98" s="99">
        <f>$D98-vlookup(Summary!$C98,Summary!$C$2:$Q$103,3+counta($F$1:Q$1),false)</f>
        <v>-0.4</v>
      </c>
    </row>
    <row r="99" ht="15.75" customHeight="1">
      <c r="A99" s="15">
        <f>Main!A99</f>
        <v>98</v>
      </c>
      <c r="B99" s="15" t="str">
        <f>Main!B99</f>
        <v>One or more of the G12 member countries will have diplomatically recognised Taiwan</v>
      </c>
      <c r="C99" s="15" t="str">
        <f>Main!C99</f>
        <v>World Politics</v>
      </c>
      <c r="D99" s="15">
        <v>0.2</v>
      </c>
      <c r="F99" s="99">
        <f>$D99-vlookup(Summary!$C99,Summary!$C$2:$Q$103,3+counta($F$1:F$1),false)</f>
        <v>0.05</v>
      </c>
      <c r="G99" s="99">
        <f>$D99-vlookup(Summary!$C99,Summary!$C$2:$Q$103,3+counta($F$1:G$1),false)</f>
        <v>0</v>
      </c>
      <c r="H99" s="99">
        <f>$D99-vlookup(Summary!$C99,Summary!$C$2:$Q$103,3+counta($F$1:H$1),false)</f>
        <v>0.1</v>
      </c>
      <c r="I99" s="99">
        <f>$D99-vlookup(Summary!$C99,Summary!$C$2:$Q$103,3+counta($F$1:I$1),false)</f>
        <v>0</v>
      </c>
      <c r="J99" s="99">
        <f>$D99-vlookup(Summary!$C99,Summary!$C$2:$Q$103,3+counta($F$1:J$1),false)</f>
        <v>-0.2</v>
      </c>
      <c r="K99" s="99">
        <f>$D99-vlookup(Summary!$C99,Summary!$C$2:$Q$103,3+counta($F$1:K$1),false)</f>
        <v>-0.55</v>
      </c>
      <c r="L99" s="99">
        <f>$D99-vlookup(Summary!$C99,Summary!$C$2:$Q$103,3+counta($F$1:L$1),false)</f>
        <v>-0.1</v>
      </c>
      <c r="M99" s="99">
        <f>$D99-vlookup(Summary!$C99,Summary!$C$2:$Q$103,3+counta($F$1:M$1),false)</f>
        <v>0.1</v>
      </c>
      <c r="N99" s="99">
        <f>$D99-vlookup(Summary!$C99,Summary!$C$2:$Q$103,3+counta($F$1:N$1),false)</f>
        <v>-0.4</v>
      </c>
      <c r="O99" s="99">
        <f>$D99-vlookup(Summary!$C99,Summary!$C$2:$Q$103,3+counta($F$1:O$1),false)</f>
        <v>0.05</v>
      </c>
      <c r="P99" s="99">
        <f>$D99-vlookup(Summary!$C99,Summary!$C$2:$Q$103,3+counta($F$1:P$1),false)</f>
        <v>-0.3</v>
      </c>
      <c r="Q99" s="99">
        <f>$D99-vlookup(Summary!$C99,Summary!$C$2:$Q$103,3+counta($F$1:Q$1),false)</f>
        <v>-0.4</v>
      </c>
    </row>
    <row r="100" ht="15.75" customHeight="1">
      <c r="A100" s="15">
        <f>Main!A100</f>
        <v>99</v>
      </c>
      <c r="B100" s="15" t="str">
        <f>Main!B100</f>
        <v>Russia will have invaded Ukraine (as reported by CNN, BBC, Guardian or NYT)</v>
      </c>
      <c r="C100" s="15" t="str">
        <f>Main!C100</f>
        <v>World Politics</v>
      </c>
      <c r="D100" s="15">
        <v>0.8</v>
      </c>
      <c r="F100" s="99">
        <f>$D100-vlookup(Summary!$C100,Summary!$C$2:$Q$103,3+counta($F$1:F$1),false)</f>
        <v>0.2</v>
      </c>
      <c r="G100" s="99">
        <f>$D100-vlookup(Summary!$C100,Summary!$C$2:$Q$103,3+counta($F$1:G$1),false)</f>
        <v>0.4</v>
      </c>
      <c r="H100" s="99">
        <f>$D100-vlookup(Summary!$C100,Summary!$C$2:$Q$103,3+counta($F$1:H$1),false)</f>
        <v>-0.15</v>
      </c>
      <c r="I100" s="99">
        <f>$D100-vlookup(Summary!$C100,Summary!$C$2:$Q$103,3+counta($F$1:I$1),false)</f>
        <v>0</v>
      </c>
      <c r="J100" s="99">
        <f>$D100-vlookup(Summary!$C100,Summary!$C$2:$Q$103,3+counta($F$1:J$1),false)</f>
        <v>0</v>
      </c>
      <c r="K100" s="99">
        <f>$D100-vlookup(Summary!$C100,Summary!$C$2:$Q$103,3+counta($F$1:K$1),false)</f>
        <v>0.1</v>
      </c>
      <c r="L100" s="99">
        <f>$D100-vlookup(Summary!$C100,Summary!$C$2:$Q$103,3+counta($F$1:L$1),false)</f>
        <v>0</v>
      </c>
      <c r="M100" s="99">
        <f>$D100-vlookup(Summary!$C100,Summary!$C$2:$Q$103,3+counta($F$1:M$1),false)</f>
        <v>-0.15</v>
      </c>
      <c r="N100" s="99">
        <f>$D100-vlookup(Summary!$C100,Summary!$C$2:$Q$103,3+counta($F$1:N$1),false)</f>
        <v>0.1</v>
      </c>
      <c r="O100" s="99">
        <f>$D100-vlookup(Summary!$C100,Summary!$C$2:$Q$103,3+counta($F$1:O$1),false)</f>
        <v>0.15</v>
      </c>
      <c r="P100" s="99">
        <f>$D100-vlookup(Summary!$C100,Summary!$C$2:$Q$103,3+counta($F$1:P$1),false)</f>
        <v>0.7</v>
      </c>
      <c r="Q100" s="99">
        <f>$D100-vlookup(Summary!$C100,Summary!$C$2:$Q$103,3+counta($F$1:Q$1),false)</f>
        <v>0.2</v>
      </c>
    </row>
    <row r="101" ht="15.75" customHeight="1">
      <c r="A101" s="15">
        <f>Main!A101</f>
        <v>100</v>
      </c>
      <c r="B101" s="15" t="str">
        <f>Main!B101</f>
        <v>The US will have gone to battle with China or Russia ( nuclear battle acceptable) agreed upon by at least half the people attending 2022 predictions</v>
      </c>
      <c r="C101" s="15" t="str">
        <f>Main!C101</f>
        <v>World Politics</v>
      </c>
      <c r="D101" s="15">
        <v>0.1</v>
      </c>
      <c r="F101" s="99">
        <f>$D101-vlookup(Summary!$C101,Summary!$C$2:$Q$103,3+counta($F$1:F$1),false)</f>
        <v>-0.2</v>
      </c>
      <c r="G101" s="99">
        <f>$D101-vlookup(Summary!$C101,Summary!$C$2:$Q$103,3+counta($F$1:G$1),false)</f>
        <v>0</v>
      </c>
      <c r="H101" s="99">
        <f>$D101-vlookup(Summary!$C101,Summary!$C$2:$Q$103,3+counta($F$1:H$1),false)</f>
        <v>0</v>
      </c>
      <c r="I101" s="99">
        <f>$D101-vlookup(Summary!$C101,Summary!$C$2:$Q$103,3+counta($F$1:I$1),false)</f>
        <v>0</v>
      </c>
      <c r="J101" s="99">
        <f>$D101-vlookup(Summary!$C101,Summary!$C$2:$Q$103,3+counta($F$1:J$1),false)</f>
        <v>-0.4</v>
      </c>
      <c r="K101" s="99">
        <f>$D101-vlookup(Summary!$C101,Summary!$C$2:$Q$103,3+counta($F$1:K$1),false)</f>
        <v>-0.5</v>
      </c>
      <c r="L101" s="99">
        <f>$D101-vlookup(Summary!$C101,Summary!$C$2:$Q$103,3+counta($F$1:L$1),false)</f>
        <v>0</v>
      </c>
      <c r="M101" s="99">
        <f>$D101-vlookup(Summary!$C101,Summary!$C$2:$Q$103,3+counta($F$1:M$1),false)</f>
        <v>0</v>
      </c>
      <c r="N101" s="99">
        <f>$D101-vlookup(Summary!$C101,Summary!$C$2:$Q$103,3+counta($F$1:N$1),false)</f>
        <v>-0.1</v>
      </c>
      <c r="O101" s="99">
        <f>$D101-vlookup(Summary!$C101,Summary!$C$2:$Q$103,3+counta($F$1:O$1),false)</f>
        <v>0.099</v>
      </c>
      <c r="P101" s="99">
        <f>$D101-vlookup(Summary!$C101,Summary!$C$2:$Q$103,3+counta($F$1:P$1),false)</f>
        <v>0</v>
      </c>
      <c r="Q101" s="99">
        <f>$D101-vlookup(Summary!$C101,Summary!$C$2:$Q$103,3+counta($F$1:Q$1),false)</f>
        <v>-0.1</v>
      </c>
    </row>
    <row r="102" ht="15.75" customHeight="1">
      <c r="A102" s="15">
        <f>Main!A102</f>
        <v>101</v>
      </c>
      <c r="B102" s="15" t="str">
        <f>Main!B102</f>
        <v>There is an assassination attempt on Xi Jinping as reported in The Guardian</v>
      </c>
      <c r="C102" s="15" t="str">
        <f>Main!C102</f>
        <v>World Politics</v>
      </c>
      <c r="D102" s="15">
        <v>0.1</v>
      </c>
      <c r="F102" s="99">
        <f>$D102-vlookup(Summary!$C102,Summary!$C$2:$Q$103,3+counta($F$1:F$1),false)</f>
        <v>-0.05</v>
      </c>
      <c r="G102" s="99">
        <f>$D102-vlookup(Summary!$C102,Summary!$C$2:$Q$103,3+counta($F$1:G$1),false)</f>
        <v>-0.3</v>
      </c>
      <c r="H102" s="99">
        <f>$D102-vlookup(Summary!$C102,Summary!$C$2:$Q$103,3+counta($F$1:H$1),false)</f>
        <v>0.05</v>
      </c>
      <c r="I102" s="99">
        <f>$D102-vlookup(Summary!$C102,Summary!$C$2:$Q$103,3+counta($F$1:I$1),false)</f>
        <v>0</v>
      </c>
      <c r="J102" s="99">
        <f>$D102-vlookup(Summary!$C102,Summary!$C$2:$Q$103,3+counta($F$1:J$1),false)</f>
        <v>-0.2</v>
      </c>
      <c r="K102" s="99">
        <f>$D102-vlookup(Summary!$C102,Summary!$C$2:$Q$103,3+counta($F$1:K$1),false)</f>
        <v>-0.25</v>
      </c>
      <c r="L102" s="99">
        <f>$D102-vlookup(Summary!$C102,Summary!$C$2:$Q$103,3+counta($F$1:L$1),false)</f>
        <v>-0.4</v>
      </c>
      <c r="M102" s="99">
        <f>$D102-vlookup(Summary!$C102,Summary!$C$2:$Q$103,3+counta($F$1:M$1),false)</f>
        <v>0.05</v>
      </c>
      <c r="N102" s="99">
        <f>$D102-vlookup(Summary!$C102,Summary!$C$2:$Q$103,3+counta($F$1:N$1),false)</f>
        <v>0</v>
      </c>
      <c r="O102" s="99">
        <f>$D102-vlookup(Summary!$C102,Summary!$C$2:$Q$103,3+counta($F$1:O$1),false)</f>
        <v>0.099</v>
      </c>
      <c r="P102" s="99">
        <f>$D102-vlookup(Summary!$C102,Summary!$C$2:$Q$103,3+counta($F$1:P$1),false)</f>
        <v>0</v>
      </c>
      <c r="Q102" s="99">
        <f>$D102-vlookup(Summary!$C102,Summary!$C$2:$Q$103,3+counta($F$1:Q$1),false)</f>
        <v>-0.35</v>
      </c>
    </row>
    <row r="103" ht="15.75" customHeight="1">
      <c r="A103" s="15">
        <f>Main!A103</f>
        <v>102</v>
      </c>
      <c r="B103" s="15" t="str">
        <f>Main!B103</f>
        <v>Bolsanaro wins the next Brazilian elections</v>
      </c>
      <c r="C103" s="15" t="str">
        <f>Main!C103</f>
        <v>World Politics</v>
      </c>
      <c r="D103" s="15">
        <v>0.4</v>
      </c>
      <c r="F103" s="99">
        <f>$D103-vlookup(Summary!$C103,Summary!$C$2:$Q$103,3+counta($F$1:F$1),false)</f>
        <v>0</v>
      </c>
      <c r="G103" s="99">
        <f>$D103-vlookup(Summary!$C103,Summary!$C$2:$Q$103,3+counta($F$1:G$1),false)</f>
        <v>0.1</v>
      </c>
      <c r="H103" s="99">
        <f>$D103-vlookup(Summary!$C103,Summary!$C$2:$Q$103,3+counta($F$1:H$1),false)</f>
        <v>0</v>
      </c>
      <c r="I103" s="99">
        <f>$D103-vlookup(Summary!$C103,Summary!$C$2:$Q$103,3+counta($F$1:I$1),false)</f>
        <v>0</v>
      </c>
      <c r="J103" s="99">
        <f>$D103-vlookup(Summary!$C103,Summary!$C$2:$Q$103,3+counta($F$1:J$1),false)</f>
        <v>-0.4</v>
      </c>
      <c r="K103" s="99">
        <f>$D103-vlookup(Summary!$C103,Summary!$C$2:$Q$103,3+counta($F$1:K$1),false)</f>
        <v>-0.35</v>
      </c>
      <c r="L103" s="99">
        <f>$D103-vlookup(Summary!$C103,Summary!$C$2:$Q$103,3+counta($F$1:L$1),false)</f>
        <v>0.1</v>
      </c>
      <c r="M103" s="99">
        <f>$D103-vlookup(Summary!$C103,Summary!$C$2:$Q$103,3+counta($F$1:M$1),false)</f>
        <v>0</v>
      </c>
      <c r="N103" s="99">
        <f>$D103-vlookup(Summary!$C103,Summary!$C$2:$Q$103,3+counta($F$1:N$1),false)</f>
        <v>0.2</v>
      </c>
      <c r="O103" s="99">
        <f>$D103-vlookup(Summary!$C103,Summary!$C$2:$Q$103,3+counta($F$1:O$1),false)</f>
        <v>-0.25</v>
      </c>
      <c r="P103" s="99">
        <f>$D103-vlookup(Summary!$C103,Summary!$C$2:$Q$103,3+counta($F$1:P$1),false)</f>
        <v>0.3</v>
      </c>
      <c r="Q103" s="99">
        <f>$D103-vlookup(Summary!$C103,Summary!$C$2:$Q$103,3+counta($F$1:Q$1),false)</f>
        <v>-0.2</v>
      </c>
    </row>
    <row r="104" ht="15.75" customHeight="1">
      <c r="A104" s="15" t="str">
        <f>Main!A104</f>
        <v/>
      </c>
      <c r="B104" s="15" t="str">
        <f>Main!B104</f>
        <v/>
      </c>
      <c r="C104" s="15" t="str">
        <f>Main!C104</f>
        <v/>
      </c>
      <c r="E104" s="104" t="s">
        <v>197</v>
      </c>
      <c r="F104" s="101">
        <f t="shared" ref="F104:Q104" si="1">countif(F$2:F$103,"&gt;=0.5")+countif(F$2:F$103,"&lt;=-0.5")</f>
        <v>1</v>
      </c>
      <c r="G104" s="101">
        <f t="shared" si="1"/>
        <v>15</v>
      </c>
      <c r="H104" s="101">
        <f t="shared" si="1"/>
        <v>28</v>
      </c>
      <c r="I104" s="101">
        <f t="shared" si="1"/>
        <v>0</v>
      </c>
      <c r="J104" s="101">
        <f t="shared" si="1"/>
        <v>24</v>
      </c>
      <c r="K104" s="101">
        <f t="shared" si="1"/>
        <v>26</v>
      </c>
      <c r="L104" s="101">
        <f t="shared" si="1"/>
        <v>12</v>
      </c>
      <c r="M104" s="101">
        <f t="shared" si="1"/>
        <v>28</v>
      </c>
      <c r="N104" s="103">
        <f t="shared" si="1"/>
        <v>30</v>
      </c>
      <c r="O104" s="102">
        <f t="shared" si="1"/>
        <v>10</v>
      </c>
      <c r="P104" s="101">
        <f t="shared" si="1"/>
        <v>19</v>
      </c>
      <c r="Q104" s="101">
        <f t="shared" si="1"/>
        <v>13</v>
      </c>
    </row>
    <row r="105" ht="15.75" customHeight="1">
      <c r="A105" s="15" t="str">
        <f>Main!A105</f>
        <v/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14:B1000">
    <cfRule type="notContainsBlanks" dxfId="2" priority="1">
      <formula>LEN(TRIM(B114))&gt;0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119.13"/>
    <col customWidth="1" min="3" max="3" width="12.63"/>
    <col customWidth="1" min="4" max="4" width="19.75"/>
    <col customWidth="1" min="5" max="5" width="19.88"/>
    <col customWidth="1" min="6" max="7" width="12.63"/>
  </cols>
  <sheetData>
    <row r="1" ht="15.75" customHeight="1">
      <c r="A1" s="92" t="s">
        <v>4</v>
      </c>
      <c r="B1" s="92" t="s">
        <v>6</v>
      </c>
      <c r="C1" s="92" t="s">
        <v>5</v>
      </c>
      <c r="D1" s="92" t="s">
        <v>194</v>
      </c>
      <c r="E1" s="92" t="s">
        <v>195</v>
      </c>
      <c r="F1" s="8" t="s">
        <v>9</v>
      </c>
      <c r="G1" s="10" t="s">
        <v>21</v>
      </c>
      <c r="H1" s="8" t="s">
        <v>11</v>
      </c>
      <c r="I1" s="10" t="s">
        <v>12</v>
      </c>
      <c r="J1" s="8" t="s">
        <v>13</v>
      </c>
      <c r="K1" s="98" t="s">
        <v>196</v>
      </c>
      <c r="L1" s="8" t="s">
        <v>15</v>
      </c>
      <c r="M1" s="10" t="s">
        <v>16</v>
      </c>
      <c r="N1" s="8" t="s">
        <v>17</v>
      </c>
      <c r="O1" s="10" t="s">
        <v>18</v>
      </c>
      <c r="P1" s="8" t="s">
        <v>19</v>
      </c>
      <c r="Q1" s="10" t="s">
        <v>20</v>
      </c>
    </row>
    <row r="2" ht="15.75" customHeight="1">
      <c r="A2" s="15">
        <f>Main!A2</f>
        <v>1</v>
      </c>
      <c r="B2" s="15" t="str">
        <f>Main!B2</f>
        <v>That there will be a hung parliament at the next election and Labor will take office</v>
      </c>
      <c r="C2" s="15" t="str">
        <f>Main!C2</f>
        <v>Aus Politics</v>
      </c>
      <c r="D2" s="15">
        <v>0.5</v>
      </c>
      <c r="F2" s="99">
        <f>$D2-vlookup(Summary!$C2,Summary!$C$2:$Q$103,3+counta($F$1:F$1),false)</f>
        <v>0.1</v>
      </c>
      <c r="G2" s="99">
        <f>$D2-vlookup(Summary!$C2,Summary!$C$2:$Q$103,3+counta($F$1:G$1),false)</f>
        <v>-0.2</v>
      </c>
      <c r="H2" s="99">
        <f>$D2-vlookup(Summary!$C2,Summary!$C$2:$Q$103,3+counta($F$1:H$1),false)</f>
        <v>0.4</v>
      </c>
      <c r="I2" s="99">
        <f>$D2-vlookup(Summary!$C2,Summary!$C$2:$Q$103,3+counta($F$1:I$1),false)</f>
        <v>0.3</v>
      </c>
      <c r="J2" s="99">
        <f>$D2-vlookup(Summary!$C2,Summary!$C$2:$Q$103,3+counta($F$1:J$1),false)</f>
        <v>0</v>
      </c>
      <c r="K2" s="99">
        <f>$D2-vlookup(Summary!$C2,Summary!$C$2:$Q$103,3+counta($F$1:K$1),false)</f>
        <v>-0.15</v>
      </c>
      <c r="L2" s="99">
        <f>$D2-vlookup(Summary!$C2,Summary!$C$2:$Q$103,3+counta($F$1:L$1),false)</f>
        <v>0.3</v>
      </c>
      <c r="M2" s="99">
        <f>$D2-vlookup(Summary!$C2,Summary!$C$2:$Q$103,3+counta($F$1:M$1),false)</f>
        <v>0.4</v>
      </c>
      <c r="N2" s="99">
        <f>$D2-vlookup(Summary!$C2,Summary!$C$2:$Q$103,3+counta($F$1:N$1),false)</f>
        <v>-0.3</v>
      </c>
      <c r="O2" s="99">
        <f>$D2-vlookup(Summary!$C2,Summary!$C$2:$Q$103,3+counta($F$1:O$1),false)</f>
        <v>0.15</v>
      </c>
      <c r="P2" s="99">
        <f>$D2-vlookup(Summary!$C2,Summary!$C$2:$Q$103,3+counta($F$1:P$1),false)</f>
        <v>0.4</v>
      </c>
      <c r="Q2" s="99">
        <f>$D2-vlookup(Summary!$C2,Summary!$C$2:$Q$103,3+counta($F$1:Q$1),false)</f>
        <v>0.05</v>
      </c>
    </row>
    <row r="3" ht="15.75" customHeight="1">
      <c r="A3" s="15">
        <f>Main!A3</f>
        <v>2</v>
      </c>
      <c r="B3" s="15" t="str">
        <f>Main!B3</f>
        <v>Dan Andrews will become leader of the Australian Labor Party</v>
      </c>
      <c r="C3" s="15" t="str">
        <f>Main!C3</f>
        <v>Aus Politics</v>
      </c>
      <c r="D3" s="15">
        <v>0.1</v>
      </c>
      <c r="F3" s="99">
        <f>$D3-vlookup(Summary!$C3,Summary!$C$2:$Q$103,3+counta($F$1:F$1),false)</f>
        <v>-0.1</v>
      </c>
      <c r="G3" s="99">
        <f>$D3-vlookup(Summary!$C3,Summary!$C$2:$Q$103,3+counta($F$1:G$1),false)</f>
        <v>0</v>
      </c>
      <c r="H3" s="99">
        <f>$D3-vlookup(Summary!$C3,Summary!$C$2:$Q$103,3+counta($F$1:H$1),false)</f>
        <v>0.05</v>
      </c>
      <c r="I3" s="99">
        <f>$D3-vlookup(Summary!$C3,Summary!$C$2:$Q$103,3+counta($F$1:I$1),false)</f>
        <v>-0.1</v>
      </c>
      <c r="J3" s="99">
        <f>$D3-vlookup(Summary!$C3,Summary!$C$2:$Q$103,3+counta($F$1:J$1),false)</f>
        <v>0</v>
      </c>
      <c r="K3" s="99">
        <f>$D3-vlookup(Summary!$C3,Summary!$C$2:$Q$103,3+counta($F$1:K$1),false)</f>
        <v>0.1</v>
      </c>
      <c r="L3" s="99">
        <f>$D3-vlookup(Summary!$C3,Summary!$C$2:$Q$103,3+counta($F$1:L$1),false)</f>
        <v>0.099</v>
      </c>
      <c r="M3" s="99">
        <f>$D3-vlookup(Summary!$C3,Summary!$C$2:$Q$103,3+counta($F$1:M$1),false)</f>
        <v>0.05</v>
      </c>
      <c r="N3" s="99">
        <f>$D3-vlookup(Summary!$C3,Summary!$C$2:$Q$103,3+counta($F$1:N$1),false)</f>
        <v>0</v>
      </c>
      <c r="O3" s="99">
        <f>$D3-vlookup(Summary!$C3,Summary!$C$2:$Q$103,3+counta($F$1:O$1),false)</f>
        <v>0.099</v>
      </c>
      <c r="P3" s="99">
        <f>$D3-vlookup(Summary!$C3,Summary!$C$2:$Q$103,3+counta($F$1:P$1),false)</f>
        <v>0</v>
      </c>
      <c r="Q3" s="99">
        <f>$D3-vlookup(Summary!$C3,Summary!$C$2:$Q$103,3+counta($F$1:Q$1),false)</f>
        <v>0.09</v>
      </c>
    </row>
    <row r="4" ht="15.75" customHeight="1">
      <c r="A4" s="15">
        <f>Main!A4</f>
        <v>3</v>
      </c>
      <c r="B4" s="15" t="str">
        <f>Main!B4</f>
        <v>The Greens will get more than 9 senators in the next federal election</v>
      </c>
      <c r="C4" s="15" t="str">
        <f>Main!C4</f>
        <v>Aus Politics</v>
      </c>
      <c r="D4" s="15">
        <v>0.7</v>
      </c>
      <c r="F4" s="99">
        <f>$D4-vlookup(Summary!$C4,Summary!$C$2:$Q$103,3+counta($F$1:F$1),false)</f>
        <v>0.1</v>
      </c>
      <c r="G4" s="99">
        <f>$D4-vlookup(Summary!$C4,Summary!$C$2:$Q$103,3+counta($F$1:G$1),false)</f>
        <v>0.4</v>
      </c>
      <c r="H4" s="99">
        <f>$D4-vlookup(Summary!$C4,Summary!$C$2:$Q$103,3+counta($F$1:H$1),false)</f>
        <v>0.6</v>
      </c>
      <c r="I4" s="99">
        <f>$D4-vlookup(Summary!$C4,Summary!$C$2:$Q$103,3+counta($F$1:I$1),false)</f>
        <v>0.1</v>
      </c>
      <c r="J4" s="99">
        <f>$D4-vlookup(Summary!$C4,Summary!$C$2:$Q$103,3+counta($F$1:J$1),false)</f>
        <v>0</v>
      </c>
      <c r="K4" s="99">
        <f>$D4-vlookup(Summary!$C4,Summary!$C$2:$Q$103,3+counta($F$1:K$1),false)</f>
        <v>0.1</v>
      </c>
      <c r="L4" s="99">
        <f>$D4-vlookup(Summary!$C4,Summary!$C$2:$Q$103,3+counta($F$1:L$1),false)</f>
        <v>0</v>
      </c>
      <c r="M4" s="99">
        <f>$D4-vlookup(Summary!$C4,Summary!$C$2:$Q$103,3+counta($F$1:M$1),false)</f>
        <v>0.6</v>
      </c>
      <c r="N4" s="99">
        <f>$D4-vlookup(Summary!$C4,Summary!$C$2:$Q$103,3+counta($F$1:N$1),false)</f>
        <v>0.6</v>
      </c>
      <c r="O4" s="99">
        <f>$D4-vlookup(Summary!$C4,Summary!$C$2:$Q$103,3+counta($F$1:O$1),false)</f>
        <v>0.2</v>
      </c>
      <c r="P4" s="99">
        <f>$D4-vlookup(Summary!$C4,Summary!$C$2:$Q$103,3+counta($F$1:P$1),false)</f>
        <v>0.2</v>
      </c>
      <c r="Q4" s="99">
        <f>$D4-vlookup(Summary!$C4,Summary!$C$2:$Q$103,3+counta($F$1:Q$1),false)</f>
        <v>0.15</v>
      </c>
    </row>
    <row r="5" ht="15.75" customHeight="1">
      <c r="A5" s="15">
        <f>Main!A5</f>
        <v>4</v>
      </c>
      <c r="B5" s="15" t="str">
        <f>Main!B5</f>
        <v>The House of Reps will include 5 independents by the end of the federal election</v>
      </c>
      <c r="C5" s="15" t="str">
        <f>Main!C5</f>
        <v>Aus Politics</v>
      </c>
      <c r="D5" s="15">
        <v>0.9</v>
      </c>
      <c r="F5" s="99">
        <f>$D5-vlookup(Summary!$C5,Summary!$C$2:$Q$103,3+counta($F$1:F$1),false)</f>
        <v>0.2</v>
      </c>
      <c r="G5" s="99">
        <f>$D5-vlookup(Summary!$C5,Summary!$C$2:$Q$103,3+counta($F$1:G$1),false)</f>
        <v>0.6</v>
      </c>
      <c r="H5" s="99">
        <f>$D5-vlookup(Summary!$C5,Summary!$C$2:$Q$103,3+counta($F$1:H$1),false)</f>
        <v>0.8</v>
      </c>
      <c r="I5" s="99">
        <f>$D5-vlookup(Summary!$C5,Summary!$C$2:$Q$103,3+counta($F$1:I$1),false)</f>
        <v>0.2</v>
      </c>
      <c r="J5" s="99">
        <f>$D5-vlookup(Summary!$C5,Summary!$C$2:$Q$103,3+counta($F$1:J$1),false)</f>
        <v>0</v>
      </c>
      <c r="K5" s="99">
        <f>$D5-vlookup(Summary!$C5,Summary!$C$2:$Q$103,3+counta($F$1:K$1),false)</f>
        <v>0.15</v>
      </c>
      <c r="L5" s="99">
        <f>$D5-vlookup(Summary!$C5,Summary!$C$2:$Q$103,3+counta($F$1:L$1),false)</f>
        <v>0.899</v>
      </c>
      <c r="M5" s="99">
        <f>$D5-vlookup(Summary!$C5,Summary!$C$2:$Q$103,3+counta($F$1:M$1),false)</f>
        <v>0.8</v>
      </c>
      <c r="N5" s="99">
        <f>$D5-vlookup(Summary!$C5,Summary!$C$2:$Q$103,3+counta($F$1:N$1),false)</f>
        <v>0</v>
      </c>
      <c r="O5" s="99">
        <f>$D5-vlookup(Summary!$C5,Summary!$C$2:$Q$103,3+counta($F$1:O$1),false)</f>
        <v>0.4</v>
      </c>
      <c r="P5" s="99">
        <f>$D5-vlookup(Summary!$C5,Summary!$C$2:$Q$103,3+counta($F$1:P$1),false)</f>
        <v>0.1</v>
      </c>
      <c r="Q5" s="99">
        <f>$D5-vlookup(Summary!$C5,Summary!$C$2:$Q$103,3+counta($F$1:Q$1),false)</f>
        <v>0.2</v>
      </c>
    </row>
    <row r="6" ht="15.75" customHeight="1">
      <c r="A6" s="15">
        <f>Main!A6</f>
        <v>5</v>
      </c>
      <c r="B6" s="15" t="str">
        <f>Main!B6</f>
        <v>The Australian Labor Party will not pledge to reverse the uni fee structure introduced in 2020</v>
      </c>
      <c r="C6" s="15" t="str">
        <f>Main!C6</f>
        <v>Aus Politics</v>
      </c>
      <c r="D6" s="15">
        <v>0.5</v>
      </c>
      <c r="F6" s="99">
        <f>$D6-vlookup(Summary!$C6,Summary!$C$2:$Q$103,3+counta($F$1:F$1),false)</f>
        <v>-0.1</v>
      </c>
      <c r="G6" s="99">
        <f>$D6-vlookup(Summary!$C6,Summary!$C$2:$Q$103,3+counta($F$1:G$1),false)</f>
        <v>-0.3</v>
      </c>
      <c r="H6" s="99">
        <f>$D6-vlookup(Summary!$C6,Summary!$C$2:$Q$103,3+counta($F$1:H$1),false)</f>
        <v>-0.4</v>
      </c>
      <c r="I6" s="99">
        <f>$D6-vlookup(Summary!$C6,Summary!$C$2:$Q$103,3+counta($F$1:I$1),false)</f>
        <v>-0.2</v>
      </c>
      <c r="J6" s="99">
        <f>$D6-vlookup(Summary!$C6,Summary!$C$2:$Q$103,3+counta($F$1:J$1),false)</f>
        <v>0</v>
      </c>
      <c r="K6" s="99">
        <f>$D6-vlookup(Summary!$C6,Summary!$C$2:$Q$103,3+counta($F$1:K$1),false)</f>
        <v>-0.35</v>
      </c>
      <c r="L6" s="99">
        <f>$D6-vlookup(Summary!$C6,Summary!$C$2:$Q$103,3+counta($F$1:L$1),false)</f>
        <v>-0.4</v>
      </c>
      <c r="M6" s="99">
        <f>$D6-vlookup(Summary!$C6,Summary!$C$2:$Q$103,3+counta($F$1:M$1),false)</f>
        <v>-0.4</v>
      </c>
      <c r="N6" s="99">
        <f>$D6-vlookup(Summary!$C6,Summary!$C$2:$Q$103,3+counta($F$1:N$1),false)</f>
        <v>-0.4</v>
      </c>
      <c r="O6" s="99">
        <f>$D6-vlookup(Summary!$C6,Summary!$C$2:$Q$103,3+counta($F$1:O$1),false)</f>
        <v>-0.35</v>
      </c>
      <c r="P6" s="99">
        <f>$D6-vlookup(Summary!$C6,Summary!$C$2:$Q$103,3+counta($F$1:P$1),false)</f>
        <v>-0.3</v>
      </c>
      <c r="Q6" s="99">
        <f>$D6-vlookup(Summary!$C6,Summary!$C$2:$Q$103,3+counta($F$1:Q$1),false)</f>
        <v>-0.25</v>
      </c>
    </row>
    <row r="7" ht="15.75" customHeight="1">
      <c r="A7" s="15">
        <f>Main!A7</f>
        <v>6</v>
      </c>
      <c r="B7" s="15" t="str">
        <f>Main!B7</f>
        <v>Zali Steggal and Helen Haines will both retain their seats in Federal Parliament</v>
      </c>
      <c r="C7" s="15" t="str">
        <f>Main!C7</f>
        <v>Aus Politics</v>
      </c>
      <c r="D7" s="15">
        <v>0.9</v>
      </c>
      <c r="F7" s="99">
        <f>$D7-vlookup(Summary!$C7,Summary!$C$2:$Q$103,3+counta($F$1:F$1),false)</f>
        <v>0.4</v>
      </c>
      <c r="G7" s="99">
        <f>$D7-vlookup(Summary!$C7,Summary!$C$2:$Q$103,3+counta($F$1:G$1),false)</f>
        <v>0</v>
      </c>
      <c r="H7" s="99">
        <f>$D7-vlookup(Summary!$C7,Summary!$C$2:$Q$103,3+counta($F$1:H$1),false)</f>
        <v>0.4</v>
      </c>
      <c r="I7" s="99">
        <f>$D7-vlookup(Summary!$C7,Summary!$C$2:$Q$103,3+counta($F$1:I$1),false)</f>
        <v>0.2</v>
      </c>
      <c r="J7" s="99">
        <f>$D7-vlookup(Summary!$C7,Summary!$C$2:$Q$103,3+counta($F$1:J$1),false)</f>
        <v>0</v>
      </c>
      <c r="K7" s="99">
        <f>$D7-vlookup(Summary!$C7,Summary!$C$2:$Q$103,3+counta($F$1:K$1),false)</f>
        <v>-0.05</v>
      </c>
      <c r="L7" s="99">
        <f>$D7-vlookup(Summary!$C7,Summary!$C$2:$Q$103,3+counta($F$1:L$1),false)</f>
        <v>0.5</v>
      </c>
      <c r="M7" s="99">
        <f>$D7-vlookup(Summary!$C7,Summary!$C$2:$Q$103,3+counta($F$1:M$1),false)</f>
        <v>0.4</v>
      </c>
      <c r="N7" s="99">
        <f>$D7-vlookup(Summary!$C7,Summary!$C$2:$Q$103,3+counta($F$1:N$1),false)</f>
        <v>0</v>
      </c>
      <c r="O7" s="99">
        <f>$D7-vlookup(Summary!$C7,Summary!$C$2:$Q$103,3+counta($F$1:O$1),false)</f>
        <v>0.05</v>
      </c>
      <c r="P7" s="99">
        <f>$D7-vlookup(Summary!$C7,Summary!$C$2:$Q$103,3+counta($F$1:P$1),false)</f>
        <v>0</v>
      </c>
      <c r="Q7" s="99">
        <f>$D7-vlookup(Summary!$C7,Summary!$C$2:$Q$103,3+counta($F$1:Q$1),false)</f>
        <v>0.4</v>
      </c>
    </row>
    <row r="8" ht="15.75" customHeight="1">
      <c r="A8" s="15">
        <f>Main!A8</f>
        <v>7</v>
      </c>
      <c r="B8" s="15" t="str">
        <f>Main!B8</f>
        <v>Scott Morrison will lose leadership of the Liberal Party at least once</v>
      </c>
      <c r="C8" s="15" t="str">
        <f>Main!C8</f>
        <v>Aus Politics</v>
      </c>
      <c r="D8" s="15">
        <v>0.6</v>
      </c>
      <c r="F8" s="99">
        <f>$D8-vlookup(Summary!$C8,Summary!$C$2:$Q$103,3+counta($F$1:F$1),false)</f>
        <v>-0.2</v>
      </c>
      <c r="G8" s="99">
        <f>$D8-vlookup(Summary!$C8,Summary!$C$2:$Q$103,3+counta($F$1:G$1),false)</f>
        <v>-0.1</v>
      </c>
      <c r="H8" s="99">
        <f>$D8-vlookup(Summary!$C8,Summary!$C$2:$Q$103,3+counta($F$1:H$1),false)</f>
        <v>0.45</v>
      </c>
      <c r="I8" s="99">
        <f>$D8-vlookup(Summary!$C8,Summary!$C$2:$Q$103,3+counta($F$1:I$1),false)</f>
        <v>0.3</v>
      </c>
      <c r="J8" s="99">
        <f>$D8-vlookup(Summary!$C8,Summary!$C$2:$Q$103,3+counta($F$1:J$1),false)</f>
        <v>0</v>
      </c>
      <c r="K8" s="99">
        <f>$D8-vlookup(Summary!$C8,Summary!$C$2:$Q$103,3+counta($F$1:K$1),false)</f>
        <v>-0.15</v>
      </c>
      <c r="L8" s="99">
        <f>$D8-vlookup(Summary!$C8,Summary!$C$2:$Q$103,3+counta($F$1:L$1),false)</f>
        <v>0.1</v>
      </c>
      <c r="M8" s="99">
        <f>$D8-vlookup(Summary!$C8,Summary!$C$2:$Q$103,3+counta($F$1:M$1),false)</f>
        <v>0.55</v>
      </c>
      <c r="N8" s="99">
        <f>$D8-vlookup(Summary!$C8,Summary!$C$2:$Q$103,3+counta($F$1:N$1),false)</f>
        <v>-0.3</v>
      </c>
      <c r="O8" s="99">
        <f>$D8-vlookup(Summary!$C8,Summary!$C$2:$Q$103,3+counta($F$1:O$1),false)</f>
        <v>0.25</v>
      </c>
      <c r="P8" s="99">
        <f>$D8-vlookup(Summary!$C8,Summary!$C$2:$Q$103,3+counta($F$1:P$1),false)</f>
        <v>-0.1</v>
      </c>
      <c r="Q8" s="99">
        <f>$D8-vlookup(Summary!$C8,Summary!$C$2:$Q$103,3+counta($F$1:Q$1),false)</f>
        <v>-0.3</v>
      </c>
    </row>
    <row r="9" ht="15.75" customHeight="1">
      <c r="A9" s="15">
        <f>Main!A9</f>
        <v>8</v>
      </c>
      <c r="B9" s="15" t="str">
        <f>Main!B9</f>
        <v>Anthony Albanese will be Prime Minister on at least one day</v>
      </c>
      <c r="C9" s="15" t="str">
        <f>Main!C9</f>
        <v>Aus Politics</v>
      </c>
      <c r="D9" s="15">
        <v>0.1</v>
      </c>
      <c r="F9" s="99">
        <f>$D9-vlookup(Summary!$C9,Summary!$C$2:$Q$103,3+counta($F$1:F$1),false)</f>
        <v>-0.5</v>
      </c>
      <c r="G9" s="99">
        <f>$D9-vlookup(Summary!$C9,Summary!$C$2:$Q$103,3+counta($F$1:G$1),false)</f>
        <v>-0.8</v>
      </c>
      <c r="H9" s="99">
        <f>$D9-vlookup(Summary!$C9,Summary!$C$2:$Q$103,3+counta($F$1:H$1),false)</f>
        <v>0.05</v>
      </c>
      <c r="I9" s="99">
        <f>$D9-vlookup(Summary!$C9,Summary!$C$2:$Q$103,3+counta($F$1:I$1),false)</f>
        <v>-0.2</v>
      </c>
      <c r="J9" s="99">
        <f>$D9-vlookup(Summary!$C9,Summary!$C$2:$Q$103,3+counta($F$1:J$1),false)</f>
        <v>0</v>
      </c>
      <c r="K9" s="99">
        <f>$D9-vlookup(Summary!$C9,Summary!$C$2:$Q$103,3+counta($F$1:K$1),false)</f>
        <v>-0.65</v>
      </c>
      <c r="L9" s="99">
        <f>$D9-vlookup(Summary!$C9,Summary!$C$2:$Q$103,3+counta($F$1:L$1),false)</f>
        <v>-0.2</v>
      </c>
      <c r="M9" s="99">
        <f>$D9-vlookup(Summary!$C9,Summary!$C$2:$Q$103,3+counta($F$1:M$1),false)</f>
        <v>0.05</v>
      </c>
      <c r="N9" s="99">
        <f>$D9-vlookup(Summary!$C9,Summary!$C$2:$Q$103,3+counta($F$1:N$1),false)</f>
        <v>-0.8</v>
      </c>
      <c r="O9" s="99">
        <f>$D9-vlookup(Summary!$C9,Summary!$C$2:$Q$103,3+counta($F$1:O$1),false)</f>
        <v>-0.25</v>
      </c>
      <c r="P9" s="99">
        <f>$D9-vlookup(Summary!$C9,Summary!$C$2:$Q$103,3+counta($F$1:P$1),false)</f>
        <v>-0.7</v>
      </c>
      <c r="Q9" s="99">
        <f>$D9-vlookup(Summary!$C9,Summary!$C$2:$Q$103,3+counta($F$1:Q$1),false)</f>
        <v>-0.3</v>
      </c>
    </row>
    <row r="10" ht="15.75" customHeight="1">
      <c r="A10" s="15">
        <f>Main!A10</f>
        <v>9</v>
      </c>
      <c r="B10" s="15" t="str">
        <f>Main!B10</f>
        <v>A sitting MP will make allegations of possible voter fraud or election 'rigging' in the 2022 Australian federal election</v>
      </c>
      <c r="C10" s="15" t="str">
        <f>Main!C10</f>
        <v>Aus Politics</v>
      </c>
      <c r="D10" s="15">
        <v>0.9</v>
      </c>
      <c r="F10" s="99">
        <f>$D10-vlookup(Summary!$C10,Summary!$C$2:$Q$103,3+counta($F$1:F$1),false)</f>
        <v>0.35</v>
      </c>
      <c r="G10" s="99">
        <f>$D10-vlookup(Summary!$C10,Summary!$C$2:$Q$103,3+counta($F$1:G$1),false)</f>
        <v>0.6</v>
      </c>
      <c r="H10" s="99">
        <f>$D10-vlookup(Summary!$C10,Summary!$C$2:$Q$103,3+counta($F$1:H$1),false)</f>
        <v>0.6</v>
      </c>
      <c r="I10" s="99">
        <f>$D10-vlookup(Summary!$C10,Summary!$C$2:$Q$103,3+counta($F$1:I$1),false)</f>
        <v>0.5</v>
      </c>
      <c r="J10" s="99">
        <f>$D10-vlookup(Summary!$C10,Summary!$C$2:$Q$103,3+counta($F$1:J$1),false)</f>
        <v>0</v>
      </c>
      <c r="K10" s="99">
        <f>$D10-vlookup(Summary!$C10,Summary!$C$2:$Q$103,3+counta($F$1:K$1),false)</f>
        <v>0.55</v>
      </c>
      <c r="L10" s="99">
        <f>$D10-vlookup(Summary!$C10,Summary!$C$2:$Q$103,3+counta($F$1:L$1),false)</f>
        <v>0</v>
      </c>
      <c r="M10" s="99">
        <f>$D10-vlookup(Summary!$C10,Summary!$C$2:$Q$103,3+counta($F$1:M$1),false)</f>
        <v>0.6</v>
      </c>
      <c r="N10" s="99">
        <f>$D10-vlookup(Summary!$C10,Summary!$C$2:$Q$103,3+counta($F$1:N$1),false)</f>
        <v>0.2</v>
      </c>
      <c r="O10" s="99">
        <f>$D10-vlookup(Summary!$C10,Summary!$C$2:$Q$103,3+counta($F$1:O$1),false)</f>
        <v>0.05</v>
      </c>
      <c r="P10" s="99">
        <f>$D10-vlookup(Summary!$C10,Summary!$C$2:$Q$103,3+counta($F$1:P$1),false)</f>
        <v>0.5</v>
      </c>
      <c r="Q10" s="99">
        <f>$D10-vlookup(Summary!$C10,Summary!$C$2:$Q$103,3+counta($F$1:Q$1),false)</f>
        <v>0.1</v>
      </c>
    </row>
    <row r="11" ht="15.75" customHeight="1">
      <c r="A11" s="15">
        <f>Main!A11</f>
        <v>10</v>
      </c>
      <c r="B11" s="15" t="str">
        <f>Main!B11</f>
        <v>The Australian Intelligence Community will release a statement contradicting a Government minister or MP during the 2022 election campaign</v>
      </c>
      <c r="C11" s="15" t="str">
        <f>Main!C11</f>
        <v>Aus Politics</v>
      </c>
      <c r="D11" s="15">
        <v>0.1</v>
      </c>
      <c r="F11" s="99">
        <f>$D11-vlookup(Summary!$C11,Summary!$C$2:$Q$103,3+counta($F$1:F$1),false)</f>
        <v>-0.3</v>
      </c>
      <c r="G11" s="99">
        <f>$D11-vlookup(Summary!$C11,Summary!$C$2:$Q$103,3+counta($F$1:G$1),false)</f>
        <v>-0.1</v>
      </c>
      <c r="H11" s="99">
        <f>$D11-vlookup(Summary!$C11,Summary!$C$2:$Q$103,3+counta($F$1:H$1),false)</f>
        <v>0</v>
      </c>
      <c r="I11" s="99">
        <f>$D11-vlookup(Summary!$C11,Summary!$C$2:$Q$103,3+counta($F$1:I$1),false)</f>
        <v>-0.1</v>
      </c>
      <c r="J11" s="99">
        <f>$D11-vlookup(Summary!$C11,Summary!$C$2:$Q$103,3+counta($F$1:J$1),false)</f>
        <v>0</v>
      </c>
      <c r="K11" s="99">
        <f>$D11-vlookup(Summary!$C11,Summary!$C$2:$Q$103,3+counta($F$1:K$1),false)</f>
        <v>-0.45</v>
      </c>
      <c r="L11" s="99">
        <f>$D11-vlookup(Summary!$C11,Summary!$C$2:$Q$103,3+counta($F$1:L$1),false)</f>
        <v>-0.05</v>
      </c>
      <c r="M11" s="99">
        <f>$D11-vlookup(Summary!$C11,Summary!$C$2:$Q$103,3+counta($F$1:M$1),false)</f>
        <v>0</v>
      </c>
      <c r="N11" s="99">
        <f>$D11-vlookup(Summary!$C11,Summary!$C$2:$Q$103,3+counta($F$1:N$1),false)</f>
        <v>-0.8</v>
      </c>
      <c r="O11" s="99">
        <f>$D11-vlookup(Summary!$C11,Summary!$C$2:$Q$103,3+counta($F$1:O$1),false)</f>
        <v>0.099</v>
      </c>
      <c r="P11" s="99">
        <f>$D11-vlookup(Summary!$C11,Summary!$C$2:$Q$103,3+counta($F$1:P$1),false)</f>
        <v>0</v>
      </c>
      <c r="Q11" s="99">
        <f>$D11-vlookup(Summary!$C11,Summary!$C$2:$Q$103,3+counta($F$1:Q$1),false)</f>
        <v>-0.65</v>
      </c>
    </row>
    <row r="12" ht="15.75" customHeight="1">
      <c r="A12" s="15">
        <f>Main!A12</f>
        <v>11</v>
      </c>
      <c r="B12" s="15" t="str">
        <f>Main!B12</f>
        <v>Scott Morrison will still be the Prime Minister of Australia</v>
      </c>
      <c r="C12" s="15" t="str">
        <f>Main!C12</f>
        <v>Aus Politics</v>
      </c>
      <c r="D12" s="15">
        <v>0.5</v>
      </c>
      <c r="F12" s="99">
        <f>$D12-vlookup(Summary!$C12,Summary!$C$2:$Q$103,3+counta($F$1:F$1),false)</f>
        <v>0.1</v>
      </c>
      <c r="G12" s="99">
        <f>$D12-vlookup(Summary!$C12,Summary!$C$2:$Q$103,3+counta($F$1:G$1),false)</f>
        <v>0.3</v>
      </c>
      <c r="H12" s="99">
        <f>$D12-vlookup(Summary!$C12,Summary!$C$2:$Q$103,3+counta($F$1:H$1),false)</f>
        <v>0.3</v>
      </c>
      <c r="I12" s="99">
        <f>$D12-vlookup(Summary!$C12,Summary!$C$2:$Q$103,3+counta($F$1:I$1),false)</f>
        <v>-0.3</v>
      </c>
      <c r="J12" s="99">
        <f>$D12-vlookup(Summary!$C12,Summary!$C$2:$Q$103,3+counta($F$1:J$1),false)</f>
        <v>0</v>
      </c>
      <c r="K12" s="99">
        <f>$D12-vlookup(Summary!$C12,Summary!$C$2:$Q$103,3+counta($F$1:K$1),false)</f>
        <v>-0.25</v>
      </c>
      <c r="L12" s="99">
        <f>$D12-vlookup(Summary!$C12,Summary!$C$2:$Q$103,3+counta($F$1:L$1),false)</f>
        <v>-0.2</v>
      </c>
      <c r="M12" s="99">
        <f>$D12-vlookup(Summary!$C12,Summary!$C$2:$Q$103,3+counta($F$1:M$1),false)</f>
        <v>0.45</v>
      </c>
      <c r="N12" s="99">
        <f>$D12-vlookup(Summary!$C12,Summary!$C$2:$Q$103,3+counta($F$1:N$1),false)</f>
        <v>0.4</v>
      </c>
      <c r="O12" s="99">
        <f>$D12-vlookup(Summary!$C12,Summary!$C$2:$Q$103,3+counta($F$1:O$1),false)</f>
        <v>-0.15</v>
      </c>
      <c r="P12" s="99">
        <f>$D12-vlookup(Summary!$C12,Summary!$C$2:$Q$103,3+counta($F$1:P$1),false)</f>
        <v>0.2</v>
      </c>
      <c r="Q12" s="99">
        <f>$D12-vlookup(Summary!$C12,Summary!$C$2:$Q$103,3+counta($F$1:Q$1),false)</f>
        <v>0.4</v>
      </c>
    </row>
    <row r="13" ht="15.75" customHeight="1">
      <c r="A13" s="15">
        <f>Main!A13</f>
        <v>12</v>
      </c>
      <c r="B13" s="15" t="str">
        <f>Main!B13</f>
        <v>An Australian federal Minister will step down from their position due to direct involvement (proven or otherwise) in sexual misconduct at some point in the year.</v>
      </c>
      <c r="C13" s="15" t="str">
        <f>Main!C13</f>
        <v>Aus Politics</v>
      </c>
      <c r="D13" s="15">
        <v>0.9</v>
      </c>
      <c r="F13" s="99">
        <f>$D13-vlookup(Summary!$C13,Summary!$C$2:$Q$103,3+counta($F$1:F$1),false)</f>
        <v>0.25</v>
      </c>
      <c r="G13" s="99">
        <f>$D13-vlookup(Summary!$C13,Summary!$C$2:$Q$103,3+counta($F$1:G$1),false)</f>
        <v>0.5</v>
      </c>
      <c r="H13" s="99">
        <f>$D13-vlookup(Summary!$C13,Summary!$C$2:$Q$103,3+counta($F$1:H$1),false)</f>
        <v>0.8</v>
      </c>
      <c r="I13" s="99">
        <f>$D13-vlookup(Summary!$C13,Summary!$C$2:$Q$103,3+counta($F$1:I$1),false)</f>
        <v>0</v>
      </c>
      <c r="J13" s="99">
        <f>$D13-vlookup(Summary!$C13,Summary!$C$2:$Q$103,3+counta($F$1:J$1),false)</f>
        <v>0</v>
      </c>
      <c r="K13" s="99">
        <f>$D13-vlookup(Summary!$C13,Summary!$C$2:$Q$103,3+counta($F$1:K$1),false)</f>
        <v>0.55</v>
      </c>
      <c r="L13" s="99">
        <f>$D13-vlookup(Summary!$C13,Summary!$C$2:$Q$103,3+counta($F$1:L$1),false)</f>
        <v>0.7</v>
      </c>
      <c r="M13" s="99">
        <f>$D13-vlookup(Summary!$C13,Summary!$C$2:$Q$103,3+counta($F$1:M$1),false)</f>
        <v>0.8</v>
      </c>
      <c r="N13" s="99">
        <f>$D13-vlookup(Summary!$C13,Summary!$C$2:$Q$103,3+counta($F$1:N$1),false)</f>
        <v>0.3</v>
      </c>
      <c r="O13" s="99">
        <f>$D13-vlookup(Summary!$C13,Summary!$C$2:$Q$103,3+counta($F$1:O$1),false)</f>
        <v>0.75</v>
      </c>
      <c r="P13" s="99">
        <f>$D13-vlookup(Summary!$C13,Summary!$C$2:$Q$103,3+counta($F$1:P$1),false)</f>
        <v>0.6</v>
      </c>
      <c r="Q13" s="99">
        <f>$D13-vlookup(Summary!$C13,Summary!$C$2:$Q$103,3+counta($F$1:Q$1),false)</f>
        <v>0.3</v>
      </c>
    </row>
    <row r="14" ht="15.75" customHeight="1">
      <c r="A14" s="15">
        <f>Main!A14</f>
        <v>13</v>
      </c>
      <c r="B14" s="15" t="str">
        <f>Main!B14</f>
        <v>Friendlyjordies, or evidence he has brought to light, will feature in a court case or ICAC inquiry.</v>
      </c>
      <c r="C14" s="15" t="str">
        <f>Main!C14</f>
        <v>Aus Politics</v>
      </c>
      <c r="D14" s="15">
        <v>0.7</v>
      </c>
      <c r="F14" s="99">
        <f>$D14-vlookup(Summary!$C14,Summary!$C$2:$Q$103,3+counta($F$1:F$1),false)</f>
        <v>0.15</v>
      </c>
      <c r="G14" s="99">
        <f>$D14-vlookup(Summary!$C14,Summary!$C$2:$Q$103,3+counta($F$1:G$1),false)</f>
        <v>0</v>
      </c>
      <c r="H14" s="99">
        <f>$D14-vlookup(Summary!$C14,Summary!$C$2:$Q$103,3+counta($F$1:H$1),false)</f>
        <v>0.4</v>
      </c>
      <c r="I14" s="99">
        <f>$D14-vlookup(Summary!$C14,Summary!$C$2:$Q$103,3+counta($F$1:I$1),false)</f>
        <v>0.1</v>
      </c>
      <c r="J14" s="99">
        <f>$D14-vlookup(Summary!$C14,Summary!$C$2:$Q$103,3+counta($F$1:J$1),false)</f>
        <v>0</v>
      </c>
      <c r="K14" s="99">
        <f>$D14-vlookup(Summary!$C14,Summary!$C$2:$Q$103,3+counta($F$1:K$1),false)</f>
        <v>0.05</v>
      </c>
      <c r="L14" s="99">
        <f>$D14-vlookup(Summary!$C14,Summary!$C$2:$Q$103,3+counta($F$1:L$1),false)</f>
        <v>0.2</v>
      </c>
      <c r="M14" s="99">
        <f>$D14-vlookup(Summary!$C14,Summary!$C$2:$Q$103,3+counta($F$1:M$1),false)</f>
        <v>0.4</v>
      </c>
      <c r="N14" s="99">
        <f>$D14-vlookup(Summary!$C14,Summary!$C$2:$Q$103,3+counta($F$1:N$1),false)</f>
        <v>0.6</v>
      </c>
      <c r="O14" s="99">
        <f>$D14-vlookup(Summary!$C14,Summary!$C$2:$Q$103,3+counta($F$1:O$1),false)</f>
        <v>0.55</v>
      </c>
      <c r="P14" s="99">
        <f>$D14-vlookup(Summary!$C14,Summary!$C$2:$Q$103,3+counta($F$1:P$1),false)</f>
        <v>0.2</v>
      </c>
      <c r="Q14" s="99">
        <f>$D14-vlookup(Summary!$C14,Summary!$C$2:$Q$103,3+counta($F$1:Q$1),false)</f>
        <v>0.2</v>
      </c>
    </row>
    <row r="15" ht="15.75" customHeight="1">
      <c r="A15" s="15">
        <f>Main!A15</f>
        <v>14</v>
      </c>
      <c r="B15" s="15" t="str">
        <f>Main!B15</f>
        <v>At least one person commits suicide as an effect of the Royal Commission into Defence and Veteran Suicide, as reported in The Guardian</v>
      </c>
      <c r="C15" s="15" t="str">
        <f>Main!C15</f>
        <v>Aus Politics</v>
      </c>
      <c r="D15" s="15">
        <v>0.3</v>
      </c>
      <c r="F15" s="99">
        <f>$D15-vlookup(Summary!$C15,Summary!$C$2:$Q$103,3+counta($F$1:F$1),false)</f>
        <v>-0.1</v>
      </c>
      <c r="G15" s="99">
        <f>$D15-vlookup(Summary!$C15,Summary!$C$2:$Q$103,3+counta($F$1:G$1),false)</f>
        <v>-0.5</v>
      </c>
      <c r="H15" s="99">
        <f>$D15-vlookup(Summary!$C15,Summary!$C$2:$Q$103,3+counta($F$1:H$1),false)</f>
        <v>-0.4</v>
      </c>
      <c r="I15" s="99">
        <f>$D15-vlookup(Summary!$C15,Summary!$C$2:$Q$103,3+counta($F$1:I$1),false)</f>
        <v>-0.1</v>
      </c>
      <c r="J15" s="99">
        <f>$D15-vlookup(Summary!$C15,Summary!$C$2:$Q$103,3+counta($F$1:J$1),false)</f>
        <v>0</v>
      </c>
      <c r="K15" s="99">
        <f>$D15-vlookup(Summary!$C15,Summary!$C$2:$Q$103,3+counta($F$1:K$1),false)</f>
        <v>-0.55</v>
      </c>
      <c r="L15" s="99">
        <f>$D15-vlookup(Summary!$C15,Summary!$C$2:$Q$103,3+counta($F$1:L$1),false)</f>
        <v>-0.3</v>
      </c>
      <c r="M15" s="99">
        <f>$D15-vlookup(Summary!$C15,Summary!$C$2:$Q$103,3+counta($F$1:M$1),false)</f>
        <v>-0.4</v>
      </c>
      <c r="N15" s="99">
        <f>$D15-vlookup(Summary!$C15,Summary!$C$2:$Q$103,3+counta($F$1:N$1),false)</f>
        <v>-0.6</v>
      </c>
      <c r="O15" s="99">
        <f>$D15-vlookup(Summary!$C15,Summary!$C$2:$Q$103,3+counta($F$1:O$1),false)</f>
        <v>0.15</v>
      </c>
      <c r="P15" s="99">
        <f>$D15-vlookup(Summary!$C15,Summary!$C$2:$Q$103,3+counta($F$1:P$1),false)</f>
        <v>-0.2</v>
      </c>
      <c r="Q15" s="99">
        <f>$D15-vlookup(Summary!$C15,Summary!$C$2:$Q$103,3+counta($F$1:Q$1),false)</f>
        <v>-0.1</v>
      </c>
    </row>
    <row r="16" ht="15.75" customHeight="1">
      <c r="A16" s="15">
        <f>Main!A16</f>
        <v>15</v>
      </c>
      <c r="B16" s="15" t="str">
        <f>Main!B16</f>
        <v>Taylor Swift will get married</v>
      </c>
      <c r="C16" s="15" t="str">
        <f>Main!C16</f>
        <v>Celebrities</v>
      </c>
      <c r="D16" s="15">
        <v>0.6</v>
      </c>
      <c r="F16" s="99">
        <f>$D16-vlookup(Summary!$C16,Summary!$C$2:$Q$103,3+counta($F$1:F$1),false)</f>
        <v>0.05</v>
      </c>
      <c r="G16" s="99">
        <f>$D16-vlookup(Summary!$C16,Summary!$C$2:$Q$103,3+counta($F$1:G$1),false)</f>
        <v>0.2</v>
      </c>
      <c r="H16" s="99">
        <f>$D16-vlookup(Summary!$C16,Summary!$C$2:$Q$103,3+counta($F$1:H$1),false)</f>
        <v>-0.1</v>
      </c>
      <c r="I16" s="99">
        <f>$D16-vlookup(Summary!$C16,Summary!$C$2:$Q$103,3+counta($F$1:I$1),false)</f>
        <v>0.45</v>
      </c>
      <c r="J16" s="99">
        <f>$D16-vlookup(Summary!$C16,Summary!$C$2:$Q$103,3+counta($F$1:J$1),false)</f>
        <v>0</v>
      </c>
      <c r="K16" s="99">
        <f>$D16-vlookup(Summary!$C16,Summary!$C$2:$Q$103,3+counta($F$1:K$1),false)</f>
        <v>-0.2</v>
      </c>
      <c r="L16" s="99">
        <f>$D16-vlookup(Summary!$C16,Summary!$C$2:$Q$103,3+counta($F$1:L$1),false)</f>
        <v>0.4</v>
      </c>
      <c r="M16" s="99">
        <f>$D16-vlookup(Summary!$C16,Summary!$C$2:$Q$103,3+counta($F$1:M$1),false)</f>
        <v>-0.1</v>
      </c>
      <c r="N16" s="99">
        <f>$D16-vlookup(Summary!$C16,Summary!$C$2:$Q$103,3+counta($F$1:N$1),false)</f>
        <v>-0.2</v>
      </c>
      <c r="O16" s="99">
        <f>$D16-vlookup(Summary!$C16,Summary!$C$2:$Q$103,3+counta($F$1:O$1),false)</f>
        <v>0.45</v>
      </c>
      <c r="P16" s="99">
        <f>$D16-vlookup(Summary!$C16,Summary!$C$2:$Q$103,3+counta($F$1:P$1),false)</f>
        <v>0.1</v>
      </c>
      <c r="Q16" s="99">
        <f>$D16-vlookup(Summary!$C16,Summary!$C$2:$Q$103,3+counta($F$1:Q$1),false)</f>
        <v>0.59</v>
      </c>
    </row>
    <row r="17" ht="15.75" customHeight="1">
      <c r="A17" s="15">
        <f>Main!A17</f>
        <v>16</v>
      </c>
      <c r="B17" s="15" t="str">
        <f>Main!B17</f>
        <v>Jane Campion will win the Oscar for Best Director</v>
      </c>
      <c r="C17" s="15" t="str">
        <f>Main!C17</f>
        <v>Celebrities</v>
      </c>
      <c r="D17" s="15">
        <v>0.9</v>
      </c>
      <c r="F17" s="99">
        <f>$D17-vlookup(Summary!$C17,Summary!$C$2:$Q$103,3+counta($F$1:F$1),false)</f>
        <v>0.1</v>
      </c>
      <c r="G17" s="99">
        <f>$D17-vlookup(Summary!$C17,Summary!$C$2:$Q$103,3+counta($F$1:G$1),false)</f>
        <v>0.3</v>
      </c>
      <c r="H17" s="99">
        <f>$D17-vlookup(Summary!$C17,Summary!$C$2:$Q$103,3+counta($F$1:H$1),false)</f>
        <v>0.7</v>
      </c>
      <c r="I17" s="99">
        <f>$D17-vlookup(Summary!$C17,Summary!$C$2:$Q$103,3+counta($F$1:I$1),false)</f>
        <v>0</v>
      </c>
      <c r="J17" s="99">
        <f>$D17-vlookup(Summary!$C17,Summary!$C$2:$Q$103,3+counta($F$1:J$1),false)</f>
        <v>0</v>
      </c>
      <c r="K17" s="99">
        <f>$D17-vlookup(Summary!$C17,Summary!$C$2:$Q$103,3+counta($F$1:K$1),false)</f>
        <v>-0.05</v>
      </c>
      <c r="L17" s="99">
        <f>$D17-vlookup(Summary!$C17,Summary!$C$2:$Q$103,3+counta($F$1:L$1),false)</f>
        <v>0.2</v>
      </c>
      <c r="M17" s="99">
        <f>$D17-vlookup(Summary!$C17,Summary!$C$2:$Q$103,3+counta($F$1:M$1),false)</f>
        <v>0.7</v>
      </c>
      <c r="N17" s="99">
        <f>$D17-vlookup(Summary!$C17,Summary!$C$2:$Q$103,3+counta($F$1:N$1),false)</f>
        <v>0.8</v>
      </c>
      <c r="O17" s="99">
        <f>$D17-vlookup(Summary!$C17,Summary!$C$2:$Q$103,3+counta($F$1:O$1),false)</f>
        <v>0.4</v>
      </c>
      <c r="P17" s="99">
        <f>$D17-vlookup(Summary!$C17,Summary!$C$2:$Q$103,3+counta($F$1:P$1),false)</f>
        <v>0.4</v>
      </c>
      <c r="Q17" s="99">
        <f>$D17-vlookup(Summary!$C17,Summary!$C$2:$Q$103,3+counta($F$1:Q$1),false)</f>
        <v>0.6</v>
      </c>
    </row>
    <row r="18" ht="15.75" customHeight="1">
      <c r="A18" s="15">
        <f>Main!A18</f>
        <v>17</v>
      </c>
      <c r="B18" s="15" t="str">
        <f>Main!B18</f>
        <v>Harry and Megan's animated series "Pearl" will be released and have over 50% on Rotten Tomatoes</v>
      </c>
      <c r="C18" s="15" t="str">
        <f>Main!C18</f>
        <v>Celebrities</v>
      </c>
      <c r="D18" s="15">
        <v>0.1</v>
      </c>
      <c r="F18" s="99">
        <f>$D18-vlookup(Summary!$C18,Summary!$C$2:$Q$103,3+counta($F$1:F$1),false)</f>
        <v>-0.3</v>
      </c>
      <c r="G18" s="99">
        <f>$D18-vlookup(Summary!$C18,Summary!$C$2:$Q$103,3+counta($F$1:G$1),false)</f>
        <v>-0.2</v>
      </c>
      <c r="H18" s="99">
        <f>$D18-vlookup(Summary!$C18,Summary!$C$2:$Q$103,3+counta($F$1:H$1),false)</f>
        <v>-0.7</v>
      </c>
      <c r="I18" s="99">
        <f>$D18-vlookup(Summary!$C18,Summary!$C$2:$Q$103,3+counta($F$1:I$1),false)</f>
        <v>-0.3</v>
      </c>
      <c r="J18" s="99">
        <f>$D18-vlookup(Summary!$C18,Summary!$C$2:$Q$103,3+counta($F$1:J$1),false)</f>
        <v>0</v>
      </c>
      <c r="K18" s="99">
        <f>$D18-vlookup(Summary!$C18,Summary!$C$2:$Q$103,3+counta($F$1:K$1),false)</f>
        <v>-0.7</v>
      </c>
      <c r="L18" s="99">
        <f>$D18-vlookup(Summary!$C18,Summary!$C$2:$Q$103,3+counta($F$1:L$1),false)</f>
        <v>-0.1</v>
      </c>
      <c r="M18" s="99">
        <f>$D18-vlookup(Summary!$C18,Summary!$C$2:$Q$103,3+counta($F$1:M$1),false)</f>
        <v>-0.7</v>
      </c>
      <c r="N18" s="99">
        <f>$D18-vlookup(Summary!$C18,Summary!$C$2:$Q$103,3+counta($F$1:N$1),false)</f>
        <v>-0.7</v>
      </c>
      <c r="O18" s="99">
        <f>$D18-vlookup(Summary!$C18,Summary!$C$2:$Q$103,3+counta($F$1:O$1),false)</f>
        <v>-0.05</v>
      </c>
      <c r="P18" s="99">
        <f>$D18-vlookup(Summary!$C18,Summary!$C$2:$Q$103,3+counta($F$1:P$1),false)</f>
        <v>-0.4</v>
      </c>
      <c r="Q18" s="99">
        <f>$D18-vlookup(Summary!$C18,Summary!$C$2:$Q$103,3+counta($F$1:Q$1),false)</f>
        <v>-0.3</v>
      </c>
    </row>
    <row r="19" ht="15.75" customHeight="1">
      <c r="A19" s="15">
        <f>Main!A19</f>
        <v>18</v>
      </c>
      <c r="B19" s="15" t="str">
        <f>Main!B19</f>
        <v>Prince Andrew will enter or exit a courtroom wearing an oxygen mask and/or sitting in a wheelchair</v>
      </c>
      <c r="C19" s="15" t="str">
        <f>Main!C19</f>
        <v>Celebrities</v>
      </c>
      <c r="D19" s="15">
        <v>0.4</v>
      </c>
      <c r="F19" s="99">
        <f>$D19-vlookup(Summary!$C19,Summary!$C$2:$Q$103,3+counta($F$1:F$1),false)</f>
        <v>0.1</v>
      </c>
      <c r="G19" s="99">
        <f>$D19-vlookup(Summary!$C19,Summary!$C$2:$Q$103,3+counta($F$1:G$1),false)</f>
        <v>0.2</v>
      </c>
      <c r="H19" s="99">
        <f>$D19-vlookup(Summary!$C19,Summary!$C$2:$Q$103,3+counta($F$1:H$1),false)</f>
        <v>-0.3</v>
      </c>
      <c r="I19" s="99">
        <f>$D19-vlookup(Summary!$C19,Summary!$C$2:$Q$103,3+counta($F$1:I$1),false)</f>
        <v>0.3</v>
      </c>
      <c r="J19" s="99">
        <f>$D19-vlookup(Summary!$C19,Summary!$C$2:$Q$103,3+counta($F$1:J$1),false)</f>
        <v>0</v>
      </c>
      <c r="K19" s="99">
        <f>$D19-vlookup(Summary!$C19,Summary!$C$2:$Q$103,3+counta($F$1:K$1),false)</f>
        <v>0.2</v>
      </c>
      <c r="L19" s="99">
        <f>$D19-vlookup(Summary!$C19,Summary!$C$2:$Q$103,3+counta($F$1:L$1),false)</f>
        <v>0.3</v>
      </c>
      <c r="M19" s="99">
        <f>$D19-vlookup(Summary!$C19,Summary!$C$2:$Q$103,3+counta($F$1:M$1),false)</f>
        <v>0.35</v>
      </c>
      <c r="N19" s="99">
        <f>$D19-vlookup(Summary!$C19,Summary!$C$2:$Q$103,3+counta($F$1:N$1),false)</f>
        <v>0.3</v>
      </c>
      <c r="O19" s="99">
        <f>$D19-vlookup(Summary!$C19,Summary!$C$2:$Q$103,3+counta($F$1:O$1),false)</f>
        <v>0.25</v>
      </c>
      <c r="P19" s="99">
        <f>$D19-vlookup(Summary!$C19,Summary!$C$2:$Q$103,3+counta($F$1:P$1),false)</f>
        <v>0.3</v>
      </c>
      <c r="Q19" s="99">
        <f>$D19-vlookup(Summary!$C19,Summary!$C$2:$Q$103,3+counta($F$1:Q$1),false)</f>
        <v>0.2</v>
      </c>
    </row>
    <row r="20" ht="15.75" customHeight="1">
      <c r="A20" s="15">
        <f>Main!A20</f>
        <v>19</v>
      </c>
      <c r="B20" s="15" t="str">
        <f>Main!B20</f>
        <v>News Ltd will report on the emergence of a conspiracy theory relating to the Queen's death: that the palace is either secretly concealing her death or her continuing life</v>
      </c>
      <c r="C20" s="15" t="str">
        <f>Main!C20</f>
        <v>Celebrities</v>
      </c>
      <c r="D20" s="15">
        <v>0.5</v>
      </c>
      <c r="F20" s="99">
        <f>$D20-vlookup(Summary!$C20,Summary!$C$2:$Q$103,3+counta($F$1:F$1),false)</f>
        <v>0.25</v>
      </c>
      <c r="G20" s="99">
        <f>$D20-vlookup(Summary!$C20,Summary!$C$2:$Q$103,3+counta($F$1:G$1),false)</f>
        <v>0.1</v>
      </c>
      <c r="H20" s="99">
        <f>$D20-vlookup(Summary!$C20,Summary!$C$2:$Q$103,3+counta($F$1:H$1),false)</f>
        <v>-0.3</v>
      </c>
      <c r="I20" s="99">
        <f>$D20-vlookup(Summary!$C20,Summary!$C$2:$Q$103,3+counta($F$1:I$1),false)</f>
        <v>0.45</v>
      </c>
      <c r="J20" s="99">
        <f>$D20-vlookup(Summary!$C20,Summary!$C$2:$Q$103,3+counta($F$1:J$1),false)</f>
        <v>0</v>
      </c>
      <c r="K20" s="99">
        <f>$D20-vlookup(Summary!$C20,Summary!$C$2:$Q$103,3+counta($F$1:K$1),false)</f>
        <v>-0.35</v>
      </c>
      <c r="L20" s="99">
        <f>$D20-vlookup(Summary!$C20,Summary!$C$2:$Q$103,3+counta($F$1:L$1),false)</f>
        <v>0.45</v>
      </c>
      <c r="M20" s="99">
        <f>$D20-vlookup(Summary!$C20,Summary!$C$2:$Q$103,3+counta($F$1:M$1),false)</f>
        <v>-0.3</v>
      </c>
      <c r="N20" s="99">
        <f>$D20-vlookup(Summary!$C20,Summary!$C$2:$Q$103,3+counta($F$1:N$1),false)</f>
        <v>0.4</v>
      </c>
      <c r="O20" s="99">
        <f>$D20-vlookup(Summary!$C20,Summary!$C$2:$Q$103,3+counta($F$1:O$1),false)</f>
        <v>0.499</v>
      </c>
      <c r="P20" s="99">
        <f>$D20-vlookup(Summary!$C20,Summary!$C$2:$Q$103,3+counta($F$1:P$1),false)</f>
        <v>0.4</v>
      </c>
      <c r="Q20" s="99">
        <f>$D20-vlookup(Summary!$C20,Summary!$C$2:$Q$103,3+counta($F$1:Q$1),false)</f>
        <v>0</v>
      </c>
    </row>
    <row r="21" ht="15.75" customHeight="1">
      <c r="A21" s="15">
        <f>Main!A21</f>
        <v>20</v>
      </c>
      <c r="B21" s="15" t="str">
        <f>Main!B21</f>
        <v>Julian Assange will be located in Australia</v>
      </c>
      <c r="C21" s="15" t="str">
        <f>Main!C21</f>
        <v>Celebrities</v>
      </c>
      <c r="D21" s="15">
        <v>0.3</v>
      </c>
      <c r="F21" s="99">
        <f>$D21-vlookup(Summary!$C21,Summary!$C$2:$Q$103,3+counta($F$1:F$1),false)</f>
        <v>0.1</v>
      </c>
      <c r="G21" s="99">
        <f>$D21-vlookup(Summary!$C21,Summary!$C$2:$Q$103,3+counta($F$1:G$1),false)</f>
        <v>0.1</v>
      </c>
      <c r="H21" s="99">
        <f>$D21-vlookup(Summary!$C21,Summary!$C$2:$Q$103,3+counta($F$1:H$1),false)</f>
        <v>0.2</v>
      </c>
      <c r="I21" s="99">
        <f>$D21-vlookup(Summary!$C21,Summary!$C$2:$Q$103,3+counta($F$1:I$1),false)</f>
        <v>0.25</v>
      </c>
      <c r="J21" s="99">
        <f>$D21-vlookup(Summary!$C21,Summary!$C$2:$Q$103,3+counta($F$1:J$1),false)</f>
        <v>0</v>
      </c>
      <c r="K21" s="99">
        <f>$D21-vlookup(Summary!$C21,Summary!$C$2:$Q$103,3+counta($F$1:K$1),false)</f>
        <v>-0.25</v>
      </c>
      <c r="L21" s="99">
        <f>$D21-vlookup(Summary!$C21,Summary!$C$2:$Q$103,3+counta($F$1:L$1),false)</f>
        <v>0.1</v>
      </c>
      <c r="M21" s="99">
        <f>$D21-vlookup(Summary!$C21,Summary!$C$2:$Q$103,3+counta($F$1:M$1),false)</f>
        <v>0.2</v>
      </c>
      <c r="N21" s="99">
        <f>$D21-vlookup(Summary!$C21,Summary!$C$2:$Q$103,3+counta($F$1:N$1),false)</f>
        <v>0.1</v>
      </c>
      <c r="O21" s="99">
        <f>$D21-vlookup(Summary!$C21,Summary!$C$2:$Q$103,3+counta($F$1:O$1),false)</f>
        <v>0.15</v>
      </c>
      <c r="P21" s="99">
        <f>$D21-vlookup(Summary!$C21,Summary!$C$2:$Q$103,3+counta($F$1:P$1),false)</f>
        <v>0.2</v>
      </c>
      <c r="Q21" s="99">
        <f>$D21-vlookup(Summary!$C21,Summary!$C$2:$Q$103,3+counta($F$1:Q$1),false)</f>
        <v>0</v>
      </c>
    </row>
    <row r="22" ht="15.75" customHeight="1">
      <c r="A22" s="15">
        <f>Main!A22</f>
        <v>21</v>
      </c>
      <c r="B22" s="15" t="str">
        <f>Main!B22</f>
        <v>An alleged sexual predator will recieve an Emmy or Oscar by mainstream media (Andrew’s system)</v>
      </c>
      <c r="C22" s="15" t="str">
        <f>Main!C22</f>
        <v>Celebrities</v>
      </c>
      <c r="D22" s="15">
        <v>0.6</v>
      </c>
      <c r="F22" s="99">
        <f>$D22-vlookup(Summary!$C22,Summary!$C$2:$Q$103,3+counta($F$1:F$1),false)</f>
        <v>0.2</v>
      </c>
      <c r="G22" s="99">
        <f>$D22-vlookup(Summary!$C22,Summary!$C$2:$Q$103,3+counta($F$1:G$1),false)</f>
        <v>0.3</v>
      </c>
      <c r="H22" s="99">
        <f>$D22-vlookup(Summary!$C22,Summary!$C$2:$Q$103,3+counta($F$1:H$1),false)</f>
        <v>0.3</v>
      </c>
      <c r="I22" s="99">
        <f>$D22-vlookup(Summary!$C22,Summary!$C$2:$Q$103,3+counta($F$1:I$1),false)</f>
        <v>0.4</v>
      </c>
      <c r="J22" s="99">
        <f>$D22-vlookup(Summary!$C22,Summary!$C$2:$Q$103,3+counta($F$1:J$1),false)</f>
        <v>0</v>
      </c>
      <c r="K22" s="99">
        <f>$D22-vlookup(Summary!$C22,Summary!$C$2:$Q$103,3+counta($F$1:K$1),false)</f>
        <v>-0.1</v>
      </c>
      <c r="L22" s="99">
        <f>$D22-vlookup(Summary!$C22,Summary!$C$2:$Q$103,3+counta($F$1:L$1),false)</f>
        <v>0.4</v>
      </c>
      <c r="M22" s="99">
        <f>$D22-vlookup(Summary!$C22,Summary!$C$2:$Q$103,3+counta($F$1:M$1),false)</f>
        <v>0.3</v>
      </c>
      <c r="N22" s="99">
        <f>$D22-vlookup(Summary!$C22,Summary!$C$2:$Q$103,3+counta($F$1:N$1),false)</f>
        <v>-0.2</v>
      </c>
      <c r="O22" s="99">
        <f>$D22-vlookup(Summary!$C22,Summary!$C$2:$Q$103,3+counta($F$1:O$1),false)</f>
        <v>-0.05</v>
      </c>
      <c r="P22" s="99">
        <f>$D22-vlookup(Summary!$C22,Summary!$C$2:$Q$103,3+counta($F$1:P$1),false)</f>
        <v>0.5</v>
      </c>
      <c r="Q22" s="99">
        <f>$D22-vlookup(Summary!$C22,Summary!$C$2:$Q$103,3+counta($F$1:Q$1),false)</f>
        <v>0</v>
      </c>
    </row>
    <row r="23" ht="15.75" customHeight="1">
      <c r="A23" s="15">
        <f>Main!A23</f>
        <v>22</v>
      </c>
      <c r="B23" s="15" t="str">
        <f>Main!B23</f>
        <v>The Queen will die</v>
      </c>
      <c r="C23" s="15" t="str">
        <f>Main!C23</f>
        <v>Celebrities</v>
      </c>
      <c r="D23" s="15">
        <v>0.7</v>
      </c>
      <c r="F23" s="99">
        <f>$D23-vlookup(Summary!$C23,Summary!$C$2:$Q$103,3+counta($F$1:F$1),false)</f>
        <v>0.3</v>
      </c>
      <c r="G23" s="99">
        <f>$D23-vlookup(Summary!$C23,Summary!$C$2:$Q$103,3+counta($F$1:G$1),false)</f>
        <v>0.5</v>
      </c>
      <c r="H23" s="99">
        <f>$D23-vlookup(Summary!$C23,Summary!$C$2:$Q$103,3+counta($F$1:H$1),false)</f>
        <v>-0.2</v>
      </c>
      <c r="I23" s="99">
        <f>$D23-vlookup(Summary!$C23,Summary!$C$2:$Q$103,3+counta($F$1:I$1),false)</f>
        <v>0.4</v>
      </c>
      <c r="J23" s="99">
        <f>$D23-vlookup(Summary!$C23,Summary!$C$2:$Q$103,3+counta($F$1:J$1),false)</f>
        <v>0</v>
      </c>
      <c r="K23" s="99">
        <f>$D23-vlookup(Summary!$C23,Summary!$C$2:$Q$103,3+counta($F$1:K$1),false)</f>
        <v>0</v>
      </c>
      <c r="L23" s="99">
        <f>$D23-vlookup(Summary!$C23,Summary!$C$2:$Q$103,3+counta($F$1:L$1),false)</f>
        <v>0.65</v>
      </c>
      <c r="M23" s="99">
        <f>$D23-vlookup(Summary!$C23,Summary!$C$2:$Q$103,3+counta($F$1:M$1),false)</f>
        <v>-0.2</v>
      </c>
      <c r="N23" s="99">
        <f>$D23-vlookup(Summary!$C23,Summary!$C$2:$Q$103,3+counta($F$1:N$1),false)</f>
        <v>-0.2</v>
      </c>
      <c r="O23" s="99">
        <f>$D23-vlookup(Summary!$C23,Summary!$C$2:$Q$103,3+counta($F$1:O$1),false)</f>
        <v>0.35</v>
      </c>
      <c r="P23" s="99">
        <f>$D23-vlookup(Summary!$C23,Summary!$C$2:$Q$103,3+counta($F$1:P$1),false)</f>
        <v>0.6</v>
      </c>
      <c r="Q23" s="99">
        <f>$D23-vlookup(Summary!$C23,Summary!$C$2:$Q$103,3+counta($F$1:Q$1),false)</f>
        <v>0.4</v>
      </c>
    </row>
    <row r="24" ht="15.75" customHeight="1">
      <c r="A24" s="15">
        <f>Main!A24</f>
        <v>23</v>
      </c>
      <c r="B24" s="15" t="str">
        <f>Main!B24</f>
        <v>Ghislaine Maxwell will successfully strike a plea deal and reduce her aggregate sentence to no greater than 10 years with parole no greater than 5 years.</v>
      </c>
      <c r="C24" s="15" t="str">
        <f>Main!C24</f>
        <v>Celebrities</v>
      </c>
      <c r="D24" s="15">
        <v>0.9</v>
      </c>
      <c r="F24" s="99">
        <f>$D24-vlookup(Summary!$C24,Summary!$C$2:$Q$103,3+counta($F$1:F$1),false)</f>
        <v>0.45</v>
      </c>
      <c r="G24" s="99">
        <f>$D24-vlookup(Summary!$C24,Summary!$C$2:$Q$103,3+counta($F$1:G$1),false)</f>
        <v>0.2</v>
      </c>
      <c r="H24" s="99">
        <f>$D24-vlookup(Summary!$C24,Summary!$C$2:$Q$103,3+counta($F$1:H$1),false)</f>
        <v>0.2</v>
      </c>
      <c r="I24" s="99">
        <f>$D24-vlookup(Summary!$C24,Summary!$C$2:$Q$103,3+counta($F$1:I$1),false)</f>
        <v>0.8</v>
      </c>
      <c r="J24" s="99">
        <f>$D24-vlookup(Summary!$C24,Summary!$C$2:$Q$103,3+counta($F$1:J$1),false)</f>
        <v>0</v>
      </c>
      <c r="K24" s="99">
        <f>$D24-vlookup(Summary!$C24,Summary!$C$2:$Q$103,3+counta($F$1:K$1),false)</f>
        <v>0.25</v>
      </c>
      <c r="L24" s="99">
        <f>$D24-vlookup(Summary!$C24,Summary!$C$2:$Q$103,3+counta($F$1:L$1),false)</f>
        <v>0.7</v>
      </c>
      <c r="M24" s="99">
        <f>$D24-vlookup(Summary!$C24,Summary!$C$2:$Q$103,3+counta($F$1:M$1),false)</f>
        <v>0.2</v>
      </c>
      <c r="N24" s="99">
        <f>$D24-vlookup(Summary!$C24,Summary!$C$2:$Q$103,3+counta($F$1:N$1),false)</f>
        <v>0.8</v>
      </c>
      <c r="O24" s="99">
        <f>$D24-vlookup(Summary!$C24,Summary!$C$2:$Q$103,3+counta($F$1:O$1),false)</f>
        <v>0.25</v>
      </c>
      <c r="P24" s="99">
        <f>$D24-vlookup(Summary!$C24,Summary!$C$2:$Q$103,3+counta($F$1:P$1),false)</f>
        <v>0.2</v>
      </c>
      <c r="Q24" s="99">
        <f>$D24-vlookup(Summary!$C24,Summary!$C$2:$Q$103,3+counta($F$1:Q$1),false)</f>
        <v>0.4</v>
      </c>
    </row>
    <row r="25" ht="15.75" customHeight="1">
      <c r="A25" s="15">
        <f>Main!A25</f>
        <v>24</v>
      </c>
      <c r="B25" s="15" t="str">
        <f>Main!B25</f>
        <v>Formal criminal charges will be laid against Prince Andrew for sex offenses</v>
      </c>
      <c r="C25" s="15" t="str">
        <f>Main!C25</f>
        <v>Celebrities</v>
      </c>
      <c r="D25" s="15">
        <v>0.1</v>
      </c>
      <c r="F25" s="99">
        <f>$D25-vlookup(Summary!$C25,Summary!$C$2:$Q$103,3+counta($F$1:F$1),false)</f>
        <v>-0.5</v>
      </c>
      <c r="G25" s="99">
        <f>$D25-vlookup(Summary!$C25,Summary!$C$2:$Q$103,3+counta($F$1:G$1),false)</f>
        <v>-0.1</v>
      </c>
      <c r="H25" s="99">
        <f>$D25-vlookup(Summary!$C25,Summary!$C$2:$Q$103,3+counta($F$1:H$1),false)</f>
        <v>-0.6</v>
      </c>
      <c r="I25" s="99">
        <f>$D25-vlookup(Summary!$C25,Summary!$C$2:$Q$103,3+counta($F$1:I$1),false)</f>
        <v>-0.8</v>
      </c>
      <c r="J25" s="99">
        <f>$D25-vlookup(Summary!$C25,Summary!$C$2:$Q$103,3+counta($F$1:J$1),false)</f>
        <v>0</v>
      </c>
      <c r="K25" s="99">
        <f>$D25-vlookup(Summary!$C25,Summary!$C$2:$Q$103,3+counta($F$1:K$1),false)</f>
        <v>-0.55</v>
      </c>
      <c r="L25" s="99">
        <f>$D25-vlookup(Summary!$C25,Summary!$C$2:$Q$103,3+counta($F$1:L$1),false)</f>
        <v>-0.05</v>
      </c>
      <c r="M25" s="99">
        <f>$D25-vlookup(Summary!$C25,Summary!$C$2:$Q$103,3+counta($F$1:M$1),false)</f>
        <v>-0.6</v>
      </c>
      <c r="N25" s="99">
        <f>$D25-vlookup(Summary!$C25,Summary!$C$2:$Q$103,3+counta($F$1:N$1),false)</f>
        <v>-0.1</v>
      </c>
      <c r="O25" s="99">
        <f>$D25-vlookup(Summary!$C25,Summary!$C$2:$Q$103,3+counta($F$1:O$1),false)</f>
        <v>-0.05</v>
      </c>
      <c r="P25" s="99">
        <f>$D25-vlookup(Summary!$C25,Summary!$C$2:$Q$103,3+counta($F$1:P$1),false)</f>
        <v>-0.4</v>
      </c>
      <c r="Q25" s="99">
        <f>$D25-vlookup(Summary!$C25,Summary!$C$2:$Q$103,3+counta($F$1:Q$1),false)</f>
        <v>-0.4</v>
      </c>
    </row>
    <row r="26" ht="15.75" customHeight="1">
      <c r="A26" s="15">
        <f>Main!A26</f>
        <v>25</v>
      </c>
      <c r="B26" s="15" t="str">
        <f>Main!B26</f>
        <v>Elizabeth Holmes will be sentenced to no greater than 15 years imprisonment.</v>
      </c>
      <c r="C26" s="15" t="str">
        <f>Main!C26</f>
        <v>Celebrities</v>
      </c>
      <c r="D26" s="15">
        <v>0.9</v>
      </c>
      <c r="F26" s="99">
        <f>$D26-vlookup(Summary!$C26,Summary!$C$2:$Q$103,3+counta($F$1:F$1),false)</f>
        <v>0.3</v>
      </c>
      <c r="G26" s="99">
        <f>$D26-vlookup(Summary!$C26,Summary!$C$2:$Q$103,3+counta($F$1:G$1),false)</f>
        <v>0</v>
      </c>
      <c r="H26" s="99">
        <f>$D26-vlookup(Summary!$C26,Summary!$C$2:$Q$103,3+counta($F$1:H$1),false)</f>
        <v>0.1</v>
      </c>
      <c r="I26" s="99">
        <f>$D26-vlookup(Summary!$C26,Summary!$C$2:$Q$103,3+counta($F$1:I$1),false)</f>
        <v>0.4</v>
      </c>
      <c r="J26" s="99">
        <f>$D26-vlookup(Summary!$C26,Summary!$C$2:$Q$103,3+counta($F$1:J$1),false)</f>
        <v>0</v>
      </c>
      <c r="K26" s="99">
        <f>$D26-vlookup(Summary!$C26,Summary!$C$2:$Q$103,3+counta($F$1:K$1),false)</f>
        <v>0.2</v>
      </c>
      <c r="L26" s="99">
        <f>$D26-vlookup(Summary!$C26,Summary!$C$2:$Q$103,3+counta($F$1:L$1),false)</f>
        <v>0.2</v>
      </c>
      <c r="M26" s="99">
        <f>$D26-vlookup(Summary!$C26,Summary!$C$2:$Q$103,3+counta($F$1:M$1),false)</f>
        <v>0.1</v>
      </c>
      <c r="N26" s="99">
        <f>$D26-vlookup(Summary!$C26,Summary!$C$2:$Q$103,3+counta($F$1:N$1),false)</f>
        <v>0</v>
      </c>
      <c r="O26" s="99">
        <f>$D26-vlookup(Summary!$C26,Summary!$C$2:$Q$103,3+counta($F$1:O$1),false)</f>
        <v>0.05</v>
      </c>
      <c r="P26" s="99">
        <f>$D26-vlookup(Summary!$C26,Summary!$C$2:$Q$103,3+counta($F$1:P$1),false)</f>
        <v>0.4</v>
      </c>
      <c r="Q26" s="99">
        <f>$D26-vlookup(Summary!$C26,Summary!$C$2:$Q$103,3+counta($F$1:Q$1),false)</f>
        <v>0.2</v>
      </c>
    </row>
    <row r="27" ht="15.75" customHeight="1">
      <c r="A27" s="15">
        <f>Main!A27</f>
        <v>26</v>
      </c>
      <c r="B27" s="15" t="str">
        <f>Main!B27</f>
        <v>Meghan and Harry will separate</v>
      </c>
      <c r="C27" s="15" t="str">
        <f>Main!C27</f>
        <v>Celebrities</v>
      </c>
      <c r="D27" s="15">
        <v>0.5</v>
      </c>
      <c r="F27" s="99">
        <f>$D27-vlookup(Summary!$C27,Summary!$C$2:$Q$103,3+counta($F$1:F$1),false)</f>
        <v>0.3</v>
      </c>
      <c r="G27" s="99">
        <f>$D27-vlookup(Summary!$C27,Summary!$C$2:$Q$103,3+counta($F$1:G$1),false)</f>
        <v>0.4</v>
      </c>
      <c r="H27" s="99">
        <f>$D27-vlookup(Summary!$C27,Summary!$C$2:$Q$103,3+counta($F$1:H$1),false)</f>
        <v>0.3</v>
      </c>
      <c r="I27" s="99">
        <f>$D27-vlookup(Summary!$C27,Summary!$C$2:$Q$103,3+counta($F$1:I$1),false)</f>
        <v>0.4</v>
      </c>
      <c r="J27" s="99">
        <f>$D27-vlookup(Summary!$C27,Summary!$C$2:$Q$103,3+counta($F$1:J$1),false)</f>
        <v>0</v>
      </c>
      <c r="K27" s="99">
        <f>$D27-vlookup(Summary!$C27,Summary!$C$2:$Q$103,3+counta($F$1:K$1),false)</f>
        <v>0.3</v>
      </c>
      <c r="L27" s="99">
        <f>$D27-vlookup(Summary!$C27,Summary!$C$2:$Q$103,3+counta($F$1:L$1),false)</f>
        <v>0.45</v>
      </c>
      <c r="M27" s="99">
        <f>$D27-vlookup(Summary!$C27,Summary!$C$2:$Q$103,3+counta($F$1:M$1),false)</f>
        <v>0.3</v>
      </c>
      <c r="N27" s="99">
        <f>$D27-vlookup(Summary!$C27,Summary!$C$2:$Q$103,3+counta($F$1:N$1),false)</f>
        <v>-0.3</v>
      </c>
      <c r="O27" s="99">
        <f>$D27-vlookup(Summary!$C27,Summary!$C$2:$Q$103,3+counta($F$1:O$1),false)</f>
        <v>0.35</v>
      </c>
      <c r="P27" s="99">
        <f>$D27-vlookup(Summary!$C27,Summary!$C$2:$Q$103,3+counta($F$1:P$1),false)</f>
        <v>0.4</v>
      </c>
      <c r="Q27" s="99">
        <f>$D27-vlookup(Summary!$C27,Summary!$C$2:$Q$103,3+counta($F$1:Q$1),false)</f>
        <v>0.2</v>
      </c>
    </row>
    <row r="28" ht="15.75" customHeight="1">
      <c r="A28" s="15">
        <f>Main!A28</f>
        <v>27</v>
      </c>
      <c r="B28" s="15" t="str">
        <f>Main!B28</f>
        <v>Tom Holland and Zendaya will separate.</v>
      </c>
      <c r="C28" s="15" t="str">
        <f>Main!C28</f>
        <v>Celebrities</v>
      </c>
      <c r="D28" s="15">
        <v>0.4</v>
      </c>
      <c r="F28" s="99">
        <f>$D28-vlookup(Summary!$C28,Summary!$C$2:$Q$103,3+counta($F$1:F$1),false)</f>
        <v>-0.2</v>
      </c>
      <c r="G28" s="99">
        <f>$D28-vlookup(Summary!$C28,Summary!$C$2:$Q$103,3+counta($F$1:G$1),false)</f>
        <v>-0.2</v>
      </c>
      <c r="H28" s="99">
        <f>$D28-vlookup(Summary!$C28,Summary!$C$2:$Q$103,3+counta($F$1:H$1),false)</f>
        <v>0.2</v>
      </c>
      <c r="I28" s="99">
        <f>$D28-vlookup(Summary!$C28,Summary!$C$2:$Q$103,3+counta($F$1:I$1),false)</f>
        <v>-0.1</v>
      </c>
      <c r="J28" s="99">
        <f>$D28-vlookup(Summary!$C28,Summary!$C$2:$Q$103,3+counta($F$1:J$1),false)</f>
        <v>0</v>
      </c>
      <c r="K28" s="99">
        <f>$D28-vlookup(Summary!$C28,Summary!$C$2:$Q$103,3+counta($F$1:K$1),false)</f>
        <v>-0.25</v>
      </c>
      <c r="L28" s="99">
        <f>$D28-vlookup(Summary!$C28,Summary!$C$2:$Q$103,3+counta($F$1:L$1),false)</f>
        <v>0.2</v>
      </c>
      <c r="M28" s="99">
        <f>$D28-vlookup(Summary!$C28,Summary!$C$2:$Q$103,3+counta($F$1:M$1),false)</f>
        <v>0.2</v>
      </c>
      <c r="N28" s="99">
        <f>$D28-vlookup(Summary!$C28,Summary!$C$2:$Q$103,3+counta($F$1:N$1),false)</f>
        <v>-0.5</v>
      </c>
      <c r="O28" s="99">
        <f>$D28-vlookup(Summary!$C28,Summary!$C$2:$Q$103,3+counta($F$1:O$1),false)</f>
        <v>-0.1</v>
      </c>
      <c r="P28" s="99">
        <f>$D28-vlookup(Summary!$C28,Summary!$C$2:$Q$103,3+counta($F$1:P$1),false)</f>
        <v>-0.1</v>
      </c>
      <c r="Q28" s="99">
        <f>$D28-vlookup(Summary!$C28,Summary!$C$2:$Q$103,3+counta($F$1:Q$1),false)</f>
        <v>0</v>
      </c>
    </row>
    <row r="29" ht="15.75" customHeight="1">
      <c r="A29" s="15">
        <f>Main!A29</f>
        <v>28</v>
      </c>
      <c r="B29" s="15" t="str">
        <f>Main!B29</f>
        <v>Donald Trump endorses on social media a movement that is called White Lives Matter</v>
      </c>
      <c r="C29" s="15" t="str">
        <f>Main!C29</f>
        <v>Celebrities</v>
      </c>
      <c r="D29" s="15">
        <v>0.9</v>
      </c>
      <c r="F29" s="99">
        <f>$D29-vlookup(Summary!$C29,Summary!$C$2:$Q$103,3+counta($F$1:F$1),false)</f>
        <v>0.6</v>
      </c>
      <c r="G29" s="99">
        <f>$D29-vlookup(Summary!$C29,Summary!$C$2:$Q$103,3+counta($F$1:G$1),false)</f>
        <v>0.6</v>
      </c>
      <c r="H29" s="99">
        <f>$D29-vlookup(Summary!$C29,Summary!$C$2:$Q$103,3+counta($F$1:H$1),false)</f>
        <v>0.1</v>
      </c>
      <c r="I29" s="99">
        <f>$D29-vlookup(Summary!$C29,Summary!$C$2:$Q$103,3+counta($F$1:I$1),false)</f>
        <v>0.8</v>
      </c>
      <c r="J29" s="99">
        <f>$D29-vlookup(Summary!$C29,Summary!$C$2:$Q$103,3+counta($F$1:J$1),false)</f>
        <v>0</v>
      </c>
      <c r="K29" s="99">
        <f>$D29-vlookup(Summary!$C29,Summary!$C$2:$Q$103,3+counta($F$1:K$1),false)</f>
        <v>0.45</v>
      </c>
      <c r="L29" s="99">
        <f>$D29-vlookup(Summary!$C29,Summary!$C$2:$Q$103,3+counta($F$1:L$1),false)</f>
        <v>0.899</v>
      </c>
      <c r="M29" s="99">
        <f>$D29-vlookup(Summary!$C29,Summary!$C$2:$Q$103,3+counta($F$1:M$1),false)</f>
        <v>0.1</v>
      </c>
      <c r="N29" s="99">
        <f>$D29-vlookup(Summary!$C29,Summary!$C$2:$Q$103,3+counta($F$1:N$1),false)</f>
        <v>0</v>
      </c>
      <c r="O29" s="99">
        <f>$D29-vlookup(Summary!$C29,Summary!$C$2:$Q$103,3+counta($F$1:O$1),false)</f>
        <v>0.899</v>
      </c>
      <c r="P29" s="99">
        <f>$D29-vlookup(Summary!$C29,Summary!$C$2:$Q$103,3+counta($F$1:P$1),false)</f>
        <v>0.8</v>
      </c>
      <c r="Q29" s="99">
        <f>$D29-vlookup(Summary!$C29,Summary!$C$2:$Q$103,3+counta($F$1:Q$1),false)</f>
        <v>0.35</v>
      </c>
    </row>
    <row r="30" ht="15.75" customHeight="1">
      <c r="A30" s="15">
        <f>Main!A30</f>
        <v>29</v>
      </c>
      <c r="B30" s="15" t="str">
        <f>Main!B30</f>
        <v>Britney Spears returns under conservatorship</v>
      </c>
      <c r="C30" s="15" t="str">
        <f>Main!C30</f>
        <v>Celebrities</v>
      </c>
      <c r="D30" s="15">
        <v>0.1</v>
      </c>
      <c r="F30" s="99">
        <f>$D30-vlookup(Summary!$C30,Summary!$C$2:$Q$103,3+counta($F$1:F$1),false)</f>
        <v>0</v>
      </c>
      <c r="G30" s="99">
        <f>$D30-vlookup(Summary!$C30,Summary!$C$2:$Q$103,3+counta($F$1:G$1),false)</f>
        <v>0</v>
      </c>
      <c r="H30" s="99">
        <f>$D30-vlookup(Summary!$C30,Summary!$C$2:$Q$103,3+counta($F$1:H$1),false)</f>
        <v>0.05</v>
      </c>
      <c r="I30" s="99">
        <f>$D30-vlookup(Summary!$C30,Summary!$C$2:$Q$103,3+counta($F$1:I$1),false)</f>
        <v>0.05</v>
      </c>
      <c r="J30" s="99">
        <f>$D30-vlookup(Summary!$C30,Summary!$C$2:$Q$103,3+counta($F$1:J$1),false)</f>
        <v>0</v>
      </c>
      <c r="K30" s="99">
        <f>$D30-vlookup(Summary!$C30,Summary!$C$2:$Q$103,3+counta($F$1:K$1),false)</f>
        <v>0.1</v>
      </c>
      <c r="L30" s="99">
        <f>$D30-vlookup(Summary!$C30,Summary!$C$2:$Q$103,3+counta($F$1:L$1),false)</f>
        <v>0.05</v>
      </c>
      <c r="M30" s="99">
        <f>$D30-vlookup(Summary!$C30,Summary!$C$2:$Q$103,3+counta($F$1:M$1),false)</f>
        <v>0.05</v>
      </c>
      <c r="N30" s="99">
        <f>$D30-vlookup(Summary!$C30,Summary!$C$2:$Q$103,3+counta($F$1:N$1),false)</f>
        <v>0</v>
      </c>
      <c r="O30" s="99">
        <f>$D30-vlookup(Summary!$C30,Summary!$C$2:$Q$103,3+counta($F$1:O$1),false)</f>
        <v>0.099</v>
      </c>
      <c r="P30" s="99">
        <f>$D30-vlookup(Summary!$C30,Summary!$C$2:$Q$103,3+counta($F$1:P$1),false)</f>
        <v>0</v>
      </c>
      <c r="Q30" s="99">
        <f>$D30-vlookup(Summary!$C30,Summary!$C$2:$Q$103,3+counta($F$1:Q$1),false)</f>
        <v>-0.4</v>
      </c>
    </row>
    <row r="31" ht="15.75" customHeight="1">
      <c r="A31" s="15">
        <f>Main!A31</f>
        <v>30</v>
      </c>
      <c r="B31" s="15" t="str">
        <f>Main!B31</f>
        <v>Taylor Swift and her partner separate, or announce they're expecting a child</v>
      </c>
      <c r="C31" s="15" t="str">
        <f>Main!C31</f>
        <v>Celebrities</v>
      </c>
      <c r="D31" s="15">
        <v>0.7</v>
      </c>
      <c r="F31" s="99">
        <f>$D31-vlookup(Summary!$C31,Summary!$C$2:$Q$103,3+counta($F$1:F$1),false)</f>
        <v>0.3</v>
      </c>
      <c r="G31" s="99">
        <f>$D31-vlookup(Summary!$C31,Summary!$C$2:$Q$103,3+counta($F$1:G$1),false)</f>
        <v>0.4</v>
      </c>
      <c r="H31" s="99">
        <f>$D31-vlookup(Summary!$C31,Summary!$C$2:$Q$103,3+counta($F$1:H$1),false)</f>
        <v>0</v>
      </c>
      <c r="I31" s="99">
        <f>$D31-vlookup(Summary!$C31,Summary!$C$2:$Q$103,3+counta($F$1:I$1),false)</f>
        <v>0.6</v>
      </c>
      <c r="J31" s="99">
        <f>$D31-vlookup(Summary!$C31,Summary!$C$2:$Q$103,3+counta($F$1:J$1),false)</f>
        <v>0</v>
      </c>
      <c r="K31" s="99">
        <f>$D31-vlookup(Summary!$C31,Summary!$C$2:$Q$103,3+counta($F$1:K$1),false)</f>
        <v>0.1</v>
      </c>
      <c r="L31" s="99">
        <f>$D31-vlookup(Summary!$C31,Summary!$C$2:$Q$103,3+counta($F$1:L$1),false)</f>
        <v>0.6</v>
      </c>
      <c r="M31" s="99">
        <f>$D31-vlookup(Summary!$C31,Summary!$C$2:$Q$103,3+counta($F$1:M$1),false)</f>
        <v>0</v>
      </c>
      <c r="N31" s="99">
        <f>$D31-vlookup(Summary!$C31,Summary!$C$2:$Q$103,3+counta($F$1:N$1),false)</f>
        <v>-0.2</v>
      </c>
      <c r="O31" s="99">
        <f>$D31-vlookup(Summary!$C31,Summary!$C$2:$Q$103,3+counta($F$1:O$1),false)</f>
        <v>0.55</v>
      </c>
      <c r="P31" s="99">
        <f>$D31-vlookup(Summary!$C31,Summary!$C$2:$Q$103,3+counta($F$1:P$1),false)</f>
        <v>0.2</v>
      </c>
      <c r="Q31" s="99">
        <f>$D31-vlookup(Summary!$C31,Summary!$C$2:$Q$103,3+counta($F$1:Q$1),false)</f>
        <v>0.5</v>
      </c>
    </row>
    <row r="32" ht="15.75" customHeight="1">
      <c r="A32" s="15">
        <f>Main!A32</f>
        <v>31</v>
      </c>
      <c r="B32" s="15" t="str">
        <f>Main!B32</f>
        <v>Aung San Suu Kyi dies or announces she has a terminal illness (terminal illness including cancer)</v>
      </c>
      <c r="C32" s="15" t="str">
        <f>Main!C32</f>
        <v>Celebrities</v>
      </c>
      <c r="D32" s="15">
        <v>0.3</v>
      </c>
      <c r="F32" s="99">
        <f>$D32-vlookup(Summary!$C32,Summary!$C$2:$Q$103,3+counta($F$1:F$1),false)</f>
        <v>-0.2</v>
      </c>
      <c r="G32" s="99">
        <f>$D32-vlookup(Summary!$C32,Summary!$C$2:$Q$103,3+counta($F$1:G$1),false)</f>
        <v>-0.1</v>
      </c>
      <c r="H32" s="99">
        <f>$D32-vlookup(Summary!$C32,Summary!$C$2:$Q$103,3+counta($F$1:H$1),false)</f>
        <v>-0.2</v>
      </c>
      <c r="I32" s="99">
        <f>$D32-vlookup(Summary!$C32,Summary!$C$2:$Q$103,3+counta($F$1:I$1),false)</f>
        <v>0.1</v>
      </c>
      <c r="J32" s="99">
        <f>$D32-vlookup(Summary!$C32,Summary!$C$2:$Q$103,3+counta($F$1:J$1),false)</f>
        <v>0</v>
      </c>
      <c r="K32" s="99">
        <f>$D32-vlookup(Summary!$C32,Summary!$C$2:$Q$103,3+counta($F$1:K$1),false)</f>
        <v>-0.15</v>
      </c>
      <c r="L32" s="99">
        <f>$D32-vlookup(Summary!$C32,Summary!$C$2:$Q$103,3+counta($F$1:L$1),false)</f>
        <v>0.1</v>
      </c>
      <c r="M32" s="99">
        <f>$D32-vlookup(Summary!$C32,Summary!$C$2:$Q$103,3+counta($F$1:M$1),false)</f>
        <v>-0.2</v>
      </c>
      <c r="N32" s="99">
        <f>$D32-vlookup(Summary!$C32,Summary!$C$2:$Q$103,3+counta($F$1:N$1),false)</f>
        <v>0.2</v>
      </c>
      <c r="O32" s="99">
        <f>$D32-vlookup(Summary!$C32,Summary!$C$2:$Q$103,3+counta($F$1:O$1),false)</f>
        <v>-0.05</v>
      </c>
      <c r="P32" s="99">
        <f>$D32-vlookup(Summary!$C32,Summary!$C$2:$Q$103,3+counta($F$1:P$1),false)</f>
        <v>0.2</v>
      </c>
      <c r="Q32" s="99">
        <f>$D32-vlookup(Summary!$C32,Summary!$C$2:$Q$103,3+counta($F$1:Q$1),false)</f>
        <v>-0.2</v>
      </c>
    </row>
    <row r="33" ht="15.75" customHeight="1">
      <c r="A33" s="15">
        <f>Main!A33</f>
        <v>32</v>
      </c>
      <c r="B33" s="15" t="str">
        <f>Main!B33</f>
        <v>Henry Cavill marries</v>
      </c>
      <c r="C33" s="15" t="str">
        <f>Main!C33</f>
        <v>Celebrities</v>
      </c>
      <c r="D33" s="15">
        <v>0.4</v>
      </c>
      <c r="F33" s="99">
        <f>$D33-vlookup(Summary!$C33,Summary!$C$2:$Q$103,3+counta($F$1:F$1),false)</f>
        <v>-0.15</v>
      </c>
      <c r="G33" s="99">
        <f>$D33-vlookup(Summary!$C33,Summary!$C$2:$Q$103,3+counta($F$1:G$1),false)</f>
        <v>-0.2</v>
      </c>
      <c r="H33" s="99">
        <f>$D33-vlookup(Summary!$C33,Summary!$C$2:$Q$103,3+counta($F$1:H$1),false)</f>
        <v>0.3</v>
      </c>
      <c r="I33" s="99">
        <f>$D33-vlookup(Summary!$C33,Summary!$C$2:$Q$103,3+counta($F$1:I$1),false)</f>
        <v>0.2</v>
      </c>
      <c r="J33" s="99">
        <f>$D33-vlookup(Summary!$C33,Summary!$C$2:$Q$103,3+counta($F$1:J$1),false)</f>
        <v>0</v>
      </c>
      <c r="K33" s="99">
        <f>$D33-vlookup(Summary!$C33,Summary!$C$2:$Q$103,3+counta($F$1:K$1),false)</f>
        <v>-0.1</v>
      </c>
      <c r="L33" s="99">
        <f>$D33-vlookup(Summary!$C33,Summary!$C$2:$Q$103,3+counta($F$1:L$1),false)</f>
        <v>0.2</v>
      </c>
      <c r="M33" s="99">
        <f>$D33-vlookup(Summary!$C33,Summary!$C$2:$Q$103,3+counta($F$1:M$1),false)</f>
        <v>0.3</v>
      </c>
      <c r="N33" s="99">
        <f>$D33-vlookup(Summary!$C33,Summary!$C$2:$Q$103,3+counta($F$1:N$1),false)</f>
        <v>-0.1</v>
      </c>
      <c r="O33" s="99">
        <f>$D33-vlookup(Summary!$C33,Summary!$C$2:$Q$103,3+counta($F$1:O$1),false)</f>
        <v>0.25</v>
      </c>
      <c r="P33" s="99">
        <f>$D33-vlookup(Summary!$C33,Summary!$C$2:$Q$103,3+counta($F$1:P$1),false)</f>
        <v>-0.1</v>
      </c>
      <c r="Q33" s="99">
        <f>$D33-vlookup(Summary!$C33,Summary!$C$2:$Q$103,3+counta($F$1:Q$1),false)</f>
        <v>0</v>
      </c>
    </row>
    <row r="34" ht="15.75" customHeight="1">
      <c r="A34" s="15">
        <f>Main!A34</f>
        <v>33</v>
      </c>
      <c r="B34" s="15" t="str">
        <f>Main!B34</f>
        <v>Daily COVID cases in Australia will reach 150,000 at least once</v>
      </c>
      <c r="C34" s="15" t="str">
        <f>Main!C34</f>
        <v>Covid</v>
      </c>
      <c r="D34" s="15">
        <v>0.9</v>
      </c>
      <c r="F34" s="99">
        <f>$D34-vlookup(Summary!$C34,Summary!$C$2:$Q$103,3+counta($F$1:F$1),false)</f>
        <v>0.8</v>
      </c>
      <c r="G34" s="99">
        <f>$D34-vlookup(Summary!$C34,Summary!$C$2:$Q$103,3+counta($F$1:G$1),false)</f>
        <v>0.7</v>
      </c>
      <c r="H34" s="99">
        <f>$D34-vlookup(Summary!$C34,Summary!$C$2:$Q$103,3+counta($F$1:H$1),false)</f>
        <v>0.89</v>
      </c>
      <c r="I34" s="99">
        <f>$D34-vlookup(Summary!$C34,Summary!$C$2:$Q$103,3+counta($F$1:I$1),false)</f>
        <v>0.8</v>
      </c>
      <c r="J34" s="99">
        <f>$D34-vlookup(Summary!$C34,Summary!$C$2:$Q$103,3+counta($F$1:J$1),false)</f>
        <v>0</v>
      </c>
      <c r="K34" s="99">
        <f>$D34-vlookup(Summary!$C34,Summary!$C$2:$Q$103,3+counta($F$1:K$1),false)</f>
        <v>0.3</v>
      </c>
      <c r="L34" s="99">
        <f>$D34-vlookup(Summary!$C34,Summary!$C$2:$Q$103,3+counta($F$1:L$1),false)</f>
        <v>0.85</v>
      </c>
      <c r="M34" s="99">
        <f>$D34-vlookup(Summary!$C34,Summary!$C$2:$Q$103,3+counta($F$1:M$1),false)</f>
        <v>0.89</v>
      </c>
      <c r="N34" s="99">
        <f>$D34-vlookup(Summary!$C34,Summary!$C$2:$Q$103,3+counta($F$1:N$1),false)</f>
        <v>0.5</v>
      </c>
      <c r="O34" s="99">
        <f>$D34-vlookup(Summary!$C34,Summary!$C$2:$Q$103,3+counta($F$1:O$1),false)</f>
        <v>0.75</v>
      </c>
      <c r="P34" s="99">
        <f>$D34-vlookup(Summary!$C34,Summary!$C$2:$Q$103,3+counta($F$1:P$1),false)</f>
        <v>0</v>
      </c>
      <c r="Q34" s="99">
        <f>$D34-vlookup(Summary!$C34,Summary!$C$2:$Q$103,3+counta($F$1:Q$1),false)</f>
        <v>0</v>
      </c>
    </row>
    <row r="35" ht="15.75" customHeight="1">
      <c r="A35" s="15">
        <f>Main!A35</f>
        <v>34</v>
      </c>
      <c r="B35" s="15" t="str">
        <f>Main!B35</f>
        <v>More deaths will be attributed to Omicron by the WHO than all other covid variants combined</v>
      </c>
      <c r="C35" s="15" t="str">
        <f>Main!C35</f>
        <v>Covid</v>
      </c>
      <c r="D35" s="15">
        <v>0.4</v>
      </c>
      <c r="F35" s="99">
        <f>$D35-vlookup(Summary!$C35,Summary!$C$2:$Q$103,3+counta($F$1:F$1),false)</f>
        <v>0.1</v>
      </c>
      <c r="G35" s="99">
        <f>$D35-vlookup(Summary!$C35,Summary!$C$2:$Q$103,3+counta($F$1:G$1),false)</f>
        <v>0.3</v>
      </c>
      <c r="H35" s="99">
        <f>$D35-vlookup(Summary!$C35,Summary!$C$2:$Q$103,3+counta($F$1:H$1),false)</f>
        <v>-0.4</v>
      </c>
      <c r="I35" s="99">
        <f>$D35-vlookup(Summary!$C35,Summary!$C$2:$Q$103,3+counta($F$1:I$1),false)</f>
        <v>0.3</v>
      </c>
      <c r="J35" s="99">
        <f>$D35-vlookup(Summary!$C35,Summary!$C$2:$Q$103,3+counta($F$1:J$1),false)</f>
        <v>0</v>
      </c>
      <c r="K35" s="99">
        <f>$D35-vlookup(Summary!$C35,Summary!$C$2:$Q$103,3+counta($F$1:K$1),false)</f>
        <v>-0.35</v>
      </c>
      <c r="L35" s="99">
        <f>$D35-vlookup(Summary!$C35,Summary!$C$2:$Q$103,3+counta($F$1:L$1),false)</f>
        <v>0.399</v>
      </c>
      <c r="M35" s="99">
        <f>$D35-vlookup(Summary!$C35,Summary!$C$2:$Q$103,3+counta($F$1:M$1),false)</f>
        <v>-0.4</v>
      </c>
      <c r="N35" s="99">
        <f>$D35-vlookup(Summary!$C35,Summary!$C$2:$Q$103,3+counta($F$1:N$1),false)</f>
        <v>0.1</v>
      </c>
      <c r="O35" s="99">
        <f>$D35-vlookup(Summary!$C35,Summary!$C$2:$Q$103,3+counta($F$1:O$1),false)</f>
        <v>-0.45</v>
      </c>
      <c r="P35" s="99">
        <f>$D35-vlookup(Summary!$C35,Summary!$C$2:$Q$103,3+counta($F$1:P$1),false)</f>
        <v>-0.1</v>
      </c>
      <c r="Q35" s="99">
        <f>$D35-vlookup(Summary!$C35,Summary!$C$2:$Q$103,3+counta($F$1:Q$1),false)</f>
        <v>-0.3</v>
      </c>
    </row>
    <row r="36" ht="15.75" customHeight="1">
      <c r="A36" s="15">
        <f>Main!A36</f>
        <v>35</v>
      </c>
      <c r="B36" s="15" t="str">
        <f>Main!B36</f>
        <v>The average number of covid vaccinations per person amongst members of Xmas eve 2022 will be &gt; 3</v>
      </c>
      <c r="C36" s="15" t="str">
        <f>Main!C36</f>
        <v>Covid</v>
      </c>
      <c r="D36" s="15">
        <v>0.4</v>
      </c>
      <c r="F36" s="99">
        <f>$D36-vlookup(Summary!$C36,Summary!$C$2:$Q$103,3+counta($F$1:F$1),false)</f>
        <v>-0.4</v>
      </c>
      <c r="G36" s="99">
        <f>$D36-vlookup(Summary!$C36,Summary!$C$2:$Q$103,3+counta($F$1:G$1),false)</f>
        <v>-0.5</v>
      </c>
      <c r="H36" s="99">
        <f>$D36-vlookup(Summary!$C36,Summary!$C$2:$Q$103,3+counta($F$1:H$1),false)</f>
        <v>-0.5</v>
      </c>
      <c r="I36" s="99">
        <f>$D36-vlookup(Summary!$C36,Summary!$C$2:$Q$103,3+counta($F$1:I$1),false)</f>
        <v>-0.1</v>
      </c>
      <c r="J36" s="99">
        <f>$D36-vlookup(Summary!$C36,Summary!$C$2:$Q$103,3+counta($F$1:J$1),false)</f>
        <v>0</v>
      </c>
      <c r="K36" s="99">
        <f>$D36-vlookup(Summary!$C36,Summary!$C$2:$Q$103,3+counta($F$1:K$1),false)</f>
        <v>-0.4</v>
      </c>
      <c r="L36" s="99">
        <f>$D36-vlookup(Summary!$C36,Summary!$C$2:$Q$103,3+counta($F$1:L$1),false)</f>
        <v>-0.599</v>
      </c>
      <c r="M36" s="99">
        <f>$D36-vlookup(Summary!$C36,Summary!$C$2:$Q$103,3+counta($F$1:M$1),false)</f>
        <v>-0.5</v>
      </c>
      <c r="N36" s="99">
        <f>$D36-vlookup(Summary!$C36,Summary!$C$2:$Q$103,3+counta($F$1:N$1),false)</f>
        <v>-0.5</v>
      </c>
      <c r="O36" s="99">
        <f>$D36-vlookup(Summary!$C36,Summary!$C$2:$Q$103,3+counta($F$1:O$1),false)</f>
        <v>-0.45</v>
      </c>
      <c r="P36" s="99">
        <f>$D36-vlookup(Summary!$C36,Summary!$C$2:$Q$103,3+counta($F$1:P$1),false)</f>
        <v>-0.5</v>
      </c>
      <c r="Q36" s="99">
        <f>$D36-vlookup(Summary!$C36,Summary!$C$2:$Q$103,3+counta($F$1:Q$1),false)</f>
        <v>0</v>
      </c>
    </row>
    <row r="37" ht="15.75" customHeight="1">
      <c r="A37" s="15">
        <f>Main!A37</f>
        <v>36</v>
      </c>
      <c r="B37" s="15" t="str">
        <f>Main!B37</f>
        <v>2 new variants of Covid will be invented/discovered during 2022</v>
      </c>
      <c r="C37" s="15" t="str">
        <f>Main!C37</f>
        <v>Covid</v>
      </c>
      <c r="D37" s="15">
        <v>0.9</v>
      </c>
      <c r="F37" s="99">
        <f>$D37-vlookup(Summary!$C37,Summary!$C$2:$Q$103,3+counta($F$1:F$1),false)</f>
        <v>0.6</v>
      </c>
      <c r="G37" s="99">
        <f>$D37-vlookup(Summary!$C37,Summary!$C$2:$Q$103,3+counta($F$1:G$1),false)</f>
        <v>0.6</v>
      </c>
      <c r="H37" s="99">
        <f>$D37-vlookup(Summary!$C37,Summary!$C$2:$Q$103,3+counta($F$1:H$1),false)</f>
        <v>0.1</v>
      </c>
      <c r="I37" s="99">
        <f>$D37-vlookup(Summary!$C37,Summary!$C$2:$Q$103,3+counta($F$1:I$1),false)</f>
        <v>0.6</v>
      </c>
      <c r="J37" s="99">
        <f>$D37-vlookup(Summary!$C37,Summary!$C$2:$Q$103,3+counta($F$1:J$1),false)</f>
        <v>0</v>
      </c>
      <c r="K37" s="99">
        <f>$D37-vlookup(Summary!$C37,Summary!$C$2:$Q$103,3+counta($F$1:K$1),false)</f>
        <v>0.05</v>
      </c>
      <c r="L37" s="99">
        <f>$D37-vlookup(Summary!$C37,Summary!$C$2:$Q$103,3+counta($F$1:L$1),false)</f>
        <v>0.899</v>
      </c>
      <c r="M37" s="99">
        <f>$D37-vlookup(Summary!$C37,Summary!$C$2:$Q$103,3+counta($F$1:M$1),false)</f>
        <v>0.1</v>
      </c>
      <c r="N37" s="99">
        <f>$D37-vlookup(Summary!$C37,Summary!$C$2:$Q$103,3+counta($F$1:N$1),false)</f>
        <v>0</v>
      </c>
      <c r="O37" s="99">
        <f>$D37-vlookup(Summary!$C37,Summary!$C$2:$Q$103,3+counta($F$1:O$1),false)</f>
        <v>0.55</v>
      </c>
      <c r="P37" s="99">
        <f>$D37-vlookup(Summary!$C37,Summary!$C$2:$Q$103,3+counta($F$1:P$1),false)</f>
        <v>0</v>
      </c>
      <c r="Q37" s="99">
        <f>$D37-vlookup(Summary!$C37,Summary!$C$2:$Q$103,3+counta($F$1:Q$1),false)</f>
        <v>0.5</v>
      </c>
    </row>
    <row r="38" ht="15.75" customHeight="1">
      <c r="A38" s="15">
        <f>Main!A38</f>
        <v>37</v>
      </c>
      <c r="B38" s="15" t="str">
        <f>Main!B38</f>
        <v>Tasmania will have experienced at least 10,000 new cases in 1 day</v>
      </c>
      <c r="C38" s="15" t="str">
        <f>Main!C38</f>
        <v>Covid</v>
      </c>
      <c r="D38" s="15">
        <v>0.3</v>
      </c>
      <c r="F38" s="99">
        <f>$D38-vlookup(Summary!$C38,Summary!$C$2:$Q$103,3+counta($F$1:F$1),false)</f>
        <v>0.15</v>
      </c>
      <c r="G38" s="99">
        <f>$D38-vlookup(Summary!$C38,Summary!$C$2:$Q$103,3+counta($F$1:G$1),false)</f>
        <v>0.2</v>
      </c>
      <c r="H38" s="99">
        <f>$D38-vlookup(Summary!$C38,Summary!$C$2:$Q$103,3+counta($F$1:H$1),false)</f>
        <v>0.25</v>
      </c>
      <c r="I38" s="99">
        <f>$D38-vlookup(Summary!$C38,Summary!$C$2:$Q$103,3+counta($F$1:I$1),false)</f>
        <v>0.2</v>
      </c>
      <c r="J38" s="99">
        <f>$D38-vlookup(Summary!$C38,Summary!$C$2:$Q$103,3+counta($F$1:J$1),false)</f>
        <v>0</v>
      </c>
      <c r="K38" s="99">
        <f>$D38-vlookup(Summary!$C38,Summary!$C$2:$Q$103,3+counta($F$1:K$1),false)</f>
        <v>-0.15</v>
      </c>
      <c r="L38" s="99">
        <f>$D38-vlookup(Summary!$C38,Summary!$C$2:$Q$103,3+counta($F$1:L$1),false)</f>
        <v>0.299</v>
      </c>
      <c r="M38" s="99">
        <f>$D38-vlookup(Summary!$C38,Summary!$C$2:$Q$103,3+counta($F$1:M$1),false)</f>
        <v>0.28</v>
      </c>
      <c r="N38" s="99">
        <f>$D38-vlookup(Summary!$C38,Summary!$C$2:$Q$103,3+counta($F$1:N$1),false)</f>
        <v>0.2</v>
      </c>
      <c r="O38" s="99">
        <f>$D38-vlookup(Summary!$C38,Summary!$C$2:$Q$103,3+counta($F$1:O$1),false)</f>
        <v>0.299</v>
      </c>
      <c r="P38" s="99">
        <f>$D38-vlookup(Summary!$C38,Summary!$C$2:$Q$103,3+counta($F$1:P$1),false)</f>
        <v>-0.2</v>
      </c>
      <c r="Q38" s="99">
        <f>$D38-vlookup(Summary!$C38,Summary!$C$2:$Q$103,3+counta($F$1:Q$1),false)</f>
        <v>-0.25</v>
      </c>
    </row>
    <row r="39" ht="15.75" customHeight="1">
      <c r="A39" s="15">
        <f>Main!A39</f>
        <v>38</v>
      </c>
      <c r="B39" s="15" t="str">
        <f>Main!B39</f>
        <v>WHO switches to another alphabet than the Greek alphabet for Covid variants</v>
      </c>
      <c r="C39" s="15" t="str">
        <f>Main!C39</f>
        <v>Covid</v>
      </c>
      <c r="D39" s="15">
        <v>0.5</v>
      </c>
      <c r="F39" s="99">
        <f>$D39-vlookup(Summary!$C39,Summary!$C$2:$Q$103,3+counta($F$1:F$1),false)</f>
        <v>0.05</v>
      </c>
      <c r="G39" s="99">
        <f>$D39-vlookup(Summary!$C39,Summary!$C$2:$Q$103,3+counta($F$1:G$1),false)</f>
        <v>-0.3</v>
      </c>
      <c r="H39" s="99">
        <f>$D39-vlookup(Summary!$C39,Summary!$C$2:$Q$103,3+counta($F$1:H$1),false)</f>
        <v>0.3</v>
      </c>
      <c r="I39" s="99">
        <f>$D39-vlookup(Summary!$C39,Summary!$C$2:$Q$103,3+counta($F$1:I$1),false)</f>
        <v>0.4</v>
      </c>
      <c r="J39" s="99">
        <f>$D39-vlookup(Summary!$C39,Summary!$C$2:$Q$103,3+counta($F$1:J$1),false)</f>
        <v>0</v>
      </c>
      <c r="K39" s="99">
        <f>$D39-vlookup(Summary!$C39,Summary!$C$2:$Q$103,3+counta($F$1:K$1),false)</f>
        <v>-0.4</v>
      </c>
      <c r="L39" s="99">
        <f>$D39-vlookup(Summary!$C39,Summary!$C$2:$Q$103,3+counta($F$1:L$1),false)</f>
        <v>0</v>
      </c>
      <c r="M39" s="99">
        <f>$D39-vlookup(Summary!$C39,Summary!$C$2:$Q$103,3+counta($F$1:M$1),false)</f>
        <v>0.3</v>
      </c>
      <c r="N39" s="99">
        <f>$D39-vlookup(Summary!$C39,Summary!$C$2:$Q$103,3+counta($F$1:N$1),false)</f>
        <v>-0.4</v>
      </c>
      <c r="O39" s="99">
        <f>$D39-vlookup(Summary!$C39,Summary!$C$2:$Q$103,3+counta($F$1:O$1),false)</f>
        <v>0.35</v>
      </c>
      <c r="P39" s="99">
        <f>$D39-vlookup(Summary!$C39,Summary!$C$2:$Q$103,3+counta($F$1:P$1),false)</f>
        <v>0.4</v>
      </c>
      <c r="Q39" s="99">
        <f>$D39-vlookup(Summary!$C39,Summary!$C$2:$Q$103,3+counta($F$1:Q$1),false)</f>
        <v>0.15</v>
      </c>
    </row>
    <row r="40" ht="15.75" customHeight="1">
      <c r="A40" s="15">
        <f>Main!A40</f>
        <v>39</v>
      </c>
      <c r="B40" s="15" t="str">
        <f>Main!B40</f>
        <v>Lachy and Jac's extension will be completed</v>
      </c>
      <c r="C40" s="15" t="str">
        <f>Main!C40</f>
        <v>Family</v>
      </c>
      <c r="D40" s="15">
        <v>0.8</v>
      </c>
      <c r="F40" s="99">
        <f>$D40-vlookup(Summary!$C40,Summary!$C$2:$Q$103,3+counta($F$1:F$1),false)</f>
        <v>0.1</v>
      </c>
      <c r="G40" s="99">
        <f>$D40-vlookup(Summary!$C40,Summary!$C$2:$Q$103,3+counta($F$1:G$1),false)</f>
        <v>0</v>
      </c>
      <c r="H40" s="99">
        <f>$D40-vlookup(Summary!$C40,Summary!$C$2:$Q$103,3+counta($F$1:H$1),false)</f>
        <v>0.7</v>
      </c>
      <c r="I40" s="99">
        <f>$D40-vlookup(Summary!$C40,Summary!$C$2:$Q$103,3+counta($F$1:I$1),false)</f>
        <v>0.3</v>
      </c>
      <c r="J40" s="99">
        <f>$D40-vlookup(Summary!$C40,Summary!$C$2:$Q$103,3+counta($F$1:J$1),false)</f>
        <v>0</v>
      </c>
      <c r="K40" s="99">
        <f>$D40-vlookup(Summary!$C40,Summary!$C$2:$Q$103,3+counta($F$1:K$1),false)</f>
        <v>0.4</v>
      </c>
      <c r="L40" s="99">
        <f>$D40-vlookup(Summary!$C40,Summary!$C$2:$Q$103,3+counta($F$1:L$1),false)</f>
        <v>0.3</v>
      </c>
      <c r="M40" s="99">
        <f>$D40-vlookup(Summary!$C40,Summary!$C$2:$Q$103,3+counta($F$1:M$1),false)</f>
        <v>0.8</v>
      </c>
      <c r="N40" s="99">
        <f>$D40-vlookup(Summary!$C40,Summary!$C$2:$Q$103,3+counta($F$1:N$1),false)</f>
        <v>-0.1</v>
      </c>
      <c r="O40" s="99">
        <f>$D40-vlookup(Summary!$C40,Summary!$C$2:$Q$103,3+counta($F$1:O$1),false)</f>
        <v>-0.05</v>
      </c>
      <c r="P40" s="99">
        <f>$D40-vlookup(Summary!$C40,Summary!$C$2:$Q$103,3+counta($F$1:P$1),false)</f>
        <v>0.3</v>
      </c>
      <c r="Q40" s="99">
        <f>$D40-vlookup(Summary!$C40,Summary!$C$2:$Q$103,3+counta($F$1:Q$1),false)</f>
        <v>0.65</v>
      </c>
    </row>
    <row r="41" ht="15.75" customHeight="1">
      <c r="A41" s="15">
        <f>Main!A41</f>
        <v>40</v>
      </c>
      <c r="B41" s="15" t="str">
        <f>Main!B41</f>
        <v>Rohan will work for two different employers (not his own family members)</v>
      </c>
      <c r="C41" s="15" t="str">
        <f>Main!C41</f>
        <v>Family</v>
      </c>
      <c r="D41" s="15">
        <v>0.5</v>
      </c>
      <c r="F41" s="99">
        <f>$D41-vlookup(Summary!$C41,Summary!$C$2:$Q$103,3+counta($F$1:F$1),false)</f>
        <v>0.1</v>
      </c>
      <c r="G41" s="99">
        <f>$D41-vlookup(Summary!$C41,Summary!$C$2:$Q$103,3+counta($F$1:G$1),false)</f>
        <v>-0.1</v>
      </c>
      <c r="H41" s="99">
        <f>$D41-vlookup(Summary!$C41,Summary!$C$2:$Q$103,3+counta($F$1:H$1),false)</f>
        <v>0.4</v>
      </c>
      <c r="I41" s="99">
        <f>$D41-vlookup(Summary!$C41,Summary!$C$2:$Q$103,3+counta($F$1:I$1),false)</f>
        <v>0.2</v>
      </c>
      <c r="J41" s="99">
        <f>$D41-vlookup(Summary!$C41,Summary!$C$2:$Q$103,3+counta($F$1:J$1),false)</f>
        <v>0</v>
      </c>
      <c r="K41" s="99">
        <f>$D41-vlookup(Summary!$C41,Summary!$C$2:$Q$103,3+counta($F$1:K$1),false)</f>
        <v>0.2</v>
      </c>
      <c r="L41" s="99">
        <f>$D41-vlookup(Summary!$C41,Summary!$C$2:$Q$103,3+counta($F$1:L$1),false)</f>
        <v>0.2</v>
      </c>
      <c r="M41" s="99">
        <f>$D41-vlookup(Summary!$C41,Summary!$C$2:$Q$103,3+counta($F$1:M$1),false)</f>
        <v>0.4</v>
      </c>
      <c r="N41" s="99">
        <f>$D41-vlookup(Summary!$C41,Summary!$C$2:$Q$103,3+counta($F$1:N$1),false)</f>
        <v>-0.1</v>
      </c>
      <c r="O41" s="99">
        <f>$D41-vlookup(Summary!$C41,Summary!$C$2:$Q$103,3+counta($F$1:O$1),false)</f>
        <v>0.35</v>
      </c>
      <c r="P41" s="99">
        <f>$D41-vlookup(Summary!$C41,Summary!$C$2:$Q$103,3+counta($F$1:P$1),false)</f>
        <v>0</v>
      </c>
      <c r="Q41" s="99">
        <f>$D41-vlookup(Summary!$C41,Summary!$C$2:$Q$103,3+counta($F$1:Q$1),false)</f>
        <v>0.2</v>
      </c>
    </row>
    <row r="42" ht="15.75" customHeight="1">
      <c r="A42" s="15">
        <f>Main!A42</f>
        <v>41</v>
      </c>
      <c r="B42" s="15" t="str">
        <f>Main!B42</f>
        <v>Kate will swim the Broulee Bay to Breakers in March 2022 and improve her position from 9th in the 40s women’s age group</v>
      </c>
      <c r="C42" s="15" t="str">
        <f>Main!C42</f>
        <v>Family</v>
      </c>
      <c r="D42" s="15">
        <v>0.9</v>
      </c>
      <c r="F42" s="99">
        <f>$D42-vlookup(Summary!$C42,Summary!$C$2:$Q$103,3+counta($F$1:F$1),false)</f>
        <v>0.3</v>
      </c>
      <c r="G42" s="99">
        <f>$D42-vlookup(Summary!$C42,Summary!$C$2:$Q$103,3+counta($F$1:G$1),false)</f>
        <v>0.1</v>
      </c>
      <c r="H42" s="99">
        <f>$D42-vlookup(Summary!$C42,Summary!$C$2:$Q$103,3+counta($F$1:H$1),false)</f>
        <v>0</v>
      </c>
      <c r="I42" s="99">
        <f>$D42-vlookup(Summary!$C42,Summary!$C$2:$Q$103,3+counta($F$1:I$1),false)</f>
        <v>0.4</v>
      </c>
      <c r="J42" s="99">
        <f>$D42-vlookup(Summary!$C42,Summary!$C$2:$Q$103,3+counta($F$1:J$1),false)</f>
        <v>0</v>
      </c>
      <c r="K42" s="99">
        <f>$D42-vlookup(Summary!$C42,Summary!$C$2:$Q$103,3+counta($F$1:K$1),false)</f>
        <v>0.2</v>
      </c>
      <c r="L42" s="99">
        <f>$D42-vlookup(Summary!$C42,Summary!$C$2:$Q$103,3+counta($F$1:L$1),false)</f>
        <v>0.3</v>
      </c>
      <c r="M42" s="99">
        <f>$D42-vlookup(Summary!$C42,Summary!$C$2:$Q$103,3+counta($F$1:M$1),false)</f>
        <v>0</v>
      </c>
      <c r="N42" s="99">
        <f>$D42-vlookup(Summary!$C42,Summary!$C$2:$Q$103,3+counta($F$1:N$1),false)</f>
        <v>0.7</v>
      </c>
      <c r="O42" s="99">
        <f>$D42-vlookup(Summary!$C42,Summary!$C$2:$Q$103,3+counta($F$1:O$1),false)</f>
        <v>0.05</v>
      </c>
      <c r="P42" s="99">
        <f>$D42-vlookup(Summary!$C42,Summary!$C$2:$Q$103,3+counta($F$1:P$1),false)</f>
        <v>0</v>
      </c>
      <c r="Q42" s="99">
        <f>$D42-vlookup(Summary!$C42,Summary!$C$2:$Q$103,3+counta($F$1:Q$1),false)</f>
        <v>0.4</v>
      </c>
    </row>
    <row r="43" ht="15.75" customHeight="1">
      <c r="A43" s="15">
        <f>Main!A43</f>
        <v>42</v>
      </c>
      <c r="B43" s="15" t="str">
        <f>Main!B43</f>
        <v>Rohan will be at least 6ft tall</v>
      </c>
      <c r="C43" s="15" t="str">
        <f>Main!C43</f>
        <v>Family</v>
      </c>
      <c r="D43" s="15">
        <v>0.9</v>
      </c>
      <c r="F43" s="99">
        <f>$D43-vlookup(Summary!$C43,Summary!$C$2:$Q$103,3+counta($F$1:F$1),false)</f>
        <v>0.4</v>
      </c>
      <c r="G43" s="99">
        <f>$D43-vlookup(Summary!$C43,Summary!$C$2:$Q$103,3+counta($F$1:G$1),false)</f>
        <v>0</v>
      </c>
      <c r="H43" s="99">
        <f>$D43-vlookup(Summary!$C43,Summary!$C$2:$Q$103,3+counta($F$1:H$1),false)</f>
        <v>0</v>
      </c>
      <c r="I43" s="99">
        <f>$D43-vlookup(Summary!$C43,Summary!$C$2:$Q$103,3+counta($F$1:I$1),false)</f>
        <v>0.5</v>
      </c>
      <c r="J43" s="99">
        <f>$D43-vlookup(Summary!$C43,Summary!$C$2:$Q$103,3+counta($F$1:J$1),false)</f>
        <v>0</v>
      </c>
      <c r="K43" s="99">
        <f>$D43-vlookup(Summary!$C43,Summary!$C$2:$Q$103,3+counta($F$1:K$1),false)</f>
        <v>0.899</v>
      </c>
      <c r="L43" s="99">
        <f>$D43-vlookup(Summary!$C43,Summary!$C$2:$Q$103,3+counta($F$1:L$1),false)</f>
        <v>-0.09999</v>
      </c>
      <c r="M43" s="99">
        <f>$D43-vlookup(Summary!$C43,Summary!$C$2:$Q$103,3+counta($F$1:M$1),false)</f>
        <v>0</v>
      </c>
      <c r="N43" s="99">
        <f>$D43-vlookup(Summary!$C43,Summary!$C$2:$Q$103,3+counta($F$1:N$1),false)</f>
        <v>0</v>
      </c>
      <c r="O43" s="99">
        <f>$D43-vlookup(Summary!$C43,Summary!$C$2:$Q$103,3+counta($F$1:O$1),false)</f>
        <v>-0.099</v>
      </c>
      <c r="P43" s="99">
        <f>$D43-vlookup(Summary!$C43,Summary!$C$2:$Q$103,3+counta($F$1:P$1),false)</f>
        <v>0</v>
      </c>
      <c r="Q43" s="99">
        <f>$D43-vlookup(Summary!$C43,Summary!$C$2:$Q$103,3+counta($F$1:Q$1),false)</f>
        <v>-0.09</v>
      </c>
    </row>
    <row r="44" ht="15.75" customHeight="1">
      <c r="A44" s="15">
        <f>Main!A44</f>
        <v>43</v>
      </c>
      <c r="B44" s="15" t="str">
        <f>Main!B44</f>
        <v>A participant in the prediction game will get a dog or another dog </v>
      </c>
      <c r="C44" s="15" t="str">
        <f>Main!C44</f>
        <v>Family</v>
      </c>
      <c r="D44" s="15">
        <v>0.9</v>
      </c>
      <c r="F44" s="99">
        <f>$D44-vlookup(Summary!$C44,Summary!$C$2:$Q$103,3+counta($F$1:F$1),false)</f>
        <v>0.4</v>
      </c>
      <c r="G44" s="99">
        <f>$D44-vlookup(Summary!$C44,Summary!$C$2:$Q$103,3+counta($F$1:G$1),false)</f>
        <v>-0.05</v>
      </c>
      <c r="H44" s="99">
        <f>$D44-vlookup(Summary!$C44,Summary!$C$2:$Q$103,3+counta($F$1:H$1),false)</f>
        <v>0.8</v>
      </c>
      <c r="I44" s="99">
        <f>$D44-vlookup(Summary!$C44,Summary!$C$2:$Q$103,3+counta($F$1:I$1),false)</f>
        <v>0.8</v>
      </c>
      <c r="J44" s="99">
        <f>$D44-vlookup(Summary!$C44,Summary!$C$2:$Q$103,3+counta($F$1:J$1),false)</f>
        <v>0</v>
      </c>
      <c r="K44" s="99">
        <f>$D44-vlookup(Summary!$C44,Summary!$C$2:$Q$103,3+counta($F$1:K$1),false)</f>
        <v>0.15</v>
      </c>
      <c r="L44" s="99">
        <f>$D44-vlookup(Summary!$C44,Summary!$C$2:$Q$103,3+counta($F$1:L$1),false)</f>
        <v>0.7</v>
      </c>
      <c r="M44" s="99">
        <f>$D44-vlookup(Summary!$C44,Summary!$C$2:$Q$103,3+counta($F$1:M$1),false)</f>
        <v>0.8</v>
      </c>
      <c r="N44" s="99">
        <f>$D44-vlookup(Summary!$C44,Summary!$C$2:$Q$103,3+counta($F$1:N$1),false)</f>
        <v>0.8</v>
      </c>
      <c r="O44" s="99">
        <f>$D44-vlookup(Summary!$C44,Summary!$C$2:$Q$103,3+counta($F$1:O$1),false)</f>
        <v>0.899</v>
      </c>
      <c r="P44" s="99">
        <f>$D44-vlookup(Summary!$C44,Summary!$C$2:$Q$103,3+counta($F$1:P$1),false)</f>
        <v>0.4</v>
      </c>
      <c r="Q44" s="99">
        <f>$D44-vlookup(Summary!$C44,Summary!$C$2:$Q$103,3+counta($F$1:Q$1),false)</f>
        <v>0.65</v>
      </c>
    </row>
    <row r="45" ht="15.75" customHeight="1">
      <c r="A45" s="15">
        <f>Main!A45</f>
        <v>44</v>
      </c>
      <c r="B45" s="15" t="str">
        <f>Main!B45</f>
        <v>There will be a flow of water into the Lake Eyre basin in 2022</v>
      </c>
      <c r="C45" s="15" t="str">
        <f>Main!C45</f>
        <v>Natural world</v>
      </c>
      <c r="D45" s="15">
        <v>0.3</v>
      </c>
      <c r="F45" s="99">
        <f>$D45-vlookup(Summary!$C45,Summary!$C$2:$Q$103,3+counta($F$1:F$1),false)</f>
        <v>-0.45</v>
      </c>
      <c r="G45" s="99">
        <f>$D45-vlookup(Summary!$C45,Summary!$C$2:$Q$103,3+counta($F$1:G$1),false)</f>
        <v>-0.5</v>
      </c>
      <c r="H45" s="99">
        <f>$D45-vlookup(Summary!$C45,Summary!$C$2:$Q$103,3+counta($F$1:H$1),false)</f>
        <v>-0.2</v>
      </c>
      <c r="I45" s="99">
        <f>$D45-vlookup(Summary!$C45,Summary!$C$2:$Q$103,3+counta($F$1:I$1),false)</f>
        <v>-0.2</v>
      </c>
      <c r="J45" s="99">
        <f>$D45-vlookup(Summary!$C45,Summary!$C$2:$Q$103,3+counta($F$1:J$1),false)</f>
        <v>0</v>
      </c>
      <c r="K45" s="99">
        <f>$D45-vlookup(Summary!$C45,Summary!$C$2:$Q$103,3+counta($F$1:K$1),false)</f>
        <v>-0.4</v>
      </c>
      <c r="L45" s="99">
        <f>$D45-vlookup(Summary!$C45,Summary!$C$2:$Q$103,3+counta($F$1:L$1),false)</f>
        <v>-0.5</v>
      </c>
      <c r="M45" s="99">
        <f>$D45-vlookup(Summary!$C45,Summary!$C$2:$Q$103,3+counta($F$1:M$1),false)</f>
        <v>-0.2</v>
      </c>
      <c r="N45" s="99">
        <f>$D45-vlookup(Summary!$C45,Summary!$C$2:$Q$103,3+counta($F$1:N$1),false)</f>
        <v>-0.3</v>
      </c>
      <c r="O45" s="99">
        <f>$D45-vlookup(Summary!$C45,Summary!$C$2:$Q$103,3+counta($F$1:O$1),false)</f>
        <v>-0.35</v>
      </c>
      <c r="P45" s="99">
        <f>$D45-vlookup(Summary!$C45,Summary!$C$2:$Q$103,3+counta($F$1:P$1),false)</f>
        <v>-0.6</v>
      </c>
      <c r="Q45" s="99">
        <f>$D45-vlookup(Summary!$C45,Summary!$C$2:$Q$103,3+counta($F$1:Q$1),false)</f>
        <v>-0.2</v>
      </c>
    </row>
    <row r="46" ht="15.75" customHeight="1">
      <c r="A46" s="15">
        <f>Main!A46</f>
        <v>45</v>
      </c>
      <c r="B46" s="15" t="str">
        <f>Main!B46</f>
        <v>Water from the Paroo will spill into the Darling in 2022</v>
      </c>
      <c r="C46" s="15" t="str">
        <f>Main!C46</f>
        <v>Natural world</v>
      </c>
      <c r="D46" s="15">
        <v>0.6</v>
      </c>
      <c r="F46" s="99">
        <f>$D46-vlookup(Summary!$C46,Summary!$C$2:$Q$103,3+counta($F$1:F$1),false)</f>
        <v>0.1</v>
      </c>
      <c r="G46" s="99">
        <f>$D46-vlookup(Summary!$C46,Summary!$C$2:$Q$103,3+counta($F$1:G$1),false)</f>
        <v>-0.1</v>
      </c>
      <c r="H46" s="99">
        <f>$D46-vlookup(Summary!$C46,Summary!$C$2:$Q$103,3+counta($F$1:H$1),false)</f>
        <v>0.1</v>
      </c>
      <c r="I46" s="99">
        <f>$D46-vlookup(Summary!$C46,Summary!$C$2:$Q$103,3+counta($F$1:I$1),false)</f>
        <v>0.1</v>
      </c>
      <c r="J46" s="99">
        <f>$D46-vlookup(Summary!$C46,Summary!$C$2:$Q$103,3+counta($F$1:J$1),false)</f>
        <v>0</v>
      </c>
      <c r="K46" s="99">
        <f>$D46-vlookup(Summary!$C46,Summary!$C$2:$Q$103,3+counta($F$1:K$1),false)</f>
        <v>0</v>
      </c>
      <c r="L46" s="99">
        <f>$D46-vlookup(Summary!$C46,Summary!$C$2:$Q$103,3+counta($F$1:L$1),false)</f>
        <v>-0.2</v>
      </c>
      <c r="M46" s="99">
        <f>$D46-vlookup(Summary!$C46,Summary!$C$2:$Q$103,3+counta($F$1:M$1),false)</f>
        <v>0.1</v>
      </c>
      <c r="N46" s="99">
        <f>$D46-vlookup(Summary!$C46,Summary!$C$2:$Q$103,3+counta($F$1:N$1),false)</f>
        <v>0</v>
      </c>
      <c r="O46" s="99">
        <f>$D46-vlookup(Summary!$C46,Summary!$C$2:$Q$103,3+counta($F$1:O$1),false)</f>
        <v>0.1</v>
      </c>
      <c r="P46" s="99">
        <f>$D46-vlookup(Summary!$C46,Summary!$C$2:$Q$103,3+counta($F$1:P$1),false)</f>
        <v>0.5</v>
      </c>
      <c r="Q46" s="99">
        <f>$D46-vlookup(Summary!$C46,Summary!$C$2:$Q$103,3+counta($F$1:Q$1),false)</f>
        <v>0.1</v>
      </c>
    </row>
    <row r="47" ht="15.75" customHeight="1">
      <c r="A47" s="15">
        <f>Main!A47</f>
        <v>46</v>
      </c>
      <c r="B47" s="15" t="str">
        <f>Main!B47</f>
        <v>In the Antarctic the Thwaites Glacier ice-shelf will collapse in 2022</v>
      </c>
      <c r="C47" s="15" t="str">
        <f>Main!C47</f>
        <v>Natural world</v>
      </c>
      <c r="D47" s="15">
        <v>0.7</v>
      </c>
      <c r="F47" s="99">
        <f>$D47-vlookup(Summary!$C47,Summary!$C$2:$Q$103,3+counta($F$1:F$1),false)</f>
        <v>0.2</v>
      </c>
      <c r="G47" s="99">
        <f>$D47-vlookup(Summary!$C47,Summary!$C$2:$Q$103,3+counta($F$1:G$1),false)</f>
        <v>0.45</v>
      </c>
      <c r="H47" s="99">
        <f>$D47-vlookup(Summary!$C47,Summary!$C$2:$Q$103,3+counta($F$1:H$1),false)</f>
        <v>0</v>
      </c>
      <c r="I47" s="99">
        <f>$D47-vlookup(Summary!$C47,Summary!$C$2:$Q$103,3+counta($F$1:I$1),false)</f>
        <v>0.2</v>
      </c>
      <c r="J47" s="99">
        <f>$D47-vlookup(Summary!$C47,Summary!$C$2:$Q$103,3+counta($F$1:J$1),false)</f>
        <v>0</v>
      </c>
      <c r="K47" s="99">
        <f>$D47-vlookup(Summary!$C47,Summary!$C$2:$Q$103,3+counta($F$1:K$1),false)</f>
        <v>0</v>
      </c>
      <c r="L47" s="99">
        <f>$D47-vlookup(Summary!$C47,Summary!$C$2:$Q$103,3+counta($F$1:L$1),false)</f>
        <v>0.6</v>
      </c>
      <c r="M47" s="99">
        <f>$D47-vlookup(Summary!$C47,Summary!$C$2:$Q$103,3+counta($F$1:M$1),false)</f>
        <v>0</v>
      </c>
      <c r="N47" s="99">
        <f>$D47-vlookup(Summary!$C47,Summary!$C$2:$Q$103,3+counta($F$1:N$1),false)</f>
        <v>0.5</v>
      </c>
      <c r="O47" s="99">
        <f>$D47-vlookup(Summary!$C47,Summary!$C$2:$Q$103,3+counta($F$1:O$1),false)</f>
        <v>0.35</v>
      </c>
      <c r="P47" s="99">
        <f>$D47-vlookup(Summary!$C47,Summary!$C$2:$Q$103,3+counta($F$1:P$1),false)</f>
        <v>0.2</v>
      </c>
      <c r="Q47" s="99">
        <f>$D47-vlookup(Summary!$C47,Summary!$C$2:$Q$103,3+counta($F$1:Q$1),false)</f>
        <v>0.2</v>
      </c>
    </row>
    <row r="48" ht="15.75" customHeight="1">
      <c r="A48" s="15">
        <f>Main!A48</f>
        <v>47</v>
      </c>
      <c r="B48" s="15" t="str">
        <f>Main!B48</f>
        <v>At least three quarters of the Great Barrier Reef will be bleached as a result of warming seas.</v>
      </c>
      <c r="C48" s="15" t="str">
        <f>Main!C48</f>
        <v>Natural world</v>
      </c>
      <c r="D48" s="15">
        <v>0.8</v>
      </c>
      <c r="F48" s="99">
        <f>$D48-vlookup(Summary!$C48,Summary!$C$2:$Q$103,3+counta($F$1:F$1),false)</f>
        <v>0.3</v>
      </c>
      <c r="G48" s="99">
        <f>$D48-vlookup(Summary!$C48,Summary!$C$2:$Q$103,3+counta($F$1:G$1),false)</f>
        <v>0</v>
      </c>
      <c r="H48" s="99">
        <f>$D48-vlookup(Summary!$C48,Summary!$C$2:$Q$103,3+counta($F$1:H$1),false)</f>
        <v>0.1</v>
      </c>
      <c r="I48" s="99">
        <f>$D48-vlookup(Summary!$C48,Summary!$C$2:$Q$103,3+counta($F$1:I$1),false)</f>
        <v>0.3</v>
      </c>
      <c r="J48" s="99">
        <f>$D48-vlookup(Summary!$C48,Summary!$C$2:$Q$103,3+counta($F$1:J$1),false)</f>
        <v>0</v>
      </c>
      <c r="K48" s="99">
        <f>$D48-vlookup(Summary!$C48,Summary!$C$2:$Q$103,3+counta($F$1:K$1),false)</f>
        <v>-0.05</v>
      </c>
      <c r="L48" s="99">
        <f>$D48-vlookup(Summary!$C48,Summary!$C$2:$Q$103,3+counta($F$1:L$1),false)</f>
        <v>0.3</v>
      </c>
      <c r="M48" s="99">
        <f>$D48-vlookup(Summary!$C48,Summary!$C$2:$Q$103,3+counta($F$1:M$1),false)</f>
        <v>0.1</v>
      </c>
      <c r="N48" s="99">
        <f>$D48-vlookup(Summary!$C48,Summary!$C$2:$Q$103,3+counta($F$1:N$1),false)</f>
        <v>0.1</v>
      </c>
      <c r="O48" s="99">
        <f>$D48-vlookup(Summary!$C48,Summary!$C$2:$Q$103,3+counta($F$1:O$1),false)</f>
        <v>0.45</v>
      </c>
      <c r="P48" s="99">
        <f>$D48-vlookup(Summary!$C48,Summary!$C$2:$Q$103,3+counta($F$1:P$1),false)</f>
        <v>0.3</v>
      </c>
      <c r="Q48" s="99">
        <f>$D48-vlookup(Summary!$C48,Summary!$C$2:$Q$103,3+counta($F$1:Q$1),false)</f>
        <v>0.4</v>
      </c>
    </row>
    <row r="49" ht="15.75" customHeight="1">
      <c r="A49" s="15">
        <f>Main!A49</f>
        <v>48</v>
      </c>
      <c r="B49" s="15" t="str">
        <f>Main!B49</f>
        <v>Sabine Hoffstader will release a Youtube video explaining that the nature of dark matter has been confirmed experimentally</v>
      </c>
      <c r="C49" s="15" t="str">
        <f>Main!C49</f>
        <v>Natural world</v>
      </c>
      <c r="D49" s="15">
        <v>0.5</v>
      </c>
      <c r="F49" s="99">
        <f>$D49-vlookup(Summary!$C49,Summary!$C$2:$Q$103,3+counta($F$1:F$1),false)</f>
        <v>0</v>
      </c>
      <c r="G49" s="99">
        <f>$D49-vlookup(Summary!$C49,Summary!$C$2:$Q$103,3+counta($F$1:G$1),false)</f>
        <v>0.25</v>
      </c>
      <c r="H49" s="99">
        <f>$D49-vlookup(Summary!$C49,Summary!$C$2:$Q$103,3+counta($F$1:H$1),false)</f>
        <v>0.4</v>
      </c>
      <c r="I49" s="99">
        <f>$D49-vlookup(Summary!$C49,Summary!$C$2:$Q$103,3+counta($F$1:I$1),false)</f>
        <v>0</v>
      </c>
      <c r="J49" s="99">
        <f>$D49-vlookup(Summary!$C49,Summary!$C$2:$Q$103,3+counta($F$1:J$1),false)</f>
        <v>0</v>
      </c>
      <c r="K49" s="99">
        <f>$D49-vlookup(Summary!$C49,Summary!$C$2:$Q$103,3+counta($F$1:K$1),false)</f>
        <v>-0.15</v>
      </c>
      <c r="L49" s="99">
        <f>$D49-vlookup(Summary!$C49,Summary!$C$2:$Q$103,3+counta($F$1:L$1),false)</f>
        <v>-0.1</v>
      </c>
      <c r="M49" s="99">
        <f>$D49-vlookup(Summary!$C49,Summary!$C$2:$Q$103,3+counta($F$1:M$1),false)</f>
        <v>0.4</v>
      </c>
      <c r="N49" s="99">
        <f>$D49-vlookup(Summary!$C49,Summary!$C$2:$Q$103,3+counta($F$1:N$1),false)</f>
        <v>0</v>
      </c>
      <c r="O49" s="99">
        <f>$D49-vlookup(Summary!$C49,Summary!$C$2:$Q$103,3+counta($F$1:O$1),false)</f>
        <v>0.499</v>
      </c>
      <c r="P49" s="99">
        <f>$D49-vlookup(Summary!$C49,Summary!$C$2:$Q$103,3+counta($F$1:P$1),false)</f>
        <v>0</v>
      </c>
      <c r="Q49" s="99">
        <f>$D49-vlookup(Summary!$C49,Summary!$C$2:$Q$103,3+counta($F$1:Q$1),false)</f>
        <v>0</v>
      </c>
    </row>
    <row r="50" ht="15.75" customHeight="1">
      <c r="A50" s="15">
        <f>Main!A50</f>
        <v>49</v>
      </c>
      <c r="B50" s="15" t="str">
        <f>Main!B50</f>
        <v>2022 will be the hottest year on record globally (via NASA)</v>
      </c>
      <c r="C50" s="15" t="str">
        <f>Main!C50</f>
        <v>Natural world</v>
      </c>
      <c r="D50" s="15">
        <v>0.8</v>
      </c>
      <c r="F50" s="99">
        <f>$D50-vlookup(Summary!$C50,Summary!$C$2:$Q$103,3+counta($F$1:F$1),false)</f>
        <v>0.5</v>
      </c>
      <c r="G50" s="99">
        <f>$D50-vlookup(Summary!$C50,Summary!$C$2:$Q$103,3+counta($F$1:G$1),false)</f>
        <v>0.35</v>
      </c>
      <c r="H50" s="99">
        <f>$D50-vlookup(Summary!$C50,Summary!$C$2:$Q$103,3+counta($F$1:H$1),false)</f>
        <v>-0.15</v>
      </c>
      <c r="I50" s="99">
        <f>$D50-vlookup(Summary!$C50,Summary!$C$2:$Q$103,3+counta($F$1:I$1),false)</f>
        <v>0.5</v>
      </c>
      <c r="J50" s="99">
        <f>$D50-vlookup(Summary!$C50,Summary!$C$2:$Q$103,3+counta($F$1:J$1),false)</f>
        <v>0</v>
      </c>
      <c r="K50" s="99">
        <f>$D50-vlookup(Summary!$C50,Summary!$C$2:$Q$103,3+counta($F$1:K$1),false)</f>
        <v>-0.02</v>
      </c>
      <c r="L50" s="99">
        <f>$D50-vlookup(Summary!$C50,Summary!$C$2:$Q$103,3+counta($F$1:L$1),false)</f>
        <v>0.6</v>
      </c>
      <c r="M50" s="99">
        <f>$D50-vlookup(Summary!$C50,Summary!$C$2:$Q$103,3+counta($F$1:M$1),false)</f>
        <v>-0.15</v>
      </c>
      <c r="N50" s="99">
        <f>$D50-vlookup(Summary!$C50,Summary!$C$2:$Q$103,3+counta($F$1:N$1),false)</f>
        <v>0.5</v>
      </c>
      <c r="O50" s="99">
        <f>$D50-vlookup(Summary!$C50,Summary!$C$2:$Q$103,3+counta($F$1:O$1),false)</f>
        <v>0.65</v>
      </c>
      <c r="P50" s="99">
        <f>$D50-vlookup(Summary!$C50,Summary!$C$2:$Q$103,3+counta($F$1:P$1),false)</f>
        <v>0.2</v>
      </c>
      <c r="Q50" s="99">
        <f>$D50-vlookup(Summary!$C50,Summary!$C$2:$Q$103,3+counta($F$1:Q$1),false)</f>
        <v>0.4</v>
      </c>
    </row>
    <row r="51" ht="15.75" customHeight="1">
      <c r="A51" s="15">
        <f>Main!A51</f>
        <v>50</v>
      </c>
      <c r="B51" s="15" t="str">
        <f>Main!B51</f>
        <v>A cultivated chilli will replace the Carolina Reaper as the world’s hottest, as measured in scoville units (GWR seems to be the source of this currently)</v>
      </c>
      <c r="C51" s="15" t="str">
        <f>Main!C51</f>
        <v>Natural world</v>
      </c>
      <c r="D51" s="15">
        <v>0.2</v>
      </c>
      <c r="F51" s="99">
        <f>$D51-vlookup(Summary!$C51,Summary!$C$2:$Q$103,3+counta($F$1:F$1),false)</f>
        <v>-0.4</v>
      </c>
      <c r="G51" s="99">
        <f>$D51-vlookup(Summary!$C51,Summary!$C$2:$Q$103,3+counta($F$1:G$1),false)</f>
        <v>-0.31</v>
      </c>
      <c r="H51" s="99">
        <f>$D51-vlookup(Summary!$C51,Summary!$C$2:$Q$103,3+counta($F$1:H$1),false)</f>
        <v>-0.5</v>
      </c>
      <c r="I51" s="99">
        <f>$D51-vlookup(Summary!$C51,Summary!$C$2:$Q$103,3+counta($F$1:I$1),false)</f>
        <v>-0.6</v>
      </c>
      <c r="J51" s="99">
        <f>$D51-vlookup(Summary!$C51,Summary!$C$2:$Q$103,3+counta($F$1:J$1),false)</f>
        <v>0</v>
      </c>
      <c r="K51" s="99">
        <f>$D51-vlookup(Summary!$C51,Summary!$C$2:$Q$103,3+counta($F$1:K$1),false)</f>
        <v>-0.55</v>
      </c>
      <c r="L51" s="99">
        <f>$D51-vlookup(Summary!$C51,Summary!$C$2:$Q$103,3+counta($F$1:L$1),false)</f>
        <v>-0.3</v>
      </c>
      <c r="M51" s="99">
        <f>$D51-vlookup(Summary!$C51,Summary!$C$2:$Q$103,3+counta($F$1:M$1),false)</f>
        <v>-0.5</v>
      </c>
      <c r="N51" s="99">
        <f>$D51-vlookup(Summary!$C51,Summary!$C$2:$Q$103,3+counta($F$1:N$1),false)</f>
        <v>-0.6</v>
      </c>
      <c r="O51" s="99">
        <f>$D51-vlookup(Summary!$C51,Summary!$C$2:$Q$103,3+counta($F$1:O$1),false)</f>
        <v>-0.45</v>
      </c>
      <c r="P51" s="99">
        <f>$D51-vlookup(Summary!$C51,Summary!$C$2:$Q$103,3+counta($F$1:P$1),false)</f>
        <v>-0.3</v>
      </c>
      <c r="Q51" s="99">
        <f>$D51-vlookup(Summary!$C51,Summary!$C$2:$Q$103,3+counta($F$1:Q$1),false)</f>
        <v>-0.6</v>
      </c>
    </row>
    <row r="52" ht="15.75" customHeight="1">
      <c r="A52" s="15">
        <f>Main!A52</f>
        <v>51</v>
      </c>
      <c r="B52" s="15" t="str">
        <f>Main!B52</f>
        <v>Christchurch will experience an earthquake of at least 4 on the Richter scale</v>
      </c>
      <c r="C52" s="15" t="str">
        <f>Main!C52</f>
        <v>Natural world</v>
      </c>
      <c r="D52" s="15">
        <v>0.5</v>
      </c>
      <c r="F52" s="99">
        <f>$D52-vlookup(Summary!$C52,Summary!$C$2:$Q$103,3+counta($F$1:F$1),false)</f>
        <v>0.1</v>
      </c>
      <c r="G52" s="99">
        <f>$D52-vlookup(Summary!$C52,Summary!$C$2:$Q$103,3+counta($F$1:G$1),false)</f>
        <v>0.25</v>
      </c>
      <c r="H52" s="99">
        <f>$D52-vlookup(Summary!$C52,Summary!$C$2:$Q$103,3+counta($F$1:H$1),false)</f>
        <v>-0.2</v>
      </c>
      <c r="I52" s="99">
        <f>$D52-vlookup(Summary!$C52,Summary!$C$2:$Q$103,3+counta($F$1:I$1),false)</f>
        <v>-0.2</v>
      </c>
      <c r="J52" s="99">
        <f>$D52-vlookup(Summary!$C52,Summary!$C$2:$Q$103,3+counta($F$1:J$1),false)</f>
        <v>0</v>
      </c>
      <c r="K52" s="99">
        <f>$D52-vlookup(Summary!$C52,Summary!$C$2:$Q$103,3+counta($F$1:K$1),false)</f>
        <v>-0.15</v>
      </c>
      <c r="L52" s="99">
        <f>$D52-vlookup(Summary!$C52,Summary!$C$2:$Q$103,3+counta($F$1:L$1),false)</f>
        <v>0.2</v>
      </c>
      <c r="M52" s="99">
        <f>$D52-vlookup(Summary!$C52,Summary!$C$2:$Q$103,3+counta($F$1:M$1),false)</f>
        <v>-0.2</v>
      </c>
      <c r="N52" s="99">
        <f>$D52-vlookup(Summary!$C52,Summary!$C$2:$Q$103,3+counta($F$1:N$1),false)</f>
        <v>0.1</v>
      </c>
      <c r="O52" s="99">
        <f>$D52-vlookup(Summary!$C52,Summary!$C$2:$Q$103,3+counta($F$1:O$1),false)</f>
        <v>-0.15</v>
      </c>
      <c r="P52" s="99">
        <f>$D52-vlookup(Summary!$C52,Summary!$C$2:$Q$103,3+counta($F$1:P$1),false)</f>
        <v>0.4</v>
      </c>
      <c r="Q52" s="99">
        <f>$D52-vlookup(Summary!$C52,Summary!$C$2:$Q$103,3+counta($F$1:Q$1),false)</f>
        <v>0</v>
      </c>
    </row>
    <row r="53" ht="15.75" customHeight="1">
      <c r="A53" s="15">
        <f>Main!A53</f>
        <v>52</v>
      </c>
      <c r="B53" s="15" t="str">
        <f>Main!B53</f>
        <v>Pope Francis will condemn the metaverse or warn of its potential damage</v>
      </c>
      <c r="C53" s="15" t="str">
        <f>Main!C53</f>
        <v>Society</v>
      </c>
      <c r="D53" s="15">
        <v>0.9</v>
      </c>
      <c r="F53" s="99">
        <f>$D53-vlookup(Summary!$C53,Summary!$C$2:$Q$103,3+counta($F$1:F$1),false)</f>
        <v>0.3</v>
      </c>
      <c r="G53" s="99">
        <f>$D53-vlookup(Summary!$C53,Summary!$C$2:$Q$103,3+counta($F$1:G$1),false)</f>
        <v>0.7</v>
      </c>
      <c r="H53" s="99">
        <f>$D53-vlookup(Summary!$C53,Summary!$C$2:$Q$103,3+counta($F$1:H$1),false)</f>
        <v>0.6</v>
      </c>
      <c r="I53" s="99">
        <f>$D53-vlookup(Summary!$C53,Summary!$C$2:$Q$103,3+counta($F$1:I$1),false)</f>
        <v>0.4</v>
      </c>
      <c r="J53" s="99">
        <f>$D53-vlookup(Summary!$C53,Summary!$C$2:$Q$103,3+counta($F$1:J$1),false)</f>
        <v>0</v>
      </c>
      <c r="K53" s="99">
        <f>$D53-vlookup(Summary!$C53,Summary!$C$2:$Q$103,3+counta($F$1:K$1),false)</f>
        <v>0.1</v>
      </c>
      <c r="L53" s="99">
        <f>$D53-vlookup(Summary!$C53,Summary!$C$2:$Q$103,3+counta($F$1:L$1),false)</f>
        <v>0.4</v>
      </c>
      <c r="M53" s="99">
        <f>$D53-vlookup(Summary!$C53,Summary!$C$2:$Q$103,3+counta($F$1:M$1),false)</f>
        <v>0.6</v>
      </c>
      <c r="N53" s="99">
        <f>$D53-vlookup(Summary!$C53,Summary!$C$2:$Q$103,3+counta($F$1:N$1),false)</f>
        <v>0.8</v>
      </c>
      <c r="O53" s="99">
        <f>$D53-vlookup(Summary!$C53,Summary!$C$2:$Q$103,3+counta($F$1:O$1),false)</f>
        <v>0.55</v>
      </c>
      <c r="P53" s="99">
        <f>$D53-vlookup(Summary!$C53,Summary!$C$2:$Q$103,3+counta($F$1:P$1),false)</f>
        <v>0.4</v>
      </c>
      <c r="Q53" s="99">
        <f>$D53-vlookup(Summary!$C53,Summary!$C$2:$Q$103,3+counta($F$1:Q$1),false)</f>
        <v>0.7</v>
      </c>
    </row>
    <row r="54" ht="15.75" customHeight="1">
      <c r="A54" s="15">
        <f>Main!A54</f>
        <v>53</v>
      </c>
      <c r="B54" s="15" t="str">
        <f>Main!B54</f>
        <v>The 4th most popular baby name for girls in Australia will be Isla according to the NSW Government popular baby names site</v>
      </c>
      <c r="C54" s="15" t="str">
        <f>Main!C54</f>
        <v>Society</v>
      </c>
      <c r="D54" s="15">
        <v>0.8</v>
      </c>
      <c r="F54" s="99">
        <f>$D54-vlookup(Summary!$C54,Summary!$C$2:$Q$103,3+counta($F$1:F$1),false)</f>
        <v>0.45</v>
      </c>
      <c r="G54" s="99">
        <f>$D54-vlookup(Summary!$C54,Summary!$C$2:$Q$103,3+counta($F$1:G$1),false)</f>
        <v>0.4</v>
      </c>
      <c r="H54" s="99">
        <f>$D54-vlookup(Summary!$C54,Summary!$C$2:$Q$103,3+counta($F$1:H$1),false)</f>
        <v>0.3</v>
      </c>
      <c r="I54" s="99">
        <f>$D54-vlookup(Summary!$C54,Summary!$C$2:$Q$103,3+counta($F$1:I$1),false)</f>
        <v>0.7</v>
      </c>
      <c r="J54" s="99">
        <f>$D54-vlookup(Summary!$C54,Summary!$C$2:$Q$103,3+counta($F$1:J$1),false)</f>
        <v>0</v>
      </c>
      <c r="K54" s="99">
        <f>$D54-vlookup(Summary!$C54,Summary!$C$2:$Q$103,3+counta($F$1:K$1),false)</f>
        <v>-0.1</v>
      </c>
      <c r="L54" s="99">
        <f>$D54-vlookup(Summary!$C54,Summary!$C$2:$Q$103,3+counta($F$1:L$1),false)</f>
        <v>0.6</v>
      </c>
      <c r="M54" s="99">
        <f>$D54-vlookup(Summary!$C54,Summary!$C$2:$Q$103,3+counta($F$1:M$1),false)</f>
        <v>0.3</v>
      </c>
      <c r="N54" s="99">
        <f>$D54-vlookup(Summary!$C54,Summary!$C$2:$Q$103,3+counta($F$1:N$1),false)</f>
        <v>-0.1</v>
      </c>
      <c r="O54" s="99">
        <f>$D54-vlookup(Summary!$C54,Summary!$C$2:$Q$103,3+counta($F$1:O$1),false)</f>
        <v>0.45</v>
      </c>
      <c r="P54" s="99">
        <f>$D54-vlookup(Summary!$C54,Summary!$C$2:$Q$103,3+counta($F$1:P$1),false)</f>
        <v>0.7</v>
      </c>
      <c r="Q54" s="99">
        <f>$D54-vlookup(Summary!$C54,Summary!$C$2:$Q$103,3+counta($F$1:Q$1),false)</f>
        <v>0</v>
      </c>
    </row>
    <row r="55" ht="15.75" customHeight="1">
      <c r="A55" s="15">
        <f>Main!A55</f>
        <v>54</v>
      </c>
      <c r="B55" s="15" t="str">
        <f>Main!B55</f>
        <v>The 4th most popular baby name for boys in Australia will be Leo according to the NSW Government popular baby names site</v>
      </c>
      <c r="C55" s="15" t="str">
        <f>Main!C55</f>
        <v>Society</v>
      </c>
      <c r="D55" s="15">
        <v>0.7</v>
      </c>
      <c r="F55" s="99">
        <f>$D55-vlookup(Summary!$C55,Summary!$C$2:$Q$103,3+counta($F$1:F$1),false)</f>
        <v>0.35</v>
      </c>
      <c r="G55" s="99">
        <f>$D55-vlookup(Summary!$C55,Summary!$C$2:$Q$103,3+counta($F$1:G$1),false)</f>
        <v>0.3</v>
      </c>
      <c r="H55" s="99">
        <f>$D55-vlookup(Summary!$C55,Summary!$C$2:$Q$103,3+counta($F$1:H$1),false)</f>
        <v>0.2</v>
      </c>
      <c r="I55" s="99">
        <f>$D55-vlookup(Summary!$C55,Summary!$C$2:$Q$103,3+counta($F$1:I$1),false)</f>
        <v>0.6</v>
      </c>
      <c r="J55" s="99">
        <f>$D55-vlookup(Summary!$C55,Summary!$C$2:$Q$103,3+counta($F$1:J$1),false)</f>
        <v>0</v>
      </c>
      <c r="K55" s="99">
        <f>$D55-vlookup(Summary!$C55,Summary!$C$2:$Q$103,3+counta($F$1:K$1),false)</f>
        <v>-0.2</v>
      </c>
      <c r="L55" s="99">
        <f>$D55-vlookup(Summary!$C55,Summary!$C$2:$Q$103,3+counta($F$1:L$1),false)</f>
        <v>0.5</v>
      </c>
      <c r="M55" s="99">
        <f>$D55-vlookup(Summary!$C55,Summary!$C$2:$Q$103,3+counta($F$1:M$1),false)</f>
        <v>0.2</v>
      </c>
      <c r="N55" s="99">
        <f>$D55-vlookup(Summary!$C55,Summary!$C$2:$Q$103,3+counta($F$1:N$1),false)</f>
        <v>0.5</v>
      </c>
      <c r="O55" s="99">
        <f>$D55-vlookup(Summary!$C55,Summary!$C$2:$Q$103,3+counta($F$1:O$1),false)</f>
        <v>0.35</v>
      </c>
      <c r="P55" s="99">
        <f>$D55-vlookup(Summary!$C55,Summary!$C$2:$Q$103,3+counta($F$1:P$1),false)</f>
        <v>0.6</v>
      </c>
      <c r="Q55" s="99">
        <f>$D55-vlookup(Summary!$C55,Summary!$C$2:$Q$103,3+counta($F$1:Q$1),false)</f>
        <v>0.5</v>
      </c>
    </row>
    <row r="56" ht="15.75" customHeight="1">
      <c r="A56" s="15">
        <f>Main!A56</f>
        <v>55</v>
      </c>
      <c r="B56" s="15" t="str">
        <f>Main!B56</f>
        <v>A statue in Australia will be removed because of negative associations with its history or colonial ties.</v>
      </c>
      <c r="C56" s="15" t="str">
        <f>Main!C56</f>
        <v>Society</v>
      </c>
      <c r="D56" s="15">
        <v>0.8</v>
      </c>
      <c r="F56" s="99">
        <f>$D56-vlookup(Summary!$C56,Summary!$C$2:$Q$103,3+counta($F$1:F$1),false)</f>
        <v>0.6</v>
      </c>
      <c r="G56" s="99">
        <f>$D56-vlookup(Summary!$C56,Summary!$C$2:$Q$103,3+counta($F$1:G$1),false)</f>
        <v>-0.1</v>
      </c>
      <c r="H56" s="99">
        <f>$D56-vlookup(Summary!$C56,Summary!$C$2:$Q$103,3+counta($F$1:H$1),false)</f>
        <v>0</v>
      </c>
      <c r="I56" s="99">
        <f>$D56-vlookup(Summary!$C56,Summary!$C$2:$Q$103,3+counta($F$1:I$1),false)</f>
        <v>0.6</v>
      </c>
      <c r="J56" s="99">
        <f>$D56-vlookup(Summary!$C56,Summary!$C$2:$Q$103,3+counta($F$1:J$1),false)</f>
        <v>0</v>
      </c>
      <c r="K56" s="99">
        <f>$D56-vlookup(Summary!$C56,Summary!$C$2:$Q$103,3+counta($F$1:K$1),false)</f>
        <v>0.2</v>
      </c>
      <c r="L56" s="99">
        <f>$D56-vlookup(Summary!$C56,Summary!$C$2:$Q$103,3+counta($F$1:L$1),false)</f>
        <v>0.4</v>
      </c>
      <c r="M56" s="99">
        <f>$D56-vlookup(Summary!$C56,Summary!$C$2:$Q$103,3+counta($F$1:M$1),false)</f>
        <v>0</v>
      </c>
      <c r="N56" s="99">
        <f>$D56-vlookup(Summary!$C56,Summary!$C$2:$Q$103,3+counta($F$1:N$1),false)</f>
        <v>0.7</v>
      </c>
      <c r="O56" s="99">
        <f>$D56-vlookup(Summary!$C56,Summary!$C$2:$Q$103,3+counta($F$1:O$1),false)</f>
        <v>0.65</v>
      </c>
      <c r="P56" s="99">
        <f>$D56-vlookup(Summary!$C56,Summary!$C$2:$Q$103,3+counta($F$1:P$1),false)</f>
        <v>0.1</v>
      </c>
      <c r="Q56" s="99">
        <f>$D56-vlookup(Summary!$C56,Summary!$C$2:$Q$103,3+counta($F$1:Q$1),false)</f>
        <v>0.2</v>
      </c>
    </row>
    <row r="57" ht="15.75" customHeight="1">
      <c r="A57" s="15">
        <f>Main!A57</f>
        <v>56</v>
      </c>
      <c r="B57" s="15" t="str">
        <f>Main!B57</f>
        <v>Dave Chapelle’s special ‘The Closer’ will be available to watch on Netflix (Aus or US)</v>
      </c>
      <c r="C57" s="15" t="str">
        <f>Main!C57</f>
        <v>Society</v>
      </c>
      <c r="D57" s="15">
        <v>0.6</v>
      </c>
      <c r="F57" s="99">
        <f>$D57-vlookup(Summary!$C57,Summary!$C$2:$Q$103,3+counta($F$1:F$1),false)</f>
        <v>-0.2</v>
      </c>
      <c r="G57" s="99">
        <f>$D57-vlookup(Summary!$C57,Summary!$C$2:$Q$103,3+counta($F$1:G$1),false)</f>
        <v>0</v>
      </c>
      <c r="H57" s="99">
        <f>$D57-vlookup(Summary!$C57,Summary!$C$2:$Q$103,3+counta($F$1:H$1),false)</f>
        <v>0.1</v>
      </c>
      <c r="I57" s="99">
        <f>$D57-vlookup(Summary!$C57,Summary!$C$2:$Q$103,3+counta($F$1:I$1),false)</f>
        <v>-0.2</v>
      </c>
      <c r="J57" s="99">
        <f>$D57-vlookup(Summary!$C57,Summary!$C$2:$Q$103,3+counta($F$1:J$1),false)</f>
        <v>0</v>
      </c>
      <c r="K57" s="99">
        <f>$D57-vlookup(Summary!$C57,Summary!$C$2:$Q$103,3+counta($F$1:K$1),false)</f>
        <v>0.1</v>
      </c>
      <c r="L57" s="99">
        <f>$D57-vlookup(Summary!$C57,Summary!$C$2:$Q$103,3+counta($F$1:L$1),false)</f>
        <v>0</v>
      </c>
      <c r="M57" s="99">
        <f>$D57-vlookup(Summary!$C57,Summary!$C$2:$Q$103,3+counta($F$1:M$1),false)</f>
        <v>0.1</v>
      </c>
      <c r="N57" s="99">
        <f>$D57-vlookup(Summary!$C57,Summary!$C$2:$Q$103,3+counta($F$1:N$1),false)</f>
        <v>0.4</v>
      </c>
      <c r="O57" s="99">
        <f>$D57-vlookup(Summary!$C57,Summary!$C$2:$Q$103,3+counta($F$1:O$1),false)</f>
        <v>-0.399</v>
      </c>
      <c r="P57" s="99">
        <f>$D57-vlookup(Summary!$C57,Summary!$C$2:$Q$103,3+counta($F$1:P$1),false)</f>
        <v>0.1</v>
      </c>
      <c r="Q57" s="99">
        <f>$D57-vlookup(Summary!$C57,Summary!$C$2:$Q$103,3+counta($F$1:Q$1),false)</f>
        <v>0.1</v>
      </c>
    </row>
    <row r="58" ht="15.75" customHeight="1">
      <c r="A58" s="15">
        <f>Main!A58</f>
        <v>57</v>
      </c>
      <c r="B58" s="15" t="str">
        <f>Main!B58</f>
        <v>An actor in a Disney film or TV show will have their contract ‘cancelled’ due to social pressure related to a social media post or opinion they have expressed publicly.</v>
      </c>
      <c r="C58" s="15" t="str">
        <f>Main!C58</f>
        <v>Society</v>
      </c>
      <c r="D58" s="15">
        <v>0.8</v>
      </c>
      <c r="F58" s="99">
        <f>$D58-vlookup(Summary!$C58,Summary!$C$2:$Q$103,3+counta($F$1:F$1),false)</f>
        <v>0.1</v>
      </c>
      <c r="G58" s="99">
        <f>$D58-vlookup(Summary!$C58,Summary!$C$2:$Q$103,3+counta($F$1:G$1),false)</f>
        <v>0.4</v>
      </c>
      <c r="H58" s="99">
        <f>$D58-vlookup(Summary!$C58,Summary!$C$2:$Q$103,3+counta($F$1:H$1),false)</f>
        <v>0.2</v>
      </c>
      <c r="I58" s="99">
        <f>$D58-vlookup(Summary!$C58,Summary!$C$2:$Q$103,3+counta($F$1:I$1),false)</f>
        <v>0</v>
      </c>
      <c r="J58" s="99">
        <f>$D58-vlookup(Summary!$C58,Summary!$C$2:$Q$103,3+counta($F$1:J$1),false)</f>
        <v>0</v>
      </c>
      <c r="K58" s="99">
        <f>$D58-vlookup(Summary!$C58,Summary!$C$2:$Q$103,3+counta($F$1:K$1),false)</f>
        <v>0.1</v>
      </c>
      <c r="L58" s="99">
        <f>$D58-vlookup(Summary!$C58,Summary!$C$2:$Q$103,3+counta($F$1:L$1),false)</f>
        <v>0.3</v>
      </c>
      <c r="M58" s="99">
        <f>$D58-vlookup(Summary!$C58,Summary!$C$2:$Q$103,3+counta($F$1:M$1),false)</f>
        <v>0.2</v>
      </c>
      <c r="N58" s="99">
        <f>$D58-vlookup(Summary!$C58,Summary!$C$2:$Q$103,3+counta($F$1:N$1),false)</f>
        <v>0</v>
      </c>
      <c r="O58" s="99">
        <f>$D58-vlookup(Summary!$C58,Summary!$C$2:$Q$103,3+counta($F$1:O$1),false)</f>
        <v>0.15</v>
      </c>
      <c r="P58" s="99">
        <f>$D58-vlookup(Summary!$C58,Summary!$C$2:$Q$103,3+counta($F$1:P$1),false)</f>
        <v>0.3</v>
      </c>
      <c r="Q58" s="99">
        <f>$D58-vlookup(Summary!$C58,Summary!$C$2:$Q$103,3+counta($F$1:Q$1),false)</f>
        <v>0.4</v>
      </c>
    </row>
    <row r="59" ht="15.75" customHeight="1">
      <c r="A59" s="15">
        <f>Main!A59</f>
        <v>58</v>
      </c>
      <c r="B59" s="15" t="str">
        <f>Main!B59</f>
        <v>An Australian company or department will mandate the inclusion or visibility of preferred gender pronouns, whether through an HR directory or email signatures.</v>
      </c>
      <c r="C59" s="15" t="str">
        <f>Main!C59</f>
        <v>Society</v>
      </c>
      <c r="D59" s="15">
        <v>0.5</v>
      </c>
      <c r="F59" s="99">
        <f>$D59-vlookup(Summary!$C59,Summary!$C$2:$Q$103,3+counta($F$1:F$1),false)</f>
        <v>-0.15</v>
      </c>
      <c r="G59" s="99">
        <f>$D59-vlookup(Summary!$C59,Summary!$C$2:$Q$103,3+counta($F$1:G$1),false)</f>
        <v>-0.45</v>
      </c>
      <c r="H59" s="99">
        <f>$D59-vlookup(Summary!$C59,Summary!$C$2:$Q$103,3+counta($F$1:H$1),false)</f>
        <v>-0.1</v>
      </c>
      <c r="I59" s="99">
        <f>$D59-vlookup(Summary!$C59,Summary!$C$2:$Q$103,3+counta($F$1:I$1),false)</f>
        <v>-0.3</v>
      </c>
      <c r="J59" s="99">
        <f>$D59-vlookup(Summary!$C59,Summary!$C$2:$Q$103,3+counta($F$1:J$1),false)</f>
        <v>0</v>
      </c>
      <c r="K59" s="99">
        <f>$D59-vlookup(Summary!$C59,Summary!$C$2:$Q$103,3+counta($F$1:K$1),false)</f>
        <v>-0.25</v>
      </c>
      <c r="L59" s="99">
        <f>$D59-vlookup(Summary!$C59,Summary!$C$2:$Q$103,3+counta($F$1:L$1),false)</f>
        <v>0</v>
      </c>
      <c r="M59" s="99">
        <f>$D59-vlookup(Summary!$C59,Summary!$C$2:$Q$103,3+counta($F$1:M$1),false)</f>
        <v>-0.1</v>
      </c>
      <c r="N59" s="99">
        <f>$D59-vlookup(Summary!$C59,Summary!$C$2:$Q$103,3+counta($F$1:N$1),false)</f>
        <v>-0.3</v>
      </c>
      <c r="O59" s="99">
        <f>$D59-vlookup(Summary!$C59,Summary!$C$2:$Q$103,3+counta($F$1:O$1),false)</f>
        <v>0.15</v>
      </c>
      <c r="P59" s="99">
        <f>$D59-vlookup(Summary!$C59,Summary!$C$2:$Q$103,3+counta($F$1:P$1),false)</f>
        <v>0</v>
      </c>
      <c r="Q59" s="99">
        <f>$D59-vlookup(Summary!$C59,Summary!$C$2:$Q$103,3+counta($F$1:Q$1),false)</f>
        <v>0.1</v>
      </c>
    </row>
    <row r="60" ht="15.75" customHeight="1">
      <c r="A60" s="15">
        <f>Main!A60</f>
        <v>59</v>
      </c>
      <c r="B60" s="15" t="str">
        <f>Main!B60</f>
        <v>More than 30% of Australians will have been born overseas (currently 29.8%)</v>
      </c>
      <c r="C60" s="15" t="str">
        <f>Main!C60</f>
        <v>Society</v>
      </c>
      <c r="D60" s="15">
        <v>0.9</v>
      </c>
      <c r="F60" s="99">
        <f>$D60-vlookup(Summary!$C60,Summary!$C$2:$Q$103,3+counta($F$1:F$1),false)</f>
        <v>0.7</v>
      </c>
      <c r="G60" s="99">
        <f>$D60-vlookup(Summary!$C60,Summary!$C$2:$Q$103,3+counta($F$1:G$1),false)</f>
        <v>0.3</v>
      </c>
      <c r="H60" s="99">
        <f>$D60-vlookup(Summary!$C60,Summary!$C$2:$Q$103,3+counta($F$1:H$1),false)</f>
        <v>0.8</v>
      </c>
      <c r="I60" s="99">
        <f>$D60-vlookup(Summary!$C60,Summary!$C$2:$Q$103,3+counta($F$1:I$1),false)</f>
        <v>0.3</v>
      </c>
      <c r="J60" s="99">
        <f>$D60-vlookup(Summary!$C60,Summary!$C$2:$Q$103,3+counta($F$1:J$1),false)</f>
        <v>0</v>
      </c>
      <c r="K60" s="99">
        <f>$D60-vlookup(Summary!$C60,Summary!$C$2:$Q$103,3+counta($F$1:K$1),false)</f>
        <v>0</v>
      </c>
      <c r="L60" s="99">
        <f>$D60-vlookup(Summary!$C60,Summary!$C$2:$Q$103,3+counta($F$1:L$1),false)</f>
        <v>0.6</v>
      </c>
      <c r="M60" s="99">
        <f>$D60-vlookup(Summary!$C60,Summary!$C$2:$Q$103,3+counta($F$1:M$1),false)</f>
        <v>0.8</v>
      </c>
      <c r="N60" s="99">
        <f>$D60-vlookup(Summary!$C60,Summary!$C$2:$Q$103,3+counta($F$1:N$1),false)</f>
        <v>0.7</v>
      </c>
      <c r="O60" s="99">
        <f>$D60-vlookup(Summary!$C60,Summary!$C$2:$Q$103,3+counta($F$1:O$1),false)</f>
        <v>0.25</v>
      </c>
      <c r="P60" s="99">
        <f>$D60-vlookup(Summary!$C60,Summary!$C$2:$Q$103,3+counta($F$1:P$1),false)</f>
        <v>0.8</v>
      </c>
      <c r="Q60" s="99">
        <f>$D60-vlookup(Summary!$C60,Summary!$C$2:$Q$103,3+counta($F$1:Q$1),false)</f>
        <v>0.35</v>
      </c>
    </row>
    <row r="61" ht="15.75" customHeight="1">
      <c r="A61" s="15">
        <f>Main!A61</f>
        <v>60</v>
      </c>
      <c r="B61" s="15" t="str">
        <f>Main!B61</f>
        <v>LGBTIQ+ will be the acronym in widespread usage throughout Australia, as determined by the definition from LGBTIQ+ Health Australia (the peak body org for health and research related to that community)</v>
      </c>
      <c r="C61" s="15" t="str">
        <f>Main!C61</f>
        <v>Society</v>
      </c>
      <c r="D61" s="15">
        <v>0.7</v>
      </c>
      <c r="F61" s="99">
        <f>$D61-vlookup(Summary!$C61,Summary!$C$2:$Q$103,3+counta($F$1:F$1),false)</f>
        <v>0.25</v>
      </c>
      <c r="G61" s="99">
        <f>$D61-vlookup(Summary!$C61,Summary!$C$2:$Q$103,3+counta($F$1:G$1),false)</f>
        <v>0</v>
      </c>
      <c r="H61" s="99">
        <f>$D61-vlookup(Summary!$C61,Summary!$C$2:$Q$103,3+counta($F$1:H$1),false)</f>
        <v>0.2</v>
      </c>
      <c r="I61" s="99">
        <f>$D61-vlookup(Summary!$C61,Summary!$C$2:$Q$103,3+counta($F$1:I$1),false)</f>
        <v>0</v>
      </c>
      <c r="J61" s="99">
        <f>$D61-vlookup(Summary!$C61,Summary!$C$2:$Q$103,3+counta($F$1:J$1),false)</f>
        <v>0</v>
      </c>
      <c r="K61" s="99">
        <f>$D61-vlookup(Summary!$C61,Summary!$C$2:$Q$103,3+counta($F$1:K$1),false)</f>
        <v>-0.05</v>
      </c>
      <c r="L61" s="99">
        <f>$D61-vlookup(Summary!$C61,Summary!$C$2:$Q$103,3+counta($F$1:L$1),false)</f>
        <v>-0.2</v>
      </c>
      <c r="M61" s="99">
        <f>$D61-vlookup(Summary!$C61,Summary!$C$2:$Q$103,3+counta($F$1:M$1),false)</f>
        <v>0.2</v>
      </c>
      <c r="N61" s="99">
        <f>$D61-vlookup(Summary!$C61,Summary!$C$2:$Q$103,3+counta($F$1:N$1),false)</f>
        <v>0.5</v>
      </c>
      <c r="O61" s="99">
        <f>$D61-vlookup(Summary!$C61,Summary!$C$2:$Q$103,3+counta($F$1:O$1),false)</f>
        <v>-0.299</v>
      </c>
      <c r="P61" s="99">
        <f>$D61-vlookup(Summary!$C61,Summary!$C$2:$Q$103,3+counta($F$1:P$1),false)</f>
        <v>0.2</v>
      </c>
      <c r="Q61" s="99">
        <f>$D61-vlookup(Summary!$C61,Summary!$C$2:$Q$103,3+counta($F$1:Q$1),false)</f>
        <v>0.4</v>
      </c>
    </row>
    <row r="62" ht="15.75" customHeight="1">
      <c r="A62" s="15">
        <f>Main!A62</f>
        <v>61</v>
      </c>
      <c r="B62" s="15" t="str">
        <f>Main!B62</f>
        <v>The meat industry in Australia and/or the US will succeed in controlling the use of ‘meat terms’ (meat, beef etc.) for non-animal protein products</v>
      </c>
      <c r="C62" s="15" t="str">
        <f>Main!C62</f>
        <v>Society</v>
      </c>
      <c r="D62" s="15">
        <v>0.8</v>
      </c>
      <c r="F62" s="99">
        <f>$D62-vlookup(Summary!$C62,Summary!$C$2:$Q$103,3+counta($F$1:F$1),false)</f>
        <v>0.45</v>
      </c>
      <c r="G62" s="99">
        <f>$D62-vlookup(Summary!$C62,Summary!$C$2:$Q$103,3+counta($F$1:G$1),false)</f>
        <v>0.2</v>
      </c>
      <c r="H62" s="99">
        <f>$D62-vlookup(Summary!$C62,Summary!$C$2:$Q$103,3+counta($F$1:H$1),false)</f>
        <v>0.6</v>
      </c>
      <c r="I62" s="99">
        <f>$D62-vlookup(Summary!$C62,Summary!$C$2:$Q$103,3+counta($F$1:I$1),false)</f>
        <v>0.2</v>
      </c>
      <c r="J62" s="99">
        <f>$D62-vlookup(Summary!$C62,Summary!$C$2:$Q$103,3+counta($F$1:J$1),false)</f>
        <v>0</v>
      </c>
      <c r="K62" s="99">
        <f>$D62-vlookup(Summary!$C62,Summary!$C$2:$Q$103,3+counta($F$1:K$1),false)</f>
        <v>0.06</v>
      </c>
      <c r="L62" s="99">
        <f>$D62-vlookup(Summary!$C62,Summary!$C$2:$Q$103,3+counta($F$1:L$1),false)</f>
        <v>0.7</v>
      </c>
      <c r="M62" s="99">
        <f>$D62-vlookup(Summary!$C62,Summary!$C$2:$Q$103,3+counta($F$1:M$1),false)</f>
        <v>0.6</v>
      </c>
      <c r="N62" s="99">
        <f>$D62-vlookup(Summary!$C62,Summary!$C$2:$Q$103,3+counta($F$1:N$1),false)</f>
        <v>0.7</v>
      </c>
      <c r="O62" s="99">
        <f>$D62-vlookup(Summary!$C62,Summary!$C$2:$Q$103,3+counta($F$1:O$1),false)</f>
        <v>-0.199</v>
      </c>
      <c r="P62" s="99">
        <f>$D62-vlookup(Summary!$C62,Summary!$C$2:$Q$103,3+counta($F$1:P$1),false)</f>
        <v>0</v>
      </c>
      <c r="Q62" s="99">
        <f>$D62-vlookup(Summary!$C62,Summary!$C$2:$Q$103,3+counta($F$1:Q$1),false)</f>
        <v>0.3</v>
      </c>
    </row>
    <row r="63" ht="15.75" customHeight="1">
      <c r="A63" s="15">
        <f>Main!A63</f>
        <v>62</v>
      </c>
      <c r="B63" s="15" t="str">
        <f>Main!B63</f>
        <v>The median house price in Canberra will be over $1,200,000 (currently $1,015,833)</v>
      </c>
      <c r="C63" s="15" t="str">
        <f>Main!C63</f>
        <v>Society</v>
      </c>
      <c r="D63" s="15">
        <v>0.8</v>
      </c>
      <c r="F63" s="99">
        <f>$D63-vlookup(Summary!$C63,Summary!$C$2:$Q$103,3+counta($F$1:F$1),false)</f>
        <v>0.1</v>
      </c>
      <c r="G63" s="99">
        <f>$D63-vlookup(Summary!$C63,Summary!$C$2:$Q$103,3+counta($F$1:G$1),false)</f>
        <v>0.6</v>
      </c>
      <c r="H63" s="99">
        <f>$D63-vlookup(Summary!$C63,Summary!$C$2:$Q$103,3+counta($F$1:H$1),false)</f>
        <v>0.6</v>
      </c>
      <c r="I63" s="99">
        <f>$D63-vlookup(Summary!$C63,Summary!$C$2:$Q$103,3+counta($F$1:I$1),false)</f>
        <v>0</v>
      </c>
      <c r="J63" s="99">
        <f>$D63-vlookup(Summary!$C63,Summary!$C$2:$Q$103,3+counta($F$1:J$1),false)</f>
        <v>0</v>
      </c>
      <c r="K63" s="99">
        <f>$D63-vlookup(Summary!$C63,Summary!$C$2:$Q$103,3+counta($F$1:K$1),false)</f>
        <v>0</v>
      </c>
      <c r="L63" s="99">
        <f>$D63-vlookup(Summary!$C63,Summary!$C$2:$Q$103,3+counta($F$1:L$1),false)</f>
        <v>-0.19999</v>
      </c>
      <c r="M63" s="99">
        <f>$D63-vlookup(Summary!$C63,Summary!$C$2:$Q$103,3+counta($F$1:M$1),false)</f>
        <v>0.6</v>
      </c>
      <c r="N63" s="99">
        <f>$D63-vlookup(Summary!$C63,Summary!$C$2:$Q$103,3+counta($F$1:N$1),false)</f>
        <v>-0.1</v>
      </c>
      <c r="O63" s="99">
        <f>$D63-vlookup(Summary!$C63,Summary!$C$2:$Q$103,3+counta($F$1:O$1),false)</f>
        <v>0.65</v>
      </c>
      <c r="P63" s="99">
        <f>$D63-vlookup(Summary!$C63,Summary!$C$2:$Q$103,3+counta($F$1:P$1),false)</f>
        <v>0.2</v>
      </c>
      <c r="Q63" s="99">
        <f>$D63-vlookup(Summary!$C63,Summary!$C$2:$Q$103,3+counta($F$1:Q$1),false)</f>
        <v>0.35</v>
      </c>
    </row>
    <row r="64" ht="15.75" customHeight="1">
      <c r="A64" s="15">
        <f>Main!A64</f>
        <v>63</v>
      </c>
      <c r="B64" s="15" t="str">
        <f>Main!B64</f>
        <v>An artist or band on the Rock and Roll Hall of Fame has a performance using digital avatar (source https://en.wikipedia.org/wiki/List_of_Rock_and_Roll_Hall_of_Fame_inductees)</v>
      </c>
      <c r="C64" s="15" t="str">
        <f>Main!C64</f>
        <v>Society</v>
      </c>
      <c r="D64" s="15">
        <v>0.5</v>
      </c>
      <c r="F64" s="99">
        <f>$D64-vlookup(Summary!$C64,Summary!$C$2:$Q$103,3+counta($F$1:F$1),false)</f>
        <v>0.1</v>
      </c>
      <c r="G64" s="99">
        <f>$D64-vlookup(Summary!$C64,Summary!$C$2:$Q$103,3+counta($F$1:G$1),false)</f>
        <v>-0.1</v>
      </c>
      <c r="H64" s="99">
        <f>$D64-vlookup(Summary!$C64,Summary!$C$2:$Q$103,3+counta($F$1:H$1),false)</f>
        <v>-0.2</v>
      </c>
      <c r="I64" s="99">
        <f>$D64-vlookup(Summary!$C64,Summary!$C$2:$Q$103,3+counta($F$1:I$1),false)</f>
        <v>0.2</v>
      </c>
      <c r="J64" s="99">
        <f>$D64-vlookup(Summary!$C64,Summary!$C$2:$Q$103,3+counta($F$1:J$1),false)</f>
        <v>0</v>
      </c>
      <c r="K64" s="99">
        <f>$D64-vlookup(Summary!$C64,Summary!$C$2:$Q$103,3+counta($F$1:K$1),false)</f>
        <v>-0.1</v>
      </c>
      <c r="L64" s="99">
        <f>$D64-vlookup(Summary!$C64,Summary!$C$2:$Q$103,3+counta($F$1:L$1),false)</f>
        <v>-0.1</v>
      </c>
      <c r="M64" s="99">
        <f>$D64-vlookup(Summary!$C64,Summary!$C$2:$Q$103,3+counta($F$1:M$1),false)</f>
        <v>-0.2</v>
      </c>
      <c r="N64" s="99">
        <f>$D64-vlookup(Summary!$C64,Summary!$C$2:$Q$103,3+counta($F$1:N$1),false)</f>
        <v>0.3</v>
      </c>
      <c r="O64" s="99">
        <f>$D64-vlookup(Summary!$C64,Summary!$C$2:$Q$103,3+counta($F$1:O$1),false)</f>
        <v>0.35</v>
      </c>
      <c r="P64" s="99">
        <f>$D64-vlookup(Summary!$C64,Summary!$C$2:$Q$103,3+counta($F$1:P$1),false)</f>
        <v>0.4</v>
      </c>
      <c r="Q64" s="99">
        <f>$D64-vlookup(Summary!$C64,Summary!$C$2:$Q$103,3+counta($F$1:Q$1),false)</f>
        <v>0</v>
      </c>
    </row>
    <row r="65" ht="15.75" customHeight="1">
      <c r="A65" s="15">
        <f>Main!A65</f>
        <v>64</v>
      </c>
      <c r="B65" s="15" t="str">
        <f>Main!B65</f>
        <v>No Australian tennis player will win a senior Championship event at the Australian Open in 2022</v>
      </c>
      <c r="C65" s="15" t="str">
        <f>Main!C65</f>
        <v>Sport</v>
      </c>
      <c r="D65" s="15">
        <v>0.6</v>
      </c>
      <c r="F65" s="99">
        <f>$D65-vlookup(Summary!$C65,Summary!$C$2:$Q$103,3+counta($F$1:F$1),false)</f>
        <v>0.6</v>
      </c>
      <c r="G65" s="99">
        <f>$D65-vlookup(Summary!$C65,Summary!$C$2:$Q$103,3+counta($F$1:G$1),false)</f>
        <v>0.6</v>
      </c>
      <c r="H65" s="99">
        <f>$D65-vlookup(Summary!$C65,Summary!$C$2:$Q$103,3+counta($F$1:H$1),false)</f>
        <v>0.6</v>
      </c>
      <c r="I65" s="99">
        <f>$D65-vlookup(Summary!$C65,Summary!$C$2:$Q$103,3+counta($F$1:I$1),false)</f>
        <v>0.6</v>
      </c>
      <c r="J65" s="99">
        <f>$D65-vlookup(Summary!$C65,Summary!$C$2:$Q$103,3+counta($F$1:J$1),false)</f>
        <v>0</v>
      </c>
      <c r="K65" s="99">
        <f>$D65-vlookup(Summary!$C65,Summary!$C$2:$Q$103,3+counta($F$1:K$1),false)</f>
        <v>0.6</v>
      </c>
      <c r="L65" s="99">
        <f>$D65-vlookup(Summary!$C65,Summary!$C$2:$Q$103,3+counta($F$1:L$1),false)</f>
        <v>0.6</v>
      </c>
      <c r="M65" s="99">
        <f>$D65-vlookup(Summary!$C65,Summary!$C$2:$Q$103,3+counta($F$1:M$1),false)</f>
        <v>0.6</v>
      </c>
      <c r="N65" s="99">
        <f>$D65-vlookup(Summary!$C65,Summary!$C$2:$Q$103,3+counta($F$1:N$1),false)</f>
        <v>0.5</v>
      </c>
      <c r="O65" s="99">
        <f>$D65-vlookup(Summary!$C65,Summary!$C$2:$Q$103,3+counta($F$1:O$1),false)</f>
        <v>0.6</v>
      </c>
      <c r="P65" s="99">
        <f>$D65-vlookup(Summary!$C65,Summary!$C$2:$Q$103,3+counta($F$1:P$1),false)</f>
        <v>0.1</v>
      </c>
      <c r="Q65" s="99">
        <f>$D65-vlookup(Summary!$C65,Summary!$C$2:$Q$103,3+counta($F$1:Q$1),false)</f>
        <v>0.4</v>
      </c>
    </row>
    <row r="66" ht="15.75" customHeight="1">
      <c r="A66" s="15">
        <f>Main!A66</f>
        <v>65</v>
      </c>
      <c r="B66" s="15" t="str">
        <f>Main!B66</f>
        <v>Daniel Ricciardo will win the Australian GP in 2022.</v>
      </c>
      <c r="C66" s="15" t="str">
        <f>Main!C66</f>
        <v>Sport</v>
      </c>
      <c r="D66" s="15">
        <v>0.3</v>
      </c>
      <c r="F66" s="99">
        <f>$D66-vlookup(Summary!$C66,Summary!$C$2:$Q$103,3+counta($F$1:F$1),false)</f>
        <v>-0.2</v>
      </c>
      <c r="G66" s="99">
        <f>$D66-vlookup(Summary!$C66,Summary!$C$2:$Q$103,3+counta($F$1:G$1),false)</f>
        <v>0.2</v>
      </c>
      <c r="H66" s="99">
        <f>$D66-vlookup(Summary!$C66,Summary!$C$2:$Q$103,3+counta($F$1:H$1),false)</f>
        <v>-0.2</v>
      </c>
      <c r="I66" s="99">
        <f>$D66-vlookup(Summary!$C66,Summary!$C$2:$Q$103,3+counta($F$1:I$1),false)</f>
        <v>-0.2</v>
      </c>
      <c r="J66" s="99">
        <f>$D66-vlookup(Summary!$C66,Summary!$C$2:$Q$103,3+counta($F$1:J$1),false)</f>
        <v>0</v>
      </c>
      <c r="K66" s="99">
        <f>$D66-vlookup(Summary!$C66,Summary!$C$2:$Q$103,3+counta($F$1:K$1),false)</f>
        <v>-0.3</v>
      </c>
      <c r="L66" s="99">
        <f>$D66-vlookup(Summary!$C66,Summary!$C$2:$Q$103,3+counta($F$1:L$1),false)</f>
        <v>0.1</v>
      </c>
      <c r="M66" s="99">
        <f>$D66-vlookup(Summary!$C66,Summary!$C$2:$Q$103,3+counta($F$1:M$1),false)</f>
        <v>-0.2</v>
      </c>
      <c r="N66" s="99">
        <f>$D66-vlookup(Summary!$C66,Summary!$C$2:$Q$103,3+counta($F$1:N$1),false)</f>
        <v>0.2</v>
      </c>
      <c r="O66" s="99">
        <f>$D66-vlookup(Summary!$C66,Summary!$C$2:$Q$103,3+counta($F$1:O$1),false)</f>
        <v>-0.2</v>
      </c>
      <c r="P66" s="99">
        <f>$D66-vlookup(Summary!$C66,Summary!$C$2:$Q$103,3+counta($F$1:P$1),false)</f>
        <v>0.2</v>
      </c>
      <c r="Q66" s="99">
        <f>$D66-vlookup(Summary!$C66,Summary!$C$2:$Q$103,3+counta($F$1:Q$1),false)</f>
        <v>0.2</v>
      </c>
    </row>
    <row r="67" ht="15.75" customHeight="1">
      <c r="A67" s="15">
        <f>Main!A67</f>
        <v>66</v>
      </c>
      <c r="B67" s="15" t="str">
        <f>Main!B67</f>
        <v>Collingwood will make it into the top 8 at the end of the footy season</v>
      </c>
      <c r="C67" s="15" t="str">
        <f>Main!C67</f>
        <v>Sport</v>
      </c>
      <c r="D67" s="15">
        <v>0.6</v>
      </c>
      <c r="F67" s="99">
        <f>$D67-vlookup(Summary!$C67,Summary!$C$2:$Q$103,3+counta($F$1:F$1),false)</f>
        <v>0.1</v>
      </c>
      <c r="G67" s="99">
        <f>$D67-vlookup(Summary!$C67,Summary!$C$2:$Q$103,3+counta($F$1:G$1),false)</f>
        <v>0.5</v>
      </c>
      <c r="H67" s="99">
        <f>$D67-vlookup(Summary!$C67,Summary!$C$2:$Q$103,3+counta($F$1:H$1),false)</f>
        <v>0.15</v>
      </c>
      <c r="I67" s="99">
        <f>$D67-vlookup(Summary!$C67,Summary!$C$2:$Q$103,3+counta($F$1:I$1),false)</f>
        <v>0.1</v>
      </c>
      <c r="J67" s="99">
        <f>$D67-vlookup(Summary!$C67,Summary!$C$2:$Q$103,3+counta($F$1:J$1),false)</f>
        <v>0</v>
      </c>
      <c r="K67" s="99">
        <f>$D67-vlookup(Summary!$C67,Summary!$C$2:$Q$103,3+counta($F$1:K$1),false)</f>
        <v>0</v>
      </c>
      <c r="L67" s="99">
        <f>$D67-vlookup(Summary!$C67,Summary!$C$2:$Q$103,3+counta($F$1:L$1),false)</f>
        <v>0.1</v>
      </c>
      <c r="M67" s="99">
        <f>$D67-vlookup(Summary!$C67,Summary!$C$2:$Q$103,3+counta($F$1:M$1),false)</f>
        <v>0.15</v>
      </c>
      <c r="N67" s="99">
        <f>$D67-vlookup(Summary!$C67,Summary!$C$2:$Q$103,3+counta($F$1:N$1),false)</f>
        <v>-0.1</v>
      </c>
      <c r="O67" s="99">
        <f>$D67-vlookup(Summary!$C67,Summary!$C$2:$Q$103,3+counta($F$1:O$1),false)</f>
        <v>0.1</v>
      </c>
      <c r="P67" s="99">
        <f>$D67-vlookup(Summary!$C67,Summary!$C$2:$Q$103,3+counta($F$1:P$1),false)</f>
        <v>0.5</v>
      </c>
      <c r="Q67" s="99">
        <f>$D67-vlookup(Summary!$C67,Summary!$C$2:$Q$103,3+counta($F$1:Q$1),false)</f>
        <v>0</v>
      </c>
    </row>
    <row r="68" ht="15.75" customHeight="1">
      <c r="A68" s="15">
        <f>Main!A68</f>
        <v>67</v>
      </c>
      <c r="B68" s="15" t="str">
        <f>Main!B68</f>
        <v>Italy will defeat Portugal in their qualifying match and reach the finals of the Football World Cup</v>
      </c>
      <c r="C68" s="15" t="str">
        <f>Main!C68</f>
        <v>Sport</v>
      </c>
      <c r="D68" s="15">
        <v>0.5</v>
      </c>
      <c r="F68" s="99">
        <f>$D68-vlookup(Summary!$C68,Summary!$C$2:$Q$103,3+counta($F$1:F$1),false)</f>
        <v>0</v>
      </c>
      <c r="G68" s="99">
        <f>$D68-vlookup(Summary!$C68,Summary!$C$2:$Q$103,3+counta($F$1:G$1),false)</f>
        <v>-0.1</v>
      </c>
      <c r="H68" s="99">
        <f>$D68-vlookup(Summary!$C68,Summary!$C$2:$Q$103,3+counta($F$1:H$1),false)</f>
        <v>-0.2</v>
      </c>
      <c r="I68" s="99">
        <f>$D68-vlookup(Summary!$C68,Summary!$C$2:$Q$103,3+counta($F$1:I$1),false)</f>
        <v>0</v>
      </c>
      <c r="J68" s="99">
        <f>$D68-vlookup(Summary!$C68,Summary!$C$2:$Q$103,3+counta($F$1:J$1),false)</f>
        <v>0</v>
      </c>
      <c r="K68" s="99">
        <f>$D68-vlookup(Summary!$C68,Summary!$C$2:$Q$103,3+counta($F$1:K$1),false)</f>
        <v>-0.35</v>
      </c>
      <c r="L68" s="99">
        <f>$D68-vlookup(Summary!$C68,Summary!$C$2:$Q$103,3+counta($F$1:L$1),false)</f>
        <v>0.45</v>
      </c>
      <c r="M68" s="99">
        <f>$D68-vlookup(Summary!$C68,Summary!$C$2:$Q$103,3+counta($F$1:M$1),false)</f>
        <v>-0.2</v>
      </c>
      <c r="N68" s="99">
        <f>$D68-vlookup(Summary!$C68,Summary!$C$2:$Q$103,3+counta($F$1:N$1),false)</f>
        <v>0</v>
      </c>
      <c r="O68" s="99">
        <f>$D68-vlookup(Summary!$C68,Summary!$C$2:$Q$103,3+counta($F$1:O$1),false)</f>
        <v>0</v>
      </c>
      <c r="P68" s="99">
        <f>$D68-vlookup(Summary!$C68,Summary!$C$2:$Q$103,3+counta($F$1:P$1),false)</f>
        <v>-0.4</v>
      </c>
      <c r="Q68" s="99">
        <f>$D68-vlookup(Summary!$C68,Summary!$C$2:$Q$103,3+counta($F$1:Q$1),false)</f>
        <v>-0.3</v>
      </c>
    </row>
    <row r="69" ht="15.75" customHeight="1">
      <c r="A69" s="15">
        <f>Main!A69</f>
        <v>68</v>
      </c>
      <c r="B69" s="15" t="str">
        <f>Main!B69</f>
        <v>Ash Barty will be world number 1 in the WRA rankings after the US Open</v>
      </c>
      <c r="C69" s="15" t="str">
        <f>Main!C69</f>
        <v>Sport</v>
      </c>
      <c r="D69" s="15">
        <v>0.8</v>
      </c>
      <c r="F69" s="99">
        <f>$D69-vlookup(Summary!$C69,Summary!$C$2:$Q$103,3+counta($F$1:F$1),false)</f>
        <v>0</v>
      </c>
      <c r="G69" s="99">
        <f>$D69-vlookup(Summary!$C69,Summary!$C$2:$Q$103,3+counta($F$1:G$1),false)</f>
        <v>-0.1</v>
      </c>
      <c r="H69" s="99">
        <f>$D69-vlookup(Summary!$C69,Summary!$C$2:$Q$103,3+counta($F$1:H$1),false)</f>
        <v>0</v>
      </c>
      <c r="I69" s="99">
        <f>$D69-vlookup(Summary!$C69,Summary!$C$2:$Q$103,3+counta($F$1:I$1),false)</f>
        <v>0</v>
      </c>
      <c r="J69" s="99">
        <f>$D69-vlookup(Summary!$C69,Summary!$C$2:$Q$103,3+counta($F$1:J$1),false)</f>
        <v>0</v>
      </c>
      <c r="K69" s="99">
        <f>$D69-vlookup(Summary!$C69,Summary!$C$2:$Q$103,3+counta($F$1:K$1),false)</f>
        <v>-0.18</v>
      </c>
      <c r="L69" s="99">
        <f>$D69-vlookup(Summary!$C69,Summary!$C$2:$Q$103,3+counta($F$1:L$1),false)</f>
        <v>-0.199</v>
      </c>
      <c r="M69" s="99">
        <f>$D69-vlookup(Summary!$C69,Summary!$C$2:$Q$103,3+counta($F$1:M$1),false)</f>
        <v>0</v>
      </c>
      <c r="N69" s="99">
        <f>$D69-vlookup(Summary!$C69,Summary!$C$2:$Q$103,3+counta($F$1:N$1),false)</f>
        <v>-0.1</v>
      </c>
      <c r="O69" s="99">
        <f>$D69-vlookup(Summary!$C69,Summary!$C$2:$Q$103,3+counta($F$1:O$1),false)</f>
        <v>0.3</v>
      </c>
      <c r="P69" s="99">
        <f>$D69-vlookup(Summary!$C69,Summary!$C$2:$Q$103,3+counta($F$1:P$1),false)</f>
        <v>-0.1</v>
      </c>
      <c r="Q69" s="99">
        <f>$D69-vlookup(Summary!$C69,Summary!$C$2:$Q$103,3+counta($F$1:Q$1),false)</f>
        <v>0.25</v>
      </c>
    </row>
    <row r="70" ht="15.75" customHeight="1">
      <c r="A70" s="15">
        <f>Main!A70</f>
        <v>69</v>
      </c>
      <c r="B70" s="15" t="str">
        <f>Main!B70</f>
        <v>Neither Roger Federer nor Serena Williams will win a Grand Slam tennis tournament</v>
      </c>
      <c r="C70" s="15" t="str">
        <f>Main!C70</f>
        <v>Sport</v>
      </c>
      <c r="D70" s="15">
        <v>0.8</v>
      </c>
      <c r="F70" s="99">
        <f>$D70-vlookup(Summary!$C70,Summary!$C$2:$Q$103,3+counta($F$1:F$1),false)</f>
        <v>0.15</v>
      </c>
      <c r="G70" s="99">
        <f>$D70-vlookup(Summary!$C70,Summary!$C$2:$Q$103,3+counta($F$1:G$1),false)</f>
        <v>0</v>
      </c>
      <c r="H70" s="99">
        <f>$D70-vlookup(Summary!$C70,Summary!$C$2:$Q$103,3+counta($F$1:H$1),false)</f>
        <v>-0.15</v>
      </c>
      <c r="I70" s="99">
        <f>$D70-vlookup(Summary!$C70,Summary!$C$2:$Q$103,3+counta($F$1:I$1),false)</f>
        <v>0.4</v>
      </c>
      <c r="J70" s="99">
        <f>$D70-vlookup(Summary!$C70,Summary!$C$2:$Q$103,3+counta($F$1:J$1),false)</f>
        <v>0</v>
      </c>
      <c r="K70" s="99">
        <f>$D70-vlookup(Summary!$C70,Summary!$C$2:$Q$103,3+counta($F$1:K$1),false)</f>
        <v>-0.1</v>
      </c>
      <c r="L70" s="99">
        <f>$D70-vlookup(Summary!$C70,Summary!$C$2:$Q$103,3+counta($F$1:L$1),false)</f>
        <v>-0.199</v>
      </c>
      <c r="M70" s="99">
        <f>$D70-vlookup(Summary!$C70,Summary!$C$2:$Q$103,3+counta($F$1:M$1),false)</f>
        <v>-0.15</v>
      </c>
      <c r="N70" s="99">
        <f>$D70-vlookup(Summary!$C70,Summary!$C$2:$Q$103,3+counta($F$1:N$1),false)</f>
        <v>0</v>
      </c>
      <c r="O70" s="99">
        <f>$D70-vlookup(Summary!$C70,Summary!$C$2:$Q$103,3+counta($F$1:O$1),false)</f>
        <v>-0.05</v>
      </c>
      <c r="P70" s="99">
        <f>$D70-vlookup(Summary!$C70,Summary!$C$2:$Q$103,3+counta($F$1:P$1),false)</f>
        <v>0.7</v>
      </c>
      <c r="Q70" s="99">
        <f>$D70-vlookup(Summary!$C70,Summary!$C$2:$Q$103,3+counta($F$1:Q$1),false)</f>
        <v>0.3</v>
      </c>
    </row>
    <row r="71" ht="15.75" customHeight="1">
      <c r="A71" s="15">
        <f>Main!A71</f>
        <v>70</v>
      </c>
      <c r="B71" s="15" t="str">
        <f>Main!B71</f>
        <v>The Football World Cup will not go ahead on the scheduled dates in Qatar</v>
      </c>
      <c r="C71" s="15" t="str">
        <f>Main!C71</f>
        <v>Sport</v>
      </c>
      <c r="D71" s="15">
        <v>0.5</v>
      </c>
      <c r="F71" s="99">
        <f>$D71-vlookup(Summary!$C71,Summary!$C$2:$Q$103,3+counta($F$1:F$1),false)</f>
        <v>0.1</v>
      </c>
      <c r="G71" s="99">
        <f>$D71-vlookup(Summary!$C71,Summary!$C$2:$Q$103,3+counta($F$1:G$1),false)</f>
        <v>0.25</v>
      </c>
      <c r="H71" s="99">
        <f>$D71-vlookup(Summary!$C71,Summary!$C$2:$Q$103,3+counta($F$1:H$1),false)</f>
        <v>0.4</v>
      </c>
      <c r="I71" s="99">
        <f>$D71-vlookup(Summary!$C71,Summary!$C$2:$Q$103,3+counta($F$1:I$1),false)</f>
        <v>0</v>
      </c>
      <c r="J71" s="99">
        <f>$D71-vlookup(Summary!$C71,Summary!$C$2:$Q$103,3+counta($F$1:J$1),false)</f>
        <v>0</v>
      </c>
      <c r="K71" s="99">
        <f>$D71-vlookup(Summary!$C71,Summary!$C$2:$Q$103,3+counta($F$1:K$1),false)</f>
        <v>0.2</v>
      </c>
      <c r="L71" s="99">
        <f>$D71-vlookup(Summary!$C71,Summary!$C$2:$Q$103,3+counta($F$1:L$1),false)</f>
        <v>-0.05</v>
      </c>
      <c r="M71" s="99">
        <f>$D71-vlookup(Summary!$C71,Summary!$C$2:$Q$103,3+counta($F$1:M$1),false)</f>
        <v>0.4</v>
      </c>
      <c r="N71" s="99">
        <f>$D71-vlookup(Summary!$C71,Summary!$C$2:$Q$103,3+counta($F$1:N$1),false)</f>
        <v>0.4</v>
      </c>
      <c r="O71" s="99">
        <f>$D71-vlookup(Summary!$C71,Summary!$C$2:$Q$103,3+counta($F$1:O$1),false)</f>
        <v>-0.15</v>
      </c>
      <c r="P71" s="99">
        <f>$D71-vlookup(Summary!$C71,Summary!$C$2:$Q$103,3+counta($F$1:P$1),false)</f>
        <v>-0.4</v>
      </c>
      <c r="Q71" s="99">
        <f>$D71-vlookup(Summary!$C71,Summary!$C$2:$Q$103,3+counta($F$1:Q$1),false)</f>
        <v>0.3</v>
      </c>
    </row>
    <row r="72" ht="15.75" customHeight="1">
      <c r="A72" s="15">
        <f>Main!A72</f>
        <v>71</v>
      </c>
      <c r="B72" s="15" t="str">
        <f>Main!B72</f>
        <v>Lewis hamilton will win the 2022 world championship in Formula 1</v>
      </c>
      <c r="C72" s="15" t="str">
        <f>Main!C72</f>
        <v>Sport</v>
      </c>
      <c r="D72" s="15">
        <v>0.8</v>
      </c>
      <c r="F72" s="99">
        <f>$D72-vlookup(Summary!$C72,Summary!$C$2:$Q$103,3+counta($F$1:F$1),false)</f>
        <v>0.2</v>
      </c>
      <c r="G72" s="99">
        <f>$D72-vlookup(Summary!$C72,Summary!$C$2:$Q$103,3+counta($F$1:G$1),false)</f>
        <v>0.6</v>
      </c>
      <c r="H72" s="99">
        <f>$D72-vlookup(Summary!$C72,Summary!$C$2:$Q$103,3+counta($F$1:H$1),false)</f>
        <v>0.2</v>
      </c>
      <c r="I72" s="99">
        <f>$D72-vlookup(Summary!$C72,Summary!$C$2:$Q$103,3+counta($F$1:I$1),false)</f>
        <v>0.3</v>
      </c>
      <c r="J72" s="99">
        <f>$D72-vlookup(Summary!$C72,Summary!$C$2:$Q$103,3+counta($F$1:J$1),false)</f>
        <v>0</v>
      </c>
      <c r="K72" s="99">
        <f>$D72-vlookup(Summary!$C72,Summary!$C$2:$Q$103,3+counta($F$1:K$1),false)</f>
        <v>0</v>
      </c>
      <c r="L72" s="99">
        <f>$D72-vlookup(Summary!$C72,Summary!$C$2:$Q$103,3+counta($F$1:L$1),false)</f>
        <v>0.2</v>
      </c>
      <c r="M72" s="99">
        <f>$D72-vlookup(Summary!$C72,Summary!$C$2:$Q$103,3+counta($F$1:M$1),false)</f>
        <v>0.2</v>
      </c>
      <c r="N72" s="99">
        <f>$D72-vlookup(Summary!$C72,Summary!$C$2:$Q$103,3+counta($F$1:N$1),false)</f>
        <v>0</v>
      </c>
      <c r="O72" s="99">
        <f>$D72-vlookup(Summary!$C72,Summary!$C$2:$Q$103,3+counta($F$1:O$1),false)</f>
        <v>0.45</v>
      </c>
      <c r="P72" s="99">
        <f>$D72-vlookup(Summary!$C72,Summary!$C$2:$Q$103,3+counta($F$1:P$1),false)</f>
        <v>-0.1</v>
      </c>
      <c r="Q72" s="99">
        <f>$D72-vlookup(Summary!$C72,Summary!$C$2:$Q$103,3+counta($F$1:Q$1),false)</f>
        <v>0.15</v>
      </c>
    </row>
    <row r="73" ht="15.75" customHeight="1">
      <c r="A73" s="15">
        <f>Main!A73</f>
        <v>72</v>
      </c>
      <c r="B73" s="15" t="str">
        <f>Main!B73</f>
        <v>The Haas F1 team will score 0 points in the 2022 season</v>
      </c>
      <c r="C73" s="15" t="str">
        <f>Main!C73</f>
        <v>Sport</v>
      </c>
      <c r="D73" s="15">
        <v>0.3</v>
      </c>
      <c r="F73" s="99">
        <f>$D73-vlookup(Summary!$C73,Summary!$C$2:$Q$103,3+counta($F$1:F$1),false)</f>
        <v>-0.2</v>
      </c>
      <c r="G73" s="99">
        <f>$D73-vlookup(Summary!$C73,Summary!$C$2:$Q$103,3+counta($F$1:G$1),false)</f>
        <v>-0.4</v>
      </c>
      <c r="H73" s="99">
        <f>$D73-vlookup(Summary!$C73,Summary!$C$2:$Q$103,3+counta($F$1:H$1),false)</f>
        <v>-0.2</v>
      </c>
      <c r="I73" s="99">
        <f>$D73-vlookup(Summary!$C73,Summary!$C$2:$Q$103,3+counta($F$1:I$1),false)</f>
        <v>-0.2</v>
      </c>
      <c r="J73" s="99">
        <f>$D73-vlookup(Summary!$C73,Summary!$C$2:$Q$103,3+counta($F$1:J$1),false)</f>
        <v>0</v>
      </c>
      <c r="K73" s="99">
        <f>$D73-vlookup(Summary!$C73,Summary!$C$2:$Q$103,3+counta($F$1:K$1),false)</f>
        <v>-0.2</v>
      </c>
      <c r="L73" s="99">
        <f>$D73-vlookup(Summary!$C73,Summary!$C$2:$Q$103,3+counta($F$1:L$1),false)</f>
        <v>-0.2</v>
      </c>
      <c r="M73" s="99">
        <f>$D73-vlookup(Summary!$C73,Summary!$C$2:$Q$103,3+counta($F$1:M$1),false)</f>
        <v>-0.2</v>
      </c>
      <c r="N73" s="99">
        <f>$D73-vlookup(Summary!$C73,Summary!$C$2:$Q$103,3+counta($F$1:N$1),false)</f>
        <v>-0.2</v>
      </c>
      <c r="O73" s="99">
        <f>$D73-vlookup(Summary!$C73,Summary!$C$2:$Q$103,3+counta($F$1:O$1),false)</f>
        <v>-0.35</v>
      </c>
      <c r="P73" s="99">
        <f>$D73-vlookup(Summary!$C73,Summary!$C$2:$Q$103,3+counta($F$1:P$1),false)</f>
        <v>0.2</v>
      </c>
      <c r="Q73" s="99">
        <f>$D73-vlookup(Summary!$C73,Summary!$C$2:$Q$103,3+counta($F$1:Q$1),false)</f>
        <v>-0.3</v>
      </c>
    </row>
    <row r="74" ht="15.75" customHeight="1">
      <c r="A74" s="15">
        <f>Main!A74</f>
        <v>73</v>
      </c>
      <c r="B74" s="15" t="str">
        <f>Main!B74</f>
        <v>ULA's vulcan centaur will launch succesfully (places a payload into orbit)</v>
      </c>
      <c r="C74" s="15" t="str">
        <f>Main!C74</f>
        <v>Technology</v>
      </c>
      <c r="D74" s="15">
        <v>0.6</v>
      </c>
      <c r="F74" s="99">
        <f>$D74-vlookup(Summary!$C74,Summary!$C$2:$Q$103,3+counta($F$1:F$1),false)</f>
        <v>0</v>
      </c>
      <c r="G74" s="99">
        <f>$D74-vlookup(Summary!$C74,Summary!$C$2:$Q$103,3+counta($F$1:G$1),false)</f>
        <v>-0.1</v>
      </c>
      <c r="H74" s="99">
        <f>$D74-vlookup(Summary!$C74,Summary!$C$2:$Q$103,3+counta($F$1:H$1),false)</f>
        <v>-0.1</v>
      </c>
      <c r="I74" s="99">
        <f>$D74-vlookup(Summary!$C74,Summary!$C$2:$Q$103,3+counta($F$1:I$1),false)</f>
        <v>0</v>
      </c>
      <c r="J74" s="99">
        <f>$D74-vlookup(Summary!$C74,Summary!$C$2:$Q$103,3+counta($F$1:J$1),false)</f>
        <v>0</v>
      </c>
      <c r="K74" s="99">
        <f>$D74-vlookup(Summary!$C74,Summary!$C$2:$Q$103,3+counta($F$1:K$1),false)</f>
        <v>0</v>
      </c>
      <c r="L74" s="99">
        <f>$D74-vlookup(Summary!$C74,Summary!$C$2:$Q$103,3+counta($F$1:L$1),false)</f>
        <v>0.4</v>
      </c>
      <c r="M74" s="99">
        <f>$D74-vlookup(Summary!$C74,Summary!$C$2:$Q$103,3+counta($F$1:M$1),false)</f>
        <v>-0.1</v>
      </c>
      <c r="N74" s="99">
        <f>$D74-vlookup(Summary!$C74,Summary!$C$2:$Q$103,3+counta($F$1:N$1),false)</f>
        <v>0.2</v>
      </c>
      <c r="O74" s="99">
        <f>$D74-vlookup(Summary!$C74,Summary!$C$2:$Q$103,3+counta($F$1:O$1),false)</f>
        <v>-0.25</v>
      </c>
      <c r="P74" s="99">
        <f>$D74-vlookup(Summary!$C74,Summary!$C$2:$Q$103,3+counta($F$1:P$1),false)</f>
        <v>0.1</v>
      </c>
      <c r="Q74" s="99">
        <f>$D74-vlookup(Summary!$C74,Summary!$C$2:$Q$103,3+counta($F$1:Q$1),false)</f>
        <v>0.1</v>
      </c>
    </row>
    <row r="75" ht="15.75" customHeight="1">
      <c r="A75" s="15">
        <f>Main!A75</f>
        <v>74</v>
      </c>
      <c r="B75" s="15" t="str">
        <f>Main!B75</f>
        <v>NASA will declare its Artemis 1 mission a success</v>
      </c>
      <c r="C75" s="15" t="str">
        <f>Main!C75</f>
        <v>Technology</v>
      </c>
      <c r="D75" s="15">
        <v>0.7</v>
      </c>
      <c r="F75" s="99">
        <f>$D75-vlookup(Summary!$C75,Summary!$C$2:$Q$103,3+counta($F$1:F$1),false)</f>
        <v>0</v>
      </c>
      <c r="G75" s="99">
        <f>$D75-vlookup(Summary!$C75,Summary!$C$2:$Q$103,3+counta($F$1:G$1),false)</f>
        <v>-0.1</v>
      </c>
      <c r="H75" s="99">
        <f>$D75-vlookup(Summary!$C75,Summary!$C$2:$Q$103,3+counta($F$1:H$1),false)</f>
        <v>0</v>
      </c>
      <c r="I75" s="99">
        <f>$D75-vlookup(Summary!$C75,Summary!$C$2:$Q$103,3+counta($F$1:I$1),false)</f>
        <v>0</v>
      </c>
      <c r="J75" s="99">
        <f>$D75-vlookup(Summary!$C75,Summary!$C$2:$Q$103,3+counta($F$1:J$1),false)</f>
        <v>0</v>
      </c>
      <c r="K75" s="99">
        <f>$D75-vlookup(Summary!$C75,Summary!$C$2:$Q$103,3+counta($F$1:K$1),false)</f>
        <v>-0.1</v>
      </c>
      <c r="L75" s="99">
        <f>$D75-vlookup(Summary!$C75,Summary!$C$2:$Q$103,3+counta($F$1:L$1),false)</f>
        <v>0.1</v>
      </c>
      <c r="M75" s="99">
        <f>$D75-vlookup(Summary!$C75,Summary!$C$2:$Q$103,3+counta($F$1:M$1),false)</f>
        <v>0</v>
      </c>
      <c r="N75" s="99">
        <f>$D75-vlookup(Summary!$C75,Summary!$C$2:$Q$103,3+counta($F$1:N$1),false)</f>
        <v>0.2</v>
      </c>
      <c r="O75" s="99">
        <f>$D75-vlookup(Summary!$C75,Summary!$C$2:$Q$103,3+counta($F$1:O$1),false)</f>
        <v>0.05</v>
      </c>
      <c r="P75" s="99">
        <f>$D75-vlookup(Summary!$C75,Summary!$C$2:$Q$103,3+counta($F$1:P$1),false)</f>
        <v>0.2</v>
      </c>
      <c r="Q75" s="99">
        <f>$D75-vlookup(Summary!$C75,Summary!$C$2:$Q$103,3+counta($F$1:Q$1),false)</f>
        <v>0</v>
      </c>
    </row>
    <row r="76" ht="15.75" customHeight="1">
      <c r="A76" s="15">
        <f>Main!A76</f>
        <v>75</v>
      </c>
      <c r="B76" s="15" t="str">
        <f>Main!B76</f>
        <v>Starship/Superheavy will place Starship into a (partial) orbital trajectory</v>
      </c>
      <c r="C76" s="15" t="str">
        <f>Main!C76</f>
        <v>Technology</v>
      </c>
      <c r="D76" s="15">
        <v>0.7</v>
      </c>
      <c r="F76" s="99">
        <f>$D76-vlookup(Summary!$C76,Summary!$C$2:$Q$103,3+counta($F$1:F$1),false)</f>
        <v>0.05</v>
      </c>
      <c r="G76" s="99">
        <f>$D76-vlookup(Summary!$C76,Summary!$C$2:$Q$103,3+counta($F$1:G$1),false)</f>
        <v>0.1</v>
      </c>
      <c r="H76" s="99">
        <f>$D76-vlookup(Summary!$C76,Summary!$C$2:$Q$103,3+counta($F$1:H$1),false)</f>
        <v>0.1</v>
      </c>
      <c r="I76" s="99">
        <f>$D76-vlookup(Summary!$C76,Summary!$C$2:$Q$103,3+counta($F$1:I$1),false)</f>
        <v>0.05</v>
      </c>
      <c r="J76" s="99">
        <f>$D76-vlookup(Summary!$C76,Summary!$C$2:$Q$103,3+counta($F$1:J$1),false)</f>
        <v>0</v>
      </c>
      <c r="K76" s="99">
        <f>$D76-vlookup(Summary!$C76,Summary!$C$2:$Q$103,3+counta($F$1:K$1),false)</f>
        <v>0.2</v>
      </c>
      <c r="L76" s="99">
        <f>$D76-vlookup(Summary!$C76,Summary!$C$2:$Q$103,3+counta($F$1:L$1),false)</f>
        <v>0.2</v>
      </c>
      <c r="M76" s="99">
        <f>$D76-vlookup(Summary!$C76,Summary!$C$2:$Q$103,3+counta($F$1:M$1),false)</f>
        <v>0.1</v>
      </c>
      <c r="N76" s="99">
        <f>$D76-vlookup(Summary!$C76,Summary!$C$2:$Q$103,3+counta($F$1:N$1),false)</f>
        <v>0.2</v>
      </c>
      <c r="O76" s="99">
        <f>$D76-vlookup(Summary!$C76,Summary!$C$2:$Q$103,3+counta($F$1:O$1),false)</f>
        <v>-0.15</v>
      </c>
      <c r="P76" s="99">
        <f>$D76-vlookup(Summary!$C76,Summary!$C$2:$Q$103,3+counta($F$1:P$1),false)</f>
        <v>0.2</v>
      </c>
      <c r="Q76" s="99">
        <f>$D76-vlookup(Summary!$C76,Summary!$C$2:$Q$103,3+counta($F$1:Q$1),false)</f>
        <v>0.2</v>
      </c>
    </row>
    <row r="77" ht="15.75" customHeight="1">
      <c r="A77" s="15">
        <f>Main!A77</f>
        <v>76</v>
      </c>
      <c r="B77" s="15" t="str">
        <f>Main!B77</f>
        <v>James Webb telescope will deploy at L2 and 1 image from its Near-Infrared Camera (NIRCam) will be available on the internet for viewing by the public</v>
      </c>
      <c r="C77" s="15" t="str">
        <f>Main!C77</f>
        <v>Technology</v>
      </c>
      <c r="D77" s="15">
        <v>0.8</v>
      </c>
      <c r="F77" s="99">
        <f>$D77-vlookup(Summary!$C77,Summary!$C$2:$Q$103,3+counta($F$1:F$1),false)</f>
        <v>0.1</v>
      </c>
      <c r="G77" s="99">
        <f>$D77-vlookup(Summary!$C77,Summary!$C$2:$Q$103,3+counta($F$1:G$1),false)</f>
        <v>0</v>
      </c>
      <c r="H77" s="99">
        <f>$D77-vlookup(Summary!$C77,Summary!$C$2:$Q$103,3+counta($F$1:H$1),false)</f>
        <v>-0.1</v>
      </c>
      <c r="I77" s="99">
        <f>$D77-vlookup(Summary!$C77,Summary!$C$2:$Q$103,3+counta($F$1:I$1),false)</f>
        <v>0.1</v>
      </c>
      <c r="J77" s="99">
        <f>$D77-vlookup(Summary!$C77,Summary!$C$2:$Q$103,3+counta($F$1:J$1),false)</f>
        <v>0</v>
      </c>
      <c r="K77" s="99">
        <f>$D77-vlookup(Summary!$C77,Summary!$C$2:$Q$103,3+counta($F$1:K$1),false)</f>
        <v>0.15</v>
      </c>
      <c r="L77" s="99">
        <f>$D77-vlookup(Summary!$C77,Summary!$C$2:$Q$103,3+counta($F$1:L$1),false)</f>
        <v>0.1</v>
      </c>
      <c r="M77" s="99">
        <f>$D77-vlookup(Summary!$C77,Summary!$C$2:$Q$103,3+counta($F$1:M$1),false)</f>
        <v>-0.1</v>
      </c>
      <c r="N77" s="99">
        <f>$D77-vlookup(Summary!$C77,Summary!$C$2:$Q$103,3+counta($F$1:N$1),false)</f>
        <v>0.3</v>
      </c>
      <c r="O77" s="99">
        <f>$D77-vlookup(Summary!$C77,Summary!$C$2:$Q$103,3+counta($F$1:O$1),false)</f>
        <v>-0.199</v>
      </c>
      <c r="P77" s="99">
        <f>$D77-vlookup(Summary!$C77,Summary!$C$2:$Q$103,3+counta($F$1:P$1),false)</f>
        <v>-0.1</v>
      </c>
      <c r="Q77" s="99">
        <f>$D77-vlookup(Summary!$C77,Summary!$C$2:$Q$103,3+counta($F$1:Q$1),false)</f>
        <v>0.3</v>
      </c>
    </row>
    <row r="78" ht="15.75" customHeight="1">
      <c r="A78" s="15">
        <f>Main!A78</f>
        <v>77</v>
      </c>
      <c r="B78" s="15" t="str">
        <f>Main!B78</f>
        <v>Facebook connect 2022 (or its 'meta' equivalent) will be hosted in virtual reality / a ('the'?) metaverse</v>
      </c>
      <c r="C78" s="15" t="str">
        <f>Main!C78</f>
        <v>Technology</v>
      </c>
      <c r="D78" s="15">
        <v>0.9</v>
      </c>
      <c r="F78" s="99">
        <f>$D78-vlookup(Summary!$C78,Summary!$C$2:$Q$103,3+counta($F$1:F$1),false)</f>
        <v>0.6</v>
      </c>
      <c r="G78" s="99">
        <f>$D78-vlookup(Summary!$C78,Summary!$C$2:$Q$103,3+counta($F$1:G$1),false)</f>
        <v>0.3</v>
      </c>
      <c r="H78" s="99">
        <f>$D78-vlookup(Summary!$C78,Summary!$C$2:$Q$103,3+counta($F$1:H$1),false)</f>
        <v>0</v>
      </c>
      <c r="I78" s="99">
        <f>$D78-vlookup(Summary!$C78,Summary!$C$2:$Q$103,3+counta($F$1:I$1),false)</f>
        <v>0.8</v>
      </c>
      <c r="J78" s="99">
        <f>$D78-vlookup(Summary!$C78,Summary!$C$2:$Q$103,3+counta($F$1:J$1),false)</f>
        <v>0</v>
      </c>
      <c r="K78" s="99">
        <f>$D78-vlookup(Summary!$C78,Summary!$C$2:$Q$103,3+counta($F$1:K$1),false)</f>
        <v>0.4</v>
      </c>
      <c r="L78" s="99">
        <f>$D78-vlookup(Summary!$C78,Summary!$C$2:$Q$103,3+counta($F$1:L$1),false)</f>
        <v>0.4</v>
      </c>
      <c r="M78" s="99">
        <f>$D78-vlookup(Summary!$C78,Summary!$C$2:$Q$103,3+counta($F$1:M$1),false)</f>
        <v>0</v>
      </c>
      <c r="N78" s="99">
        <f>$D78-vlookup(Summary!$C78,Summary!$C$2:$Q$103,3+counta($F$1:N$1),false)</f>
        <v>0.7</v>
      </c>
      <c r="O78" s="99">
        <f>$D78-vlookup(Summary!$C78,Summary!$C$2:$Q$103,3+counta($F$1:O$1),false)</f>
        <v>0.55</v>
      </c>
      <c r="P78" s="99">
        <f>$D78-vlookup(Summary!$C78,Summary!$C$2:$Q$103,3+counta($F$1:P$1),false)</f>
        <v>0.4</v>
      </c>
      <c r="Q78" s="99">
        <f>$D78-vlookup(Summary!$C78,Summary!$C$2:$Q$103,3+counta($F$1:Q$1),false)</f>
        <v>0.2</v>
      </c>
    </row>
    <row r="79" ht="15.75" customHeight="1">
      <c r="A79" s="15">
        <f>Main!A79</f>
        <v>78</v>
      </c>
      <c r="B79" s="15" t="str">
        <f>Main!B79</f>
        <v>Apple will announce mixed reality glasses</v>
      </c>
      <c r="C79" s="15" t="str">
        <f>Main!C79</f>
        <v>Technology</v>
      </c>
      <c r="D79" s="15">
        <v>0.9</v>
      </c>
      <c r="F79" s="99">
        <f>$D79-vlookup(Summary!$C79,Summary!$C$2:$Q$103,3+counta($F$1:F$1),false)</f>
        <v>0.65</v>
      </c>
      <c r="G79" s="99">
        <f>$D79-vlookup(Summary!$C79,Summary!$C$2:$Q$103,3+counta($F$1:G$1),false)</f>
        <v>0.5</v>
      </c>
      <c r="H79" s="99">
        <f>$D79-vlookup(Summary!$C79,Summary!$C$2:$Q$103,3+counta($F$1:H$1),false)</f>
        <v>0.7</v>
      </c>
      <c r="I79" s="99">
        <f>$D79-vlookup(Summary!$C79,Summary!$C$2:$Q$103,3+counta($F$1:I$1),false)</f>
        <v>0.8</v>
      </c>
      <c r="J79" s="99">
        <f>$D79-vlookup(Summary!$C79,Summary!$C$2:$Q$103,3+counta($F$1:J$1),false)</f>
        <v>0</v>
      </c>
      <c r="K79" s="99">
        <f>$D79-vlookup(Summary!$C79,Summary!$C$2:$Q$103,3+counta($F$1:K$1),false)</f>
        <v>0.225</v>
      </c>
      <c r="L79" s="99">
        <f>$D79-vlookup(Summary!$C79,Summary!$C$2:$Q$103,3+counta($F$1:L$1),false)</f>
        <v>0.45</v>
      </c>
      <c r="M79" s="99">
        <f>$D79-vlookup(Summary!$C79,Summary!$C$2:$Q$103,3+counta($F$1:M$1),false)</f>
        <v>0.7</v>
      </c>
      <c r="N79" s="99">
        <f>$D79-vlookup(Summary!$C79,Summary!$C$2:$Q$103,3+counta($F$1:N$1),false)</f>
        <v>0.2</v>
      </c>
      <c r="O79" s="99">
        <f>$D79-vlookup(Summary!$C79,Summary!$C$2:$Q$103,3+counta($F$1:O$1),false)</f>
        <v>0.55</v>
      </c>
      <c r="P79" s="99">
        <f>$D79-vlookup(Summary!$C79,Summary!$C$2:$Q$103,3+counta($F$1:P$1),false)</f>
        <v>0.8</v>
      </c>
      <c r="Q79" s="99">
        <f>$D79-vlookup(Summary!$C79,Summary!$C$2:$Q$103,3+counta($F$1:Q$1),false)</f>
        <v>0.1</v>
      </c>
    </row>
    <row r="80" ht="15.75" customHeight="1">
      <c r="A80" s="15">
        <f>Main!A80</f>
        <v>79</v>
      </c>
      <c r="B80" s="15" t="str">
        <f>Main!B80</f>
        <v> In-app purchases of Kindle books will be possible in the Kindle iphone app</v>
      </c>
      <c r="C80" s="15" t="str">
        <f>Main!C80</f>
        <v>Technology</v>
      </c>
      <c r="D80" s="15">
        <v>0.9</v>
      </c>
      <c r="F80" s="99">
        <f>$D80-vlookup(Summary!$C80,Summary!$C$2:$Q$103,3+counta($F$1:F$1),false)</f>
        <v>0.4</v>
      </c>
      <c r="G80" s="99">
        <f>$D80-vlookup(Summary!$C80,Summary!$C$2:$Q$103,3+counta($F$1:G$1),false)</f>
        <v>0.35</v>
      </c>
      <c r="H80" s="99">
        <f>$D80-vlookup(Summary!$C80,Summary!$C$2:$Q$103,3+counta($F$1:H$1),false)</f>
        <v>0.7</v>
      </c>
      <c r="I80" s="99">
        <f>$D80-vlookup(Summary!$C80,Summary!$C$2:$Q$103,3+counta($F$1:I$1),false)</f>
        <v>0.4</v>
      </c>
      <c r="J80" s="99">
        <f>$D80-vlookup(Summary!$C80,Summary!$C$2:$Q$103,3+counta($F$1:J$1),false)</f>
        <v>0</v>
      </c>
      <c r="K80" s="99">
        <f>$D80-vlookup(Summary!$C80,Summary!$C$2:$Q$103,3+counta($F$1:K$1),false)</f>
        <v>0.05</v>
      </c>
      <c r="L80" s="99">
        <f>$D80-vlookup(Summary!$C80,Summary!$C$2:$Q$103,3+counta($F$1:L$1),false)</f>
        <v>0.7</v>
      </c>
      <c r="M80" s="99">
        <f>$D80-vlookup(Summary!$C80,Summary!$C$2:$Q$103,3+counta($F$1:M$1),false)</f>
        <v>0.7</v>
      </c>
      <c r="N80" s="99">
        <f>$D80-vlookup(Summary!$C80,Summary!$C$2:$Q$103,3+counta($F$1:N$1),false)</f>
        <v>0.1</v>
      </c>
      <c r="O80" s="99">
        <f>$D80-vlookup(Summary!$C80,Summary!$C$2:$Q$103,3+counta($F$1:O$1),false)</f>
        <v>0.75</v>
      </c>
      <c r="P80" s="99">
        <f>$D80-vlookup(Summary!$C80,Summary!$C$2:$Q$103,3+counta($F$1:P$1),false)</f>
        <v>0.4</v>
      </c>
      <c r="Q80" s="99">
        <f>$D80-vlookup(Summary!$C80,Summary!$C$2:$Q$103,3+counta($F$1:Q$1),false)</f>
        <v>0.4</v>
      </c>
    </row>
    <row r="81" ht="15.75" customHeight="1">
      <c r="A81" s="15">
        <f>Main!A81</f>
        <v>80</v>
      </c>
      <c r="B81" s="15" t="str">
        <f>Main!B81</f>
        <v>It will be possible for at least one of the prediction participants to have food delivered by drone to their place of residence as a mainstream service, without it being part of a specific trial.</v>
      </c>
      <c r="C81" s="15" t="str">
        <f>Main!C81</f>
        <v>Technology</v>
      </c>
      <c r="D81" s="15">
        <v>0.4</v>
      </c>
      <c r="F81" s="99">
        <f>$D81-vlookup(Summary!$C81,Summary!$C$2:$Q$103,3+counta($F$1:F$1),false)</f>
        <v>0.2</v>
      </c>
      <c r="G81" s="99">
        <f>$D81-vlookup(Summary!$C81,Summary!$C$2:$Q$103,3+counta($F$1:G$1),false)</f>
        <v>0.1</v>
      </c>
      <c r="H81" s="99">
        <f>$D81-vlookup(Summary!$C81,Summary!$C$2:$Q$103,3+counta($F$1:H$1),false)</f>
        <v>0.3</v>
      </c>
      <c r="I81" s="99">
        <f>$D81-vlookup(Summary!$C81,Summary!$C$2:$Q$103,3+counta($F$1:I$1),false)</f>
        <v>0.3</v>
      </c>
      <c r="J81" s="99">
        <f>$D81-vlookup(Summary!$C81,Summary!$C$2:$Q$103,3+counta($F$1:J$1),false)</f>
        <v>0</v>
      </c>
      <c r="K81" s="99">
        <f>$D81-vlookup(Summary!$C81,Summary!$C$2:$Q$103,3+counta($F$1:K$1),false)</f>
        <v>-0.25</v>
      </c>
      <c r="L81" s="99">
        <f>$D81-vlookup(Summary!$C81,Summary!$C$2:$Q$103,3+counta($F$1:L$1),false)</f>
        <v>-0.1</v>
      </c>
      <c r="M81" s="99">
        <f>$D81-vlookup(Summary!$C81,Summary!$C$2:$Q$103,3+counta($F$1:M$1),false)</f>
        <v>0.3</v>
      </c>
      <c r="N81" s="99">
        <f>$D81-vlookup(Summary!$C81,Summary!$C$2:$Q$103,3+counta($F$1:N$1),false)</f>
        <v>-0.3</v>
      </c>
      <c r="O81" s="99">
        <f>$D81-vlookup(Summary!$C81,Summary!$C$2:$Q$103,3+counta($F$1:O$1),false)</f>
        <v>-0.25</v>
      </c>
      <c r="P81" s="99">
        <f>$D81-vlookup(Summary!$C81,Summary!$C$2:$Q$103,3+counta($F$1:P$1),false)</f>
        <v>-0.5</v>
      </c>
      <c r="Q81" s="99">
        <f>$D81-vlookup(Summary!$C81,Summary!$C$2:$Q$103,3+counta($F$1:Q$1),false)</f>
        <v>-0.25</v>
      </c>
    </row>
    <row r="82" ht="15.75" customHeight="1">
      <c r="A82" s="15">
        <f>Main!A82</f>
        <v>81</v>
      </c>
      <c r="B82" s="15" t="str">
        <f>Main!B82</f>
        <v>TMTG, the company that owns Trump’s “TRUTH Social” platform, will have a market cap of over $20 billion USD. (Twitter is around 35b)</v>
      </c>
      <c r="C82" s="15" t="str">
        <f>Main!C82</f>
        <v>Technology</v>
      </c>
      <c r="D82" s="15">
        <v>0.3</v>
      </c>
      <c r="F82" s="99">
        <f>$D82-vlookup(Summary!$C82,Summary!$C$2:$Q$103,3+counta($F$1:F$1),false)</f>
        <v>-0.6</v>
      </c>
      <c r="G82" s="99">
        <f>$D82-vlookup(Summary!$C82,Summary!$C$2:$Q$103,3+counta($F$1:G$1),false)</f>
        <v>-0.69</v>
      </c>
      <c r="H82" s="99">
        <f>$D82-vlookup(Summary!$C82,Summary!$C$2:$Q$103,3+counta($F$1:H$1),false)</f>
        <v>0.1</v>
      </c>
      <c r="I82" s="99">
        <f>$D82-vlookup(Summary!$C82,Summary!$C$2:$Q$103,3+counta($F$1:I$1),false)</f>
        <v>-0.6</v>
      </c>
      <c r="J82" s="99">
        <f>$D82-vlookup(Summary!$C82,Summary!$C$2:$Q$103,3+counta($F$1:J$1),false)</f>
        <v>0</v>
      </c>
      <c r="K82" s="99">
        <f>$D82-vlookup(Summary!$C82,Summary!$C$2:$Q$103,3+counta($F$1:K$1),false)</f>
        <v>-0.5</v>
      </c>
      <c r="L82" s="99">
        <f>$D82-vlookup(Summary!$C82,Summary!$C$2:$Q$103,3+counta($F$1:L$1),false)</f>
        <v>0.1</v>
      </c>
      <c r="M82" s="99">
        <f>$D82-vlookup(Summary!$C82,Summary!$C$2:$Q$103,3+counta($F$1:M$1),false)</f>
        <v>0.1</v>
      </c>
      <c r="N82" s="99">
        <f>$D82-vlookup(Summary!$C82,Summary!$C$2:$Q$103,3+counta($F$1:N$1),false)</f>
        <v>0.2</v>
      </c>
      <c r="O82" s="99">
        <f>$D82-vlookup(Summary!$C82,Summary!$C$2:$Q$103,3+counta($F$1:O$1),false)</f>
        <v>0.15</v>
      </c>
      <c r="P82" s="99">
        <f>$D82-vlookup(Summary!$C82,Summary!$C$2:$Q$103,3+counta($F$1:P$1),false)</f>
        <v>-0.2</v>
      </c>
      <c r="Q82" s="99">
        <f>$D82-vlookup(Summary!$C82,Summary!$C$2:$Q$103,3+counta($F$1:Q$1),false)</f>
        <v>0</v>
      </c>
    </row>
    <row r="83" ht="15.75" customHeight="1">
      <c r="A83" s="15">
        <f>Main!A83</f>
        <v>82</v>
      </c>
      <c r="B83" s="15" t="str">
        <f>Main!B83</f>
        <v>It will not be financially viable to mine ethereum using commercial GPUs.</v>
      </c>
      <c r="C83" s="15" t="str">
        <f>Main!C83</f>
        <v>Technology</v>
      </c>
      <c r="D83" s="15">
        <v>0.5</v>
      </c>
      <c r="F83" s="99">
        <f>$D83-vlookup(Summary!$C83,Summary!$C$2:$Q$103,3+counta($F$1:F$1),false)</f>
        <v>-0.15</v>
      </c>
      <c r="G83" s="99">
        <f>$D83-vlookup(Summary!$C83,Summary!$C$2:$Q$103,3+counta($F$1:G$1),false)</f>
        <v>-0.3</v>
      </c>
      <c r="H83" s="99">
        <f>$D83-vlookup(Summary!$C83,Summary!$C$2:$Q$103,3+counta($F$1:H$1),false)</f>
        <v>-0.4</v>
      </c>
      <c r="I83" s="99">
        <f>$D83-vlookup(Summary!$C83,Summary!$C$2:$Q$103,3+counta($F$1:I$1),false)</f>
        <v>0</v>
      </c>
      <c r="J83" s="99">
        <f>$D83-vlookup(Summary!$C83,Summary!$C$2:$Q$103,3+counta($F$1:J$1),false)</f>
        <v>0</v>
      </c>
      <c r="K83" s="99">
        <f>$D83-vlookup(Summary!$C83,Summary!$C$2:$Q$103,3+counta($F$1:K$1),false)</f>
        <v>0</v>
      </c>
      <c r="L83" s="99">
        <f>$D83-vlookup(Summary!$C83,Summary!$C$2:$Q$103,3+counta($F$1:L$1),false)</f>
        <v>0.05</v>
      </c>
      <c r="M83" s="99">
        <f>$D83-vlookup(Summary!$C83,Summary!$C$2:$Q$103,3+counta($F$1:M$1),false)</f>
        <v>-0.4</v>
      </c>
      <c r="N83" s="99">
        <f>$D83-vlookup(Summary!$C83,Summary!$C$2:$Q$103,3+counta($F$1:N$1),false)</f>
        <v>-0.3</v>
      </c>
      <c r="O83" s="99">
        <f>$D83-vlookup(Summary!$C83,Summary!$C$2:$Q$103,3+counta($F$1:O$1),false)</f>
        <v>-0.35</v>
      </c>
      <c r="P83" s="99">
        <f>$D83-vlookup(Summary!$C83,Summary!$C$2:$Q$103,3+counta($F$1:P$1),false)</f>
        <v>0</v>
      </c>
      <c r="Q83" s="99">
        <f>$D83-vlookup(Summary!$C83,Summary!$C$2:$Q$103,3+counta($F$1:Q$1),false)</f>
        <v>-0.1</v>
      </c>
    </row>
    <row r="84" ht="15.75" customHeight="1">
      <c r="A84" s="15">
        <f>Main!A84</f>
        <v>83</v>
      </c>
      <c r="B84" s="15" t="str">
        <f>Main!B84</f>
        <v>China will have more than 800 satellites in orbit (currently around 500)</v>
      </c>
      <c r="C84" s="15" t="str">
        <f>Main!C84</f>
        <v>Technology</v>
      </c>
      <c r="D84" s="15">
        <v>0.7</v>
      </c>
      <c r="F84" s="99">
        <f>$D84-vlookup(Summary!$C84,Summary!$C$2:$Q$103,3+counta($F$1:F$1),false)</f>
        <v>0.3</v>
      </c>
      <c r="G84" s="99">
        <f>$D84-vlookup(Summary!$C84,Summary!$C$2:$Q$103,3+counta($F$1:G$1),false)</f>
        <v>0.05</v>
      </c>
      <c r="H84" s="99">
        <f>$D84-vlookup(Summary!$C84,Summary!$C$2:$Q$103,3+counta($F$1:H$1),false)</f>
        <v>0.65</v>
      </c>
      <c r="I84" s="99">
        <f>$D84-vlookup(Summary!$C84,Summary!$C$2:$Q$103,3+counta($F$1:I$1),false)</f>
        <v>0.5</v>
      </c>
      <c r="J84" s="99">
        <f>$D84-vlookup(Summary!$C84,Summary!$C$2:$Q$103,3+counta($F$1:J$1),false)</f>
        <v>0</v>
      </c>
      <c r="K84" s="99">
        <f>$D84-vlookup(Summary!$C84,Summary!$C$2:$Q$103,3+counta($F$1:K$1),false)</f>
        <v>-0.15</v>
      </c>
      <c r="L84" s="99">
        <f>$D84-vlookup(Summary!$C84,Summary!$C$2:$Q$103,3+counta($F$1:L$1),false)</f>
        <v>0.699</v>
      </c>
      <c r="M84" s="99">
        <f>$D84-vlookup(Summary!$C84,Summary!$C$2:$Q$103,3+counta($F$1:M$1),false)</f>
        <v>0.65</v>
      </c>
      <c r="N84" s="99">
        <f>$D84-vlookup(Summary!$C84,Summary!$C$2:$Q$103,3+counta($F$1:N$1),false)</f>
        <v>0.6</v>
      </c>
      <c r="O84" s="99">
        <f>$D84-vlookup(Summary!$C84,Summary!$C$2:$Q$103,3+counta($F$1:O$1),false)</f>
        <v>0.699</v>
      </c>
      <c r="P84" s="99">
        <f>$D84-vlookup(Summary!$C84,Summary!$C$2:$Q$103,3+counta($F$1:P$1),false)</f>
        <v>0.2</v>
      </c>
      <c r="Q84" s="99">
        <f>$D84-vlookup(Summary!$C84,Summary!$C$2:$Q$103,3+counta($F$1:Q$1),false)</f>
        <v>0.05</v>
      </c>
    </row>
    <row r="85" ht="15.75" customHeight="1">
      <c r="A85" s="15">
        <f>Main!A85</f>
        <v>84</v>
      </c>
      <c r="B85" s="15" t="str">
        <f>Main!B85</f>
        <v>Australia will be in the top 40 countries for broadband speed (as tracked in wiki page)</v>
      </c>
      <c r="C85" s="15" t="str">
        <f>Main!C85</f>
        <v>Technology</v>
      </c>
      <c r="D85" s="15">
        <v>0.2</v>
      </c>
      <c r="F85" s="99">
        <f>$D85-vlookup(Summary!$C85,Summary!$C$2:$Q$103,3+counta($F$1:F$1),false)</f>
        <v>0</v>
      </c>
      <c r="G85" s="99">
        <f>$D85-vlookup(Summary!$C85,Summary!$C$2:$Q$103,3+counta($F$1:G$1),false)</f>
        <v>-0.7</v>
      </c>
      <c r="H85" s="99">
        <f>$D85-vlookup(Summary!$C85,Summary!$C$2:$Q$103,3+counta($F$1:H$1),false)</f>
        <v>0.15</v>
      </c>
      <c r="I85" s="99">
        <f>$D85-vlookup(Summary!$C85,Summary!$C$2:$Q$103,3+counta($F$1:I$1),false)</f>
        <v>-0.1</v>
      </c>
      <c r="J85" s="99">
        <f>$D85-vlookup(Summary!$C85,Summary!$C$2:$Q$103,3+counta($F$1:J$1),false)</f>
        <v>0</v>
      </c>
      <c r="K85" s="99">
        <f>$D85-vlookup(Summary!$C85,Summary!$C$2:$Q$103,3+counta($F$1:K$1),false)</f>
        <v>-0.5</v>
      </c>
      <c r="L85" s="99">
        <f>$D85-vlookup(Summary!$C85,Summary!$C$2:$Q$103,3+counta($F$1:L$1),false)</f>
        <v>0.15</v>
      </c>
      <c r="M85" s="99">
        <f>$D85-vlookup(Summary!$C85,Summary!$C$2:$Q$103,3+counta($F$1:M$1),false)</f>
        <v>0.15</v>
      </c>
      <c r="N85" s="99">
        <f>$D85-vlookup(Summary!$C85,Summary!$C$2:$Q$103,3+counta($F$1:N$1),false)</f>
        <v>-0.5</v>
      </c>
      <c r="O85" s="99">
        <f>$D85-vlookup(Summary!$C85,Summary!$C$2:$Q$103,3+counta($F$1:O$1),false)</f>
        <v>0.05</v>
      </c>
      <c r="P85" s="99">
        <f>$D85-vlookup(Summary!$C85,Summary!$C$2:$Q$103,3+counta($F$1:P$1),false)</f>
        <v>-0.6</v>
      </c>
      <c r="Q85" s="99">
        <f>$D85-vlookup(Summary!$C85,Summary!$C$2:$Q$103,3+counta($F$1:Q$1),false)</f>
        <v>-0.5</v>
      </c>
    </row>
    <row r="86" ht="15.75" customHeight="1">
      <c r="A86" s="15">
        <f>Main!A86</f>
        <v>85</v>
      </c>
      <c r="B86" s="15" t="str">
        <f>Main!B86</f>
        <v>India will produce more total CO2 emissions than the US</v>
      </c>
      <c r="C86" s="15" t="str">
        <f>Main!C86</f>
        <v>Technology</v>
      </c>
      <c r="D86" s="15">
        <v>0.5</v>
      </c>
      <c r="F86" s="99">
        <f>$D86-vlookup(Summary!$C86,Summary!$C$2:$Q$103,3+counta($F$1:F$1),false)</f>
        <v>0.2</v>
      </c>
      <c r="G86" s="99">
        <f>$D86-vlookup(Summary!$C86,Summary!$C$2:$Q$103,3+counta($F$1:G$1),false)</f>
        <v>0.3</v>
      </c>
      <c r="H86" s="99">
        <f>$D86-vlookup(Summary!$C86,Summary!$C$2:$Q$103,3+counta($F$1:H$1),false)</f>
        <v>0.4</v>
      </c>
      <c r="I86" s="99">
        <f>$D86-vlookup(Summary!$C86,Summary!$C$2:$Q$103,3+counta($F$1:I$1),false)</f>
        <v>0.4</v>
      </c>
      <c r="J86" s="99">
        <f>$D86-vlookup(Summary!$C86,Summary!$C$2:$Q$103,3+counta($F$1:J$1),false)</f>
        <v>0</v>
      </c>
      <c r="K86" s="99">
        <f>$D86-vlookup(Summary!$C86,Summary!$C$2:$Q$103,3+counta($F$1:K$1),false)</f>
        <v>-0.3</v>
      </c>
      <c r="L86" s="99">
        <f>$D86-vlookup(Summary!$C86,Summary!$C$2:$Q$103,3+counta($F$1:L$1),false)</f>
        <v>0.499</v>
      </c>
      <c r="M86" s="99">
        <f>$D86-vlookup(Summary!$C86,Summary!$C$2:$Q$103,3+counta($F$1:M$1),false)</f>
        <v>0.4</v>
      </c>
      <c r="N86" s="99">
        <f>$D86-vlookup(Summary!$C86,Summary!$C$2:$Q$103,3+counta($F$1:N$1),false)</f>
        <v>-0.3</v>
      </c>
      <c r="O86" s="99">
        <f>$D86-vlookup(Summary!$C86,Summary!$C$2:$Q$103,3+counta($F$1:O$1),false)</f>
        <v>0.15</v>
      </c>
      <c r="P86" s="99">
        <f>$D86-vlookup(Summary!$C86,Summary!$C$2:$Q$103,3+counta($F$1:P$1),false)</f>
        <v>-0.3</v>
      </c>
      <c r="Q86" s="99">
        <f>$D86-vlookup(Summary!$C86,Summary!$C$2:$Q$103,3+counta($F$1:Q$1),false)</f>
        <v>-0.1</v>
      </c>
    </row>
    <row r="87" ht="15.75" customHeight="1">
      <c r="A87" s="15">
        <f>Main!A87</f>
        <v>86</v>
      </c>
      <c r="B87" s="15" t="str">
        <f>Main!B87</f>
        <v>The number of electric vehicles under $50K (excl on road costs) grows 67% or more in Australia, as listed on carsguide.com.au. Currently there are three cars: Hyundai Ioniq, Nissan Leaf and MG ZS EV</v>
      </c>
      <c r="C87" s="15" t="str">
        <f>Main!C87</f>
        <v>Technology</v>
      </c>
      <c r="D87" s="15">
        <v>0.3</v>
      </c>
      <c r="F87" s="99">
        <f>$D87-vlookup(Summary!$C87,Summary!$C$2:$Q$103,3+counta($F$1:F$1),false)</f>
        <v>-0.1</v>
      </c>
      <c r="G87" s="99">
        <f>$D87-vlookup(Summary!$C87,Summary!$C$2:$Q$103,3+counta($F$1:G$1),false)</f>
        <v>-0.5</v>
      </c>
      <c r="H87" s="99">
        <f>$D87-vlookup(Summary!$C87,Summary!$C$2:$Q$103,3+counta($F$1:H$1),false)</f>
        <v>-0.4</v>
      </c>
      <c r="I87" s="99">
        <f>$D87-vlookup(Summary!$C87,Summary!$C$2:$Q$103,3+counta($F$1:I$1),false)</f>
        <v>0.1</v>
      </c>
      <c r="J87" s="99">
        <f>$D87-vlookup(Summary!$C87,Summary!$C$2:$Q$103,3+counta($F$1:J$1),false)</f>
        <v>0</v>
      </c>
      <c r="K87" s="99">
        <f>$D87-vlookup(Summary!$C87,Summary!$C$2:$Q$103,3+counta($F$1:K$1),false)</f>
        <v>-0.35</v>
      </c>
      <c r="L87" s="99">
        <f>$D87-vlookup(Summary!$C87,Summary!$C$2:$Q$103,3+counta($F$1:L$1),false)</f>
        <v>-0.25</v>
      </c>
      <c r="M87" s="99">
        <f>$D87-vlookup(Summary!$C87,Summary!$C$2:$Q$103,3+counta($F$1:M$1),false)</f>
        <v>-0.4</v>
      </c>
      <c r="N87" s="99">
        <f>$D87-vlookup(Summary!$C87,Summary!$C$2:$Q$103,3+counta($F$1:N$1),false)</f>
        <v>-0.6</v>
      </c>
      <c r="O87" s="99">
        <f>$D87-vlookup(Summary!$C87,Summary!$C$2:$Q$103,3+counta($F$1:O$1),false)</f>
        <v>-0.05</v>
      </c>
      <c r="P87" s="99">
        <f>$D87-vlookup(Summary!$C87,Summary!$C$2:$Q$103,3+counta($F$1:P$1),false)</f>
        <v>-0.4</v>
      </c>
      <c r="Q87" s="99">
        <f>$D87-vlookup(Summary!$C87,Summary!$C$2:$Q$103,3+counta($F$1:Q$1),false)</f>
        <v>-0.05</v>
      </c>
    </row>
    <row r="88" ht="15.75" customHeight="1">
      <c r="A88" s="15">
        <f>Main!A88</f>
        <v>87</v>
      </c>
      <c r="B88" s="15" t="str">
        <f>Main!B88</f>
        <v>Boris Johnson will be replaced as Prime Minister by the Tory Party</v>
      </c>
      <c r="C88" s="15" t="str">
        <f>Main!C88</f>
        <v>World Politics</v>
      </c>
      <c r="D88" s="15">
        <v>0.4</v>
      </c>
      <c r="F88" s="99">
        <f>$D88-vlookup(Summary!$C88,Summary!$C$2:$Q$103,3+counta($F$1:F$1),false)</f>
        <v>-0.45</v>
      </c>
      <c r="G88" s="99">
        <f>$D88-vlookup(Summary!$C88,Summary!$C$2:$Q$103,3+counta($F$1:G$1),false)</f>
        <v>-0.4</v>
      </c>
      <c r="H88" s="99">
        <f>$D88-vlookup(Summary!$C88,Summary!$C$2:$Q$103,3+counta($F$1:H$1),false)</f>
        <v>0.1</v>
      </c>
      <c r="I88" s="99">
        <f>$D88-vlookup(Summary!$C88,Summary!$C$2:$Q$103,3+counta($F$1:I$1),false)</f>
        <v>-0.4</v>
      </c>
      <c r="J88" s="99">
        <f>$D88-vlookup(Summary!$C88,Summary!$C$2:$Q$103,3+counta($F$1:J$1),false)</f>
        <v>0</v>
      </c>
      <c r="K88" s="99">
        <f>$D88-vlookup(Summary!$C88,Summary!$C$2:$Q$103,3+counta($F$1:K$1),false)</f>
        <v>-0.45</v>
      </c>
      <c r="L88" s="99">
        <f>$D88-vlookup(Summary!$C88,Summary!$C$2:$Q$103,3+counta($F$1:L$1),false)</f>
        <v>0.3</v>
      </c>
      <c r="M88" s="99">
        <f>$D88-vlookup(Summary!$C88,Summary!$C$2:$Q$103,3+counta($F$1:M$1),false)</f>
        <v>0.1</v>
      </c>
      <c r="N88" s="99">
        <f>$D88-vlookup(Summary!$C88,Summary!$C$2:$Q$103,3+counta($F$1:N$1),false)</f>
        <v>-0.5</v>
      </c>
      <c r="O88" s="99">
        <f>$D88-vlookup(Summary!$C88,Summary!$C$2:$Q$103,3+counta($F$1:O$1),false)</f>
        <v>-0.25</v>
      </c>
      <c r="P88" s="99">
        <f>$D88-vlookup(Summary!$C88,Summary!$C$2:$Q$103,3+counta($F$1:P$1),false)</f>
        <v>-0.5</v>
      </c>
      <c r="Q88" s="99">
        <f>$D88-vlookup(Summary!$C88,Summary!$C$2:$Q$103,3+counta($F$1:Q$1),false)</f>
        <v>-0.1</v>
      </c>
    </row>
    <row r="89" ht="15.75" customHeight="1">
      <c r="A89" s="15">
        <f>Main!A89</f>
        <v>88</v>
      </c>
      <c r="B89" s="15" t="str">
        <f>Main!B89</f>
        <v>Boris Johnson will be the Prime Minister of the UK</v>
      </c>
      <c r="C89" s="15" t="str">
        <f>Main!C89</f>
        <v>World Politics</v>
      </c>
      <c r="D89" s="15">
        <v>0.6</v>
      </c>
      <c r="F89" s="99">
        <f>$D89-vlookup(Summary!$C89,Summary!$C$2:$Q$103,3+counta($F$1:F$1),false)</f>
        <v>0.45</v>
      </c>
      <c r="G89" s="99">
        <f>$D89-vlookup(Summary!$C89,Summary!$C$2:$Q$103,3+counta($F$1:G$1),false)</f>
        <v>0.4</v>
      </c>
      <c r="H89" s="99">
        <f>$D89-vlookup(Summary!$C89,Summary!$C$2:$Q$103,3+counta($F$1:H$1),false)</f>
        <v>-0.1</v>
      </c>
      <c r="I89" s="99">
        <f>$D89-vlookup(Summary!$C89,Summary!$C$2:$Q$103,3+counta($F$1:I$1),false)</f>
        <v>0.4</v>
      </c>
      <c r="J89" s="99">
        <f>$D89-vlookup(Summary!$C89,Summary!$C$2:$Q$103,3+counta($F$1:J$1),false)</f>
        <v>0</v>
      </c>
      <c r="K89" s="99">
        <f>$D89-vlookup(Summary!$C89,Summary!$C$2:$Q$103,3+counta($F$1:K$1),false)</f>
        <v>0.35</v>
      </c>
      <c r="L89" s="99">
        <f>$D89-vlookup(Summary!$C89,Summary!$C$2:$Q$103,3+counta($F$1:L$1),false)</f>
        <v>-0.25</v>
      </c>
      <c r="M89" s="99">
        <f>$D89-vlookup(Summary!$C89,Summary!$C$2:$Q$103,3+counta($F$1:M$1),false)</f>
        <v>-0.1</v>
      </c>
      <c r="N89" s="99">
        <f>$D89-vlookup(Summary!$C89,Summary!$C$2:$Q$103,3+counta($F$1:N$1),false)</f>
        <v>0.4</v>
      </c>
      <c r="O89" s="99">
        <f>$D89-vlookup(Summary!$C89,Summary!$C$2:$Q$103,3+counta($F$1:O$1),false)</f>
        <v>0.25</v>
      </c>
      <c r="P89" s="99">
        <f>$D89-vlookup(Summary!$C89,Summary!$C$2:$Q$103,3+counta($F$1:P$1),false)</f>
        <v>0.5</v>
      </c>
      <c r="Q89" s="99">
        <f>$D89-vlookup(Summary!$C89,Summary!$C$2:$Q$103,3+counta($F$1:Q$1),false)</f>
        <v>0.2</v>
      </c>
    </row>
    <row r="90" ht="15.75" customHeight="1">
      <c r="A90" s="15">
        <f>Main!A90</f>
        <v>89</v>
      </c>
      <c r="B90" s="15" t="str">
        <f>Main!B90</f>
        <v>At least some American states will resort to proclaimed and violent civil war rather that accept democratic elections</v>
      </c>
      <c r="C90" s="15" t="str">
        <f>Main!C90</f>
        <v>World Politics</v>
      </c>
      <c r="D90" s="15">
        <v>0.7</v>
      </c>
      <c r="F90" s="99">
        <f>$D90-vlookup(Summary!$C90,Summary!$C$2:$Q$103,3+counta($F$1:F$1),false)</f>
        <v>0.4</v>
      </c>
      <c r="G90" s="99">
        <f>$D90-vlookup(Summary!$C90,Summary!$C$2:$Q$103,3+counta($F$1:G$1),false)</f>
        <v>0.6</v>
      </c>
      <c r="H90" s="99">
        <f>$D90-vlookup(Summary!$C90,Summary!$C$2:$Q$103,3+counta($F$1:H$1),false)</f>
        <v>0.6</v>
      </c>
      <c r="I90" s="99">
        <f>$D90-vlookup(Summary!$C90,Summary!$C$2:$Q$103,3+counta($F$1:I$1),false)</f>
        <v>0.6</v>
      </c>
      <c r="J90" s="99">
        <f>$D90-vlookup(Summary!$C90,Summary!$C$2:$Q$103,3+counta($F$1:J$1),false)</f>
        <v>0</v>
      </c>
      <c r="K90" s="99">
        <f>$D90-vlookup(Summary!$C90,Summary!$C$2:$Q$103,3+counta($F$1:K$1),false)</f>
        <v>0.5</v>
      </c>
      <c r="L90" s="99">
        <f>$D90-vlookup(Summary!$C90,Summary!$C$2:$Q$103,3+counta($F$1:L$1),false)</f>
        <v>0.65</v>
      </c>
      <c r="M90" s="99">
        <f>$D90-vlookup(Summary!$C90,Summary!$C$2:$Q$103,3+counta($F$1:M$1),false)</f>
        <v>0.6</v>
      </c>
      <c r="N90" s="99">
        <f>$D90-vlookup(Summary!$C90,Summary!$C$2:$Q$103,3+counta($F$1:N$1),false)</f>
        <v>0.6</v>
      </c>
      <c r="O90" s="99">
        <f>$D90-vlookup(Summary!$C90,Summary!$C$2:$Q$103,3+counta($F$1:O$1),false)</f>
        <v>0.699</v>
      </c>
      <c r="P90" s="99">
        <f>$D90-vlookup(Summary!$C90,Summary!$C$2:$Q$103,3+counta($F$1:P$1),false)</f>
        <v>0.6</v>
      </c>
      <c r="Q90" s="99">
        <f>$D90-vlookup(Summary!$C90,Summary!$C$2:$Q$103,3+counta($F$1:Q$1),false)</f>
        <v>0.45</v>
      </c>
    </row>
    <row r="91" ht="15.75" customHeight="1">
      <c r="A91" s="15">
        <f>Main!A91</f>
        <v>90</v>
      </c>
      <c r="B91" s="15" t="str">
        <f>Main!B91</f>
        <v>Democrats will lose control of the US House of Representatives at the midterm elections</v>
      </c>
      <c r="C91" s="15" t="str">
        <f>Main!C91</f>
        <v>World Politics</v>
      </c>
      <c r="D91" s="15">
        <v>0.9</v>
      </c>
      <c r="F91" s="99">
        <f>$D91-vlookup(Summary!$C91,Summary!$C$2:$Q$103,3+counta($F$1:F$1),false)</f>
        <v>0.1</v>
      </c>
      <c r="G91" s="99">
        <f>$D91-vlookup(Summary!$C91,Summary!$C$2:$Q$103,3+counta($F$1:G$1),false)</f>
        <v>0</v>
      </c>
      <c r="H91" s="99">
        <f>$D91-vlookup(Summary!$C91,Summary!$C$2:$Q$103,3+counta($F$1:H$1),false)</f>
        <v>0.2</v>
      </c>
      <c r="I91" s="99">
        <f>$D91-vlookup(Summary!$C91,Summary!$C$2:$Q$103,3+counta($F$1:I$1),false)</f>
        <v>0.3</v>
      </c>
      <c r="J91" s="99">
        <f>$D91-vlookup(Summary!$C91,Summary!$C$2:$Q$103,3+counta($F$1:J$1),false)</f>
        <v>0</v>
      </c>
      <c r="K91" s="99">
        <f>$D91-vlookup(Summary!$C91,Summary!$C$2:$Q$103,3+counta($F$1:K$1),false)</f>
        <v>0.2</v>
      </c>
      <c r="L91" s="99">
        <f>$D91-vlookup(Summary!$C91,Summary!$C$2:$Q$103,3+counta($F$1:L$1),false)</f>
        <v>0.2</v>
      </c>
      <c r="M91" s="99">
        <f>$D91-vlookup(Summary!$C91,Summary!$C$2:$Q$103,3+counta($F$1:M$1),false)</f>
        <v>0.2</v>
      </c>
      <c r="N91" s="99">
        <f>$D91-vlookup(Summary!$C91,Summary!$C$2:$Q$103,3+counta($F$1:N$1),false)</f>
        <v>0.1</v>
      </c>
      <c r="O91" s="99">
        <f>$D91-vlookup(Summary!$C91,Summary!$C$2:$Q$103,3+counta($F$1:O$1),false)</f>
        <v>-0.099</v>
      </c>
      <c r="P91" s="99">
        <f>$D91-vlookup(Summary!$C91,Summary!$C$2:$Q$103,3+counta($F$1:P$1),false)</f>
        <v>0.8</v>
      </c>
      <c r="Q91" s="99">
        <f>$D91-vlookup(Summary!$C91,Summary!$C$2:$Q$103,3+counta($F$1:Q$1),false)</f>
        <v>0.5</v>
      </c>
    </row>
    <row r="92" ht="15.75" customHeight="1">
      <c r="A92" s="15">
        <f>Main!A92</f>
        <v>91</v>
      </c>
      <c r="B92" s="15" t="str">
        <f>Main!B92</f>
        <v>Democrats will not have control of the US Senate after the midterm election</v>
      </c>
      <c r="C92" s="15" t="str">
        <f>Main!C92</f>
        <v>World Politics</v>
      </c>
      <c r="D92" s="15">
        <v>0.9</v>
      </c>
      <c r="F92" s="99">
        <f>$D92-vlookup(Summary!$C92,Summary!$C$2:$Q$103,3+counta($F$1:F$1),false)</f>
        <v>0.1</v>
      </c>
      <c r="G92" s="99">
        <f>$D92-vlookup(Summary!$C92,Summary!$C$2:$Q$103,3+counta($F$1:G$1),false)</f>
        <v>0</v>
      </c>
      <c r="H92" s="99">
        <f>$D92-vlookup(Summary!$C92,Summary!$C$2:$Q$103,3+counta($F$1:H$1),false)</f>
        <v>0.2</v>
      </c>
      <c r="I92" s="99">
        <f>$D92-vlookup(Summary!$C92,Summary!$C$2:$Q$103,3+counta($F$1:I$1),false)</f>
        <v>0.3</v>
      </c>
      <c r="J92" s="99">
        <f>$D92-vlookup(Summary!$C92,Summary!$C$2:$Q$103,3+counta($F$1:J$1),false)</f>
        <v>0</v>
      </c>
      <c r="K92" s="99">
        <f>$D92-vlookup(Summary!$C92,Summary!$C$2:$Q$103,3+counta($F$1:K$1),false)</f>
        <v>0.1</v>
      </c>
      <c r="L92" s="99">
        <f>$D92-vlookup(Summary!$C92,Summary!$C$2:$Q$103,3+counta($F$1:L$1),false)</f>
        <v>0.1</v>
      </c>
      <c r="M92" s="99">
        <f>$D92-vlookup(Summary!$C92,Summary!$C$2:$Q$103,3+counta($F$1:M$1),false)</f>
        <v>0.2</v>
      </c>
      <c r="N92" s="99">
        <f>$D92-vlookup(Summary!$C92,Summary!$C$2:$Q$103,3+counta($F$1:N$1),false)</f>
        <v>0.1</v>
      </c>
      <c r="O92" s="99">
        <f>$D92-vlookup(Summary!$C92,Summary!$C$2:$Q$103,3+counta($F$1:O$1),false)</f>
        <v>-0.099</v>
      </c>
      <c r="P92" s="99">
        <f>$D92-vlookup(Summary!$C92,Summary!$C$2:$Q$103,3+counta($F$1:P$1),false)</f>
        <v>0.8</v>
      </c>
      <c r="Q92" s="99">
        <f>$D92-vlookup(Summary!$C92,Summary!$C$2:$Q$103,3+counta($F$1:Q$1),false)</f>
        <v>0.7</v>
      </c>
    </row>
    <row r="93" ht="15.75" customHeight="1">
      <c r="A93" s="15">
        <f>Main!A93</f>
        <v>92</v>
      </c>
      <c r="B93" s="15" t="str">
        <f>Main!B93</f>
        <v>Donald Trump will recieve at least 1 vote in the selection of the Speaker of the US house of Representatives (Congress)</v>
      </c>
      <c r="C93" s="15" t="str">
        <f>Main!C93</f>
        <v>World Politics</v>
      </c>
      <c r="D93" s="15">
        <v>0.9</v>
      </c>
      <c r="F93" s="99">
        <f>$D93-vlookup(Summary!$C93,Summary!$C$2:$Q$103,3+counta($F$1:F$1),false)</f>
        <v>0.6</v>
      </c>
      <c r="G93" s="99">
        <f>$D93-vlookup(Summary!$C93,Summary!$C$2:$Q$103,3+counta($F$1:G$1),false)</f>
        <v>0.6</v>
      </c>
      <c r="H93" s="99">
        <f>$D93-vlookup(Summary!$C93,Summary!$C$2:$Q$103,3+counta($F$1:H$1),false)</f>
        <v>0.2</v>
      </c>
      <c r="I93" s="99">
        <f>$D93-vlookup(Summary!$C93,Summary!$C$2:$Q$103,3+counta($F$1:I$1),false)</f>
        <v>0.8</v>
      </c>
      <c r="J93" s="99">
        <f>$D93-vlookup(Summary!$C93,Summary!$C$2:$Q$103,3+counta($F$1:J$1),false)</f>
        <v>0</v>
      </c>
      <c r="K93" s="99">
        <f>$D93-vlookup(Summary!$C93,Summary!$C$2:$Q$103,3+counta($F$1:K$1),false)</f>
        <v>0.55</v>
      </c>
      <c r="L93" s="99">
        <f>$D93-vlookup(Summary!$C93,Summary!$C$2:$Q$103,3+counta($F$1:L$1),false)</f>
        <v>0.2</v>
      </c>
      <c r="M93" s="99">
        <f>$D93-vlookup(Summary!$C93,Summary!$C$2:$Q$103,3+counta($F$1:M$1),false)</f>
        <v>0.2</v>
      </c>
      <c r="N93" s="99">
        <f>$D93-vlookup(Summary!$C93,Summary!$C$2:$Q$103,3+counta($F$1:N$1),false)</f>
        <v>0</v>
      </c>
      <c r="O93" s="99">
        <f>$D93-vlookup(Summary!$C93,Summary!$C$2:$Q$103,3+counta($F$1:O$1),false)</f>
        <v>0.25</v>
      </c>
      <c r="P93" s="99">
        <f>$D93-vlookup(Summary!$C93,Summary!$C$2:$Q$103,3+counta($F$1:P$1),false)</f>
        <v>0.8</v>
      </c>
      <c r="Q93" s="99">
        <f>$D93-vlookup(Summary!$C93,Summary!$C$2:$Q$103,3+counta($F$1:Q$1),false)</f>
        <v>0.4</v>
      </c>
    </row>
    <row r="94" ht="15.75" customHeight="1">
      <c r="A94" s="15">
        <f>Main!A94</f>
        <v>93</v>
      </c>
      <c r="B94" s="15" t="str">
        <f>Main!B94</f>
        <v>Donald Trump will release a book in 2022</v>
      </c>
      <c r="C94" s="15" t="str">
        <f>Main!C94</f>
        <v>World Politics</v>
      </c>
      <c r="D94" s="15">
        <v>0.9</v>
      </c>
      <c r="F94" s="99">
        <f>$D94-vlookup(Summary!$C94,Summary!$C$2:$Q$103,3+counta($F$1:F$1),false)</f>
        <v>0.35</v>
      </c>
      <c r="G94" s="99">
        <f>$D94-vlookup(Summary!$C94,Summary!$C$2:$Q$103,3+counta($F$1:G$1),false)</f>
        <v>0.2</v>
      </c>
      <c r="H94" s="99">
        <f>$D94-vlookup(Summary!$C94,Summary!$C$2:$Q$103,3+counta($F$1:H$1),false)</f>
        <v>0.1</v>
      </c>
      <c r="I94" s="99">
        <f>$D94-vlookup(Summary!$C94,Summary!$C$2:$Q$103,3+counta($F$1:I$1),false)</f>
        <v>0.7</v>
      </c>
      <c r="J94" s="99">
        <f>$D94-vlookup(Summary!$C94,Summary!$C$2:$Q$103,3+counta($F$1:J$1),false)</f>
        <v>0</v>
      </c>
      <c r="K94" s="99">
        <f>$D94-vlookup(Summary!$C94,Summary!$C$2:$Q$103,3+counta($F$1:K$1),false)</f>
        <v>0.1</v>
      </c>
      <c r="L94" s="99">
        <f>$D94-vlookup(Summary!$C94,Summary!$C$2:$Q$103,3+counta($F$1:L$1),false)</f>
        <v>0.35</v>
      </c>
      <c r="M94" s="99">
        <f>$D94-vlookup(Summary!$C94,Summary!$C$2:$Q$103,3+counta($F$1:M$1),false)</f>
        <v>0.1</v>
      </c>
      <c r="N94" s="99">
        <f>$D94-vlookup(Summary!$C94,Summary!$C$2:$Q$103,3+counta($F$1:N$1),false)</f>
        <v>0</v>
      </c>
      <c r="O94" s="99">
        <f>$D94-vlookup(Summary!$C94,Summary!$C$2:$Q$103,3+counta($F$1:O$1),false)</f>
        <v>0.75</v>
      </c>
      <c r="P94" s="99">
        <f>$D94-vlookup(Summary!$C94,Summary!$C$2:$Q$103,3+counta($F$1:P$1),false)</f>
        <v>0.4</v>
      </c>
      <c r="Q94" s="99">
        <f>$D94-vlookup(Summary!$C94,Summary!$C$2:$Q$103,3+counta($F$1:Q$1),false)</f>
        <v>0.35</v>
      </c>
    </row>
    <row r="95" ht="15.75" customHeight="1">
      <c r="A95" s="15">
        <f>Main!A95</f>
        <v>94</v>
      </c>
      <c r="B95" s="15" t="str">
        <f>Main!B95</f>
        <v>Trump will announce he will contest the Republican presidential candidacy and launch an NFT</v>
      </c>
      <c r="C95" s="15" t="str">
        <f>Main!C95</f>
        <v>World Politics</v>
      </c>
      <c r="D95" s="15">
        <v>0.6</v>
      </c>
      <c r="F95" s="99">
        <f>$D95-vlookup(Summary!$C95,Summary!$C$2:$Q$103,3+counta($F$1:F$1),false)</f>
        <v>0.3</v>
      </c>
      <c r="G95" s="99">
        <f>$D95-vlookup(Summary!$C95,Summary!$C$2:$Q$103,3+counta($F$1:G$1),false)</f>
        <v>0.2</v>
      </c>
      <c r="H95" s="99">
        <f>$D95-vlookup(Summary!$C95,Summary!$C$2:$Q$103,3+counta($F$1:H$1),false)</f>
        <v>-0.1</v>
      </c>
      <c r="I95" s="99">
        <f>$D95-vlookup(Summary!$C95,Summary!$C$2:$Q$103,3+counta($F$1:I$1),false)</f>
        <v>0.55</v>
      </c>
      <c r="J95" s="99">
        <f>$D95-vlookup(Summary!$C95,Summary!$C$2:$Q$103,3+counta($F$1:J$1),false)</f>
        <v>0</v>
      </c>
      <c r="K95" s="99">
        <f>$D95-vlookup(Summary!$C95,Summary!$C$2:$Q$103,3+counta($F$1:K$1),false)</f>
        <v>-0.3</v>
      </c>
      <c r="L95" s="99">
        <f>$D95-vlookup(Summary!$C95,Summary!$C$2:$Q$103,3+counta($F$1:L$1),false)</f>
        <v>0.1</v>
      </c>
      <c r="M95" s="99">
        <f>$D95-vlookup(Summary!$C95,Summary!$C$2:$Q$103,3+counta($F$1:M$1),false)</f>
        <v>-0.1</v>
      </c>
      <c r="N95" s="99">
        <f>$D95-vlookup(Summary!$C95,Summary!$C$2:$Q$103,3+counta($F$1:N$1),false)</f>
        <v>0.4</v>
      </c>
      <c r="O95" s="99">
        <f>$D95-vlookup(Summary!$C95,Summary!$C$2:$Q$103,3+counta($F$1:O$1),false)</f>
        <v>0.599</v>
      </c>
      <c r="P95" s="99">
        <f>$D95-vlookup(Summary!$C95,Summary!$C$2:$Q$103,3+counta($F$1:P$1),false)</f>
        <v>0.1</v>
      </c>
      <c r="Q95" s="99">
        <f>$D95-vlookup(Summary!$C95,Summary!$C$2:$Q$103,3+counta($F$1:Q$1),false)</f>
        <v>0.5</v>
      </c>
    </row>
    <row r="96" ht="15.75" customHeight="1">
      <c r="A96" s="15">
        <f>Main!A96</f>
        <v>95</v>
      </c>
      <c r="B96" s="15" t="str">
        <f>Main!B96</f>
        <v>China will invade Taiwan</v>
      </c>
      <c r="C96" s="15" t="str">
        <f>Main!C96</f>
        <v>World Politics</v>
      </c>
      <c r="D96" s="15">
        <v>0.7</v>
      </c>
      <c r="F96" s="99">
        <f>$D96-vlookup(Summary!$C96,Summary!$C$2:$Q$103,3+counta($F$1:F$1),false)</f>
        <v>0.35</v>
      </c>
      <c r="G96" s="99">
        <f>$D96-vlookup(Summary!$C96,Summary!$C$2:$Q$103,3+counta($F$1:G$1),false)</f>
        <v>0.5</v>
      </c>
      <c r="H96" s="99">
        <f>$D96-vlookup(Summary!$C96,Summary!$C$2:$Q$103,3+counta($F$1:H$1),false)</f>
        <v>0</v>
      </c>
      <c r="I96" s="99">
        <f>$D96-vlookup(Summary!$C96,Summary!$C$2:$Q$103,3+counta($F$1:I$1),false)</f>
        <v>0.1</v>
      </c>
      <c r="J96" s="99">
        <f>$D96-vlookup(Summary!$C96,Summary!$C$2:$Q$103,3+counta($F$1:J$1),false)</f>
        <v>0</v>
      </c>
      <c r="K96" s="99">
        <f>$D96-vlookup(Summary!$C96,Summary!$C$2:$Q$103,3+counta($F$1:K$1),false)</f>
        <v>0.3</v>
      </c>
      <c r="L96" s="99">
        <f>$D96-vlookup(Summary!$C96,Summary!$C$2:$Q$103,3+counta($F$1:L$1),false)</f>
        <v>0.65</v>
      </c>
      <c r="M96" s="99">
        <f>$D96-vlookup(Summary!$C96,Summary!$C$2:$Q$103,3+counta($F$1:M$1),false)</f>
        <v>0</v>
      </c>
      <c r="N96" s="99">
        <f>$D96-vlookup(Summary!$C96,Summary!$C$2:$Q$103,3+counta($F$1:N$1),false)</f>
        <v>0.5</v>
      </c>
      <c r="O96" s="99">
        <f>$D96-vlookup(Summary!$C96,Summary!$C$2:$Q$103,3+counta($F$1:O$1),false)</f>
        <v>0.699</v>
      </c>
      <c r="P96" s="99">
        <f>$D96-vlookup(Summary!$C96,Summary!$C$2:$Q$103,3+counta($F$1:P$1),false)</f>
        <v>0.6</v>
      </c>
      <c r="Q96" s="99">
        <f>$D96-vlookup(Summary!$C96,Summary!$C$2:$Q$103,3+counta($F$1:Q$1),false)</f>
        <v>0.2</v>
      </c>
    </row>
    <row r="97" ht="15.75" customHeight="1">
      <c r="A97" s="15">
        <f>Main!A97</f>
        <v>96</v>
      </c>
      <c r="B97" s="15" t="str">
        <f>Main!B97</f>
        <v>A nuclear weapon will be detonated for any purpose (including a test) somewhere on earth or in space</v>
      </c>
      <c r="C97" s="15" t="str">
        <f>Main!C97</f>
        <v>World Politics</v>
      </c>
      <c r="D97" s="15">
        <v>0.8</v>
      </c>
      <c r="F97" s="99">
        <f>$D97-vlookup(Summary!$C97,Summary!$C$2:$Q$103,3+counta($F$1:F$1),false)</f>
        <v>0.7</v>
      </c>
      <c r="G97" s="99">
        <f>$D97-vlookup(Summary!$C97,Summary!$C$2:$Q$103,3+counta($F$1:G$1),false)</f>
        <v>0.4</v>
      </c>
      <c r="H97" s="99">
        <f>$D97-vlookup(Summary!$C97,Summary!$C$2:$Q$103,3+counta($F$1:H$1),false)</f>
        <v>0.7</v>
      </c>
      <c r="I97" s="99">
        <f>$D97-vlookup(Summary!$C97,Summary!$C$2:$Q$103,3+counta($F$1:I$1),false)</f>
        <v>0.6</v>
      </c>
      <c r="J97" s="99">
        <f>$D97-vlookup(Summary!$C97,Summary!$C$2:$Q$103,3+counta($F$1:J$1),false)</f>
        <v>0</v>
      </c>
      <c r="K97" s="99">
        <f>$D97-vlookup(Summary!$C97,Summary!$C$2:$Q$103,3+counta($F$1:K$1),false)</f>
        <v>0.1</v>
      </c>
      <c r="L97" s="99">
        <f>$D97-vlookup(Summary!$C97,Summary!$C$2:$Q$103,3+counta($F$1:L$1),false)</f>
        <v>0.5</v>
      </c>
      <c r="M97" s="99">
        <f>$D97-vlookup(Summary!$C97,Summary!$C$2:$Q$103,3+counta($F$1:M$1),false)</f>
        <v>0.7</v>
      </c>
      <c r="N97" s="99">
        <f>$D97-vlookup(Summary!$C97,Summary!$C$2:$Q$103,3+counta($F$1:N$1),false)</f>
        <v>0.7</v>
      </c>
      <c r="O97" s="99">
        <f>$D97-vlookup(Summary!$C97,Summary!$C$2:$Q$103,3+counta($F$1:O$1),false)</f>
        <v>0.65</v>
      </c>
      <c r="P97" s="99">
        <f>$D97-vlookup(Summary!$C97,Summary!$C$2:$Q$103,3+counta($F$1:P$1),false)</f>
        <v>0.3</v>
      </c>
      <c r="Q97" s="99">
        <f>$D97-vlookup(Summary!$C97,Summary!$C$2:$Q$103,3+counta($F$1:Q$1),false)</f>
        <v>0.2</v>
      </c>
    </row>
    <row r="98" ht="15.75" customHeight="1">
      <c r="A98" s="15">
        <f>Main!A98</f>
        <v>97</v>
      </c>
      <c r="B98" s="15" t="str">
        <f>Main!B98</f>
        <v>Iran will announce it has produced a nuclear weapon</v>
      </c>
      <c r="C98" s="15" t="str">
        <f>Main!C98</f>
        <v>World Politics</v>
      </c>
      <c r="D98" s="15">
        <v>0.6</v>
      </c>
      <c r="F98" s="99">
        <f>$D98-vlookup(Summary!$C98,Summary!$C$2:$Q$103,3+counta($F$1:F$1),false)</f>
        <v>0.15</v>
      </c>
      <c r="G98" s="99">
        <f>$D98-vlookup(Summary!$C98,Summary!$C$2:$Q$103,3+counta($F$1:G$1),false)</f>
        <v>0.3</v>
      </c>
      <c r="H98" s="99">
        <f>$D98-vlookup(Summary!$C98,Summary!$C$2:$Q$103,3+counta($F$1:H$1),false)</f>
        <v>0.5</v>
      </c>
      <c r="I98" s="99">
        <f>$D98-vlookup(Summary!$C98,Summary!$C$2:$Q$103,3+counta($F$1:I$1),false)</f>
        <v>0.4</v>
      </c>
      <c r="J98" s="99">
        <f>$D98-vlookup(Summary!$C98,Summary!$C$2:$Q$103,3+counta($F$1:J$1),false)</f>
        <v>0</v>
      </c>
      <c r="K98" s="99">
        <f>$D98-vlookup(Summary!$C98,Summary!$C$2:$Q$103,3+counta($F$1:K$1),false)</f>
        <v>-0.1</v>
      </c>
      <c r="L98" s="99">
        <f>$D98-vlookup(Summary!$C98,Summary!$C$2:$Q$103,3+counta($F$1:L$1),false)</f>
        <v>0.3</v>
      </c>
      <c r="M98" s="99">
        <f>$D98-vlookup(Summary!$C98,Summary!$C$2:$Q$103,3+counta($F$1:M$1),false)</f>
        <v>0.5</v>
      </c>
      <c r="N98" s="99">
        <f>$D98-vlookup(Summary!$C98,Summary!$C$2:$Q$103,3+counta($F$1:N$1),false)</f>
        <v>0.5</v>
      </c>
      <c r="O98" s="99">
        <f>$D98-vlookup(Summary!$C98,Summary!$C$2:$Q$103,3+counta($F$1:O$1),false)</f>
        <v>0.45</v>
      </c>
      <c r="P98" s="99">
        <f>$D98-vlookup(Summary!$C98,Summary!$C$2:$Q$103,3+counta($F$1:P$1),false)</f>
        <v>0.1</v>
      </c>
      <c r="Q98" s="99">
        <f>$D98-vlookup(Summary!$C98,Summary!$C$2:$Q$103,3+counta($F$1:Q$1),false)</f>
        <v>0</v>
      </c>
    </row>
    <row r="99" ht="15.75" customHeight="1">
      <c r="A99" s="15">
        <f>Main!A99</f>
        <v>98</v>
      </c>
      <c r="B99" s="15" t="str">
        <f>Main!B99</f>
        <v>One or more of the G12 member countries will have diplomatically recognised Taiwan</v>
      </c>
      <c r="C99" s="15" t="str">
        <f>Main!C99</f>
        <v>World Politics</v>
      </c>
      <c r="D99" s="15">
        <v>0.4</v>
      </c>
      <c r="F99" s="99">
        <f>$D99-vlookup(Summary!$C99,Summary!$C$2:$Q$103,3+counta($F$1:F$1),false)</f>
        <v>0.25</v>
      </c>
      <c r="G99" s="99">
        <f>$D99-vlookup(Summary!$C99,Summary!$C$2:$Q$103,3+counta($F$1:G$1),false)</f>
        <v>0.2</v>
      </c>
      <c r="H99" s="99">
        <f>$D99-vlookup(Summary!$C99,Summary!$C$2:$Q$103,3+counta($F$1:H$1),false)</f>
        <v>0.3</v>
      </c>
      <c r="I99" s="99">
        <f>$D99-vlookup(Summary!$C99,Summary!$C$2:$Q$103,3+counta($F$1:I$1),false)</f>
        <v>0.2</v>
      </c>
      <c r="J99" s="99">
        <f>$D99-vlookup(Summary!$C99,Summary!$C$2:$Q$103,3+counta($F$1:J$1),false)</f>
        <v>0</v>
      </c>
      <c r="K99" s="99">
        <f>$D99-vlookup(Summary!$C99,Summary!$C$2:$Q$103,3+counta($F$1:K$1),false)</f>
        <v>-0.35</v>
      </c>
      <c r="L99" s="99">
        <f>$D99-vlookup(Summary!$C99,Summary!$C$2:$Q$103,3+counta($F$1:L$1),false)</f>
        <v>0.1</v>
      </c>
      <c r="M99" s="99">
        <f>$D99-vlookup(Summary!$C99,Summary!$C$2:$Q$103,3+counta($F$1:M$1),false)</f>
        <v>0.3</v>
      </c>
      <c r="N99" s="99">
        <f>$D99-vlookup(Summary!$C99,Summary!$C$2:$Q$103,3+counta($F$1:N$1),false)</f>
        <v>-0.2</v>
      </c>
      <c r="O99" s="99">
        <f>$D99-vlookup(Summary!$C99,Summary!$C$2:$Q$103,3+counta($F$1:O$1),false)</f>
        <v>0.25</v>
      </c>
      <c r="P99" s="99">
        <f>$D99-vlookup(Summary!$C99,Summary!$C$2:$Q$103,3+counta($F$1:P$1),false)</f>
        <v>-0.1</v>
      </c>
      <c r="Q99" s="99">
        <f>$D99-vlookup(Summary!$C99,Summary!$C$2:$Q$103,3+counta($F$1:Q$1),false)</f>
        <v>-0.2</v>
      </c>
    </row>
    <row r="100" ht="15.75" customHeight="1">
      <c r="A100" s="15">
        <f>Main!A100</f>
        <v>99</v>
      </c>
      <c r="B100" s="15" t="str">
        <f>Main!B100</f>
        <v>Russia will have invaded Ukraine (as reported by CNN, BBC, Guardian or NYT)</v>
      </c>
      <c r="C100" s="15" t="str">
        <f>Main!C100</f>
        <v>World Politics</v>
      </c>
      <c r="D100" s="15">
        <v>0.8</v>
      </c>
      <c r="F100" s="99">
        <f>$D100-vlookup(Summary!$C100,Summary!$C$2:$Q$103,3+counta($F$1:F$1),false)</f>
        <v>0.2</v>
      </c>
      <c r="G100" s="99">
        <f>$D100-vlookup(Summary!$C100,Summary!$C$2:$Q$103,3+counta($F$1:G$1),false)</f>
        <v>0.4</v>
      </c>
      <c r="H100" s="99">
        <f>$D100-vlookup(Summary!$C100,Summary!$C$2:$Q$103,3+counta($F$1:H$1),false)</f>
        <v>-0.15</v>
      </c>
      <c r="I100" s="99">
        <f>$D100-vlookup(Summary!$C100,Summary!$C$2:$Q$103,3+counta($F$1:I$1),false)</f>
        <v>0</v>
      </c>
      <c r="J100" s="99">
        <f>$D100-vlookup(Summary!$C100,Summary!$C$2:$Q$103,3+counta($F$1:J$1),false)</f>
        <v>0</v>
      </c>
      <c r="K100" s="99">
        <f>$D100-vlookup(Summary!$C100,Summary!$C$2:$Q$103,3+counta($F$1:K$1),false)</f>
        <v>0.1</v>
      </c>
      <c r="L100" s="99">
        <f>$D100-vlookup(Summary!$C100,Summary!$C$2:$Q$103,3+counta($F$1:L$1),false)</f>
        <v>0</v>
      </c>
      <c r="M100" s="99">
        <f>$D100-vlookup(Summary!$C100,Summary!$C$2:$Q$103,3+counta($F$1:M$1),false)</f>
        <v>-0.15</v>
      </c>
      <c r="N100" s="99">
        <f>$D100-vlookup(Summary!$C100,Summary!$C$2:$Q$103,3+counta($F$1:N$1),false)</f>
        <v>0.1</v>
      </c>
      <c r="O100" s="99">
        <f>$D100-vlookup(Summary!$C100,Summary!$C$2:$Q$103,3+counta($F$1:O$1),false)</f>
        <v>0.15</v>
      </c>
      <c r="P100" s="99">
        <f>$D100-vlookup(Summary!$C100,Summary!$C$2:$Q$103,3+counta($F$1:P$1),false)</f>
        <v>0.7</v>
      </c>
      <c r="Q100" s="99">
        <f>$D100-vlookup(Summary!$C100,Summary!$C$2:$Q$103,3+counta($F$1:Q$1),false)</f>
        <v>0.2</v>
      </c>
    </row>
    <row r="101" ht="15.75" customHeight="1">
      <c r="A101" s="15">
        <f>Main!A101</f>
        <v>100</v>
      </c>
      <c r="B101" s="15" t="str">
        <f>Main!B101</f>
        <v>The US will have gone to battle with China or Russia ( nuclear battle acceptable) agreed upon by at least half the people attending 2022 predictions</v>
      </c>
      <c r="C101" s="15" t="str">
        <f>Main!C101</f>
        <v>World Politics</v>
      </c>
      <c r="D101" s="15">
        <v>0.5</v>
      </c>
      <c r="F101" s="99">
        <f>$D101-vlookup(Summary!$C101,Summary!$C$2:$Q$103,3+counta($F$1:F$1),false)</f>
        <v>0.2</v>
      </c>
      <c r="G101" s="99">
        <f>$D101-vlookup(Summary!$C101,Summary!$C$2:$Q$103,3+counta($F$1:G$1),false)</f>
        <v>0.4</v>
      </c>
      <c r="H101" s="99">
        <f>$D101-vlookup(Summary!$C101,Summary!$C$2:$Q$103,3+counta($F$1:H$1),false)</f>
        <v>0.4</v>
      </c>
      <c r="I101" s="99">
        <f>$D101-vlookup(Summary!$C101,Summary!$C$2:$Q$103,3+counta($F$1:I$1),false)</f>
        <v>0.4</v>
      </c>
      <c r="J101" s="99">
        <f>$D101-vlookup(Summary!$C101,Summary!$C$2:$Q$103,3+counta($F$1:J$1),false)</f>
        <v>0</v>
      </c>
      <c r="K101" s="99">
        <f>$D101-vlookup(Summary!$C101,Summary!$C$2:$Q$103,3+counta($F$1:K$1),false)</f>
        <v>-0.1</v>
      </c>
      <c r="L101" s="99">
        <f>$D101-vlookup(Summary!$C101,Summary!$C$2:$Q$103,3+counta($F$1:L$1),false)</f>
        <v>0.4</v>
      </c>
      <c r="M101" s="99">
        <f>$D101-vlookup(Summary!$C101,Summary!$C$2:$Q$103,3+counta($F$1:M$1),false)</f>
        <v>0.4</v>
      </c>
      <c r="N101" s="99">
        <f>$D101-vlookup(Summary!$C101,Summary!$C$2:$Q$103,3+counta($F$1:N$1),false)</f>
        <v>0.3</v>
      </c>
      <c r="O101" s="99">
        <f>$D101-vlookup(Summary!$C101,Summary!$C$2:$Q$103,3+counta($F$1:O$1),false)</f>
        <v>0.499</v>
      </c>
      <c r="P101" s="99">
        <f>$D101-vlookup(Summary!$C101,Summary!$C$2:$Q$103,3+counta($F$1:P$1),false)</f>
        <v>0.4</v>
      </c>
      <c r="Q101" s="99">
        <f>$D101-vlookup(Summary!$C101,Summary!$C$2:$Q$103,3+counta($F$1:Q$1),false)</f>
        <v>0.3</v>
      </c>
    </row>
    <row r="102" ht="15.75" customHeight="1">
      <c r="A102" s="15">
        <f>Main!A102</f>
        <v>101</v>
      </c>
      <c r="B102" s="15" t="str">
        <f>Main!B102</f>
        <v>There is an assassination attempt on Xi Jinping as reported in The Guardian</v>
      </c>
      <c r="C102" s="15" t="str">
        <f>Main!C102</f>
        <v>World Politics</v>
      </c>
      <c r="D102" s="15">
        <v>0.3</v>
      </c>
      <c r="F102" s="99">
        <f>$D102-vlookup(Summary!$C102,Summary!$C$2:$Q$103,3+counta($F$1:F$1),false)</f>
        <v>0.15</v>
      </c>
      <c r="G102" s="99">
        <f>$D102-vlookup(Summary!$C102,Summary!$C$2:$Q$103,3+counta($F$1:G$1),false)</f>
        <v>-0.1</v>
      </c>
      <c r="H102" s="99">
        <f>$D102-vlookup(Summary!$C102,Summary!$C$2:$Q$103,3+counta($F$1:H$1),false)</f>
        <v>0.25</v>
      </c>
      <c r="I102" s="99">
        <f>$D102-vlookup(Summary!$C102,Summary!$C$2:$Q$103,3+counta($F$1:I$1),false)</f>
        <v>0.2</v>
      </c>
      <c r="J102" s="99">
        <f>$D102-vlookup(Summary!$C102,Summary!$C$2:$Q$103,3+counta($F$1:J$1),false)</f>
        <v>0</v>
      </c>
      <c r="K102" s="99">
        <f>$D102-vlookup(Summary!$C102,Summary!$C$2:$Q$103,3+counta($F$1:K$1),false)</f>
        <v>-0.05</v>
      </c>
      <c r="L102" s="99">
        <f>$D102-vlookup(Summary!$C102,Summary!$C$2:$Q$103,3+counta($F$1:L$1),false)</f>
        <v>-0.2</v>
      </c>
      <c r="M102" s="99">
        <f>$D102-vlookup(Summary!$C102,Summary!$C$2:$Q$103,3+counta($F$1:M$1),false)</f>
        <v>0.25</v>
      </c>
      <c r="N102" s="99">
        <f>$D102-vlookup(Summary!$C102,Summary!$C$2:$Q$103,3+counta($F$1:N$1),false)</f>
        <v>0.2</v>
      </c>
      <c r="O102" s="99">
        <f>$D102-vlookup(Summary!$C102,Summary!$C$2:$Q$103,3+counta($F$1:O$1),false)</f>
        <v>0.299</v>
      </c>
      <c r="P102" s="99">
        <f>$D102-vlookup(Summary!$C102,Summary!$C$2:$Q$103,3+counta($F$1:P$1),false)</f>
        <v>0.2</v>
      </c>
      <c r="Q102" s="99">
        <f>$D102-vlookup(Summary!$C102,Summary!$C$2:$Q$103,3+counta($F$1:Q$1),false)</f>
        <v>-0.15</v>
      </c>
    </row>
    <row r="103" ht="15.75" customHeight="1">
      <c r="A103" s="15">
        <f>Main!A103</f>
        <v>102</v>
      </c>
      <c r="B103" s="15" t="str">
        <f>Main!B103</f>
        <v>Bolsanaro wins the next Brazilian elections</v>
      </c>
      <c r="C103" s="15" t="str">
        <f>Main!C103</f>
        <v>World Politics</v>
      </c>
      <c r="D103" s="15">
        <v>0.8</v>
      </c>
      <c r="F103" s="99">
        <f>$D103-vlookup(Summary!$C103,Summary!$C$2:$Q$103,3+counta($F$1:F$1),false)</f>
        <v>0.4</v>
      </c>
      <c r="G103" s="99">
        <f>$D103-vlookup(Summary!$C103,Summary!$C$2:$Q$103,3+counta($F$1:G$1),false)</f>
        <v>0.5</v>
      </c>
      <c r="H103" s="99">
        <f>$D103-vlookup(Summary!$C103,Summary!$C$2:$Q$103,3+counta($F$1:H$1),false)</f>
        <v>0.4</v>
      </c>
      <c r="I103" s="99">
        <f>$D103-vlookup(Summary!$C103,Summary!$C$2:$Q$103,3+counta($F$1:I$1),false)</f>
        <v>0.4</v>
      </c>
      <c r="J103" s="99">
        <f>$D103-vlookup(Summary!$C103,Summary!$C$2:$Q$103,3+counta($F$1:J$1),false)</f>
        <v>0</v>
      </c>
      <c r="K103" s="99">
        <f>$D103-vlookup(Summary!$C103,Summary!$C$2:$Q$103,3+counta($F$1:K$1),false)</f>
        <v>0.05</v>
      </c>
      <c r="L103" s="99">
        <f>$D103-vlookup(Summary!$C103,Summary!$C$2:$Q$103,3+counta($F$1:L$1),false)</f>
        <v>0.5</v>
      </c>
      <c r="M103" s="99">
        <f>$D103-vlookup(Summary!$C103,Summary!$C$2:$Q$103,3+counta($F$1:M$1),false)</f>
        <v>0.4</v>
      </c>
      <c r="N103" s="99">
        <f>$D103-vlookup(Summary!$C103,Summary!$C$2:$Q$103,3+counta($F$1:N$1),false)</f>
        <v>0.6</v>
      </c>
      <c r="O103" s="99">
        <f>$D103-vlookup(Summary!$C103,Summary!$C$2:$Q$103,3+counta($F$1:O$1),false)</f>
        <v>0.15</v>
      </c>
      <c r="P103" s="99">
        <f>$D103-vlookup(Summary!$C103,Summary!$C$2:$Q$103,3+counta($F$1:P$1),false)</f>
        <v>0.7</v>
      </c>
      <c r="Q103" s="99">
        <f>$D103-vlookup(Summary!$C103,Summary!$C$2:$Q$103,3+counta($F$1:Q$1),false)</f>
        <v>0.2</v>
      </c>
    </row>
    <row r="104" ht="15.75" customHeight="1">
      <c r="A104" s="15" t="str">
        <f>Main!A104</f>
        <v/>
      </c>
      <c r="B104" s="15" t="str">
        <f>Main!B104</f>
        <v/>
      </c>
      <c r="C104" s="15" t="str">
        <f>Main!C104</f>
        <v/>
      </c>
      <c r="E104" s="104" t="s">
        <v>197</v>
      </c>
      <c r="F104" s="101">
        <f t="shared" ref="F104:Q104" si="1">countif(F$2:F$103,"&gt;=0.5")+countif(F$2:F$103,"&lt;=-0.5")</f>
        <v>14</v>
      </c>
      <c r="G104" s="101">
        <f t="shared" si="1"/>
        <v>24</v>
      </c>
      <c r="H104" s="101">
        <f t="shared" si="1"/>
        <v>23</v>
      </c>
      <c r="I104" s="101">
        <f t="shared" si="1"/>
        <v>24</v>
      </c>
      <c r="J104" s="101">
        <f t="shared" si="1"/>
        <v>0</v>
      </c>
      <c r="K104" s="102">
        <f t="shared" si="1"/>
        <v>13</v>
      </c>
      <c r="L104" s="101">
        <f t="shared" si="1"/>
        <v>25</v>
      </c>
      <c r="M104" s="101">
        <f t="shared" si="1"/>
        <v>24</v>
      </c>
      <c r="N104" s="103">
        <f t="shared" si="1"/>
        <v>33</v>
      </c>
      <c r="O104" s="101">
        <f t="shared" si="1"/>
        <v>21</v>
      </c>
      <c r="P104" s="101">
        <f t="shared" si="1"/>
        <v>26</v>
      </c>
      <c r="Q104" s="101">
        <f t="shared" si="1"/>
        <v>14</v>
      </c>
    </row>
    <row r="105" ht="15.75" customHeight="1">
      <c r="A105" s="15" t="str">
        <f>Main!A105</f>
        <v/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14:B1000">
    <cfRule type="notContainsBlanks" dxfId="2" priority="1">
      <formula>LEN(TRIM(B114))&gt;0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109.13"/>
    <col customWidth="1" min="3" max="3" width="12.63"/>
    <col customWidth="1" min="4" max="4" width="19.75"/>
    <col customWidth="1" min="5" max="5" width="19.88"/>
    <col customWidth="1" min="6" max="7" width="12.63"/>
  </cols>
  <sheetData>
    <row r="1" ht="15.75" customHeight="1">
      <c r="A1" s="92" t="s">
        <v>4</v>
      </c>
      <c r="B1" s="92" t="s">
        <v>6</v>
      </c>
      <c r="C1" s="92" t="s">
        <v>5</v>
      </c>
      <c r="D1" s="92" t="s">
        <v>194</v>
      </c>
      <c r="E1" s="92" t="s">
        <v>195</v>
      </c>
      <c r="F1" s="8" t="s">
        <v>9</v>
      </c>
      <c r="G1" s="10" t="s">
        <v>21</v>
      </c>
      <c r="H1" s="8" t="s">
        <v>11</v>
      </c>
      <c r="I1" s="10" t="s">
        <v>12</v>
      </c>
      <c r="J1" s="8" t="s">
        <v>13</v>
      </c>
      <c r="K1" s="98" t="s">
        <v>196</v>
      </c>
      <c r="L1" s="8" t="s">
        <v>15</v>
      </c>
      <c r="M1" s="10" t="s">
        <v>16</v>
      </c>
      <c r="N1" s="8" t="s">
        <v>17</v>
      </c>
      <c r="O1" s="10" t="s">
        <v>18</v>
      </c>
      <c r="P1" s="8" t="s">
        <v>19</v>
      </c>
      <c r="Q1" s="10" t="s">
        <v>20</v>
      </c>
    </row>
    <row r="2" ht="15.75" customHeight="1">
      <c r="A2" s="15">
        <f>Main!A2</f>
        <v>1</v>
      </c>
      <c r="B2" s="15" t="str">
        <f>Main!B2</f>
        <v>That there will be a hung parliament at the next election and Labor will take office</v>
      </c>
      <c r="C2" s="15" t="str">
        <f>Main!C2</f>
        <v>Aus Politics</v>
      </c>
      <c r="D2" s="15">
        <v>0.65</v>
      </c>
      <c r="F2" s="99">
        <f>$D2-vlookup(Summary!$C2,Summary!$C$2:$Q$103,3+counta($F$1:F$1),false)</f>
        <v>0.25</v>
      </c>
      <c r="G2" s="99">
        <f>$D2-vlookup(Summary!$C2,Summary!$C$2:$Q$103,3+counta($F$1:G$1),false)</f>
        <v>-0.05</v>
      </c>
      <c r="H2" s="99">
        <f>$D2-vlookup(Summary!$C2,Summary!$C$2:$Q$103,3+counta($F$1:H$1),false)</f>
        <v>0.55</v>
      </c>
      <c r="I2" s="99">
        <f>$D2-vlookup(Summary!$C2,Summary!$C$2:$Q$103,3+counta($F$1:I$1),false)</f>
        <v>0.45</v>
      </c>
      <c r="J2" s="99">
        <f>$D2-vlookup(Summary!$C2,Summary!$C$2:$Q$103,3+counta($F$1:J$1),false)</f>
        <v>0.15</v>
      </c>
      <c r="K2" s="99">
        <f>$D2-vlookup(Summary!$C2,Summary!$C$2:$Q$103,3+counta($F$1:K$1),false)</f>
        <v>0</v>
      </c>
      <c r="L2" s="99">
        <f>$D2-vlookup(Summary!$C2,Summary!$C$2:$Q$103,3+counta($F$1:L$1),false)</f>
        <v>0.45</v>
      </c>
      <c r="M2" s="99">
        <f>$D2-vlookup(Summary!$C2,Summary!$C$2:$Q$103,3+counta($F$1:M$1),false)</f>
        <v>0.55</v>
      </c>
      <c r="N2" s="99">
        <f>$D2-vlookup(Summary!$C2,Summary!$C$2:$Q$103,3+counta($F$1:N$1),false)</f>
        <v>-0.15</v>
      </c>
      <c r="O2" s="99">
        <f>$D2-vlookup(Summary!$C2,Summary!$C$2:$Q$103,3+counta($F$1:O$1),false)</f>
        <v>0.3</v>
      </c>
      <c r="P2" s="99">
        <f>$D2-vlookup(Summary!$C2,Summary!$C$2:$Q$103,3+counta($F$1:P$1),false)</f>
        <v>0.55</v>
      </c>
      <c r="Q2" s="99">
        <f>$D2-vlookup(Summary!$C2,Summary!$C$2:$Q$103,3+counta($F$1:Q$1),false)</f>
        <v>0.2</v>
      </c>
    </row>
    <row r="3" ht="15.75" customHeight="1">
      <c r="A3" s="15">
        <f>Main!A3</f>
        <v>2</v>
      </c>
      <c r="B3" s="15" t="str">
        <f>Main!B3</f>
        <v>Dan Andrews will become leader of the Australian Labor Party</v>
      </c>
      <c r="C3" s="15" t="str">
        <f>Main!C3</f>
        <v>Aus Politics</v>
      </c>
      <c r="D3" s="15">
        <v>0.0</v>
      </c>
      <c r="F3" s="99">
        <f>$D3-vlookup(Summary!$C3,Summary!$C$2:$Q$103,3+counta($F$1:F$1),false)</f>
        <v>-0.2</v>
      </c>
      <c r="G3" s="99">
        <f>$D3-vlookup(Summary!$C3,Summary!$C$2:$Q$103,3+counta($F$1:G$1),false)</f>
        <v>-0.1</v>
      </c>
      <c r="H3" s="99">
        <f>$D3-vlookup(Summary!$C3,Summary!$C$2:$Q$103,3+counta($F$1:H$1),false)</f>
        <v>-0.05</v>
      </c>
      <c r="I3" s="99">
        <f>$D3-vlookup(Summary!$C3,Summary!$C$2:$Q$103,3+counta($F$1:I$1),false)</f>
        <v>-0.2</v>
      </c>
      <c r="J3" s="99">
        <f>$D3-vlookup(Summary!$C3,Summary!$C$2:$Q$103,3+counta($F$1:J$1),false)</f>
        <v>-0.1</v>
      </c>
      <c r="K3" s="99">
        <f>$D3-vlookup(Summary!$C3,Summary!$C$2:$Q$103,3+counta($F$1:K$1),false)</f>
        <v>0</v>
      </c>
      <c r="L3" s="99">
        <f>$D3-vlookup(Summary!$C3,Summary!$C$2:$Q$103,3+counta($F$1:L$1),false)</f>
        <v>-0.001</v>
      </c>
      <c r="M3" s="99">
        <f>$D3-vlookup(Summary!$C3,Summary!$C$2:$Q$103,3+counta($F$1:M$1),false)</f>
        <v>-0.05</v>
      </c>
      <c r="N3" s="99">
        <f>$D3-vlookup(Summary!$C3,Summary!$C$2:$Q$103,3+counta($F$1:N$1),false)</f>
        <v>-0.1</v>
      </c>
      <c r="O3" s="99">
        <f>$D3-vlookup(Summary!$C3,Summary!$C$2:$Q$103,3+counta($F$1:O$1),false)</f>
        <v>-0.001</v>
      </c>
      <c r="P3" s="99">
        <f>$D3-vlookup(Summary!$C3,Summary!$C$2:$Q$103,3+counta($F$1:P$1),false)</f>
        <v>-0.1</v>
      </c>
      <c r="Q3" s="99">
        <f>$D3-vlookup(Summary!$C3,Summary!$C$2:$Q$103,3+counta($F$1:Q$1),false)</f>
        <v>-0.01</v>
      </c>
    </row>
    <row r="4" ht="15.75" customHeight="1">
      <c r="A4" s="15">
        <f>Main!A4</f>
        <v>3</v>
      </c>
      <c r="B4" s="15" t="str">
        <f>Main!B4</f>
        <v>The Greens will get more than 9 senators in the next federal election</v>
      </c>
      <c r="C4" s="15" t="str">
        <f>Main!C4</f>
        <v>Aus Politics</v>
      </c>
      <c r="D4" s="15">
        <v>0.6</v>
      </c>
      <c r="F4" s="99">
        <f>$D4-vlookup(Summary!$C4,Summary!$C$2:$Q$103,3+counta($F$1:F$1),false)</f>
        <v>0</v>
      </c>
      <c r="G4" s="99">
        <f>$D4-vlookup(Summary!$C4,Summary!$C$2:$Q$103,3+counta($F$1:G$1),false)</f>
        <v>0.3</v>
      </c>
      <c r="H4" s="99">
        <f>$D4-vlookup(Summary!$C4,Summary!$C$2:$Q$103,3+counta($F$1:H$1),false)</f>
        <v>0.5</v>
      </c>
      <c r="I4" s="99">
        <f>$D4-vlookup(Summary!$C4,Summary!$C$2:$Q$103,3+counta($F$1:I$1),false)</f>
        <v>0</v>
      </c>
      <c r="J4" s="99">
        <f>$D4-vlookup(Summary!$C4,Summary!$C$2:$Q$103,3+counta($F$1:J$1),false)</f>
        <v>-0.1</v>
      </c>
      <c r="K4" s="99">
        <f>$D4-vlookup(Summary!$C4,Summary!$C$2:$Q$103,3+counta($F$1:K$1),false)</f>
        <v>0</v>
      </c>
      <c r="L4" s="99">
        <f>$D4-vlookup(Summary!$C4,Summary!$C$2:$Q$103,3+counta($F$1:L$1),false)</f>
        <v>-0.1</v>
      </c>
      <c r="M4" s="99">
        <f>$D4-vlookup(Summary!$C4,Summary!$C$2:$Q$103,3+counta($F$1:M$1),false)</f>
        <v>0.5</v>
      </c>
      <c r="N4" s="99">
        <f>$D4-vlookup(Summary!$C4,Summary!$C$2:$Q$103,3+counta($F$1:N$1),false)</f>
        <v>0.5</v>
      </c>
      <c r="O4" s="99">
        <f>$D4-vlookup(Summary!$C4,Summary!$C$2:$Q$103,3+counta($F$1:O$1),false)</f>
        <v>0.1</v>
      </c>
      <c r="P4" s="99">
        <f>$D4-vlookup(Summary!$C4,Summary!$C$2:$Q$103,3+counta($F$1:P$1),false)</f>
        <v>0.1</v>
      </c>
      <c r="Q4" s="99">
        <f>$D4-vlookup(Summary!$C4,Summary!$C$2:$Q$103,3+counta($F$1:Q$1),false)</f>
        <v>0.05</v>
      </c>
    </row>
    <row r="5" ht="15.75" customHeight="1">
      <c r="A5" s="15">
        <f>Main!A5</f>
        <v>4</v>
      </c>
      <c r="B5" s="15" t="str">
        <f>Main!B5</f>
        <v>The House of Reps will include 5 independents by the end of the federal election</v>
      </c>
      <c r="C5" s="15" t="str">
        <f>Main!C5</f>
        <v>Aus Politics</v>
      </c>
      <c r="D5" s="15">
        <v>0.75</v>
      </c>
      <c r="F5" s="99">
        <f>$D5-vlookup(Summary!$C5,Summary!$C$2:$Q$103,3+counta($F$1:F$1),false)</f>
        <v>0.05</v>
      </c>
      <c r="G5" s="99">
        <f>$D5-vlookup(Summary!$C5,Summary!$C$2:$Q$103,3+counta($F$1:G$1),false)</f>
        <v>0.45</v>
      </c>
      <c r="H5" s="99">
        <f>$D5-vlookup(Summary!$C5,Summary!$C$2:$Q$103,3+counta($F$1:H$1),false)</f>
        <v>0.65</v>
      </c>
      <c r="I5" s="99">
        <f>$D5-vlookup(Summary!$C5,Summary!$C$2:$Q$103,3+counta($F$1:I$1),false)</f>
        <v>0.05</v>
      </c>
      <c r="J5" s="99">
        <f>$D5-vlookup(Summary!$C5,Summary!$C$2:$Q$103,3+counta($F$1:J$1),false)</f>
        <v>-0.15</v>
      </c>
      <c r="K5" s="99">
        <f>$D5-vlookup(Summary!$C5,Summary!$C$2:$Q$103,3+counta($F$1:K$1),false)</f>
        <v>0</v>
      </c>
      <c r="L5" s="99">
        <f>$D5-vlookup(Summary!$C5,Summary!$C$2:$Q$103,3+counta($F$1:L$1),false)</f>
        <v>0.749</v>
      </c>
      <c r="M5" s="99">
        <f>$D5-vlookup(Summary!$C5,Summary!$C$2:$Q$103,3+counta($F$1:M$1),false)</f>
        <v>0.65</v>
      </c>
      <c r="N5" s="99">
        <f>$D5-vlookup(Summary!$C5,Summary!$C$2:$Q$103,3+counta($F$1:N$1),false)</f>
        <v>-0.15</v>
      </c>
      <c r="O5" s="99">
        <f>$D5-vlookup(Summary!$C5,Summary!$C$2:$Q$103,3+counta($F$1:O$1),false)</f>
        <v>0.25</v>
      </c>
      <c r="P5" s="99">
        <f>$D5-vlookup(Summary!$C5,Summary!$C$2:$Q$103,3+counta($F$1:P$1),false)</f>
        <v>-0.05</v>
      </c>
      <c r="Q5" s="99">
        <f>$D5-vlookup(Summary!$C5,Summary!$C$2:$Q$103,3+counta($F$1:Q$1),false)</f>
        <v>0.05</v>
      </c>
    </row>
    <row r="6" ht="15.75" customHeight="1">
      <c r="A6" s="15">
        <f>Main!A6</f>
        <v>5</v>
      </c>
      <c r="B6" s="15" t="str">
        <f>Main!B6</f>
        <v>The Australian Labor Party will not pledge to reverse the uni fee structure introduced in 2020</v>
      </c>
      <c r="C6" s="15" t="str">
        <f>Main!C6</f>
        <v>Aus Politics</v>
      </c>
      <c r="D6" s="15">
        <v>0.85</v>
      </c>
      <c r="F6" s="99">
        <f>$D6-vlookup(Summary!$C6,Summary!$C$2:$Q$103,3+counta($F$1:F$1),false)</f>
        <v>0.25</v>
      </c>
      <c r="G6" s="99">
        <f>$D6-vlookup(Summary!$C6,Summary!$C$2:$Q$103,3+counta($F$1:G$1),false)</f>
        <v>0.05</v>
      </c>
      <c r="H6" s="99">
        <f>$D6-vlookup(Summary!$C6,Summary!$C$2:$Q$103,3+counta($F$1:H$1),false)</f>
        <v>-0.05</v>
      </c>
      <c r="I6" s="99">
        <f>$D6-vlookup(Summary!$C6,Summary!$C$2:$Q$103,3+counta($F$1:I$1),false)</f>
        <v>0.15</v>
      </c>
      <c r="J6" s="99">
        <f>$D6-vlookup(Summary!$C6,Summary!$C$2:$Q$103,3+counta($F$1:J$1),false)</f>
        <v>0.35</v>
      </c>
      <c r="K6" s="99">
        <f>$D6-vlookup(Summary!$C6,Summary!$C$2:$Q$103,3+counta($F$1:K$1),false)</f>
        <v>0</v>
      </c>
      <c r="L6" s="99">
        <f>$D6-vlookup(Summary!$C6,Summary!$C$2:$Q$103,3+counta($F$1:L$1),false)</f>
        <v>-0.05</v>
      </c>
      <c r="M6" s="99">
        <f>$D6-vlookup(Summary!$C6,Summary!$C$2:$Q$103,3+counta($F$1:M$1),false)</f>
        <v>-0.05</v>
      </c>
      <c r="N6" s="99">
        <f>$D6-vlookup(Summary!$C6,Summary!$C$2:$Q$103,3+counta($F$1:N$1),false)</f>
        <v>-0.05</v>
      </c>
      <c r="O6" s="99">
        <f>$D6-vlookup(Summary!$C6,Summary!$C$2:$Q$103,3+counta($F$1:O$1),false)</f>
        <v>0</v>
      </c>
      <c r="P6" s="99">
        <f>$D6-vlookup(Summary!$C6,Summary!$C$2:$Q$103,3+counta($F$1:P$1),false)</f>
        <v>0.05</v>
      </c>
      <c r="Q6" s="99">
        <f>$D6-vlookup(Summary!$C6,Summary!$C$2:$Q$103,3+counta($F$1:Q$1),false)</f>
        <v>0.1</v>
      </c>
    </row>
    <row r="7" ht="15.75" customHeight="1">
      <c r="A7" s="15">
        <f>Main!A7</f>
        <v>6</v>
      </c>
      <c r="B7" s="15" t="str">
        <f>Main!B7</f>
        <v>Zali Steggal and Helen Haines will both retain their seats in Federal Parliament</v>
      </c>
      <c r="C7" s="15" t="str">
        <f>Main!C7</f>
        <v>Aus Politics</v>
      </c>
      <c r="D7" s="15">
        <v>0.95</v>
      </c>
      <c r="F7" s="99">
        <f>$D7-vlookup(Summary!$C7,Summary!$C$2:$Q$103,3+counta($F$1:F$1),false)</f>
        <v>0.45</v>
      </c>
      <c r="G7" s="99">
        <f>$D7-vlookup(Summary!$C7,Summary!$C$2:$Q$103,3+counta($F$1:G$1),false)</f>
        <v>0.05</v>
      </c>
      <c r="H7" s="99">
        <f>$D7-vlookup(Summary!$C7,Summary!$C$2:$Q$103,3+counta($F$1:H$1),false)</f>
        <v>0.45</v>
      </c>
      <c r="I7" s="99">
        <f>$D7-vlookup(Summary!$C7,Summary!$C$2:$Q$103,3+counta($F$1:I$1),false)</f>
        <v>0.25</v>
      </c>
      <c r="J7" s="99">
        <f>$D7-vlookup(Summary!$C7,Summary!$C$2:$Q$103,3+counta($F$1:J$1),false)</f>
        <v>0.05</v>
      </c>
      <c r="K7" s="99">
        <f>$D7-vlookup(Summary!$C7,Summary!$C$2:$Q$103,3+counta($F$1:K$1),false)</f>
        <v>0</v>
      </c>
      <c r="L7" s="99">
        <f>$D7-vlookup(Summary!$C7,Summary!$C$2:$Q$103,3+counta($F$1:L$1),false)</f>
        <v>0.55</v>
      </c>
      <c r="M7" s="99">
        <f>$D7-vlookup(Summary!$C7,Summary!$C$2:$Q$103,3+counta($F$1:M$1),false)</f>
        <v>0.45</v>
      </c>
      <c r="N7" s="99">
        <f>$D7-vlookup(Summary!$C7,Summary!$C$2:$Q$103,3+counta($F$1:N$1),false)</f>
        <v>0.05</v>
      </c>
      <c r="O7" s="99">
        <f>$D7-vlookup(Summary!$C7,Summary!$C$2:$Q$103,3+counta($F$1:O$1),false)</f>
        <v>0.1</v>
      </c>
      <c r="P7" s="99">
        <f>$D7-vlookup(Summary!$C7,Summary!$C$2:$Q$103,3+counta($F$1:P$1),false)</f>
        <v>0.05</v>
      </c>
      <c r="Q7" s="99">
        <f>$D7-vlookup(Summary!$C7,Summary!$C$2:$Q$103,3+counta($F$1:Q$1),false)</f>
        <v>0.45</v>
      </c>
    </row>
    <row r="8" ht="15.75" customHeight="1">
      <c r="A8" s="15">
        <f>Main!A8</f>
        <v>7</v>
      </c>
      <c r="B8" s="15" t="str">
        <f>Main!B8</f>
        <v>Scott Morrison will lose leadership of the Liberal Party at least once</v>
      </c>
      <c r="C8" s="15" t="str">
        <f>Main!C8</f>
        <v>Aus Politics</v>
      </c>
      <c r="D8" s="15">
        <v>0.75</v>
      </c>
      <c r="F8" s="99">
        <f>$D8-vlookup(Summary!$C8,Summary!$C$2:$Q$103,3+counta($F$1:F$1),false)</f>
        <v>-0.05</v>
      </c>
      <c r="G8" s="99">
        <f>$D8-vlookup(Summary!$C8,Summary!$C$2:$Q$103,3+counta($F$1:G$1),false)</f>
        <v>0.05</v>
      </c>
      <c r="H8" s="99">
        <f>$D8-vlookup(Summary!$C8,Summary!$C$2:$Q$103,3+counta($F$1:H$1),false)</f>
        <v>0.6</v>
      </c>
      <c r="I8" s="99">
        <f>$D8-vlookup(Summary!$C8,Summary!$C$2:$Q$103,3+counta($F$1:I$1),false)</f>
        <v>0.45</v>
      </c>
      <c r="J8" s="99">
        <f>$D8-vlookup(Summary!$C8,Summary!$C$2:$Q$103,3+counta($F$1:J$1),false)</f>
        <v>0.15</v>
      </c>
      <c r="K8" s="99">
        <f>$D8-vlookup(Summary!$C8,Summary!$C$2:$Q$103,3+counta($F$1:K$1),false)</f>
        <v>0</v>
      </c>
      <c r="L8" s="99">
        <f>$D8-vlookup(Summary!$C8,Summary!$C$2:$Q$103,3+counta($F$1:L$1),false)</f>
        <v>0.25</v>
      </c>
      <c r="M8" s="99">
        <f>$D8-vlookup(Summary!$C8,Summary!$C$2:$Q$103,3+counta($F$1:M$1),false)</f>
        <v>0.7</v>
      </c>
      <c r="N8" s="99">
        <f>$D8-vlookup(Summary!$C8,Summary!$C$2:$Q$103,3+counta($F$1:N$1),false)</f>
        <v>-0.15</v>
      </c>
      <c r="O8" s="99">
        <f>$D8-vlookup(Summary!$C8,Summary!$C$2:$Q$103,3+counta($F$1:O$1),false)</f>
        <v>0.4</v>
      </c>
      <c r="P8" s="99">
        <f>$D8-vlookup(Summary!$C8,Summary!$C$2:$Q$103,3+counta($F$1:P$1),false)</f>
        <v>0.05</v>
      </c>
      <c r="Q8" s="99">
        <f>$D8-vlookup(Summary!$C8,Summary!$C$2:$Q$103,3+counta($F$1:Q$1),false)</f>
        <v>-0.15</v>
      </c>
    </row>
    <row r="9" ht="15.75" customHeight="1">
      <c r="A9" s="15">
        <f>Main!A9</f>
        <v>8</v>
      </c>
      <c r="B9" s="15" t="str">
        <f>Main!B9</f>
        <v>Anthony Albanese will be Prime Minister on at least one day</v>
      </c>
      <c r="C9" s="15" t="str">
        <f>Main!C9</f>
        <v>Aus Politics</v>
      </c>
      <c r="D9" s="15">
        <v>0.75</v>
      </c>
      <c r="F9" s="99">
        <f>$D9-vlookup(Summary!$C9,Summary!$C$2:$Q$103,3+counta($F$1:F$1),false)</f>
        <v>0.15</v>
      </c>
      <c r="G9" s="99">
        <f>$D9-vlookup(Summary!$C9,Summary!$C$2:$Q$103,3+counta($F$1:G$1),false)</f>
        <v>-0.15</v>
      </c>
      <c r="H9" s="99">
        <f>$D9-vlookup(Summary!$C9,Summary!$C$2:$Q$103,3+counta($F$1:H$1),false)</f>
        <v>0.7</v>
      </c>
      <c r="I9" s="99">
        <f>$D9-vlookup(Summary!$C9,Summary!$C$2:$Q$103,3+counta($F$1:I$1),false)</f>
        <v>0.45</v>
      </c>
      <c r="J9" s="99">
        <f>$D9-vlookup(Summary!$C9,Summary!$C$2:$Q$103,3+counta($F$1:J$1),false)</f>
        <v>0.65</v>
      </c>
      <c r="K9" s="99">
        <f>$D9-vlookup(Summary!$C9,Summary!$C$2:$Q$103,3+counta($F$1:K$1),false)</f>
        <v>0</v>
      </c>
      <c r="L9" s="99">
        <f>$D9-vlookup(Summary!$C9,Summary!$C$2:$Q$103,3+counta($F$1:L$1),false)</f>
        <v>0.45</v>
      </c>
      <c r="M9" s="99">
        <f>$D9-vlookup(Summary!$C9,Summary!$C$2:$Q$103,3+counta($F$1:M$1),false)</f>
        <v>0.7</v>
      </c>
      <c r="N9" s="99">
        <f>$D9-vlookup(Summary!$C9,Summary!$C$2:$Q$103,3+counta($F$1:N$1),false)</f>
        <v>-0.15</v>
      </c>
      <c r="O9" s="99">
        <f>$D9-vlookup(Summary!$C9,Summary!$C$2:$Q$103,3+counta($F$1:O$1),false)</f>
        <v>0.4</v>
      </c>
      <c r="P9" s="99">
        <f>$D9-vlookup(Summary!$C9,Summary!$C$2:$Q$103,3+counta($F$1:P$1),false)</f>
        <v>-0.05</v>
      </c>
      <c r="Q9" s="99">
        <f>$D9-vlookup(Summary!$C9,Summary!$C$2:$Q$103,3+counta($F$1:Q$1),false)</f>
        <v>0.35</v>
      </c>
    </row>
    <row r="10" ht="15.75" customHeight="1">
      <c r="A10" s="15">
        <f>Main!A10</f>
        <v>9</v>
      </c>
      <c r="B10" s="15" t="str">
        <f>Main!B10</f>
        <v>A sitting MP will make allegations of possible voter fraud or election 'rigging' in the 2022 Australian federal election</v>
      </c>
      <c r="C10" s="15" t="str">
        <f>Main!C10</f>
        <v>Aus Politics</v>
      </c>
      <c r="D10" s="15">
        <v>0.35</v>
      </c>
      <c r="F10" s="99">
        <f>$D10-vlookup(Summary!$C10,Summary!$C$2:$Q$103,3+counta($F$1:F$1),false)</f>
        <v>-0.2</v>
      </c>
      <c r="G10" s="99">
        <f>$D10-vlookup(Summary!$C10,Summary!$C$2:$Q$103,3+counta($F$1:G$1),false)</f>
        <v>0.05</v>
      </c>
      <c r="H10" s="99">
        <f>$D10-vlookup(Summary!$C10,Summary!$C$2:$Q$103,3+counta($F$1:H$1),false)</f>
        <v>0.05</v>
      </c>
      <c r="I10" s="99">
        <f>$D10-vlookup(Summary!$C10,Summary!$C$2:$Q$103,3+counta($F$1:I$1),false)</f>
        <v>-0.05</v>
      </c>
      <c r="J10" s="99">
        <f>$D10-vlookup(Summary!$C10,Summary!$C$2:$Q$103,3+counta($F$1:J$1),false)</f>
        <v>-0.55</v>
      </c>
      <c r="K10" s="99">
        <f>$D10-vlookup(Summary!$C10,Summary!$C$2:$Q$103,3+counta($F$1:K$1),false)</f>
        <v>0</v>
      </c>
      <c r="L10" s="99">
        <f>$D10-vlookup(Summary!$C10,Summary!$C$2:$Q$103,3+counta($F$1:L$1),false)</f>
        <v>-0.55</v>
      </c>
      <c r="M10" s="99">
        <f>$D10-vlookup(Summary!$C10,Summary!$C$2:$Q$103,3+counta($F$1:M$1),false)</f>
        <v>0.05</v>
      </c>
      <c r="N10" s="99">
        <f>$D10-vlookup(Summary!$C10,Summary!$C$2:$Q$103,3+counta($F$1:N$1),false)</f>
        <v>-0.35</v>
      </c>
      <c r="O10" s="99">
        <f>$D10-vlookup(Summary!$C10,Summary!$C$2:$Q$103,3+counta($F$1:O$1),false)</f>
        <v>-0.5</v>
      </c>
      <c r="P10" s="99">
        <f>$D10-vlookup(Summary!$C10,Summary!$C$2:$Q$103,3+counta($F$1:P$1),false)</f>
        <v>-0.05</v>
      </c>
      <c r="Q10" s="99">
        <f>$D10-vlookup(Summary!$C10,Summary!$C$2:$Q$103,3+counta($F$1:Q$1),false)</f>
        <v>-0.45</v>
      </c>
    </row>
    <row r="11" ht="15.75" customHeight="1">
      <c r="A11" s="15">
        <f>Main!A11</f>
        <v>10</v>
      </c>
      <c r="B11" s="15" t="str">
        <f>Main!B11</f>
        <v>The Australian Intelligence Community will release a statement contradicting a Government minister or MP during the 2022 election campaign</v>
      </c>
      <c r="C11" s="15" t="str">
        <f>Main!C11</f>
        <v>Aus Politics</v>
      </c>
      <c r="D11" s="15">
        <v>0.55</v>
      </c>
      <c r="F11" s="99">
        <f>$D11-vlookup(Summary!$C11,Summary!$C$2:$Q$103,3+counta($F$1:F$1),false)</f>
        <v>0.15</v>
      </c>
      <c r="G11" s="99">
        <f>$D11-vlookup(Summary!$C11,Summary!$C$2:$Q$103,3+counta($F$1:G$1),false)</f>
        <v>0.35</v>
      </c>
      <c r="H11" s="99">
        <f>$D11-vlookup(Summary!$C11,Summary!$C$2:$Q$103,3+counta($F$1:H$1),false)</f>
        <v>0.45</v>
      </c>
      <c r="I11" s="99">
        <f>$D11-vlookup(Summary!$C11,Summary!$C$2:$Q$103,3+counta($F$1:I$1),false)</f>
        <v>0.35</v>
      </c>
      <c r="J11" s="99">
        <f>$D11-vlookup(Summary!$C11,Summary!$C$2:$Q$103,3+counta($F$1:J$1),false)</f>
        <v>0.45</v>
      </c>
      <c r="K11" s="99">
        <f>$D11-vlookup(Summary!$C11,Summary!$C$2:$Q$103,3+counta($F$1:K$1),false)</f>
        <v>0</v>
      </c>
      <c r="L11" s="99">
        <f>$D11-vlookup(Summary!$C11,Summary!$C$2:$Q$103,3+counta($F$1:L$1),false)</f>
        <v>0.4</v>
      </c>
      <c r="M11" s="99">
        <f>$D11-vlookup(Summary!$C11,Summary!$C$2:$Q$103,3+counta($F$1:M$1),false)</f>
        <v>0.45</v>
      </c>
      <c r="N11" s="99">
        <f>$D11-vlookup(Summary!$C11,Summary!$C$2:$Q$103,3+counta($F$1:N$1),false)</f>
        <v>-0.35</v>
      </c>
      <c r="O11" s="99">
        <f>$D11-vlookup(Summary!$C11,Summary!$C$2:$Q$103,3+counta($F$1:O$1),false)</f>
        <v>0.549</v>
      </c>
      <c r="P11" s="99">
        <f>$D11-vlookup(Summary!$C11,Summary!$C$2:$Q$103,3+counta($F$1:P$1),false)</f>
        <v>0.45</v>
      </c>
      <c r="Q11" s="99">
        <f>$D11-vlookup(Summary!$C11,Summary!$C$2:$Q$103,3+counta($F$1:Q$1),false)</f>
        <v>-0.2</v>
      </c>
    </row>
    <row r="12" ht="15.75" customHeight="1">
      <c r="A12" s="15">
        <f>Main!A12</f>
        <v>11</v>
      </c>
      <c r="B12" s="15" t="str">
        <f>Main!B12</f>
        <v>Scott Morrison will still be the Prime Minister of Australia</v>
      </c>
      <c r="C12" s="15" t="str">
        <f>Main!C12</f>
        <v>Aus Politics</v>
      </c>
      <c r="D12" s="15">
        <v>0.75</v>
      </c>
      <c r="F12" s="99">
        <f>$D12-vlookup(Summary!$C12,Summary!$C$2:$Q$103,3+counta($F$1:F$1),false)</f>
        <v>0.35</v>
      </c>
      <c r="G12" s="99">
        <f>$D12-vlookup(Summary!$C12,Summary!$C$2:$Q$103,3+counta($F$1:G$1),false)</f>
        <v>0.55</v>
      </c>
      <c r="H12" s="99">
        <f>$D12-vlookup(Summary!$C12,Summary!$C$2:$Q$103,3+counta($F$1:H$1),false)</f>
        <v>0.55</v>
      </c>
      <c r="I12" s="99">
        <f>$D12-vlookup(Summary!$C12,Summary!$C$2:$Q$103,3+counta($F$1:I$1),false)</f>
        <v>-0.05</v>
      </c>
      <c r="J12" s="99">
        <f>$D12-vlookup(Summary!$C12,Summary!$C$2:$Q$103,3+counta($F$1:J$1),false)</f>
        <v>0.25</v>
      </c>
      <c r="K12" s="99">
        <f>$D12-vlookup(Summary!$C12,Summary!$C$2:$Q$103,3+counta($F$1:K$1),false)</f>
        <v>0</v>
      </c>
      <c r="L12" s="99">
        <f>$D12-vlookup(Summary!$C12,Summary!$C$2:$Q$103,3+counta($F$1:L$1),false)</f>
        <v>0.05</v>
      </c>
      <c r="M12" s="99">
        <f>$D12-vlookup(Summary!$C12,Summary!$C$2:$Q$103,3+counta($F$1:M$1),false)</f>
        <v>0.7</v>
      </c>
      <c r="N12" s="99">
        <f>$D12-vlookup(Summary!$C12,Summary!$C$2:$Q$103,3+counta($F$1:N$1),false)</f>
        <v>0.65</v>
      </c>
      <c r="O12" s="99">
        <f>$D12-vlookup(Summary!$C12,Summary!$C$2:$Q$103,3+counta($F$1:O$1),false)</f>
        <v>0.1</v>
      </c>
      <c r="P12" s="99">
        <f>$D12-vlookup(Summary!$C12,Summary!$C$2:$Q$103,3+counta($F$1:P$1),false)</f>
        <v>0.45</v>
      </c>
      <c r="Q12" s="99">
        <f>$D12-vlookup(Summary!$C12,Summary!$C$2:$Q$103,3+counta($F$1:Q$1),false)</f>
        <v>0.65</v>
      </c>
    </row>
    <row r="13" ht="15.75" customHeight="1">
      <c r="A13" s="15">
        <f>Main!A13</f>
        <v>12</v>
      </c>
      <c r="B13" s="15" t="str">
        <f>Main!B13</f>
        <v>An Australian federal Minister will step down from their position due to direct involvement (proven or otherwise) in sexual misconduct at some point in the year.</v>
      </c>
      <c r="C13" s="15" t="str">
        <f>Main!C13</f>
        <v>Aus Politics</v>
      </c>
      <c r="D13" s="15">
        <v>0.35</v>
      </c>
      <c r="F13" s="99">
        <f>$D13-vlookup(Summary!$C13,Summary!$C$2:$Q$103,3+counta($F$1:F$1),false)</f>
        <v>-0.3</v>
      </c>
      <c r="G13" s="99">
        <f>$D13-vlookup(Summary!$C13,Summary!$C$2:$Q$103,3+counta($F$1:G$1),false)</f>
        <v>-0.05</v>
      </c>
      <c r="H13" s="99">
        <f>$D13-vlookup(Summary!$C13,Summary!$C$2:$Q$103,3+counta($F$1:H$1),false)</f>
        <v>0.25</v>
      </c>
      <c r="I13" s="99">
        <f>$D13-vlookup(Summary!$C13,Summary!$C$2:$Q$103,3+counta($F$1:I$1),false)</f>
        <v>-0.55</v>
      </c>
      <c r="J13" s="99">
        <f>$D13-vlookup(Summary!$C13,Summary!$C$2:$Q$103,3+counta($F$1:J$1),false)</f>
        <v>-0.55</v>
      </c>
      <c r="K13" s="99">
        <f>$D13-vlookup(Summary!$C13,Summary!$C$2:$Q$103,3+counta($F$1:K$1),false)</f>
        <v>0</v>
      </c>
      <c r="L13" s="99">
        <f>$D13-vlookup(Summary!$C13,Summary!$C$2:$Q$103,3+counta($F$1:L$1),false)</f>
        <v>0.15</v>
      </c>
      <c r="M13" s="99">
        <f>$D13-vlookup(Summary!$C13,Summary!$C$2:$Q$103,3+counta($F$1:M$1),false)</f>
        <v>0.25</v>
      </c>
      <c r="N13" s="99">
        <f>$D13-vlookup(Summary!$C13,Summary!$C$2:$Q$103,3+counta($F$1:N$1),false)</f>
        <v>-0.25</v>
      </c>
      <c r="O13" s="99">
        <f>$D13-vlookup(Summary!$C13,Summary!$C$2:$Q$103,3+counta($F$1:O$1),false)</f>
        <v>0.2</v>
      </c>
      <c r="P13" s="99">
        <f>$D13-vlookup(Summary!$C13,Summary!$C$2:$Q$103,3+counta($F$1:P$1),false)</f>
        <v>0.05</v>
      </c>
      <c r="Q13" s="99">
        <f>$D13-vlookup(Summary!$C13,Summary!$C$2:$Q$103,3+counta($F$1:Q$1),false)</f>
        <v>-0.25</v>
      </c>
    </row>
    <row r="14" ht="15.75" customHeight="1">
      <c r="A14" s="15">
        <f>Main!A14</f>
        <v>13</v>
      </c>
      <c r="B14" s="15" t="str">
        <f>Main!B14</f>
        <v>Friendlyjordies, or evidence he has brought to light, will feature in a court case or ICAC inquiry.</v>
      </c>
      <c r="C14" s="15" t="str">
        <f>Main!C14</f>
        <v>Aus Politics</v>
      </c>
      <c r="D14" s="15">
        <v>0.65</v>
      </c>
      <c r="F14" s="99">
        <f>$D14-vlookup(Summary!$C14,Summary!$C$2:$Q$103,3+counta($F$1:F$1),false)</f>
        <v>0.1</v>
      </c>
      <c r="G14" s="99">
        <f>$D14-vlookup(Summary!$C14,Summary!$C$2:$Q$103,3+counta($F$1:G$1),false)</f>
        <v>-0.05</v>
      </c>
      <c r="H14" s="99">
        <f>$D14-vlookup(Summary!$C14,Summary!$C$2:$Q$103,3+counta($F$1:H$1),false)</f>
        <v>0.35</v>
      </c>
      <c r="I14" s="99">
        <f>$D14-vlookup(Summary!$C14,Summary!$C$2:$Q$103,3+counta($F$1:I$1),false)</f>
        <v>0.05</v>
      </c>
      <c r="J14" s="99">
        <f>$D14-vlookup(Summary!$C14,Summary!$C$2:$Q$103,3+counta($F$1:J$1),false)</f>
        <v>-0.05</v>
      </c>
      <c r="K14" s="99">
        <f>$D14-vlookup(Summary!$C14,Summary!$C$2:$Q$103,3+counta($F$1:K$1),false)</f>
        <v>0</v>
      </c>
      <c r="L14" s="99">
        <f>$D14-vlookup(Summary!$C14,Summary!$C$2:$Q$103,3+counta($F$1:L$1),false)</f>
        <v>0.15</v>
      </c>
      <c r="M14" s="99">
        <f>$D14-vlookup(Summary!$C14,Summary!$C$2:$Q$103,3+counta($F$1:M$1),false)</f>
        <v>0.35</v>
      </c>
      <c r="N14" s="99">
        <f>$D14-vlookup(Summary!$C14,Summary!$C$2:$Q$103,3+counta($F$1:N$1),false)</f>
        <v>0.55</v>
      </c>
      <c r="O14" s="99">
        <f>$D14-vlookup(Summary!$C14,Summary!$C$2:$Q$103,3+counta($F$1:O$1),false)</f>
        <v>0.5</v>
      </c>
      <c r="P14" s="99">
        <f>$D14-vlookup(Summary!$C14,Summary!$C$2:$Q$103,3+counta($F$1:P$1),false)</f>
        <v>0.15</v>
      </c>
      <c r="Q14" s="99">
        <f>$D14-vlookup(Summary!$C14,Summary!$C$2:$Q$103,3+counta($F$1:Q$1),false)</f>
        <v>0.15</v>
      </c>
    </row>
    <row r="15" ht="15.75" customHeight="1">
      <c r="A15" s="15">
        <f>Main!A15</f>
        <v>14</v>
      </c>
      <c r="B15" s="15" t="str">
        <f>Main!B15</f>
        <v>At least one person commits suicide as an effect of the Royal Commission into Defence and Veteran Suicide, as reported in The Guardian</v>
      </c>
      <c r="C15" s="15" t="str">
        <f>Main!C15</f>
        <v>Aus Politics</v>
      </c>
      <c r="D15" s="15">
        <v>0.85</v>
      </c>
      <c r="F15" s="99">
        <f>$D15-vlookup(Summary!$C15,Summary!$C$2:$Q$103,3+counta($F$1:F$1),false)</f>
        <v>0.45</v>
      </c>
      <c r="G15" s="99">
        <f>$D15-vlookup(Summary!$C15,Summary!$C$2:$Q$103,3+counta($F$1:G$1),false)</f>
        <v>0.05</v>
      </c>
      <c r="H15" s="99">
        <f>$D15-vlookup(Summary!$C15,Summary!$C$2:$Q$103,3+counta($F$1:H$1),false)</f>
        <v>0.15</v>
      </c>
      <c r="I15" s="99">
        <f>$D15-vlookup(Summary!$C15,Summary!$C$2:$Q$103,3+counta($F$1:I$1),false)</f>
        <v>0.45</v>
      </c>
      <c r="J15" s="99">
        <f>$D15-vlookup(Summary!$C15,Summary!$C$2:$Q$103,3+counta($F$1:J$1),false)</f>
        <v>0.55</v>
      </c>
      <c r="K15" s="99">
        <f>$D15-vlookup(Summary!$C15,Summary!$C$2:$Q$103,3+counta($F$1:K$1),false)</f>
        <v>0</v>
      </c>
      <c r="L15" s="99">
        <f>$D15-vlookup(Summary!$C15,Summary!$C$2:$Q$103,3+counta($F$1:L$1),false)</f>
        <v>0.25</v>
      </c>
      <c r="M15" s="99">
        <f>$D15-vlookup(Summary!$C15,Summary!$C$2:$Q$103,3+counta($F$1:M$1),false)</f>
        <v>0.15</v>
      </c>
      <c r="N15" s="99">
        <f>$D15-vlookup(Summary!$C15,Summary!$C$2:$Q$103,3+counta($F$1:N$1),false)</f>
        <v>-0.05</v>
      </c>
      <c r="O15" s="99">
        <f>$D15-vlookup(Summary!$C15,Summary!$C$2:$Q$103,3+counta($F$1:O$1),false)</f>
        <v>0.7</v>
      </c>
      <c r="P15" s="99">
        <f>$D15-vlookup(Summary!$C15,Summary!$C$2:$Q$103,3+counta($F$1:P$1),false)</f>
        <v>0.35</v>
      </c>
      <c r="Q15" s="99">
        <f>$D15-vlookup(Summary!$C15,Summary!$C$2:$Q$103,3+counta($F$1:Q$1),false)</f>
        <v>0.45</v>
      </c>
    </row>
    <row r="16" ht="15.75" customHeight="1">
      <c r="A16" s="15">
        <f>Main!A16</f>
        <v>15</v>
      </c>
      <c r="B16" s="15" t="str">
        <f>Main!B16</f>
        <v>Taylor Swift will get married</v>
      </c>
      <c r="C16" s="15" t="str">
        <f>Main!C16</f>
        <v>Celebrities</v>
      </c>
      <c r="D16" s="15">
        <v>0.8</v>
      </c>
      <c r="F16" s="99">
        <f>$D16-vlookup(Summary!$C16,Summary!$C$2:$Q$103,3+counta($F$1:F$1),false)</f>
        <v>0.25</v>
      </c>
      <c r="G16" s="99">
        <f>$D16-vlookup(Summary!$C16,Summary!$C$2:$Q$103,3+counta($F$1:G$1),false)</f>
        <v>0.4</v>
      </c>
      <c r="H16" s="99">
        <f>$D16-vlookup(Summary!$C16,Summary!$C$2:$Q$103,3+counta($F$1:H$1),false)</f>
        <v>0.1</v>
      </c>
      <c r="I16" s="99">
        <f>$D16-vlookup(Summary!$C16,Summary!$C$2:$Q$103,3+counta($F$1:I$1),false)</f>
        <v>0.65</v>
      </c>
      <c r="J16" s="99">
        <f>$D16-vlookup(Summary!$C16,Summary!$C$2:$Q$103,3+counta($F$1:J$1),false)</f>
        <v>0.2</v>
      </c>
      <c r="K16" s="99">
        <f>$D16-vlookup(Summary!$C16,Summary!$C$2:$Q$103,3+counta($F$1:K$1),false)</f>
        <v>0</v>
      </c>
      <c r="L16" s="99">
        <f>$D16-vlookup(Summary!$C16,Summary!$C$2:$Q$103,3+counta($F$1:L$1),false)</f>
        <v>0.6</v>
      </c>
      <c r="M16" s="99">
        <f>$D16-vlookup(Summary!$C16,Summary!$C$2:$Q$103,3+counta($F$1:M$1),false)</f>
        <v>0.1</v>
      </c>
      <c r="N16" s="99">
        <f>$D16-vlookup(Summary!$C16,Summary!$C$2:$Q$103,3+counta($F$1:N$1),false)</f>
        <v>0</v>
      </c>
      <c r="O16" s="99">
        <f>$D16-vlookup(Summary!$C16,Summary!$C$2:$Q$103,3+counta($F$1:O$1),false)</f>
        <v>0.65</v>
      </c>
      <c r="P16" s="99">
        <f>$D16-vlookup(Summary!$C16,Summary!$C$2:$Q$103,3+counta($F$1:P$1),false)</f>
        <v>0.3</v>
      </c>
      <c r="Q16" s="99">
        <f>$D16-vlookup(Summary!$C16,Summary!$C$2:$Q$103,3+counta($F$1:Q$1),false)</f>
        <v>0.79</v>
      </c>
    </row>
    <row r="17" ht="15.75" customHeight="1">
      <c r="A17" s="15">
        <f>Main!A17</f>
        <v>16</v>
      </c>
      <c r="B17" s="15" t="str">
        <f>Main!B17</f>
        <v>Jane Campion will win the Oscar for Best Director</v>
      </c>
      <c r="C17" s="15" t="str">
        <f>Main!C17</f>
        <v>Celebrities</v>
      </c>
      <c r="D17" s="15">
        <v>0.95</v>
      </c>
      <c r="F17" s="99">
        <f>$D17-vlookup(Summary!$C17,Summary!$C$2:$Q$103,3+counta($F$1:F$1),false)</f>
        <v>0.15</v>
      </c>
      <c r="G17" s="99">
        <f>$D17-vlookup(Summary!$C17,Summary!$C$2:$Q$103,3+counta($F$1:G$1),false)</f>
        <v>0.35</v>
      </c>
      <c r="H17" s="99">
        <f>$D17-vlookup(Summary!$C17,Summary!$C$2:$Q$103,3+counta($F$1:H$1),false)</f>
        <v>0.75</v>
      </c>
      <c r="I17" s="99">
        <f>$D17-vlookup(Summary!$C17,Summary!$C$2:$Q$103,3+counta($F$1:I$1),false)</f>
        <v>0.05</v>
      </c>
      <c r="J17" s="99">
        <f>$D17-vlookup(Summary!$C17,Summary!$C$2:$Q$103,3+counta($F$1:J$1),false)</f>
        <v>0.05</v>
      </c>
      <c r="K17" s="99">
        <f>$D17-vlookup(Summary!$C17,Summary!$C$2:$Q$103,3+counta($F$1:K$1),false)</f>
        <v>0</v>
      </c>
      <c r="L17" s="99">
        <f>$D17-vlookup(Summary!$C17,Summary!$C$2:$Q$103,3+counta($F$1:L$1),false)</f>
        <v>0.25</v>
      </c>
      <c r="M17" s="99">
        <f>$D17-vlookup(Summary!$C17,Summary!$C$2:$Q$103,3+counta($F$1:M$1),false)</f>
        <v>0.75</v>
      </c>
      <c r="N17" s="99">
        <f>$D17-vlookup(Summary!$C17,Summary!$C$2:$Q$103,3+counta($F$1:N$1),false)</f>
        <v>0.85</v>
      </c>
      <c r="O17" s="99">
        <f>$D17-vlookup(Summary!$C17,Summary!$C$2:$Q$103,3+counta($F$1:O$1),false)</f>
        <v>0.45</v>
      </c>
      <c r="P17" s="99">
        <f>$D17-vlookup(Summary!$C17,Summary!$C$2:$Q$103,3+counta($F$1:P$1),false)</f>
        <v>0.45</v>
      </c>
      <c r="Q17" s="99">
        <f>$D17-vlookup(Summary!$C17,Summary!$C$2:$Q$103,3+counta($F$1:Q$1),false)</f>
        <v>0.65</v>
      </c>
    </row>
    <row r="18" ht="15.75" customHeight="1">
      <c r="A18" s="15">
        <f>Main!A18</f>
        <v>17</v>
      </c>
      <c r="B18" s="15" t="str">
        <f>Main!B18</f>
        <v>Harry and Megan's animated series "Pearl" will be released and have over 50% on Rotten Tomatoes</v>
      </c>
      <c r="C18" s="15" t="str">
        <f>Main!C18</f>
        <v>Celebrities</v>
      </c>
      <c r="D18" s="15">
        <v>0.8</v>
      </c>
      <c r="F18" s="99">
        <f>$D18-vlookup(Summary!$C18,Summary!$C$2:$Q$103,3+counta($F$1:F$1),false)</f>
        <v>0.4</v>
      </c>
      <c r="G18" s="99">
        <f>$D18-vlookup(Summary!$C18,Summary!$C$2:$Q$103,3+counta($F$1:G$1),false)</f>
        <v>0.5</v>
      </c>
      <c r="H18" s="99">
        <f>$D18-vlookup(Summary!$C18,Summary!$C$2:$Q$103,3+counta($F$1:H$1),false)</f>
        <v>0</v>
      </c>
      <c r="I18" s="99">
        <f>$D18-vlookup(Summary!$C18,Summary!$C$2:$Q$103,3+counta($F$1:I$1),false)</f>
        <v>0.4</v>
      </c>
      <c r="J18" s="99">
        <f>$D18-vlookup(Summary!$C18,Summary!$C$2:$Q$103,3+counta($F$1:J$1),false)</f>
        <v>0.7</v>
      </c>
      <c r="K18" s="99">
        <f>$D18-vlookup(Summary!$C18,Summary!$C$2:$Q$103,3+counta($F$1:K$1),false)</f>
        <v>0</v>
      </c>
      <c r="L18" s="99">
        <f>$D18-vlookup(Summary!$C18,Summary!$C$2:$Q$103,3+counta($F$1:L$1),false)</f>
        <v>0.6</v>
      </c>
      <c r="M18" s="99">
        <f>$D18-vlookup(Summary!$C18,Summary!$C$2:$Q$103,3+counta($F$1:M$1),false)</f>
        <v>0</v>
      </c>
      <c r="N18" s="99">
        <f>$D18-vlookup(Summary!$C18,Summary!$C$2:$Q$103,3+counta($F$1:N$1),false)</f>
        <v>0</v>
      </c>
      <c r="O18" s="99">
        <f>$D18-vlookup(Summary!$C18,Summary!$C$2:$Q$103,3+counta($F$1:O$1),false)</f>
        <v>0.65</v>
      </c>
      <c r="P18" s="99">
        <f>$D18-vlookup(Summary!$C18,Summary!$C$2:$Q$103,3+counta($F$1:P$1),false)</f>
        <v>0.3</v>
      </c>
      <c r="Q18" s="99">
        <f>$D18-vlookup(Summary!$C18,Summary!$C$2:$Q$103,3+counta($F$1:Q$1),false)</f>
        <v>0.4</v>
      </c>
    </row>
    <row r="19" ht="15.75" customHeight="1">
      <c r="A19" s="15">
        <f>Main!A19</f>
        <v>18</v>
      </c>
      <c r="B19" s="15" t="str">
        <f>Main!B19</f>
        <v>Prince Andrew will enter or exit a courtroom wearing an oxygen mask and/or sitting in a wheelchair</v>
      </c>
      <c r="C19" s="15" t="str">
        <f>Main!C19</f>
        <v>Celebrities</v>
      </c>
      <c r="D19" s="15">
        <v>0.2</v>
      </c>
      <c r="F19" s="99">
        <f>$D19-vlookup(Summary!$C19,Summary!$C$2:$Q$103,3+counta($F$1:F$1),false)</f>
        <v>-0.1</v>
      </c>
      <c r="G19" s="99">
        <f>$D19-vlookup(Summary!$C19,Summary!$C$2:$Q$103,3+counta($F$1:G$1),false)</f>
        <v>0</v>
      </c>
      <c r="H19" s="99">
        <f>$D19-vlookup(Summary!$C19,Summary!$C$2:$Q$103,3+counta($F$1:H$1),false)</f>
        <v>-0.5</v>
      </c>
      <c r="I19" s="99">
        <f>$D19-vlookup(Summary!$C19,Summary!$C$2:$Q$103,3+counta($F$1:I$1),false)</f>
        <v>0.1</v>
      </c>
      <c r="J19" s="99">
        <f>$D19-vlookup(Summary!$C19,Summary!$C$2:$Q$103,3+counta($F$1:J$1),false)</f>
        <v>-0.2</v>
      </c>
      <c r="K19" s="99">
        <f>$D19-vlookup(Summary!$C19,Summary!$C$2:$Q$103,3+counta($F$1:K$1),false)</f>
        <v>0</v>
      </c>
      <c r="L19" s="99">
        <f>$D19-vlookup(Summary!$C19,Summary!$C$2:$Q$103,3+counta($F$1:L$1),false)</f>
        <v>0.1</v>
      </c>
      <c r="M19" s="99">
        <f>$D19-vlookup(Summary!$C19,Summary!$C$2:$Q$103,3+counta($F$1:M$1),false)</f>
        <v>0.15</v>
      </c>
      <c r="N19" s="99">
        <f>$D19-vlookup(Summary!$C19,Summary!$C$2:$Q$103,3+counta($F$1:N$1),false)</f>
        <v>0.1</v>
      </c>
      <c r="O19" s="99">
        <f>$D19-vlookup(Summary!$C19,Summary!$C$2:$Q$103,3+counta($F$1:O$1),false)</f>
        <v>0.05</v>
      </c>
      <c r="P19" s="99">
        <f>$D19-vlookup(Summary!$C19,Summary!$C$2:$Q$103,3+counta($F$1:P$1),false)</f>
        <v>0.1</v>
      </c>
      <c r="Q19" s="99">
        <f>$D19-vlookup(Summary!$C19,Summary!$C$2:$Q$103,3+counta($F$1:Q$1),false)</f>
        <v>0</v>
      </c>
    </row>
    <row r="20" ht="15.75" customHeight="1">
      <c r="A20" s="15">
        <f>Main!A20</f>
        <v>19</v>
      </c>
      <c r="B20" s="15" t="str">
        <f>Main!B20</f>
        <v>News Ltd will report on the emergence of a conspiracy theory relating to the Queen's death: that the palace is either secretly concealing her death or her continuing life</v>
      </c>
      <c r="C20" s="15" t="str">
        <f>Main!C20</f>
        <v>Celebrities</v>
      </c>
      <c r="D20" s="15">
        <v>0.85</v>
      </c>
      <c r="F20" s="99">
        <f>$D20-vlookup(Summary!$C20,Summary!$C$2:$Q$103,3+counta($F$1:F$1),false)</f>
        <v>0.6</v>
      </c>
      <c r="G20" s="99">
        <f>$D20-vlookup(Summary!$C20,Summary!$C$2:$Q$103,3+counta($F$1:G$1),false)</f>
        <v>0.45</v>
      </c>
      <c r="H20" s="99">
        <f>$D20-vlookup(Summary!$C20,Summary!$C$2:$Q$103,3+counta($F$1:H$1),false)</f>
        <v>0.05</v>
      </c>
      <c r="I20" s="99">
        <f>$D20-vlookup(Summary!$C20,Summary!$C$2:$Q$103,3+counta($F$1:I$1),false)</f>
        <v>0.8</v>
      </c>
      <c r="J20" s="99">
        <f>$D20-vlookup(Summary!$C20,Summary!$C$2:$Q$103,3+counta($F$1:J$1),false)</f>
        <v>0.35</v>
      </c>
      <c r="K20" s="99">
        <f>$D20-vlookup(Summary!$C20,Summary!$C$2:$Q$103,3+counta($F$1:K$1),false)</f>
        <v>0</v>
      </c>
      <c r="L20" s="99">
        <f>$D20-vlookup(Summary!$C20,Summary!$C$2:$Q$103,3+counta($F$1:L$1),false)</f>
        <v>0.8</v>
      </c>
      <c r="M20" s="99">
        <f>$D20-vlookup(Summary!$C20,Summary!$C$2:$Q$103,3+counta($F$1:M$1),false)</f>
        <v>0.05</v>
      </c>
      <c r="N20" s="99">
        <f>$D20-vlookup(Summary!$C20,Summary!$C$2:$Q$103,3+counta($F$1:N$1),false)</f>
        <v>0.75</v>
      </c>
      <c r="O20" s="99">
        <f>$D20-vlookup(Summary!$C20,Summary!$C$2:$Q$103,3+counta($F$1:O$1),false)</f>
        <v>0.849</v>
      </c>
      <c r="P20" s="99">
        <f>$D20-vlookup(Summary!$C20,Summary!$C$2:$Q$103,3+counta($F$1:P$1),false)</f>
        <v>0.75</v>
      </c>
      <c r="Q20" s="99">
        <f>$D20-vlookup(Summary!$C20,Summary!$C$2:$Q$103,3+counta($F$1:Q$1),false)</f>
        <v>0.35</v>
      </c>
    </row>
    <row r="21" ht="15.75" customHeight="1">
      <c r="A21" s="15">
        <f>Main!A21</f>
        <v>20</v>
      </c>
      <c r="B21" s="15" t="str">
        <f>Main!B21</f>
        <v>Julian Assange will be located in Australia</v>
      </c>
      <c r="C21" s="15" t="str">
        <f>Main!C21</f>
        <v>Celebrities</v>
      </c>
      <c r="D21" s="15">
        <v>0.55</v>
      </c>
      <c r="F21" s="99">
        <f>$D21-vlookup(Summary!$C21,Summary!$C$2:$Q$103,3+counta($F$1:F$1),false)</f>
        <v>0.35</v>
      </c>
      <c r="G21" s="99">
        <f>$D21-vlookup(Summary!$C21,Summary!$C$2:$Q$103,3+counta($F$1:G$1),false)</f>
        <v>0.35</v>
      </c>
      <c r="H21" s="99">
        <f>$D21-vlookup(Summary!$C21,Summary!$C$2:$Q$103,3+counta($F$1:H$1),false)</f>
        <v>0.45</v>
      </c>
      <c r="I21" s="99">
        <f>$D21-vlookup(Summary!$C21,Summary!$C$2:$Q$103,3+counta($F$1:I$1),false)</f>
        <v>0.5</v>
      </c>
      <c r="J21" s="99">
        <f>$D21-vlookup(Summary!$C21,Summary!$C$2:$Q$103,3+counta($F$1:J$1),false)</f>
        <v>0.25</v>
      </c>
      <c r="K21" s="99">
        <f>$D21-vlookup(Summary!$C21,Summary!$C$2:$Q$103,3+counta($F$1:K$1),false)</f>
        <v>0</v>
      </c>
      <c r="L21" s="99">
        <f>$D21-vlookup(Summary!$C21,Summary!$C$2:$Q$103,3+counta($F$1:L$1),false)</f>
        <v>0.35</v>
      </c>
      <c r="M21" s="99">
        <f>$D21-vlookup(Summary!$C21,Summary!$C$2:$Q$103,3+counta($F$1:M$1),false)</f>
        <v>0.45</v>
      </c>
      <c r="N21" s="99">
        <f>$D21-vlookup(Summary!$C21,Summary!$C$2:$Q$103,3+counta($F$1:N$1),false)</f>
        <v>0.35</v>
      </c>
      <c r="O21" s="99">
        <f>$D21-vlookup(Summary!$C21,Summary!$C$2:$Q$103,3+counta($F$1:O$1),false)</f>
        <v>0.4</v>
      </c>
      <c r="P21" s="99">
        <f>$D21-vlookup(Summary!$C21,Summary!$C$2:$Q$103,3+counta($F$1:P$1),false)</f>
        <v>0.45</v>
      </c>
      <c r="Q21" s="99">
        <f>$D21-vlookup(Summary!$C21,Summary!$C$2:$Q$103,3+counta($F$1:Q$1),false)</f>
        <v>0.25</v>
      </c>
    </row>
    <row r="22" ht="15.75" customHeight="1">
      <c r="A22" s="15">
        <f>Main!A22</f>
        <v>21</v>
      </c>
      <c r="B22" s="15" t="str">
        <f>Main!B22</f>
        <v>An alleged sexual predator will recieve an Emmy or Oscar by mainstream media (Andrew’s system)</v>
      </c>
      <c r="C22" s="15" t="str">
        <f>Main!C22</f>
        <v>Celebrities</v>
      </c>
      <c r="D22" s="15">
        <v>0.7</v>
      </c>
      <c r="F22" s="99">
        <f>$D22-vlookup(Summary!$C22,Summary!$C$2:$Q$103,3+counta($F$1:F$1),false)</f>
        <v>0.3</v>
      </c>
      <c r="G22" s="99">
        <f>$D22-vlookup(Summary!$C22,Summary!$C$2:$Q$103,3+counta($F$1:G$1),false)</f>
        <v>0.4</v>
      </c>
      <c r="H22" s="99">
        <f>$D22-vlookup(Summary!$C22,Summary!$C$2:$Q$103,3+counta($F$1:H$1),false)</f>
        <v>0.4</v>
      </c>
      <c r="I22" s="99">
        <f>$D22-vlookup(Summary!$C22,Summary!$C$2:$Q$103,3+counta($F$1:I$1),false)</f>
        <v>0.5</v>
      </c>
      <c r="J22" s="99">
        <f>$D22-vlookup(Summary!$C22,Summary!$C$2:$Q$103,3+counta($F$1:J$1),false)</f>
        <v>0.1</v>
      </c>
      <c r="K22" s="99">
        <f>$D22-vlookup(Summary!$C22,Summary!$C$2:$Q$103,3+counta($F$1:K$1),false)</f>
        <v>0</v>
      </c>
      <c r="L22" s="99">
        <f>$D22-vlookup(Summary!$C22,Summary!$C$2:$Q$103,3+counta($F$1:L$1),false)</f>
        <v>0.5</v>
      </c>
      <c r="M22" s="99">
        <f>$D22-vlookup(Summary!$C22,Summary!$C$2:$Q$103,3+counta($F$1:M$1),false)</f>
        <v>0.4</v>
      </c>
      <c r="N22" s="99">
        <f>$D22-vlookup(Summary!$C22,Summary!$C$2:$Q$103,3+counta($F$1:N$1),false)</f>
        <v>-0.1</v>
      </c>
      <c r="O22" s="99">
        <f>$D22-vlookup(Summary!$C22,Summary!$C$2:$Q$103,3+counta($F$1:O$1),false)</f>
        <v>0.05</v>
      </c>
      <c r="P22" s="99">
        <f>$D22-vlookup(Summary!$C22,Summary!$C$2:$Q$103,3+counta($F$1:P$1),false)</f>
        <v>0.6</v>
      </c>
      <c r="Q22" s="99">
        <f>$D22-vlookup(Summary!$C22,Summary!$C$2:$Q$103,3+counta($F$1:Q$1),false)</f>
        <v>0.1</v>
      </c>
    </row>
    <row r="23" ht="15.75" customHeight="1">
      <c r="A23" s="15">
        <f>Main!A23</f>
        <v>22</v>
      </c>
      <c r="B23" s="15" t="str">
        <f>Main!B23</f>
        <v>The Queen will die</v>
      </c>
      <c r="C23" s="15" t="str">
        <f>Main!C23</f>
        <v>Celebrities</v>
      </c>
      <c r="D23" s="15">
        <v>0.7</v>
      </c>
      <c r="F23" s="99">
        <f>$D23-vlookup(Summary!$C23,Summary!$C$2:$Q$103,3+counta($F$1:F$1),false)</f>
        <v>0.3</v>
      </c>
      <c r="G23" s="99">
        <f>$D23-vlookup(Summary!$C23,Summary!$C$2:$Q$103,3+counta($F$1:G$1),false)</f>
        <v>0.5</v>
      </c>
      <c r="H23" s="99">
        <f>$D23-vlookup(Summary!$C23,Summary!$C$2:$Q$103,3+counta($F$1:H$1),false)</f>
        <v>-0.2</v>
      </c>
      <c r="I23" s="99">
        <f>$D23-vlookup(Summary!$C23,Summary!$C$2:$Q$103,3+counta($F$1:I$1),false)</f>
        <v>0.4</v>
      </c>
      <c r="J23" s="99">
        <f>$D23-vlookup(Summary!$C23,Summary!$C$2:$Q$103,3+counta($F$1:J$1),false)</f>
        <v>0</v>
      </c>
      <c r="K23" s="99">
        <f>$D23-vlookup(Summary!$C23,Summary!$C$2:$Q$103,3+counta($F$1:K$1),false)</f>
        <v>0</v>
      </c>
      <c r="L23" s="99">
        <f>$D23-vlookup(Summary!$C23,Summary!$C$2:$Q$103,3+counta($F$1:L$1),false)</f>
        <v>0.65</v>
      </c>
      <c r="M23" s="99">
        <f>$D23-vlookup(Summary!$C23,Summary!$C$2:$Q$103,3+counta($F$1:M$1),false)</f>
        <v>-0.2</v>
      </c>
      <c r="N23" s="99">
        <f>$D23-vlookup(Summary!$C23,Summary!$C$2:$Q$103,3+counta($F$1:N$1),false)</f>
        <v>-0.2</v>
      </c>
      <c r="O23" s="99">
        <f>$D23-vlookup(Summary!$C23,Summary!$C$2:$Q$103,3+counta($F$1:O$1),false)</f>
        <v>0.35</v>
      </c>
      <c r="P23" s="99">
        <f>$D23-vlookup(Summary!$C23,Summary!$C$2:$Q$103,3+counta($F$1:P$1),false)</f>
        <v>0.6</v>
      </c>
      <c r="Q23" s="99">
        <f>$D23-vlookup(Summary!$C23,Summary!$C$2:$Q$103,3+counta($F$1:Q$1),false)</f>
        <v>0.4</v>
      </c>
    </row>
    <row r="24" ht="15.75" customHeight="1">
      <c r="A24" s="15">
        <f>Main!A24</f>
        <v>23</v>
      </c>
      <c r="B24" s="15" t="str">
        <f>Main!B24</f>
        <v>Ghislaine Maxwell will successfully strike a plea deal and reduce her aggregate sentence to no greater than 10 years with parole no greater than 5 years.</v>
      </c>
      <c r="C24" s="15" t="str">
        <f>Main!C24</f>
        <v>Celebrities</v>
      </c>
      <c r="D24" s="15">
        <v>0.65</v>
      </c>
      <c r="F24" s="99">
        <f>$D24-vlookup(Summary!$C24,Summary!$C$2:$Q$103,3+counta($F$1:F$1),false)</f>
        <v>0.2</v>
      </c>
      <c r="G24" s="99">
        <f>$D24-vlookup(Summary!$C24,Summary!$C$2:$Q$103,3+counta($F$1:G$1),false)</f>
        <v>-0.05</v>
      </c>
      <c r="H24" s="99">
        <f>$D24-vlookup(Summary!$C24,Summary!$C$2:$Q$103,3+counta($F$1:H$1),false)</f>
        <v>-0.05</v>
      </c>
      <c r="I24" s="99">
        <f>$D24-vlookup(Summary!$C24,Summary!$C$2:$Q$103,3+counta($F$1:I$1),false)</f>
        <v>0.55</v>
      </c>
      <c r="J24" s="99">
        <f>$D24-vlookup(Summary!$C24,Summary!$C$2:$Q$103,3+counta($F$1:J$1),false)</f>
        <v>-0.25</v>
      </c>
      <c r="K24" s="99">
        <f>$D24-vlookup(Summary!$C24,Summary!$C$2:$Q$103,3+counta($F$1:K$1),false)</f>
        <v>0</v>
      </c>
      <c r="L24" s="99">
        <f>$D24-vlookup(Summary!$C24,Summary!$C$2:$Q$103,3+counta($F$1:L$1),false)</f>
        <v>0.45</v>
      </c>
      <c r="M24" s="99">
        <f>$D24-vlookup(Summary!$C24,Summary!$C$2:$Q$103,3+counta($F$1:M$1),false)</f>
        <v>-0.05</v>
      </c>
      <c r="N24" s="99">
        <f>$D24-vlookup(Summary!$C24,Summary!$C$2:$Q$103,3+counta($F$1:N$1),false)</f>
        <v>0.55</v>
      </c>
      <c r="O24" s="99">
        <f>$D24-vlookup(Summary!$C24,Summary!$C$2:$Q$103,3+counta($F$1:O$1),false)</f>
        <v>0</v>
      </c>
      <c r="P24" s="99">
        <f>$D24-vlookup(Summary!$C24,Summary!$C$2:$Q$103,3+counta($F$1:P$1),false)</f>
        <v>-0.05</v>
      </c>
      <c r="Q24" s="99">
        <f>$D24-vlookup(Summary!$C24,Summary!$C$2:$Q$103,3+counta($F$1:Q$1),false)</f>
        <v>0.15</v>
      </c>
    </row>
    <row r="25" ht="15.75" customHeight="1">
      <c r="A25" s="15">
        <f>Main!A25</f>
        <v>24</v>
      </c>
      <c r="B25" s="15" t="str">
        <f>Main!B25</f>
        <v>Formal criminal charges will be laid against Prince Andrew for sex offenses</v>
      </c>
      <c r="C25" s="15" t="str">
        <f>Main!C25</f>
        <v>Celebrities</v>
      </c>
      <c r="D25" s="15">
        <v>0.65</v>
      </c>
      <c r="F25" s="99">
        <f>$D25-vlookup(Summary!$C25,Summary!$C$2:$Q$103,3+counta($F$1:F$1),false)</f>
        <v>0.05</v>
      </c>
      <c r="G25" s="99">
        <f>$D25-vlookup(Summary!$C25,Summary!$C$2:$Q$103,3+counta($F$1:G$1),false)</f>
        <v>0.45</v>
      </c>
      <c r="H25" s="99">
        <f>$D25-vlookup(Summary!$C25,Summary!$C$2:$Q$103,3+counta($F$1:H$1),false)</f>
        <v>-0.05</v>
      </c>
      <c r="I25" s="99">
        <f>$D25-vlookup(Summary!$C25,Summary!$C$2:$Q$103,3+counta($F$1:I$1),false)</f>
        <v>-0.25</v>
      </c>
      <c r="J25" s="99">
        <f>$D25-vlookup(Summary!$C25,Summary!$C$2:$Q$103,3+counta($F$1:J$1),false)</f>
        <v>0.55</v>
      </c>
      <c r="K25" s="99">
        <f>$D25-vlookup(Summary!$C25,Summary!$C$2:$Q$103,3+counta($F$1:K$1),false)</f>
        <v>0</v>
      </c>
      <c r="L25" s="99">
        <f>$D25-vlookup(Summary!$C25,Summary!$C$2:$Q$103,3+counta($F$1:L$1),false)</f>
        <v>0.5</v>
      </c>
      <c r="M25" s="99">
        <f>$D25-vlookup(Summary!$C25,Summary!$C$2:$Q$103,3+counta($F$1:M$1),false)</f>
        <v>-0.05</v>
      </c>
      <c r="N25" s="99">
        <f>$D25-vlookup(Summary!$C25,Summary!$C$2:$Q$103,3+counta($F$1:N$1),false)</f>
        <v>0.45</v>
      </c>
      <c r="O25" s="99">
        <f>$D25-vlookup(Summary!$C25,Summary!$C$2:$Q$103,3+counta($F$1:O$1),false)</f>
        <v>0.5</v>
      </c>
      <c r="P25" s="99">
        <f>$D25-vlookup(Summary!$C25,Summary!$C$2:$Q$103,3+counta($F$1:P$1),false)</f>
        <v>0.15</v>
      </c>
      <c r="Q25" s="99">
        <f>$D25-vlookup(Summary!$C25,Summary!$C$2:$Q$103,3+counta($F$1:Q$1),false)</f>
        <v>0.15</v>
      </c>
    </row>
    <row r="26" ht="15.75" customHeight="1">
      <c r="A26" s="15">
        <f>Main!A26</f>
        <v>25</v>
      </c>
      <c r="B26" s="15" t="str">
        <f>Main!B26</f>
        <v>Elizabeth Holmes will be sentenced to no greater than 15 years imprisonment.</v>
      </c>
      <c r="C26" s="15" t="str">
        <f>Main!C26</f>
        <v>Celebrities</v>
      </c>
      <c r="D26" s="15">
        <v>0.7</v>
      </c>
      <c r="F26" s="99">
        <f>$D26-vlookup(Summary!$C26,Summary!$C$2:$Q$103,3+counta($F$1:F$1),false)</f>
        <v>0.1</v>
      </c>
      <c r="G26" s="99">
        <f>$D26-vlookup(Summary!$C26,Summary!$C$2:$Q$103,3+counta($F$1:G$1),false)</f>
        <v>-0.2</v>
      </c>
      <c r="H26" s="99">
        <f>$D26-vlookup(Summary!$C26,Summary!$C$2:$Q$103,3+counta($F$1:H$1),false)</f>
        <v>-0.1</v>
      </c>
      <c r="I26" s="99">
        <f>$D26-vlookup(Summary!$C26,Summary!$C$2:$Q$103,3+counta($F$1:I$1),false)</f>
        <v>0.2</v>
      </c>
      <c r="J26" s="99">
        <f>$D26-vlookup(Summary!$C26,Summary!$C$2:$Q$103,3+counta($F$1:J$1),false)</f>
        <v>-0.2</v>
      </c>
      <c r="K26" s="99">
        <f>$D26-vlookup(Summary!$C26,Summary!$C$2:$Q$103,3+counta($F$1:K$1),false)</f>
        <v>0</v>
      </c>
      <c r="L26" s="99">
        <f>$D26-vlookup(Summary!$C26,Summary!$C$2:$Q$103,3+counta($F$1:L$1),false)</f>
        <v>0</v>
      </c>
      <c r="M26" s="99">
        <f>$D26-vlookup(Summary!$C26,Summary!$C$2:$Q$103,3+counta($F$1:M$1),false)</f>
        <v>-0.1</v>
      </c>
      <c r="N26" s="99">
        <f>$D26-vlookup(Summary!$C26,Summary!$C$2:$Q$103,3+counta($F$1:N$1),false)</f>
        <v>-0.2</v>
      </c>
      <c r="O26" s="99">
        <f>$D26-vlookup(Summary!$C26,Summary!$C$2:$Q$103,3+counta($F$1:O$1),false)</f>
        <v>-0.15</v>
      </c>
      <c r="P26" s="99">
        <f>$D26-vlookup(Summary!$C26,Summary!$C$2:$Q$103,3+counta($F$1:P$1),false)</f>
        <v>0.2</v>
      </c>
      <c r="Q26" s="99">
        <f>$D26-vlookup(Summary!$C26,Summary!$C$2:$Q$103,3+counta($F$1:Q$1),false)</f>
        <v>0</v>
      </c>
    </row>
    <row r="27" ht="15.75" customHeight="1">
      <c r="A27" s="15">
        <f>Main!A27</f>
        <v>26</v>
      </c>
      <c r="B27" s="15" t="str">
        <f>Main!B27</f>
        <v>Meghan and Harry will separate</v>
      </c>
      <c r="C27" s="15" t="str">
        <f>Main!C27</f>
        <v>Celebrities</v>
      </c>
      <c r="D27" s="15">
        <v>0.2</v>
      </c>
      <c r="F27" s="99">
        <f>$D27-vlookup(Summary!$C27,Summary!$C$2:$Q$103,3+counta($F$1:F$1),false)</f>
        <v>0</v>
      </c>
      <c r="G27" s="99">
        <f>$D27-vlookup(Summary!$C27,Summary!$C$2:$Q$103,3+counta($F$1:G$1),false)</f>
        <v>0.1</v>
      </c>
      <c r="H27" s="99">
        <f>$D27-vlookup(Summary!$C27,Summary!$C$2:$Q$103,3+counta($F$1:H$1),false)</f>
        <v>0</v>
      </c>
      <c r="I27" s="99">
        <f>$D27-vlookup(Summary!$C27,Summary!$C$2:$Q$103,3+counta($F$1:I$1),false)</f>
        <v>0.1</v>
      </c>
      <c r="J27" s="99">
        <f>$D27-vlookup(Summary!$C27,Summary!$C$2:$Q$103,3+counta($F$1:J$1),false)</f>
        <v>-0.3</v>
      </c>
      <c r="K27" s="99">
        <f>$D27-vlookup(Summary!$C27,Summary!$C$2:$Q$103,3+counta($F$1:K$1),false)</f>
        <v>0</v>
      </c>
      <c r="L27" s="99">
        <f>$D27-vlookup(Summary!$C27,Summary!$C$2:$Q$103,3+counta($F$1:L$1),false)</f>
        <v>0.15</v>
      </c>
      <c r="M27" s="99">
        <f>$D27-vlookup(Summary!$C27,Summary!$C$2:$Q$103,3+counta($F$1:M$1),false)</f>
        <v>0</v>
      </c>
      <c r="N27" s="99">
        <f>$D27-vlookup(Summary!$C27,Summary!$C$2:$Q$103,3+counta($F$1:N$1),false)</f>
        <v>-0.6</v>
      </c>
      <c r="O27" s="99">
        <f>$D27-vlookup(Summary!$C27,Summary!$C$2:$Q$103,3+counta($F$1:O$1),false)</f>
        <v>0.05</v>
      </c>
      <c r="P27" s="99">
        <f>$D27-vlookup(Summary!$C27,Summary!$C$2:$Q$103,3+counta($F$1:P$1),false)</f>
        <v>0.1</v>
      </c>
      <c r="Q27" s="99">
        <f>$D27-vlookup(Summary!$C27,Summary!$C$2:$Q$103,3+counta($F$1:Q$1),false)</f>
        <v>-0.1</v>
      </c>
    </row>
    <row r="28" ht="15.75" customHeight="1">
      <c r="A28" s="15">
        <f>Main!A28</f>
        <v>27</v>
      </c>
      <c r="B28" s="15" t="str">
        <f>Main!B28</f>
        <v>Tom Holland and Zendaya will separate.</v>
      </c>
      <c r="C28" s="15" t="str">
        <f>Main!C28</f>
        <v>Celebrities</v>
      </c>
      <c r="D28" s="15">
        <v>0.65</v>
      </c>
      <c r="F28" s="99">
        <f>$D28-vlookup(Summary!$C28,Summary!$C$2:$Q$103,3+counta($F$1:F$1),false)</f>
        <v>0.05</v>
      </c>
      <c r="G28" s="99">
        <f>$D28-vlookup(Summary!$C28,Summary!$C$2:$Q$103,3+counta($F$1:G$1),false)</f>
        <v>0.05</v>
      </c>
      <c r="H28" s="99">
        <f>$D28-vlookup(Summary!$C28,Summary!$C$2:$Q$103,3+counta($F$1:H$1),false)</f>
        <v>0.45</v>
      </c>
      <c r="I28" s="99">
        <f>$D28-vlookup(Summary!$C28,Summary!$C$2:$Q$103,3+counta($F$1:I$1),false)</f>
        <v>0.15</v>
      </c>
      <c r="J28" s="99">
        <f>$D28-vlookup(Summary!$C28,Summary!$C$2:$Q$103,3+counta($F$1:J$1),false)</f>
        <v>0.25</v>
      </c>
      <c r="K28" s="99">
        <f>$D28-vlookup(Summary!$C28,Summary!$C$2:$Q$103,3+counta($F$1:K$1),false)</f>
        <v>0</v>
      </c>
      <c r="L28" s="99">
        <f>$D28-vlookup(Summary!$C28,Summary!$C$2:$Q$103,3+counta($F$1:L$1),false)</f>
        <v>0.45</v>
      </c>
      <c r="M28" s="99">
        <f>$D28-vlookup(Summary!$C28,Summary!$C$2:$Q$103,3+counta($F$1:M$1),false)</f>
        <v>0.45</v>
      </c>
      <c r="N28" s="99">
        <f>$D28-vlookup(Summary!$C28,Summary!$C$2:$Q$103,3+counta($F$1:N$1),false)</f>
        <v>-0.25</v>
      </c>
      <c r="O28" s="99">
        <f>$D28-vlookup(Summary!$C28,Summary!$C$2:$Q$103,3+counta($F$1:O$1),false)</f>
        <v>0.15</v>
      </c>
      <c r="P28" s="99">
        <f>$D28-vlookup(Summary!$C28,Summary!$C$2:$Q$103,3+counta($F$1:P$1),false)</f>
        <v>0.15</v>
      </c>
      <c r="Q28" s="99">
        <f>$D28-vlookup(Summary!$C28,Summary!$C$2:$Q$103,3+counta($F$1:Q$1),false)</f>
        <v>0.25</v>
      </c>
    </row>
    <row r="29" ht="15.75" customHeight="1">
      <c r="A29" s="15">
        <f>Main!A29</f>
        <v>28</v>
      </c>
      <c r="B29" s="15" t="str">
        <f>Main!B29</f>
        <v>Donald Trump endorses on social media a movement that is called White Lives Matter</v>
      </c>
      <c r="C29" s="15" t="str">
        <f>Main!C29</f>
        <v>Celebrities</v>
      </c>
      <c r="D29" s="15">
        <v>0.45</v>
      </c>
      <c r="F29" s="99">
        <f>$D29-vlookup(Summary!$C29,Summary!$C$2:$Q$103,3+counta($F$1:F$1),false)</f>
        <v>0.15</v>
      </c>
      <c r="G29" s="99">
        <f>$D29-vlookup(Summary!$C29,Summary!$C$2:$Q$103,3+counta($F$1:G$1),false)</f>
        <v>0.15</v>
      </c>
      <c r="H29" s="99">
        <f>$D29-vlookup(Summary!$C29,Summary!$C$2:$Q$103,3+counta($F$1:H$1),false)</f>
        <v>-0.35</v>
      </c>
      <c r="I29" s="99">
        <f>$D29-vlookup(Summary!$C29,Summary!$C$2:$Q$103,3+counta($F$1:I$1),false)</f>
        <v>0.35</v>
      </c>
      <c r="J29" s="99">
        <f>$D29-vlookup(Summary!$C29,Summary!$C$2:$Q$103,3+counta($F$1:J$1),false)</f>
        <v>-0.45</v>
      </c>
      <c r="K29" s="99">
        <f>$D29-vlookup(Summary!$C29,Summary!$C$2:$Q$103,3+counta($F$1:K$1),false)</f>
        <v>0</v>
      </c>
      <c r="L29" s="99">
        <f>$D29-vlookup(Summary!$C29,Summary!$C$2:$Q$103,3+counta($F$1:L$1),false)</f>
        <v>0.449</v>
      </c>
      <c r="M29" s="99">
        <f>$D29-vlookup(Summary!$C29,Summary!$C$2:$Q$103,3+counta($F$1:M$1),false)</f>
        <v>-0.35</v>
      </c>
      <c r="N29" s="99">
        <f>$D29-vlookup(Summary!$C29,Summary!$C$2:$Q$103,3+counta($F$1:N$1),false)</f>
        <v>-0.45</v>
      </c>
      <c r="O29" s="99">
        <f>$D29-vlookup(Summary!$C29,Summary!$C$2:$Q$103,3+counta($F$1:O$1),false)</f>
        <v>0.449</v>
      </c>
      <c r="P29" s="99">
        <f>$D29-vlookup(Summary!$C29,Summary!$C$2:$Q$103,3+counta($F$1:P$1),false)</f>
        <v>0.35</v>
      </c>
      <c r="Q29" s="99">
        <f>$D29-vlookup(Summary!$C29,Summary!$C$2:$Q$103,3+counta($F$1:Q$1),false)</f>
        <v>-0.1</v>
      </c>
    </row>
    <row r="30" ht="15.75" customHeight="1">
      <c r="A30" s="15">
        <f>Main!A30</f>
        <v>29</v>
      </c>
      <c r="B30" s="15" t="str">
        <f>Main!B30</f>
        <v>Britney Spears returns under conservatorship</v>
      </c>
      <c r="C30" s="15" t="str">
        <f>Main!C30</f>
        <v>Celebrities</v>
      </c>
      <c r="D30" s="15">
        <v>0.0</v>
      </c>
      <c r="F30" s="99">
        <f>$D30-vlookup(Summary!$C30,Summary!$C$2:$Q$103,3+counta($F$1:F$1),false)</f>
        <v>-0.1</v>
      </c>
      <c r="G30" s="99">
        <f>$D30-vlookup(Summary!$C30,Summary!$C$2:$Q$103,3+counta($F$1:G$1),false)</f>
        <v>-0.1</v>
      </c>
      <c r="H30" s="99">
        <f>$D30-vlookup(Summary!$C30,Summary!$C$2:$Q$103,3+counta($F$1:H$1),false)</f>
        <v>-0.05</v>
      </c>
      <c r="I30" s="99">
        <f>$D30-vlookup(Summary!$C30,Summary!$C$2:$Q$103,3+counta($F$1:I$1),false)</f>
        <v>-0.05</v>
      </c>
      <c r="J30" s="99">
        <f>$D30-vlookup(Summary!$C30,Summary!$C$2:$Q$103,3+counta($F$1:J$1),false)</f>
        <v>-0.1</v>
      </c>
      <c r="K30" s="99">
        <f>$D30-vlookup(Summary!$C30,Summary!$C$2:$Q$103,3+counta($F$1:K$1),false)</f>
        <v>0</v>
      </c>
      <c r="L30" s="99">
        <f>$D30-vlookup(Summary!$C30,Summary!$C$2:$Q$103,3+counta($F$1:L$1),false)</f>
        <v>-0.05</v>
      </c>
      <c r="M30" s="99">
        <f>$D30-vlookup(Summary!$C30,Summary!$C$2:$Q$103,3+counta($F$1:M$1),false)</f>
        <v>-0.05</v>
      </c>
      <c r="N30" s="99">
        <f>$D30-vlookup(Summary!$C30,Summary!$C$2:$Q$103,3+counta($F$1:N$1),false)</f>
        <v>-0.1</v>
      </c>
      <c r="O30" s="99">
        <f>$D30-vlookup(Summary!$C30,Summary!$C$2:$Q$103,3+counta($F$1:O$1),false)</f>
        <v>-0.001</v>
      </c>
      <c r="P30" s="99">
        <f>$D30-vlookup(Summary!$C30,Summary!$C$2:$Q$103,3+counta($F$1:P$1),false)</f>
        <v>-0.1</v>
      </c>
      <c r="Q30" s="99">
        <f>$D30-vlookup(Summary!$C30,Summary!$C$2:$Q$103,3+counta($F$1:Q$1),false)</f>
        <v>-0.5</v>
      </c>
    </row>
    <row r="31" ht="15.75" customHeight="1">
      <c r="A31" s="15">
        <f>Main!A31</f>
        <v>30</v>
      </c>
      <c r="B31" s="15" t="str">
        <f>Main!B31</f>
        <v>Taylor Swift and her partner separate, or announce they're expecting a child</v>
      </c>
      <c r="C31" s="15" t="str">
        <f>Main!C31</f>
        <v>Celebrities</v>
      </c>
      <c r="D31" s="15">
        <v>0.6</v>
      </c>
      <c r="F31" s="99">
        <f>$D31-vlookup(Summary!$C31,Summary!$C$2:$Q$103,3+counta($F$1:F$1),false)</f>
        <v>0.2</v>
      </c>
      <c r="G31" s="99">
        <f>$D31-vlookup(Summary!$C31,Summary!$C$2:$Q$103,3+counta($F$1:G$1),false)</f>
        <v>0.3</v>
      </c>
      <c r="H31" s="99">
        <f>$D31-vlookup(Summary!$C31,Summary!$C$2:$Q$103,3+counta($F$1:H$1),false)</f>
        <v>-0.1</v>
      </c>
      <c r="I31" s="99">
        <f>$D31-vlookup(Summary!$C31,Summary!$C$2:$Q$103,3+counta($F$1:I$1),false)</f>
        <v>0.5</v>
      </c>
      <c r="J31" s="99">
        <f>$D31-vlookup(Summary!$C31,Summary!$C$2:$Q$103,3+counta($F$1:J$1),false)</f>
        <v>-0.1</v>
      </c>
      <c r="K31" s="99">
        <f>$D31-vlookup(Summary!$C31,Summary!$C$2:$Q$103,3+counta($F$1:K$1),false)</f>
        <v>0</v>
      </c>
      <c r="L31" s="99">
        <f>$D31-vlookup(Summary!$C31,Summary!$C$2:$Q$103,3+counta($F$1:L$1),false)</f>
        <v>0.5</v>
      </c>
      <c r="M31" s="99">
        <f>$D31-vlookup(Summary!$C31,Summary!$C$2:$Q$103,3+counta($F$1:M$1),false)</f>
        <v>-0.1</v>
      </c>
      <c r="N31" s="99">
        <f>$D31-vlookup(Summary!$C31,Summary!$C$2:$Q$103,3+counta($F$1:N$1),false)</f>
        <v>-0.3</v>
      </c>
      <c r="O31" s="99">
        <f>$D31-vlookup(Summary!$C31,Summary!$C$2:$Q$103,3+counta($F$1:O$1),false)</f>
        <v>0.45</v>
      </c>
      <c r="P31" s="99">
        <f>$D31-vlookup(Summary!$C31,Summary!$C$2:$Q$103,3+counta($F$1:P$1),false)</f>
        <v>0.1</v>
      </c>
      <c r="Q31" s="99">
        <f>$D31-vlookup(Summary!$C31,Summary!$C$2:$Q$103,3+counta($F$1:Q$1),false)</f>
        <v>0.4</v>
      </c>
    </row>
    <row r="32" ht="15.75" customHeight="1">
      <c r="A32" s="15">
        <f>Main!A32</f>
        <v>31</v>
      </c>
      <c r="B32" s="15" t="str">
        <f>Main!B32</f>
        <v>Aung San Suu Kyi dies or announces she has a terminal illness (terminal illness including cancer)</v>
      </c>
      <c r="C32" s="15" t="str">
        <f>Main!C32</f>
        <v>Celebrities</v>
      </c>
      <c r="D32" s="15">
        <v>0.45</v>
      </c>
      <c r="F32" s="99">
        <f>$D32-vlookup(Summary!$C32,Summary!$C$2:$Q$103,3+counta($F$1:F$1),false)</f>
        <v>-0.05</v>
      </c>
      <c r="G32" s="99">
        <f>$D32-vlookup(Summary!$C32,Summary!$C$2:$Q$103,3+counta($F$1:G$1),false)</f>
        <v>0.05</v>
      </c>
      <c r="H32" s="99">
        <f>$D32-vlookup(Summary!$C32,Summary!$C$2:$Q$103,3+counta($F$1:H$1),false)</f>
        <v>-0.05</v>
      </c>
      <c r="I32" s="99">
        <f>$D32-vlookup(Summary!$C32,Summary!$C$2:$Q$103,3+counta($F$1:I$1),false)</f>
        <v>0.25</v>
      </c>
      <c r="J32" s="99">
        <f>$D32-vlookup(Summary!$C32,Summary!$C$2:$Q$103,3+counta($F$1:J$1),false)</f>
        <v>0.15</v>
      </c>
      <c r="K32" s="99">
        <f>$D32-vlookup(Summary!$C32,Summary!$C$2:$Q$103,3+counta($F$1:K$1),false)</f>
        <v>0</v>
      </c>
      <c r="L32" s="99">
        <f>$D32-vlookup(Summary!$C32,Summary!$C$2:$Q$103,3+counta($F$1:L$1),false)</f>
        <v>0.25</v>
      </c>
      <c r="M32" s="99">
        <f>$D32-vlookup(Summary!$C32,Summary!$C$2:$Q$103,3+counta($F$1:M$1),false)</f>
        <v>-0.05</v>
      </c>
      <c r="N32" s="99">
        <f>$D32-vlookup(Summary!$C32,Summary!$C$2:$Q$103,3+counta($F$1:N$1),false)</f>
        <v>0.35</v>
      </c>
      <c r="O32" s="99">
        <f>$D32-vlookup(Summary!$C32,Summary!$C$2:$Q$103,3+counta($F$1:O$1),false)</f>
        <v>0.1</v>
      </c>
      <c r="P32" s="99">
        <f>$D32-vlookup(Summary!$C32,Summary!$C$2:$Q$103,3+counta($F$1:P$1),false)</f>
        <v>0.35</v>
      </c>
      <c r="Q32" s="99">
        <f>$D32-vlookup(Summary!$C32,Summary!$C$2:$Q$103,3+counta($F$1:Q$1),false)</f>
        <v>-0.05</v>
      </c>
    </row>
    <row r="33" ht="15.75" customHeight="1">
      <c r="A33" s="15">
        <f>Main!A33</f>
        <v>32</v>
      </c>
      <c r="B33" s="15" t="str">
        <f>Main!B33</f>
        <v>Henry Cavill marries</v>
      </c>
      <c r="C33" s="15" t="str">
        <f>Main!C33</f>
        <v>Celebrities</v>
      </c>
      <c r="D33" s="15">
        <v>0.5</v>
      </c>
      <c r="F33" s="99">
        <f>$D33-vlookup(Summary!$C33,Summary!$C$2:$Q$103,3+counta($F$1:F$1),false)</f>
        <v>-0.05</v>
      </c>
      <c r="G33" s="99">
        <f>$D33-vlookup(Summary!$C33,Summary!$C$2:$Q$103,3+counta($F$1:G$1),false)</f>
        <v>-0.1</v>
      </c>
      <c r="H33" s="99">
        <f>$D33-vlookup(Summary!$C33,Summary!$C$2:$Q$103,3+counta($F$1:H$1),false)</f>
        <v>0.4</v>
      </c>
      <c r="I33" s="99">
        <f>$D33-vlookup(Summary!$C33,Summary!$C$2:$Q$103,3+counta($F$1:I$1),false)</f>
        <v>0.3</v>
      </c>
      <c r="J33" s="99">
        <f>$D33-vlookup(Summary!$C33,Summary!$C$2:$Q$103,3+counta($F$1:J$1),false)</f>
        <v>0.1</v>
      </c>
      <c r="K33" s="99">
        <f>$D33-vlookup(Summary!$C33,Summary!$C$2:$Q$103,3+counta($F$1:K$1),false)</f>
        <v>0</v>
      </c>
      <c r="L33" s="99">
        <f>$D33-vlookup(Summary!$C33,Summary!$C$2:$Q$103,3+counta($F$1:L$1),false)</f>
        <v>0.3</v>
      </c>
      <c r="M33" s="99">
        <f>$D33-vlookup(Summary!$C33,Summary!$C$2:$Q$103,3+counta($F$1:M$1),false)</f>
        <v>0.4</v>
      </c>
      <c r="N33" s="99">
        <f>$D33-vlookup(Summary!$C33,Summary!$C$2:$Q$103,3+counta($F$1:N$1),false)</f>
        <v>0</v>
      </c>
      <c r="O33" s="99">
        <f>$D33-vlookup(Summary!$C33,Summary!$C$2:$Q$103,3+counta($F$1:O$1),false)</f>
        <v>0.35</v>
      </c>
      <c r="P33" s="99">
        <f>$D33-vlookup(Summary!$C33,Summary!$C$2:$Q$103,3+counta($F$1:P$1),false)</f>
        <v>0</v>
      </c>
      <c r="Q33" s="99">
        <f>$D33-vlookup(Summary!$C33,Summary!$C$2:$Q$103,3+counta($F$1:Q$1),false)</f>
        <v>0.1</v>
      </c>
    </row>
    <row r="34" ht="15.75" customHeight="1">
      <c r="A34" s="15">
        <f>Main!A34</f>
        <v>33</v>
      </c>
      <c r="B34" s="15" t="str">
        <f>Main!B34</f>
        <v>Daily COVID cases in Australia will reach 150,000 at least once</v>
      </c>
      <c r="C34" s="15" t="str">
        <f>Main!C34</f>
        <v>Covid</v>
      </c>
      <c r="D34" s="15">
        <v>0.6</v>
      </c>
      <c r="F34" s="99">
        <f>$D34-vlookup(Summary!$C34,Summary!$C$2:$Q$103,3+counta($F$1:F$1),false)</f>
        <v>0.5</v>
      </c>
      <c r="G34" s="99">
        <f>$D34-vlookup(Summary!$C34,Summary!$C$2:$Q$103,3+counta($F$1:G$1),false)</f>
        <v>0.4</v>
      </c>
      <c r="H34" s="99">
        <f>$D34-vlookup(Summary!$C34,Summary!$C$2:$Q$103,3+counta($F$1:H$1),false)</f>
        <v>0.59</v>
      </c>
      <c r="I34" s="99">
        <f>$D34-vlookup(Summary!$C34,Summary!$C$2:$Q$103,3+counta($F$1:I$1),false)</f>
        <v>0.5</v>
      </c>
      <c r="J34" s="99">
        <f>$D34-vlookup(Summary!$C34,Summary!$C$2:$Q$103,3+counta($F$1:J$1),false)</f>
        <v>-0.3</v>
      </c>
      <c r="K34" s="99">
        <f>$D34-vlookup(Summary!$C34,Summary!$C$2:$Q$103,3+counta($F$1:K$1),false)</f>
        <v>0</v>
      </c>
      <c r="L34" s="99">
        <f>$D34-vlookup(Summary!$C34,Summary!$C$2:$Q$103,3+counta($F$1:L$1),false)</f>
        <v>0.55</v>
      </c>
      <c r="M34" s="99">
        <f>$D34-vlookup(Summary!$C34,Summary!$C$2:$Q$103,3+counta($F$1:M$1),false)</f>
        <v>0.59</v>
      </c>
      <c r="N34" s="99">
        <f>$D34-vlookup(Summary!$C34,Summary!$C$2:$Q$103,3+counta($F$1:N$1),false)</f>
        <v>0.2</v>
      </c>
      <c r="O34" s="99">
        <f>$D34-vlookup(Summary!$C34,Summary!$C$2:$Q$103,3+counta($F$1:O$1),false)</f>
        <v>0.45</v>
      </c>
      <c r="P34" s="99">
        <f>$D34-vlookup(Summary!$C34,Summary!$C$2:$Q$103,3+counta($F$1:P$1),false)</f>
        <v>-0.3</v>
      </c>
      <c r="Q34" s="99">
        <f>$D34-vlookup(Summary!$C34,Summary!$C$2:$Q$103,3+counta($F$1:Q$1),false)</f>
        <v>-0.3</v>
      </c>
    </row>
    <row r="35" ht="15.75" customHeight="1">
      <c r="A35" s="15">
        <f>Main!A35</f>
        <v>34</v>
      </c>
      <c r="B35" s="15" t="str">
        <f>Main!B35</f>
        <v>More deaths will be attributed to Omicron by the WHO than all other covid variants combined</v>
      </c>
      <c r="C35" s="15" t="str">
        <f>Main!C35</f>
        <v>Covid</v>
      </c>
      <c r="D35" s="15">
        <v>0.75</v>
      </c>
      <c r="F35" s="99">
        <f>$D35-vlookup(Summary!$C35,Summary!$C$2:$Q$103,3+counta($F$1:F$1),false)</f>
        <v>0.45</v>
      </c>
      <c r="G35" s="99">
        <f>$D35-vlookup(Summary!$C35,Summary!$C$2:$Q$103,3+counta($F$1:G$1),false)</f>
        <v>0.65</v>
      </c>
      <c r="H35" s="99">
        <f>$D35-vlookup(Summary!$C35,Summary!$C$2:$Q$103,3+counta($F$1:H$1),false)</f>
        <v>-0.05</v>
      </c>
      <c r="I35" s="99">
        <f>$D35-vlookup(Summary!$C35,Summary!$C$2:$Q$103,3+counta($F$1:I$1),false)</f>
        <v>0.65</v>
      </c>
      <c r="J35" s="99">
        <f>$D35-vlookup(Summary!$C35,Summary!$C$2:$Q$103,3+counta($F$1:J$1),false)</f>
        <v>0.35</v>
      </c>
      <c r="K35" s="99">
        <f>$D35-vlookup(Summary!$C35,Summary!$C$2:$Q$103,3+counta($F$1:K$1),false)</f>
        <v>0</v>
      </c>
      <c r="L35" s="99">
        <f>$D35-vlookup(Summary!$C35,Summary!$C$2:$Q$103,3+counta($F$1:L$1),false)</f>
        <v>0.749</v>
      </c>
      <c r="M35" s="99">
        <f>$D35-vlookup(Summary!$C35,Summary!$C$2:$Q$103,3+counta($F$1:M$1),false)</f>
        <v>-0.05</v>
      </c>
      <c r="N35" s="99">
        <f>$D35-vlookup(Summary!$C35,Summary!$C$2:$Q$103,3+counta($F$1:N$1),false)</f>
        <v>0.45</v>
      </c>
      <c r="O35" s="99">
        <f>$D35-vlookup(Summary!$C35,Summary!$C$2:$Q$103,3+counta($F$1:O$1),false)</f>
        <v>-0.1</v>
      </c>
      <c r="P35" s="99">
        <f>$D35-vlookup(Summary!$C35,Summary!$C$2:$Q$103,3+counta($F$1:P$1),false)</f>
        <v>0.25</v>
      </c>
      <c r="Q35" s="99">
        <f>$D35-vlookup(Summary!$C35,Summary!$C$2:$Q$103,3+counta($F$1:Q$1),false)</f>
        <v>0.05</v>
      </c>
    </row>
    <row r="36" ht="15.75" customHeight="1">
      <c r="A36" s="15">
        <f>Main!A36</f>
        <v>35</v>
      </c>
      <c r="B36" s="15" t="str">
        <f>Main!B36</f>
        <v>The average number of covid vaccinations per person amongst members of Xmas eve 2022 will be &gt; 3</v>
      </c>
      <c r="C36" s="15" t="str">
        <f>Main!C36</f>
        <v>Covid</v>
      </c>
      <c r="D36" s="15">
        <v>0.8</v>
      </c>
      <c r="F36" s="99">
        <f>$D36-vlookup(Summary!$C36,Summary!$C$2:$Q$103,3+counta($F$1:F$1),false)</f>
        <v>0</v>
      </c>
      <c r="G36" s="99">
        <f>$D36-vlookup(Summary!$C36,Summary!$C$2:$Q$103,3+counta($F$1:G$1),false)</f>
        <v>-0.1</v>
      </c>
      <c r="H36" s="99">
        <f>$D36-vlookup(Summary!$C36,Summary!$C$2:$Q$103,3+counta($F$1:H$1),false)</f>
        <v>-0.1</v>
      </c>
      <c r="I36" s="99">
        <f>$D36-vlookup(Summary!$C36,Summary!$C$2:$Q$103,3+counta($F$1:I$1),false)</f>
        <v>0.3</v>
      </c>
      <c r="J36" s="99">
        <f>$D36-vlookup(Summary!$C36,Summary!$C$2:$Q$103,3+counta($F$1:J$1),false)</f>
        <v>0.4</v>
      </c>
      <c r="K36" s="99">
        <f>$D36-vlookup(Summary!$C36,Summary!$C$2:$Q$103,3+counta($F$1:K$1),false)</f>
        <v>0</v>
      </c>
      <c r="L36" s="99">
        <f>$D36-vlookup(Summary!$C36,Summary!$C$2:$Q$103,3+counta($F$1:L$1),false)</f>
        <v>-0.199</v>
      </c>
      <c r="M36" s="99">
        <f>$D36-vlookup(Summary!$C36,Summary!$C$2:$Q$103,3+counta($F$1:M$1),false)</f>
        <v>-0.1</v>
      </c>
      <c r="N36" s="99">
        <f>$D36-vlookup(Summary!$C36,Summary!$C$2:$Q$103,3+counta($F$1:N$1),false)</f>
        <v>-0.1</v>
      </c>
      <c r="O36" s="99">
        <f>$D36-vlookup(Summary!$C36,Summary!$C$2:$Q$103,3+counta($F$1:O$1),false)</f>
        <v>-0.05</v>
      </c>
      <c r="P36" s="99">
        <f>$D36-vlookup(Summary!$C36,Summary!$C$2:$Q$103,3+counta($F$1:P$1),false)</f>
        <v>-0.1</v>
      </c>
      <c r="Q36" s="99">
        <f>$D36-vlookup(Summary!$C36,Summary!$C$2:$Q$103,3+counta($F$1:Q$1),false)</f>
        <v>0.4</v>
      </c>
    </row>
    <row r="37" ht="15.75" customHeight="1">
      <c r="A37" s="15">
        <f>Main!A37</f>
        <v>36</v>
      </c>
      <c r="B37" s="15" t="str">
        <f>Main!B37</f>
        <v>2 new variants of Covid will be invented/discovered during 2022</v>
      </c>
      <c r="C37" s="15" t="str">
        <f>Main!C37</f>
        <v>Covid</v>
      </c>
      <c r="D37" s="15">
        <v>0.85</v>
      </c>
      <c r="F37" s="99">
        <f>$D37-vlookup(Summary!$C37,Summary!$C$2:$Q$103,3+counta($F$1:F$1),false)</f>
        <v>0.55</v>
      </c>
      <c r="G37" s="99">
        <f>$D37-vlookup(Summary!$C37,Summary!$C$2:$Q$103,3+counta($F$1:G$1),false)</f>
        <v>0.55</v>
      </c>
      <c r="H37" s="99">
        <f>$D37-vlookup(Summary!$C37,Summary!$C$2:$Q$103,3+counta($F$1:H$1),false)</f>
        <v>0.05</v>
      </c>
      <c r="I37" s="99">
        <f>$D37-vlookup(Summary!$C37,Summary!$C$2:$Q$103,3+counta($F$1:I$1),false)</f>
        <v>0.55</v>
      </c>
      <c r="J37" s="99">
        <f>$D37-vlookup(Summary!$C37,Summary!$C$2:$Q$103,3+counta($F$1:J$1),false)</f>
        <v>-0.05</v>
      </c>
      <c r="K37" s="99">
        <f>$D37-vlookup(Summary!$C37,Summary!$C$2:$Q$103,3+counta($F$1:K$1),false)</f>
        <v>0</v>
      </c>
      <c r="L37" s="99">
        <f>$D37-vlookup(Summary!$C37,Summary!$C$2:$Q$103,3+counta($F$1:L$1),false)</f>
        <v>0.849</v>
      </c>
      <c r="M37" s="99">
        <f>$D37-vlookup(Summary!$C37,Summary!$C$2:$Q$103,3+counta($F$1:M$1),false)</f>
        <v>0.05</v>
      </c>
      <c r="N37" s="99">
        <f>$D37-vlookup(Summary!$C37,Summary!$C$2:$Q$103,3+counta($F$1:N$1),false)</f>
        <v>-0.05</v>
      </c>
      <c r="O37" s="99">
        <f>$D37-vlookup(Summary!$C37,Summary!$C$2:$Q$103,3+counta($F$1:O$1),false)</f>
        <v>0.5</v>
      </c>
      <c r="P37" s="99">
        <f>$D37-vlookup(Summary!$C37,Summary!$C$2:$Q$103,3+counta($F$1:P$1),false)</f>
        <v>-0.05</v>
      </c>
      <c r="Q37" s="99">
        <f>$D37-vlookup(Summary!$C37,Summary!$C$2:$Q$103,3+counta($F$1:Q$1),false)</f>
        <v>0.45</v>
      </c>
    </row>
    <row r="38" ht="15.75" customHeight="1">
      <c r="A38" s="15">
        <f>Main!A38</f>
        <v>37</v>
      </c>
      <c r="B38" s="15" t="str">
        <f>Main!B38</f>
        <v>Tasmania will have experienced at least 10,000 new cases in 1 day</v>
      </c>
      <c r="C38" s="15" t="str">
        <f>Main!C38</f>
        <v>Covid</v>
      </c>
      <c r="D38" s="15">
        <v>0.45</v>
      </c>
      <c r="F38" s="99">
        <f>$D38-vlookup(Summary!$C38,Summary!$C$2:$Q$103,3+counta($F$1:F$1),false)</f>
        <v>0.3</v>
      </c>
      <c r="G38" s="99">
        <f>$D38-vlookup(Summary!$C38,Summary!$C$2:$Q$103,3+counta($F$1:G$1),false)</f>
        <v>0.35</v>
      </c>
      <c r="H38" s="99">
        <f>$D38-vlookup(Summary!$C38,Summary!$C$2:$Q$103,3+counta($F$1:H$1),false)</f>
        <v>0.4</v>
      </c>
      <c r="I38" s="99">
        <f>$D38-vlookup(Summary!$C38,Summary!$C$2:$Q$103,3+counta($F$1:I$1),false)</f>
        <v>0.35</v>
      </c>
      <c r="J38" s="99">
        <f>$D38-vlookup(Summary!$C38,Summary!$C$2:$Q$103,3+counta($F$1:J$1),false)</f>
        <v>0.15</v>
      </c>
      <c r="K38" s="99">
        <f>$D38-vlookup(Summary!$C38,Summary!$C$2:$Q$103,3+counta($F$1:K$1),false)</f>
        <v>0</v>
      </c>
      <c r="L38" s="99">
        <f>$D38-vlookup(Summary!$C38,Summary!$C$2:$Q$103,3+counta($F$1:L$1),false)</f>
        <v>0.449</v>
      </c>
      <c r="M38" s="99">
        <f>$D38-vlookup(Summary!$C38,Summary!$C$2:$Q$103,3+counta($F$1:M$1),false)</f>
        <v>0.43</v>
      </c>
      <c r="N38" s="99">
        <f>$D38-vlookup(Summary!$C38,Summary!$C$2:$Q$103,3+counta($F$1:N$1),false)</f>
        <v>0.35</v>
      </c>
      <c r="O38" s="99">
        <f>$D38-vlookup(Summary!$C38,Summary!$C$2:$Q$103,3+counta($F$1:O$1),false)</f>
        <v>0.449</v>
      </c>
      <c r="P38" s="99">
        <f>$D38-vlookup(Summary!$C38,Summary!$C$2:$Q$103,3+counta($F$1:P$1),false)</f>
        <v>-0.05</v>
      </c>
      <c r="Q38" s="99">
        <f>$D38-vlookup(Summary!$C38,Summary!$C$2:$Q$103,3+counta($F$1:Q$1),false)</f>
        <v>-0.1</v>
      </c>
    </row>
    <row r="39" ht="15.75" customHeight="1">
      <c r="A39" s="15">
        <f>Main!A39</f>
        <v>38</v>
      </c>
      <c r="B39" s="15" t="str">
        <f>Main!B39</f>
        <v>WHO switches to another alphabet than the Greek alphabet for Covid variants</v>
      </c>
      <c r="C39" s="15" t="str">
        <f>Main!C39</f>
        <v>Covid</v>
      </c>
      <c r="D39" s="15">
        <v>0.9</v>
      </c>
      <c r="F39" s="99">
        <f>$D39-vlookup(Summary!$C39,Summary!$C$2:$Q$103,3+counta($F$1:F$1),false)</f>
        <v>0.45</v>
      </c>
      <c r="G39" s="99">
        <f>$D39-vlookup(Summary!$C39,Summary!$C$2:$Q$103,3+counta($F$1:G$1),false)</f>
        <v>0.1</v>
      </c>
      <c r="H39" s="99">
        <f>$D39-vlookup(Summary!$C39,Summary!$C$2:$Q$103,3+counta($F$1:H$1),false)</f>
        <v>0.7</v>
      </c>
      <c r="I39" s="99">
        <f>$D39-vlookup(Summary!$C39,Summary!$C$2:$Q$103,3+counta($F$1:I$1),false)</f>
        <v>0.8</v>
      </c>
      <c r="J39" s="99">
        <f>$D39-vlookup(Summary!$C39,Summary!$C$2:$Q$103,3+counta($F$1:J$1),false)</f>
        <v>0.4</v>
      </c>
      <c r="K39" s="99">
        <f>$D39-vlookup(Summary!$C39,Summary!$C$2:$Q$103,3+counta($F$1:K$1),false)</f>
        <v>0</v>
      </c>
      <c r="L39" s="99">
        <f>$D39-vlookup(Summary!$C39,Summary!$C$2:$Q$103,3+counta($F$1:L$1),false)</f>
        <v>0.4</v>
      </c>
      <c r="M39" s="99">
        <f>$D39-vlookup(Summary!$C39,Summary!$C$2:$Q$103,3+counta($F$1:M$1),false)</f>
        <v>0.7</v>
      </c>
      <c r="N39" s="99">
        <f>$D39-vlookup(Summary!$C39,Summary!$C$2:$Q$103,3+counta($F$1:N$1),false)</f>
        <v>0</v>
      </c>
      <c r="O39" s="99">
        <f>$D39-vlookup(Summary!$C39,Summary!$C$2:$Q$103,3+counta($F$1:O$1),false)</f>
        <v>0.75</v>
      </c>
      <c r="P39" s="99">
        <f>$D39-vlookup(Summary!$C39,Summary!$C$2:$Q$103,3+counta($F$1:P$1),false)</f>
        <v>0.8</v>
      </c>
      <c r="Q39" s="99">
        <f>$D39-vlookup(Summary!$C39,Summary!$C$2:$Q$103,3+counta($F$1:Q$1),false)</f>
        <v>0.55</v>
      </c>
    </row>
    <row r="40" ht="15.75" customHeight="1">
      <c r="A40" s="15">
        <f>Main!A40</f>
        <v>39</v>
      </c>
      <c r="B40" s="15" t="str">
        <f>Main!B40</f>
        <v>Lachy and Jac's extension will be completed</v>
      </c>
      <c r="C40" s="15" t="str">
        <f>Main!C40</f>
        <v>Family</v>
      </c>
      <c r="D40" s="15">
        <v>0.4</v>
      </c>
      <c r="F40" s="99">
        <f>$D40-vlookup(Summary!$C40,Summary!$C$2:$Q$103,3+counta($F$1:F$1),false)</f>
        <v>-0.3</v>
      </c>
      <c r="G40" s="99">
        <f>$D40-vlookup(Summary!$C40,Summary!$C$2:$Q$103,3+counta($F$1:G$1),false)</f>
        <v>-0.4</v>
      </c>
      <c r="H40" s="99">
        <f>$D40-vlookup(Summary!$C40,Summary!$C$2:$Q$103,3+counta($F$1:H$1),false)</f>
        <v>0.3</v>
      </c>
      <c r="I40" s="99">
        <f>$D40-vlookup(Summary!$C40,Summary!$C$2:$Q$103,3+counta($F$1:I$1),false)</f>
        <v>-0.1</v>
      </c>
      <c r="J40" s="99">
        <f>$D40-vlookup(Summary!$C40,Summary!$C$2:$Q$103,3+counta($F$1:J$1),false)</f>
        <v>-0.4</v>
      </c>
      <c r="K40" s="99">
        <f>$D40-vlookup(Summary!$C40,Summary!$C$2:$Q$103,3+counta($F$1:K$1),false)</f>
        <v>0</v>
      </c>
      <c r="L40" s="99">
        <f>$D40-vlookup(Summary!$C40,Summary!$C$2:$Q$103,3+counta($F$1:L$1),false)</f>
        <v>-0.1</v>
      </c>
      <c r="M40" s="99">
        <f>$D40-vlookup(Summary!$C40,Summary!$C$2:$Q$103,3+counta($F$1:M$1),false)</f>
        <v>0.4</v>
      </c>
      <c r="N40" s="99">
        <f>$D40-vlookup(Summary!$C40,Summary!$C$2:$Q$103,3+counta($F$1:N$1),false)</f>
        <v>-0.5</v>
      </c>
      <c r="O40" s="99">
        <f>$D40-vlookup(Summary!$C40,Summary!$C$2:$Q$103,3+counta($F$1:O$1),false)</f>
        <v>-0.45</v>
      </c>
      <c r="P40" s="99">
        <f>$D40-vlookup(Summary!$C40,Summary!$C$2:$Q$103,3+counta($F$1:P$1),false)</f>
        <v>-0.1</v>
      </c>
      <c r="Q40" s="99">
        <f>$D40-vlookup(Summary!$C40,Summary!$C$2:$Q$103,3+counta($F$1:Q$1),false)</f>
        <v>0.25</v>
      </c>
    </row>
    <row r="41" ht="15.75" customHeight="1">
      <c r="A41" s="15">
        <f>Main!A41</f>
        <v>40</v>
      </c>
      <c r="B41" s="15" t="str">
        <f>Main!B41</f>
        <v>Rohan will work for two different employers (not his own family members)</v>
      </c>
      <c r="C41" s="15" t="str">
        <f>Main!C41</f>
        <v>Family</v>
      </c>
      <c r="D41" s="15">
        <v>0.3</v>
      </c>
      <c r="F41" s="99">
        <f>$D41-vlookup(Summary!$C41,Summary!$C$2:$Q$103,3+counta($F$1:F$1),false)</f>
        <v>-0.1</v>
      </c>
      <c r="G41" s="99">
        <f>$D41-vlookup(Summary!$C41,Summary!$C$2:$Q$103,3+counta($F$1:G$1),false)</f>
        <v>-0.3</v>
      </c>
      <c r="H41" s="99">
        <f>$D41-vlookup(Summary!$C41,Summary!$C$2:$Q$103,3+counta($F$1:H$1),false)</f>
        <v>0.2</v>
      </c>
      <c r="I41" s="99">
        <f>$D41-vlookup(Summary!$C41,Summary!$C$2:$Q$103,3+counta($F$1:I$1),false)</f>
        <v>0</v>
      </c>
      <c r="J41" s="99">
        <f>$D41-vlookup(Summary!$C41,Summary!$C$2:$Q$103,3+counta($F$1:J$1),false)</f>
        <v>-0.2</v>
      </c>
      <c r="K41" s="99">
        <f>$D41-vlookup(Summary!$C41,Summary!$C$2:$Q$103,3+counta($F$1:K$1),false)</f>
        <v>0</v>
      </c>
      <c r="L41" s="99">
        <f>$D41-vlookup(Summary!$C41,Summary!$C$2:$Q$103,3+counta($F$1:L$1),false)</f>
        <v>0</v>
      </c>
      <c r="M41" s="99">
        <f>$D41-vlookup(Summary!$C41,Summary!$C$2:$Q$103,3+counta($F$1:M$1),false)</f>
        <v>0.2</v>
      </c>
      <c r="N41" s="99">
        <f>$D41-vlookup(Summary!$C41,Summary!$C$2:$Q$103,3+counta($F$1:N$1),false)</f>
        <v>-0.3</v>
      </c>
      <c r="O41" s="99">
        <f>$D41-vlookup(Summary!$C41,Summary!$C$2:$Q$103,3+counta($F$1:O$1),false)</f>
        <v>0.15</v>
      </c>
      <c r="P41" s="99">
        <f>$D41-vlookup(Summary!$C41,Summary!$C$2:$Q$103,3+counta($F$1:P$1),false)</f>
        <v>-0.2</v>
      </c>
      <c r="Q41" s="99">
        <f>$D41-vlookup(Summary!$C41,Summary!$C$2:$Q$103,3+counta($F$1:Q$1),false)</f>
        <v>0</v>
      </c>
    </row>
    <row r="42" ht="15.75" customHeight="1">
      <c r="A42" s="15">
        <f>Main!A42</f>
        <v>41</v>
      </c>
      <c r="B42" s="15" t="str">
        <f>Main!B42</f>
        <v>Kate will swim the Broulee Bay to Breakers in March 2022 and improve her position from 9th in the 40s women’s age group</v>
      </c>
      <c r="C42" s="15" t="str">
        <f>Main!C42</f>
        <v>Family</v>
      </c>
      <c r="D42" s="15">
        <v>0.7</v>
      </c>
      <c r="F42" s="99">
        <f>$D42-vlookup(Summary!$C42,Summary!$C$2:$Q$103,3+counta($F$1:F$1),false)</f>
        <v>0.1</v>
      </c>
      <c r="G42" s="99">
        <f>$D42-vlookup(Summary!$C42,Summary!$C$2:$Q$103,3+counta($F$1:G$1),false)</f>
        <v>-0.1</v>
      </c>
      <c r="H42" s="99">
        <f>$D42-vlookup(Summary!$C42,Summary!$C$2:$Q$103,3+counta($F$1:H$1),false)</f>
        <v>-0.2</v>
      </c>
      <c r="I42" s="99">
        <f>$D42-vlookup(Summary!$C42,Summary!$C$2:$Q$103,3+counta($F$1:I$1),false)</f>
        <v>0.2</v>
      </c>
      <c r="J42" s="99">
        <f>$D42-vlookup(Summary!$C42,Summary!$C$2:$Q$103,3+counta($F$1:J$1),false)</f>
        <v>-0.2</v>
      </c>
      <c r="K42" s="99">
        <f>$D42-vlookup(Summary!$C42,Summary!$C$2:$Q$103,3+counta($F$1:K$1),false)</f>
        <v>0</v>
      </c>
      <c r="L42" s="99">
        <f>$D42-vlookup(Summary!$C42,Summary!$C$2:$Q$103,3+counta($F$1:L$1),false)</f>
        <v>0.1</v>
      </c>
      <c r="M42" s="99">
        <f>$D42-vlookup(Summary!$C42,Summary!$C$2:$Q$103,3+counta($F$1:M$1),false)</f>
        <v>-0.2</v>
      </c>
      <c r="N42" s="99">
        <f>$D42-vlookup(Summary!$C42,Summary!$C$2:$Q$103,3+counta($F$1:N$1),false)</f>
        <v>0.5</v>
      </c>
      <c r="O42" s="99">
        <f>$D42-vlookup(Summary!$C42,Summary!$C$2:$Q$103,3+counta($F$1:O$1),false)</f>
        <v>-0.15</v>
      </c>
      <c r="P42" s="99">
        <f>$D42-vlookup(Summary!$C42,Summary!$C$2:$Q$103,3+counta($F$1:P$1),false)</f>
        <v>-0.2</v>
      </c>
      <c r="Q42" s="99">
        <f>$D42-vlookup(Summary!$C42,Summary!$C$2:$Q$103,3+counta($F$1:Q$1),false)</f>
        <v>0.2</v>
      </c>
    </row>
    <row r="43" ht="15.75" customHeight="1">
      <c r="A43" s="15">
        <f>Main!A43</f>
        <v>42</v>
      </c>
      <c r="B43" s="15" t="str">
        <f>Main!B43</f>
        <v>Rohan will be at least 6ft tall</v>
      </c>
      <c r="C43" s="15" t="str">
        <f>Main!C43</f>
        <v>Family</v>
      </c>
      <c r="D43" s="105">
        <v>0.001</v>
      </c>
      <c r="F43" s="99">
        <f>$D43-vlookup(Summary!$C43,Summary!$C$2:$Q$103,3+counta($F$1:F$1),false)</f>
        <v>-0.499</v>
      </c>
      <c r="G43" s="99">
        <f>$D43-vlookup(Summary!$C43,Summary!$C$2:$Q$103,3+counta($F$1:G$1),false)</f>
        <v>-0.899</v>
      </c>
      <c r="H43" s="99">
        <f>$D43-vlookup(Summary!$C43,Summary!$C$2:$Q$103,3+counta($F$1:H$1),false)</f>
        <v>-0.899</v>
      </c>
      <c r="I43" s="99">
        <f>$D43-vlookup(Summary!$C43,Summary!$C$2:$Q$103,3+counta($F$1:I$1),false)</f>
        <v>-0.399</v>
      </c>
      <c r="J43" s="99">
        <f>$D43-vlookup(Summary!$C43,Summary!$C$2:$Q$103,3+counta($F$1:J$1),false)</f>
        <v>-0.899</v>
      </c>
      <c r="K43" s="99">
        <f>$D43-vlookup(Summary!$C43,Summary!$C$2:$Q$103,3+counta($F$1:K$1),false)</f>
        <v>0</v>
      </c>
      <c r="L43" s="99">
        <f>$D43-vlookup(Summary!$C43,Summary!$C$2:$Q$103,3+counta($F$1:L$1),false)</f>
        <v>-0.99899</v>
      </c>
      <c r="M43" s="99">
        <f>$D43-vlookup(Summary!$C43,Summary!$C$2:$Q$103,3+counta($F$1:M$1),false)</f>
        <v>-0.899</v>
      </c>
      <c r="N43" s="99">
        <f>$D43-vlookup(Summary!$C43,Summary!$C$2:$Q$103,3+counta($F$1:N$1),false)</f>
        <v>-0.899</v>
      </c>
      <c r="O43" s="99">
        <f>$D43-vlookup(Summary!$C43,Summary!$C$2:$Q$103,3+counta($F$1:O$1),false)</f>
        <v>-0.998</v>
      </c>
      <c r="P43" s="99">
        <f>$D43-vlookup(Summary!$C43,Summary!$C$2:$Q$103,3+counta($F$1:P$1),false)</f>
        <v>-0.899</v>
      </c>
      <c r="Q43" s="99">
        <f>$D43-vlookup(Summary!$C43,Summary!$C$2:$Q$103,3+counta($F$1:Q$1),false)</f>
        <v>-0.989</v>
      </c>
    </row>
    <row r="44" ht="15.75" customHeight="1">
      <c r="A44" s="15">
        <f>Main!A44</f>
        <v>43</v>
      </c>
      <c r="B44" s="15" t="str">
        <f>Main!B44</f>
        <v>A participant in the prediction game will get a dog or another dog </v>
      </c>
      <c r="C44" s="15" t="str">
        <f>Main!C44</f>
        <v>Family</v>
      </c>
      <c r="D44" s="15">
        <v>0.75</v>
      </c>
      <c r="F44" s="99">
        <f>$D44-vlookup(Summary!$C44,Summary!$C$2:$Q$103,3+counta($F$1:F$1),false)</f>
        <v>0.25</v>
      </c>
      <c r="G44" s="99">
        <f>$D44-vlookup(Summary!$C44,Summary!$C$2:$Q$103,3+counta($F$1:G$1),false)</f>
        <v>-0.2</v>
      </c>
      <c r="H44" s="99">
        <f>$D44-vlookup(Summary!$C44,Summary!$C$2:$Q$103,3+counta($F$1:H$1),false)</f>
        <v>0.65</v>
      </c>
      <c r="I44" s="99">
        <f>$D44-vlookup(Summary!$C44,Summary!$C$2:$Q$103,3+counta($F$1:I$1),false)</f>
        <v>0.65</v>
      </c>
      <c r="J44" s="99">
        <f>$D44-vlookup(Summary!$C44,Summary!$C$2:$Q$103,3+counta($F$1:J$1),false)</f>
        <v>-0.15</v>
      </c>
      <c r="K44" s="99">
        <f>$D44-vlookup(Summary!$C44,Summary!$C$2:$Q$103,3+counta($F$1:K$1),false)</f>
        <v>0</v>
      </c>
      <c r="L44" s="99">
        <f>$D44-vlookup(Summary!$C44,Summary!$C$2:$Q$103,3+counta($F$1:L$1),false)</f>
        <v>0.55</v>
      </c>
      <c r="M44" s="99">
        <f>$D44-vlookup(Summary!$C44,Summary!$C$2:$Q$103,3+counta($F$1:M$1),false)</f>
        <v>0.65</v>
      </c>
      <c r="N44" s="99">
        <f>$D44-vlookup(Summary!$C44,Summary!$C$2:$Q$103,3+counta($F$1:N$1),false)</f>
        <v>0.65</v>
      </c>
      <c r="O44" s="99">
        <f>$D44-vlookup(Summary!$C44,Summary!$C$2:$Q$103,3+counta($F$1:O$1),false)</f>
        <v>0.749</v>
      </c>
      <c r="P44" s="99">
        <f>$D44-vlookup(Summary!$C44,Summary!$C$2:$Q$103,3+counta($F$1:P$1),false)</f>
        <v>0.25</v>
      </c>
      <c r="Q44" s="99">
        <f>$D44-vlookup(Summary!$C44,Summary!$C$2:$Q$103,3+counta($F$1:Q$1),false)</f>
        <v>0.5</v>
      </c>
    </row>
    <row r="45" ht="15.75" customHeight="1">
      <c r="A45" s="15">
        <f>Main!A45</f>
        <v>44</v>
      </c>
      <c r="B45" s="15" t="str">
        <f>Main!B45</f>
        <v>There will be a flow of water into the Lake Eyre basin in 2022</v>
      </c>
      <c r="C45" s="15" t="str">
        <f>Main!C45</f>
        <v>Natural world</v>
      </c>
      <c r="D45" s="15">
        <v>0.7</v>
      </c>
      <c r="F45" s="99">
        <f>$D45-vlookup(Summary!$C45,Summary!$C$2:$Q$103,3+counta($F$1:F$1),false)</f>
        <v>-0.05</v>
      </c>
      <c r="G45" s="99">
        <f>$D45-vlookup(Summary!$C45,Summary!$C$2:$Q$103,3+counta($F$1:G$1),false)</f>
        <v>-0.1</v>
      </c>
      <c r="H45" s="99">
        <f>$D45-vlookup(Summary!$C45,Summary!$C$2:$Q$103,3+counta($F$1:H$1),false)</f>
        <v>0.2</v>
      </c>
      <c r="I45" s="99">
        <f>$D45-vlookup(Summary!$C45,Summary!$C$2:$Q$103,3+counta($F$1:I$1),false)</f>
        <v>0.2</v>
      </c>
      <c r="J45" s="99">
        <f>$D45-vlookup(Summary!$C45,Summary!$C$2:$Q$103,3+counta($F$1:J$1),false)</f>
        <v>0.4</v>
      </c>
      <c r="K45" s="99">
        <f>$D45-vlookup(Summary!$C45,Summary!$C$2:$Q$103,3+counta($F$1:K$1),false)</f>
        <v>0</v>
      </c>
      <c r="L45" s="99">
        <f>$D45-vlookup(Summary!$C45,Summary!$C$2:$Q$103,3+counta($F$1:L$1),false)</f>
        <v>-0.1</v>
      </c>
      <c r="M45" s="99">
        <f>$D45-vlookup(Summary!$C45,Summary!$C$2:$Q$103,3+counta($F$1:M$1),false)</f>
        <v>0.2</v>
      </c>
      <c r="N45" s="99">
        <f>$D45-vlookup(Summary!$C45,Summary!$C$2:$Q$103,3+counta($F$1:N$1),false)</f>
        <v>0.1</v>
      </c>
      <c r="O45" s="99">
        <f>$D45-vlookup(Summary!$C45,Summary!$C$2:$Q$103,3+counta($F$1:O$1),false)</f>
        <v>0.05</v>
      </c>
      <c r="P45" s="99">
        <f>$D45-vlookup(Summary!$C45,Summary!$C$2:$Q$103,3+counta($F$1:P$1),false)</f>
        <v>-0.2</v>
      </c>
      <c r="Q45" s="99">
        <f>$D45-vlookup(Summary!$C45,Summary!$C$2:$Q$103,3+counta($F$1:Q$1),false)</f>
        <v>0.2</v>
      </c>
    </row>
    <row r="46" ht="15.75" customHeight="1">
      <c r="A46" s="15">
        <f>Main!A46</f>
        <v>45</v>
      </c>
      <c r="B46" s="15" t="str">
        <f>Main!B46</f>
        <v>Water from the Paroo will spill into the Darling in 2022</v>
      </c>
      <c r="C46" s="15" t="str">
        <f>Main!C46</f>
        <v>Natural world</v>
      </c>
      <c r="D46" s="15">
        <v>0.6</v>
      </c>
      <c r="F46" s="99">
        <f>$D46-vlookup(Summary!$C46,Summary!$C$2:$Q$103,3+counta($F$1:F$1),false)</f>
        <v>0.1</v>
      </c>
      <c r="G46" s="99">
        <f>$D46-vlookup(Summary!$C46,Summary!$C$2:$Q$103,3+counta($F$1:G$1),false)</f>
        <v>-0.1</v>
      </c>
      <c r="H46" s="99">
        <f>$D46-vlookup(Summary!$C46,Summary!$C$2:$Q$103,3+counta($F$1:H$1),false)</f>
        <v>0.1</v>
      </c>
      <c r="I46" s="99">
        <f>$D46-vlookup(Summary!$C46,Summary!$C$2:$Q$103,3+counta($F$1:I$1),false)</f>
        <v>0.1</v>
      </c>
      <c r="J46" s="99">
        <f>$D46-vlookup(Summary!$C46,Summary!$C$2:$Q$103,3+counta($F$1:J$1),false)</f>
        <v>0</v>
      </c>
      <c r="K46" s="99">
        <f>$D46-vlookup(Summary!$C46,Summary!$C$2:$Q$103,3+counta($F$1:K$1),false)</f>
        <v>0</v>
      </c>
      <c r="L46" s="99">
        <f>$D46-vlookup(Summary!$C46,Summary!$C$2:$Q$103,3+counta($F$1:L$1),false)</f>
        <v>-0.2</v>
      </c>
      <c r="M46" s="99">
        <f>$D46-vlookup(Summary!$C46,Summary!$C$2:$Q$103,3+counta($F$1:M$1),false)</f>
        <v>0.1</v>
      </c>
      <c r="N46" s="99">
        <f>$D46-vlookup(Summary!$C46,Summary!$C$2:$Q$103,3+counta($F$1:N$1),false)</f>
        <v>0</v>
      </c>
      <c r="O46" s="99">
        <f>$D46-vlookup(Summary!$C46,Summary!$C$2:$Q$103,3+counta($F$1:O$1),false)</f>
        <v>0.1</v>
      </c>
      <c r="P46" s="99">
        <f>$D46-vlookup(Summary!$C46,Summary!$C$2:$Q$103,3+counta($F$1:P$1),false)</f>
        <v>0.5</v>
      </c>
      <c r="Q46" s="99">
        <f>$D46-vlookup(Summary!$C46,Summary!$C$2:$Q$103,3+counta($F$1:Q$1),false)</f>
        <v>0.1</v>
      </c>
    </row>
    <row r="47" ht="15.75" customHeight="1">
      <c r="A47" s="15">
        <f>Main!A47</f>
        <v>46</v>
      </c>
      <c r="B47" s="15" t="str">
        <f>Main!B47</f>
        <v>In the Antarctic the Thwaites Glacier ice-shelf will collapse in 2022</v>
      </c>
      <c r="C47" s="15" t="str">
        <f>Main!C47</f>
        <v>Natural world</v>
      </c>
      <c r="D47" s="15">
        <v>0.7</v>
      </c>
      <c r="F47" s="99">
        <f>$D47-vlookup(Summary!$C47,Summary!$C$2:$Q$103,3+counta($F$1:F$1),false)</f>
        <v>0.2</v>
      </c>
      <c r="G47" s="99">
        <f>$D47-vlookup(Summary!$C47,Summary!$C$2:$Q$103,3+counta($F$1:G$1),false)</f>
        <v>0.45</v>
      </c>
      <c r="H47" s="99">
        <f>$D47-vlookup(Summary!$C47,Summary!$C$2:$Q$103,3+counta($F$1:H$1),false)</f>
        <v>0</v>
      </c>
      <c r="I47" s="99">
        <f>$D47-vlookup(Summary!$C47,Summary!$C$2:$Q$103,3+counta($F$1:I$1),false)</f>
        <v>0.2</v>
      </c>
      <c r="J47" s="99">
        <f>$D47-vlookup(Summary!$C47,Summary!$C$2:$Q$103,3+counta($F$1:J$1),false)</f>
        <v>0</v>
      </c>
      <c r="K47" s="99">
        <f>$D47-vlookup(Summary!$C47,Summary!$C$2:$Q$103,3+counta($F$1:K$1),false)</f>
        <v>0</v>
      </c>
      <c r="L47" s="99">
        <f>$D47-vlookup(Summary!$C47,Summary!$C$2:$Q$103,3+counta($F$1:L$1),false)</f>
        <v>0.6</v>
      </c>
      <c r="M47" s="99">
        <f>$D47-vlookup(Summary!$C47,Summary!$C$2:$Q$103,3+counta($F$1:M$1),false)</f>
        <v>0</v>
      </c>
      <c r="N47" s="99">
        <f>$D47-vlookup(Summary!$C47,Summary!$C$2:$Q$103,3+counta($F$1:N$1),false)</f>
        <v>0.5</v>
      </c>
      <c r="O47" s="99">
        <f>$D47-vlookup(Summary!$C47,Summary!$C$2:$Q$103,3+counta($F$1:O$1),false)</f>
        <v>0.35</v>
      </c>
      <c r="P47" s="99">
        <f>$D47-vlookup(Summary!$C47,Summary!$C$2:$Q$103,3+counta($F$1:P$1),false)</f>
        <v>0.2</v>
      </c>
      <c r="Q47" s="99">
        <f>$D47-vlookup(Summary!$C47,Summary!$C$2:$Q$103,3+counta($F$1:Q$1),false)</f>
        <v>0.2</v>
      </c>
    </row>
    <row r="48" ht="15.75" customHeight="1">
      <c r="A48" s="15">
        <f>Main!A48</f>
        <v>47</v>
      </c>
      <c r="B48" s="15" t="str">
        <f>Main!B48</f>
        <v>At least three quarters of the Great Barrier Reef will be bleached as a result of warming seas.</v>
      </c>
      <c r="C48" s="15" t="str">
        <f>Main!C48</f>
        <v>Natural world</v>
      </c>
      <c r="D48" s="15">
        <v>0.85</v>
      </c>
      <c r="F48" s="99">
        <f>$D48-vlookup(Summary!$C48,Summary!$C$2:$Q$103,3+counta($F$1:F$1),false)</f>
        <v>0.35</v>
      </c>
      <c r="G48" s="99">
        <f>$D48-vlookup(Summary!$C48,Summary!$C$2:$Q$103,3+counta($F$1:G$1),false)</f>
        <v>0.05</v>
      </c>
      <c r="H48" s="99">
        <f>$D48-vlookup(Summary!$C48,Summary!$C$2:$Q$103,3+counta($F$1:H$1),false)</f>
        <v>0.15</v>
      </c>
      <c r="I48" s="99">
        <f>$D48-vlookup(Summary!$C48,Summary!$C$2:$Q$103,3+counta($F$1:I$1),false)</f>
        <v>0.35</v>
      </c>
      <c r="J48" s="99">
        <f>$D48-vlookup(Summary!$C48,Summary!$C$2:$Q$103,3+counta($F$1:J$1),false)</f>
        <v>0.05</v>
      </c>
      <c r="K48" s="99">
        <f>$D48-vlookup(Summary!$C48,Summary!$C$2:$Q$103,3+counta($F$1:K$1),false)</f>
        <v>0</v>
      </c>
      <c r="L48" s="99">
        <f>$D48-vlookup(Summary!$C48,Summary!$C$2:$Q$103,3+counta($F$1:L$1),false)</f>
        <v>0.35</v>
      </c>
      <c r="M48" s="99">
        <f>$D48-vlookup(Summary!$C48,Summary!$C$2:$Q$103,3+counta($F$1:M$1),false)</f>
        <v>0.15</v>
      </c>
      <c r="N48" s="99">
        <f>$D48-vlookup(Summary!$C48,Summary!$C$2:$Q$103,3+counta($F$1:N$1),false)</f>
        <v>0.15</v>
      </c>
      <c r="O48" s="99">
        <f>$D48-vlookup(Summary!$C48,Summary!$C$2:$Q$103,3+counta($F$1:O$1),false)</f>
        <v>0.5</v>
      </c>
      <c r="P48" s="99">
        <f>$D48-vlookup(Summary!$C48,Summary!$C$2:$Q$103,3+counta($F$1:P$1),false)</f>
        <v>0.35</v>
      </c>
      <c r="Q48" s="99">
        <f>$D48-vlookup(Summary!$C48,Summary!$C$2:$Q$103,3+counta($F$1:Q$1),false)</f>
        <v>0.45</v>
      </c>
    </row>
    <row r="49" ht="15.75" customHeight="1">
      <c r="A49" s="15">
        <f>Main!A49</f>
        <v>48</v>
      </c>
      <c r="B49" s="15" t="str">
        <f>Main!B49</f>
        <v>Sabine Hoffstader will release a Youtube video explaining that the nature of dark matter has been confirmed experimentally</v>
      </c>
      <c r="C49" s="15" t="str">
        <f>Main!C49</f>
        <v>Natural world</v>
      </c>
      <c r="D49" s="15">
        <v>0.65</v>
      </c>
      <c r="F49" s="99">
        <f>$D49-vlookup(Summary!$C49,Summary!$C$2:$Q$103,3+counta($F$1:F$1),false)</f>
        <v>0.15</v>
      </c>
      <c r="G49" s="99">
        <f>$D49-vlookup(Summary!$C49,Summary!$C$2:$Q$103,3+counta($F$1:G$1),false)</f>
        <v>0.4</v>
      </c>
      <c r="H49" s="99">
        <f>$D49-vlookup(Summary!$C49,Summary!$C$2:$Q$103,3+counta($F$1:H$1),false)</f>
        <v>0.55</v>
      </c>
      <c r="I49" s="99">
        <f>$D49-vlookup(Summary!$C49,Summary!$C$2:$Q$103,3+counta($F$1:I$1),false)</f>
        <v>0.15</v>
      </c>
      <c r="J49" s="99">
        <f>$D49-vlookup(Summary!$C49,Summary!$C$2:$Q$103,3+counta($F$1:J$1),false)</f>
        <v>0.15</v>
      </c>
      <c r="K49" s="99">
        <f>$D49-vlookup(Summary!$C49,Summary!$C$2:$Q$103,3+counta($F$1:K$1),false)</f>
        <v>0</v>
      </c>
      <c r="L49" s="99">
        <f>$D49-vlookup(Summary!$C49,Summary!$C$2:$Q$103,3+counta($F$1:L$1),false)</f>
        <v>0.05</v>
      </c>
      <c r="M49" s="99">
        <f>$D49-vlookup(Summary!$C49,Summary!$C$2:$Q$103,3+counta($F$1:M$1),false)</f>
        <v>0.55</v>
      </c>
      <c r="N49" s="99">
        <f>$D49-vlookup(Summary!$C49,Summary!$C$2:$Q$103,3+counta($F$1:N$1),false)</f>
        <v>0.15</v>
      </c>
      <c r="O49" s="99">
        <f>$D49-vlookup(Summary!$C49,Summary!$C$2:$Q$103,3+counta($F$1:O$1),false)</f>
        <v>0.649</v>
      </c>
      <c r="P49" s="99">
        <f>$D49-vlookup(Summary!$C49,Summary!$C$2:$Q$103,3+counta($F$1:P$1),false)</f>
        <v>0.15</v>
      </c>
      <c r="Q49" s="99">
        <f>$D49-vlookup(Summary!$C49,Summary!$C$2:$Q$103,3+counta($F$1:Q$1),false)</f>
        <v>0.15</v>
      </c>
    </row>
    <row r="50" ht="15.75" customHeight="1">
      <c r="A50" s="15">
        <f>Main!A50</f>
        <v>49</v>
      </c>
      <c r="B50" s="15" t="str">
        <f>Main!B50</f>
        <v>2022 will be the hottest year on record globally (via NASA)</v>
      </c>
      <c r="C50" s="15" t="str">
        <f>Main!C50</f>
        <v>Natural world</v>
      </c>
      <c r="D50" s="15">
        <v>0.82</v>
      </c>
      <c r="F50" s="99">
        <f>$D50-vlookup(Summary!$C50,Summary!$C$2:$Q$103,3+counta($F$1:F$1),false)</f>
        <v>0.52</v>
      </c>
      <c r="G50" s="99">
        <f>$D50-vlookup(Summary!$C50,Summary!$C$2:$Q$103,3+counta($F$1:G$1),false)</f>
        <v>0.37</v>
      </c>
      <c r="H50" s="99">
        <f>$D50-vlookup(Summary!$C50,Summary!$C$2:$Q$103,3+counta($F$1:H$1),false)</f>
        <v>-0.13</v>
      </c>
      <c r="I50" s="99">
        <f>$D50-vlookup(Summary!$C50,Summary!$C$2:$Q$103,3+counta($F$1:I$1),false)</f>
        <v>0.52</v>
      </c>
      <c r="J50" s="99">
        <f>$D50-vlookup(Summary!$C50,Summary!$C$2:$Q$103,3+counta($F$1:J$1),false)</f>
        <v>0.02</v>
      </c>
      <c r="K50" s="99">
        <f>$D50-vlookup(Summary!$C50,Summary!$C$2:$Q$103,3+counta($F$1:K$1),false)</f>
        <v>0</v>
      </c>
      <c r="L50" s="99">
        <f>$D50-vlookup(Summary!$C50,Summary!$C$2:$Q$103,3+counta($F$1:L$1),false)</f>
        <v>0.62</v>
      </c>
      <c r="M50" s="99">
        <f>$D50-vlookup(Summary!$C50,Summary!$C$2:$Q$103,3+counta($F$1:M$1),false)</f>
        <v>-0.13</v>
      </c>
      <c r="N50" s="99">
        <f>$D50-vlookup(Summary!$C50,Summary!$C$2:$Q$103,3+counta($F$1:N$1),false)</f>
        <v>0.52</v>
      </c>
      <c r="O50" s="99">
        <f>$D50-vlookup(Summary!$C50,Summary!$C$2:$Q$103,3+counta($F$1:O$1),false)</f>
        <v>0.67</v>
      </c>
      <c r="P50" s="99">
        <f>$D50-vlookup(Summary!$C50,Summary!$C$2:$Q$103,3+counta($F$1:P$1),false)</f>
        <v>0.22</v>
      </c>
      <c r="Q50" s="99">
        <f>$D50-vlookup(Summary!$C50,Summary!$C$2:$Q$103,3+counta($F$1:Q$1),false)</f>
        <v>0.42</v>
      </c>
    </row>
    <row r="51" ht="15.75" customHeight="1">
      <c r="A51" s="15">
        <f>Main!A51</f>
        <v>50</v>
      </c>
      <c r="B51" s="15" t="str">
        <f>Main!B51</f>
        <v>A cultivated chilli will replace the Carolina Reaper as the world’s hottest, as measured in scoville units (GWR seems to be the source of this currently)</v>
      </c>
      <c r="C51" s="15" t="str">
        <f>Main!C51</f>
        <v>Natural world</v>
      </c>
      <c r="D51" s="15">
        <v>0.75</v>
      </c>
      <c r="F51" s="99">
        <f>$D51-vlookup(Summary!$C51,Summary!$C$2:$Q$103,3+counta($F$1:F$1),false)</f>
        <v>0.15</v>
      </c>
      <c r="G51" s="99">
        <f>$D51-vlookup(Summary!$C51,Summary!$C$2:$Q$103,3+counta($F$1:G$1),false)</f>
        <v>0.24</v>
      </c>
      <c r="H51" s="99">
        <f>$D51-vlookup(Summary!$C51,Summary!$C$2:$Q$103,3+counta($F$1:H$1),false)</f>
        <v>0.05</v>
      </c>
      <c r="I51" s="99">
        <f>$D51-vlookup(Summary!$C51,Summary!$C$2:$Q$103,3+counta($F$1:I$1),false)</f>
        <v>-0.05</v>
      </c>
      <c r="J51" s="99">
        <f>$D51-vlookup(Summary!$C51,Summary!$C$2:$Q$103,3+counta($F$1:J$1),false)</f>
        <v>0.55</v>
      </c>
      <c r="K51" s="99">
        <f>$D51-vlookup(Summary!$C51,Summary!$C$2:$Q$103,3+counta($F$1:K$1),false)</f>
        <v>0</v>
      </c>
      <c r="L51" s="99">
        <f>$D51-vlookup(Summary!$C51,Summary!$C$2:$Q$103,3+counta($F$1:L$1),false)</f>
        <v>0.25</v>
      </c>
      <c r="M51" s="99">
        <f>$D51-vlookup(Summary!$C51,Summary!$C$2:$Q$103,3+counta($F$1:M$1),false)</f>
        <v>0.05</v>
      </c>
      <c r="N51" s="99">
        <f>$D51-vlookup(Summary!$C51,Summary!$C$2:$Q$103,3+counta($F$1:N$1),false)</f>
        <v>-0.05</v>
      </c>
      <c r="O51" s="99">
        <f>$D51-vlookup(Summary!$C51,Summary!$C$2:$Q$103,3+counta($F$1:O$1),false)</f>
        <v>0.1</v>
      </c>
      <c r="P51" s="99">
        <f>$D51-vlookup(Summary!$C51,Summary!$C$2:$Q$103,3+counta($F$1:P$1),false)</f>
        <v>0.25</v>
      </c>
      <c r="Q51" s="99">
        <f>$D51-vlookup(Summary!$C51,Summary!$C$2:$Q$103,3+counta($F$1:Q$1),false)</f>
        <v>-0.05</v>
      </c>
    </row>
    <row r="52" ht="15.75" customHeight="1">
      <c r="A52" s="15">
        <f>Main!A52</f>
        <v>51</v>
      </c>
      <c r="B52" s="15" t="str">
        <f>Main!B52</f>
        <v>Christchurch will experience an earthquake of at least 4 on the Richter scale</v>
      </c>
      <c r="C52" s="15" t="str">
        <f>Main!C52</f>
        <v>Natural world</v>
      </c>
      <c r="D52" s="15">
        <v>0.65</v>
      </c>
      <c r="F52" s="99">
        <f>$D52-vlookup(Summary!$C52,Summary!$C$2:$Q$103,3+counta($F$1:F$1),false)</f>
        <v>0.25</v>
      </c>
      <c r="G52" s="99">
        <f>$D52-vlookup(Summary!$C52,Summary!$C$2:$Q$103,3+counta($F$1:G$1),false)</f>
        <v>0.4</v>
      </c>
      <c r="H52" s="99">
        <f>$D52-vlookup(Summary!$C52,Summary!$C$2:$Q$103,3+counta($F$1:H$1),false)</f>
        <v>-0.05</v>
      </c>
      <c r="I52" s="99">
        <f>$D52-vlookup(Summary!$C52,Summary!$C$2:$Q$103,3+counta($F$1:I$1),false)</f>
        <v>-0.05</v>
      </c>
      <c r="J52" s="99">
        <f>$D52-vlookup(Summary!$C52,Summary!$C$2:$Q$103,3+counta($F$1:J$1),false)</f>
        <v>0.15</v>
      </c>
      <c r="K52" s="99">
        <f>$D52-vlookup(Summary!$C52,Summary!$C$2:$Q$103,3+counta($F$1:K$1),false)</f>
        <v>0</v>
      </c>
      <c r="L52" s="99">
        <f>$D52-vlookup(Summary!$C52,Summary!$C$2:$Q$103,3+counta($F$1:L$1),false)</f>
        <v>0.35</v>
      </c>
      <c r="M52" s="99">
        <f>$D52-vlookup(Summary!$C52,Summary!$C$2:$Q$103,3+counta($F$1:M$1),false)</f>
        <v>-0.05</v>
      </c>
      <c r="N52" s="99">
        <f>$D52-vlookup(Summary!$C52,Summary!$C$2:$Q$103,3+counta($F$1:N$1),false)</f>
        <v>0.25</v>
      </c>
      <c r="O52" s="99">
        <f>$D52-vlookup(Summary!$C52,Summary!$C$2:$Q$103,3+counta($F$1:O$1),false)</f>
        <v>0</v>
      </c>
      <c r="P52" s="99">
        <f>$D52-vlookup(Summary!$C52,Summary!$C$2:$Q$103,3+counta($F$1:P$1),false)</f>
        <v>0.55</v>
      </c>
      <c r="Q52" s="99">
        <f>$D52-vlookup(Summary!$C52,Summary!$C$2:$Q$103,3+counta($F$1:Q$1),false)</f>
        <v>0.15</v>
      </c>
    </row>
    <row r="53" ht="15.75" customHeight="1">
      <c r="A53" s="15">
        <f>Main!A53</f>
        <v>52</v>
      </c>
      <c r="B53" s="15" t="str">
        <f>Main!B53</f>
        <v>Pope Francis will condemn the metaverse or warn of its potential damage</v>
      </c>
      <c r="C53" s="15" t="str">
        <f>Main!C53</f>
        <v>Society</v>
      </c>
      <c r="D53" s="15">
        <v>0.8</v>
      </c>
      <c r="F53" s="99">
        <f>$D53-vlookup(Summary!$C53,Summary!$C$2:$Q$103,3+counta($F$1:F$1),false)</f>
        <v>0.2</v>
      </c>
      <c r="G53" s="99">
        <f>$D53-vlookup(Summary!$C53,Summary!$C$2:$Q$103,3+counta($F$1:G$1),false)</f>
        <v>0.6</v>
      </c>
      <c r="H53" s="99">
        <f>$D53-vlookup(Summary!$C53,Summary!$C$2:$Q$103,3+counta($F$1:H$1),false)</f>
        <v>0.5</v>
      </c>
      <c r="I53" s="99">
        <f>$D53-vlookup(Summary!$C53,Summary!$C$2:$Q$103,3+counta($F$1:I$1),false)</f>
        <v>0.3</v>
      </c>
      <c r="J53" s="99">
        <f>$D53-vlookup(Summary!$C53,Summary!$C$2:$Q$103,3+counta($F$1:J$1),false)</f>
        <v>-0.1</v>
      </c>
      <c r="K53" s="99">
        <f>$D53-vlookup(Summary!$C53,Summary!$C$2:$Q$103,3+counta($F$1:K$1),false)</f>
        <v>0</v>
      </c>
      <c r="L53" s="99">
        <f>$D53-vlookup(Summary!$C53,Summary!$C$2:$Q$103,3+counta($F$1:L$1),false)</f>
        <v>0.3</v>
      </c>
      <c r="M53" s="99">
        <f>$D53-vlookup(Summary!$C53,Summary!$C$2:$Q$103,3+counta($F$1:M$1),false)</f>
        <v>0.5</v>
      </c>
      <c r="N53" s="99">
        <f>$D53-vlookup(Summary!$C53,Summary!$C$2:$Q$103,3+counta($F$1:N$1),false)</f>
        <v>0.7</v>
      </c>
      <c r="O53" s="99">
        <f>$D53-vlookup(Summary!$C53,Summary!$C$2:$Q$103,3+counta($F$1:O$1),false)</f>
        <v>0.45</v>
      </c>
      <c r="P53" s="99">
        <f>$D53-vlookup(Summary!$C53,Summary!$C$2:$Q$103,3+counta($F$1:P$1),false)</f>
        <v>0.3</v>
      </c>
      <c r="Q53" s="99">
        <f>$D53-vlookup(Summary!$C53,Summary!$C$2:$Q$103,3+counta($F$1:Q$1),false)</f>
        <v>0.6</v>
      </c>
    </row>
    <row r="54" ht="15.75" customHeight="1">
      <c r="A54" s="15">
        <f>Main!A54</f>
        <v>53</v>
      </c>
      <c r="B54" s="15" t="str">
        <f>Main!B54</f>
        <v>The 4th most popular baby name for girls in Australia will be Isla according to the NSW Government popular baby names site</v>
      </c>
      <c r="C54" s="15" t="str">
        <f>Main!C54</f>
        <v>Society</v>
      </c>
      <c r="D54" s="15">
        <v>0.9</v>
      </c>
      <c r="F54" s="99">
        <f>$D54-vlookup(Summary!$C54,Summary!$C$2:$Q$103,3+counta($F$1:F$1),false)</f>
        <v>0.55</v>
      </c>
      <c r="G54" s="99">
        <f>$D54-vlookup(Summary!$C54,Summary!$C$2:$Q$103,3+counta($F$1:G$1),false)</f>
        <v>0.5</v>
      </c>
      <c r="H54" s="99">
        <f>$D54-vlookup(Summary!$C54,Summary!$C$2:$Q$103,3+counta($F$1:H$1),false)</f>
        <v>0.4</v>
      </c>
      <c r="I54" s="99">
        <f>$D54-vlookup(Summary!$C54,Summary!$C$2:$Q$103,3+counta($F$1:I$1),false)</f>
        <v>0.8</v>
      </c>
      <c r="J54" s="99">
        <f>$D54-vlookup(Summary!$C54,Summary!$C$2:$Q$103,3+counta($F$1:J$1),false)</f>
        <v>0.1</v>
      </c>
      <c r="K54" s="99">
        <f>$D54-vlookup(Summary!$C54,Summary!$C$2:$Q$103,3+counta($F$1:K$1),false)</f>
        <v>0</v>
      </c>
      <c r="L54" s="99">
        <f>$D54-vlookup(Summary!$C54,Summary!$C$2:$Q$103,3+counta($F$1:L$1),false)</f>
        <v>0.7</v>
      </c>
      <c r="M54" s="99">
        <f>$D54-vlookup(Summary!$C54,Summary!$C$2:$Q$103,3+counta($F$1:M$1),false)</f>
        <v>0.4</v>
      </c>
      <c r="N54" s="99">
        <f>$D54-vlookup(Summary!$C54,Summary!$C$2:$Q$103,3+counta($F$1:N$1),false)</f>
        <v>0</v>
      </c>
      <c r="O54" s="99">
        <f>$D54-vlookup(Summary!$C54,Summary!$C$2:$Q$103,3+counta($F$1:O$1),false)</f>
        <v>0.55</v>
      </c>
      <c r="P54" s="99">
        <f>$D54-vlookup(Summary!$C54,Summary!$C$2:$Q$103,3+counta($F$1:P$1),false)</f>
        <v>0.8</v>
      </c>
      <c r="Q54" s="99">
        <f>$D54-vlookup(Summary!$C54,Summary!$C$2:$Q$103,3+counta($F$1:Q$1),false)</f>
        <v>0.1</v>
      </c>
    </row>
    <row r="55" ht="15.75" customHeight="1">
      <c r="A55" s="15">
        <f>Main!A55</f>
        <v>54</v>
      </c>
      <c r="B55" s="15" t="str">
        <f>Main!B55</f>
        <v>The 4th most popular baby name for boys in Australia will be Leo according to the NSW Government popular baby names site</v>
      </c>
      <c r="C55" s="15" t="str">
        <f>Main!C55</f>
        <v>Society</v>
      </c>
      <c r="D55" s="15">
        <v>0.9</v>
      </c>
      <c r="F55" s="99">
        <f>$D55-vlookup(Summary!$C55,Summary!$C$2:$Q$103,3+counta($F$1:F$1),false)</f>
        <v>0.55</v>
      </c>
      <c r="G55" s="99">
        <f>$D55-vlookup(Summary!$C55,Summary!$C$2:$Q$103,3+counta($F$1:G$1),false)</f>
        <v>0.5</v>
      </c>
      <c r="H55" s="99">
        <f>$D55-vlookup(Summary!$C55,Summary!$C$2:$Q$103,3+counta($F$1:H$1),false)</f>
        <v>0.4</v>
      </c>
      <c r="I55" s="99">
        <f>$D55-vlookup(Summary!$C55,Summary!$C$2:$Q$103,3+counta($F$1:I$1),false)</f>
        <v>0.8</v>
      </c>
      <c r="J55" s="99">
        <f>$D55-vlookup(Summary!$C55,Summary!$C$2:$Q$103,3+counta($F$1:J$1),false)</f>
        <v>0.2</v>
      </c>
      <c r="K55" s="99">
        <f>$D55-vlookup(Summary!$C55,Summary!$C$2:$Q$103,3+counta($F$1:K$1),false)</f>
        <v>0</v>
      </c>
      <c r="L55" s="99">
        <f>$D55-vlookup(Summary!$C55,Summary!$C$2:$Q$103,3+counta($F$1:L$1),false)</f>
        <v>0.7</v>
      </c>
      <c r="M55" s="99">
        <f>$D55-vlookup(Summary!$C55,Summary!$C$2:$Q$103,3+counta($F$1:M$1),false)</f>
        <v>0.4</v>
      </c>
      <c r="N55" s="99">
        <f>$D55-vlookup(Summary!$C55,Summary!$C$2:$Q$103,3+counta($F$1:N$1),false)</f>
        <v>0.7</v>
      </c>
      <c r="O55" s="99">
        <f>$D55-vlookup(Summary!$C55,Summary!$C$2:$Q$103,3+counta($F$1:O$1),false)</f>
        <v>0.55</v>
      </c>
      <c r="P55" s="99">
        <f>$D55-vlookup(Summary!$C55,Summary!$C$2:$Q$103,3+counta($F$1:P$1),false)</f>
        <v>0.8</v>
      </c>
      <c r="Q55" s="99">
        <f>$D55-vlookup(Summary!$C55,Summary!$C$2:$Q$103,3+counta($F$1:Q$1),false)</f>
        <v>0.7</v>
      </c>
    </row>
    <row r="56" ht="15.75" customHeight="1">
      <c r="A56" s="15">
        <f>Main!A56</f>
        <v>55</v>
      </c>
      <c r="B56" s="15" t="str">
        <f>Main!B56</f>
        <v>A statue in Australia will be removed because of negative associations with its history or colonial ties.</v>
      </c>
      <c r="C56" s="15" t="str">
        <f>Main!C56</f>
        <v>Society</v>
      </c>
      <c r="D56" s="15">
        <v>0.6</v>
      </c>
      <c r="F56" s="99">
        <f>$D56-vlookup(Summary!$C56,Summary!$C$2:$Q$103,3+counta($F$1:F$1),false)</f>
        <v>0.4</v>
      </c>
      <c r="G56" s="99">
        <f>$D56-vlookup(Summary!$C56,Summary!$C$2:$Q$103,3+counta($F$1:G$1),false)</f>
        <v>-0.3</v>
      </c>
      <c r="H56" s="99">
        <f>$D56-vlookup(Summary!$C56,Summary!$C$2:$Q$103,3+counta($F$1:H$1),false)</f>
        <v>-0.2</v>
      </c>
      <c r="I56" s="99">
        <f>$D56-vlookup(Summary!$C56,Summary!$C$2:$Q$103,3+counta($F$1:I$1),false)</f>
        <v>0.4</v>
      </c>
      <c r="J56" s="99">
        <f>$D56-vlookup(Summary!$C56,Summary!$C$2:$Q$103,3+counta($F$1:J$1),false)</f>
        <v>-0.2</v>
      </c>
      <c r="K56" s="99">
        <f>$D56-vlookup(Summary!$C56,Summary!$C$2:$Q$103,3+counta($F$1:K$1),false)</f>
        <v>0</v>
      </c>
      <c r="L56" s="99">
        <f>$D56-vlookup(Summary!$C56,Summary!$C$2:$Q$103,3+counta($F$1:L$1),false)</f>
        <v>0.2</v>
      </c>
      <c r="M56" s="99">
        <f>$D56-vlookup(Summary!$C56,Summary!$C$2:$Q$103,3+counta($F$1:M$1),false)</f>
        <v>-0.2</v>
      </c>
      <c r="N56" s="99">
        <f>$D56-vlookup(Summary!$C56,Summary!$C$2:$Q$103,3+counta($F$1:N$1),false)</f>
        <v>0.5</v>
      </c>
      <c r="O56" s="99">
        <f>$D56-vlookup(Summary!$C56,Summary!$C$2:$Q$103,3+counta($F$1:O$1),false)</f>
        <v>0.45</v>
      </c>
      <c r="P56" s="99">
        <f>$D56-vlookup(Summary!$C56,Summary!$C$2:$Q$103,3+counta($F$1:P$1),false)</f>
        <v>-0.1</v>
      </c>
      <c r="Q56" s="99">
        <f>$D56-vlookup(Summary!$C56,Summary!$C$2:$Q$103,3+counta($F$1:Q$1),false)</f>
        <v>0</v>
      </c>
    </row>
    <row r="57" ht="15.75" customHeight="1">
      <c r="A57" s="15">
        <f>Main!A57</f>
        <v>56</v>
      </c>
      <c r="B57" s="15" t="str">
        <f>Main!B57</f>
        <v>Dave Chapelle’s special ‘The Closer’ will be available to watch on Netflix (Aus or US)</v>
      </c>
      <c r="C57" s="15" t="str">
        <f>Main!C57</f>
        <v>Society</v>
      </c>
      <c r="D57" s="15">
        <v>0.5</v>
      </c>
      <c r="F57" s="99">
        <f>$D57-vlookup(Summary!$C57,Summary!$C$2:$Q$103,3+counta($F$1:F$1),false)</f>
        <v>-0.3</v>
      </c>
      <c r="G57" s="99">
        <f>$D57-vlookup(Summary!$C57,Summary!$C$2:$Q$103,3+counta($F$1:G$1),false)</f>
        <v>-0.1</v>
      </c>
      <c r="H57" s="99">
        <f>$D57-vlookup(Summary!$C57,Summary!$C$2:$Q$103,3+counta($F$1:H$1),false)</f>
        <v>0</v>
      </c>
      <c r="I57" s="99">
        <f>$D57-vlookup(Summary!$C57,Summary!$C$2:$Q$103,3+counta($F$1:I$1),false)</f>
        <v>-0.3</v>
      </c>
      <c r="J57" s="99">
        <f>$D57-vlookup(Summary!$C57,Summary!$C$2:$Q$103,3+counta($F$1:J$1),false)</f>
        <v>-0.1</v>
      </c>
      <c r="K57" s="99">
        <f>$D57-vlookup(Summary!$C57,Summary!$C$2:$Q$103,3+counta($F$1:K$1),false)</f>
        <v>0</v>
      </c>
      <c r="L57" s="99">
        <f>$D57-vlookup(Summary!$C57,Summary!$C$2:$Q$103,3+counta($F$1:L$1),false)</f>
        <v>-0.1</v>
      </c>
      <c r="M57" s="99">
        <f>$D57-vlookup(Summary!$C57,Summary!$C$2:$Q$103,3+counta($F$1:M$1),false)</f>
        <v>0</v>
      </c>
      <c r="N57" s="99">
        <f>$D57-vlookup(Summary!$C57,Summary!$C$2:$Q$103,3+counta($F$1:N$1),false)</f>
        <v>0.3</v>
      </c>
      <c r="O57" s="99">
        <f>$D57-vlookup(Summary!$C57,Summary!$C$2:$Q$103,3+counta($F$1:O$1),false)</f>
        <v>-0.499</v>
      </c>
      <c r="P57" s="99">
        <f>$D57-vlookup(Summary!$C57,Summary!$C$2:$Q$103,3+counta($F$1:P$1),false)</f>
        <v>0</v>
      </c>
      <c r="Q57" s="99">
        <f>$D57-vlookup(Summary!$C57,Summary!$C$2:$Q$103,3+counta($F$1:Q$1),false)</f>
        <v>0</v>
      </c>
    </row>
    <row r="58" ht="15.75" customHeight="1">
      <c r="A58" s="15">
        <f>Main!A58</f>
        <v>57</v>
      </c>
      <c r="B58" s="15" t="str">
        <f>Main!B58</f>
        <v>An actor in a Disney film or TV show will have their contract ‘cancelled’ due to social pressure related to a social media post or opinion they have expressed publicly.</v>
      </c>
      <c r="C58" s="15" t="str">
        <f>Main!C58</f>
        <v>Society</v>
      </c>
      <c r="D58" s="15">
        <v>0.7</v>
      </c>
      <c r="F58" s="99">
        <f>$D58-vlookup(Summary!$C58,Summary!$C$2:$Q$103,3+counta($F$1:F$1),false)</f>
        <v>0</v>
      </c>
      <c r="G58" s="99">
        <f>$D58-vlookup(Summary!$C58,Summary!$C$2:$Q$103,3+counta($F$1:G$1),false)</f>
        <v>0.3</v>
      </c>
      <c r="H58" s="99">
        <f>$D58-vlookup(Summary!$C58,Summary!$C$2:$Q$103,3+counta($F$1:H$1),false)</f>
        <v>0.1</v>
      </c>
      <c r="I58" s="99">
        <f>$D58-vlookup(Summary!$C58,Summary!$C$2:$Q$103,3+counta($F$1:I$1),false)</f>
        <v>-0.1</v>
      </c>
      <c r="J58" s="99">
        <f>$D58-vlookup(Summary!$C58,Summary!$C$2:$Q$103,3+counta($F$1:J$1),false)</f>
        <v>-0.1</v>
      </c>
      <c r="K58" s="99">
        <f>$D58-vlookup(Summary!$C58,Summary!$C$2:$Q$103,3+counta($F$1:K$1),false)</f>
        <v>0</v>
      </c>
      <c r="L58" s="99">
        <f>$D58-vlookup(Summary!$C58,Summary!$C$2:$Q$103,3+counta($F$1:L$1),false)</f>
        <v>0.2</v>
      </c>
      <c r="M58" s="99">
        <f>$D58-vlookup(Summary!$C58,Summary!$C$2:$Q$103,3+counta($F$1:M$1),false)</f>
        <v>0.1</v>
      </c>
      <c r="N58" s="99">
        <f>$D58-vlookup(Summary!$C58,Summary!$C$2:$Q$103,3+counta($F$1:N$1),false)</f>
        <v>-0.1</v>
      </c>
      <c r="O58" s="99">
        <f>$D58-vlookup(Summary!$C58,Summary!$C$2:$Q$103,3+counta($F$1:O$1),false)</f>
        <v>0.05</v>
      </c>
      <c r="P58" s="99">
        <f>$D58-vlookup(Summary!$C58,Summary!$C$2:$Q$103,3+counta($F$1:P$1),false)</f>
        <v>0.2</v>
      </c>
      <c r="Q58" s="99">
        <f>$D58-vlookup(Summary!$C58,Summary!$C$2:$Q$103,3+counta($F$1:Q$1),false)</f>
        <v>0.3</v>
      </c>
    </row>
    <row r="59" ht="15.75" customHeight="1">
      <c r="A59" s="15">
        <f>Main!A59</f>
        <v>58</v>
      </c>
      <c r="B59" s="15" t="str">
        <f>Main!B59</f>
        <v>An Australian company or department will mandate the inclusion or visibility of preferred gender pronouns, whether through an HR directory or email signatures.</v>
      </c>
      <c r="C59" s="15" t="str">
        <f>Main!C59</f>
        <v>Society</v>
      </c>
      <c r="D59" s="15">
        <v>0.75</v>
      </c>
      <c r="F59" s="99">
        <f>$D59-vlookup(Summary!$C59,Summary!$C$2:$Q$103,3+counta($F$1:F$1),false)</f>
        <v>0.1</v>
      </c>
      <c r="G59" s="99">
        <f>$D59-vlookup(Summary!$C59,Summary!$C$2:$Q$103,3+counta($F$1:G$1),false)</f>
        <v>-0.2</v>
      </c>
      <c r="H59" s="99">
        <f>$D59-vlookup(Summary!$C59,Summary!$C$2:$Q$103,3+counta($F$1:H$1),false)</f>
        <v>0.15</v>
      </c>
      <c r="I59" s="99">
        <f>$D59-vlookup(Summary!$C59,Summary!$C$2:$Q$103,3+counta($F$1:I$1),false)</f>
        <v>-0.05</v>
      </c>
      <c r="J59" s="99">
        <f>$D59-vlookup(Summary!$C59,Summary!$C$2:$Q$103,3+counta($F$1:J$1),false)</f>
        <v>0.25</v>
      </c>
      <c r="K59" s="99">
        <f>$D59-vlookup(Summary!$C59,Summary!$C$2:$Q$103,3+counta($F$1:K$1),false)</f>
        <v>0</v>
      </c>
      <c r="L59" s="99">
        <f>$D59-vlookup(Summary!$C59,Summary!$C$2:$Q$103,3+counta($F$1:L$1),false)</f>
        <v>0.25</v>
      </c>
      <c r="M59" s="99">
        <f>$D59-vlookup(Summary!$C59,Summary!$C$2:$Q$103,3+counta($F$1:M$1),false)</f>
        <v>0.15</v>
      </c>
      <c r="N59" s="99">
        <f>$D59-vlookup(Summary!$C59,Summary!$C$2:$Q$103,3+counta($F$1:N$1),false)</f>
        <v>-0.05</v>
      </c>
      <c r="O59" s="99">
        <f>$D59-vlookup(Summary!$C59,Summary!$C$2:$Q$103,3+counta($F$1:O$1),false)</f>
        <v>0.4</v>
      </c>
      <c r="P59" s="99">
        <f>$D59-vlookup(Summary!$C59,Summary!$C$2:$Q$103,3+counta($F$1:P$1),false)</f>
        <v>0.25</v>
      </c>
      <c r="Q59" s="99">
        <f>$D59-vlookup(Summary!$C59,Summary!$C$2:$Q$103,3+counta($F$1:Q$1),false)</f>
        <v>0.35</v>
      </c>
    </row>
    <row r="60" ht="15.75" customHeight="1">
      <c r="A60" s="15">
        <f>Main!A60</f>
        <v>59</v>
      </c>
      <c r="B60" s="15" t="str">
        <f>Main!B60</f>
        <v>More than 30% of Australians will have been born overseas (currently 29.8%)</v>
      </c>
      <c r="C60" s="15" t="str">
        <f>Main!C60</f>
        <v>Society</v>
      </c>
      <c r="D60" s="15">
        <v>0.9</v>
      </c>
      <c r="F60" s="99">
        <f>$D60-vlookup(Summary!$C60,Summary!$C$2:$Q$103,3+counta($F$1:F$1),false)</f>
        <v>0.7</v>
      </c>
      <c r="G60" s="99">
        <f>$D60-vlookup(Summary!$C60,Summary!$C$2:$Q$103,3+counta($F$1:G$1),false)</f>
        <v>0.3</v>
      </c>
      <c r="H60" s="99">
        <f>$D60-vlookup(Summary!$C60,Summary!$C$2:$Q$103,3+counta($F$1:H$1),false)</f>
        <v>0.8</v>
      </c>
      <c r="I60" s="99">
        <f>$D60-vlookup(Summary!$C60,Summary!$C$2:$Q$103,3+counta($F$1:I$1),false)</f>
        <v>0.3</v>
      </c>
      <c r="J60" s="99">
        <f>$D60-vlookup(Summary!$C60,Summary!$C$2:$Q$103,3+counta($F$1:J$1),false)</f>
        <v>0</v>
      </c>
      <c r="K60" s="99">
        <f>$D60-vlookup(Summary!$C60,Summary!$C$2:$Q$103,3+counta($F$1:K$1),false)</f>
        <v>0</v>
      </c>
      <c r="L60" s="99">
        <f>$D60-vlookup(Summary!$C60,Summary!$C$2:$Q$103,3+counta($F$1:L$1),false)</f>
        <v>0.6</v>
      </c>
      <c r="M60" s="99">
        <f>$D60-vlookup(Summary!$C60,Summary!$C$2:$Q$103,3+counta($F$1:M$1),false)</f>
        <v>0.8</v>
      </c>
      <c r="N60" s="99">
        <f>$D60-vlookup(Summary!$C60,Summary!$C$2:$Q$103,3+counta($F$1:N$1),false)</f>
        <v>0.7</v>
      </c>
      <c r="O60" s="99">
        <f>$D60-vlookup(Summary!$C60,Summary!$C$2:$Q$103,3+counta($F$1:O$1),false)</f>
        <v>0.25</v>
      </c>
      <c r="P60" s="99">
        <f>$D60-vlookup(Summary!$C60,Summary!$C$2:$Q$103,3+counta($F$1:P$1),false)</f>
        <v>0.8</v>
      </c>
      <c r="Q60" s="99">
        <f>$D60-vlookup(Summary!$C60,Summary!$C$2:$Q$103,3+counta($F$1:Q$1),false)</f>
        <v>0.35</v>
      </c>
    </row>
    <row r="61" ht="15.75" customHeight="1">
      <c r="A61" s="15">
        <f>Main!A61</f>
        <v>60</v>
      </c>
      <c r="B61" s="15" t="str">
        <f>Main!B61</f>
        <v>LGBTIQ+ will be the acronym in widespread usage throughout Australia, as determined by the definition from LGBTIQ+ Health Australia (the peak body org for health and research related to that community)</v>
      </c>
      <c r="C61" s="15" t="str">
        <f>Main!C61</f>
        <v>Society</v>
      </c>
      <c r="D61" s="15">
        <v>0.75</v>
      </c>
      <c r="F61" s="99">
        <f>$D61-vlookup(Summary!$C61,Summary!$C$2:$Q$103,3+counta($F$1:F$1),false)</f>
        <v>0.3</v>
      </c>
      <c r="G61" s="99">
        <f>$D61-vlookup(Summary!$C61,Summary!$C$2:$Q$103,3+counta($F$1:G$1),false)</f>
        <v>0.05</v>
      </c>
      <c r="H61" s="99">
        <f>$D61-vlookup(Summary!$C61,Summary!$C$2:$Q$103,3+counta($F$1:H$1),false)</f>
        <v>0.25</v>
      </c>
      <c r="I61" s="99">
        <f>$D61-vlookup(Summary!$C61,Summary!$C$2:$Q$103,3+counta($F$1:I$1),false)</f>
        <v>0.05</v>
      </c>
      <c r="J61" s="99">
        <f>$D61-vlookup(Summary!$C61,Summary!$C$2:$Q$103,3+counta($F$1:J$1),false)</f>
        <v>0.05</v>
      </c>
      <c r="K61" s="99">
        <f>$D61-vlookup(Summary!$C61,Summary!$C$2:$Q$103,3+counta($F$1:K$1),false)</f>
        <v>0</v>
      </c>
      <c r="L61" s="99">
        <f>$D61-vlookup(Summary!$C61,Summary!$C$2:$Q$103,3+counta($F$1:L$1),false)</f>
        <v>-0.15</v>
      </c>
      <c r="M61" s="99">
        <f>$D61-vlookup(Summary!$C61,Summary!$C$2:$Q$103,3+counta($F$1:M$1),false)</f>
        <v>0.25</v>
      </c>
      <c r="N61" s="99">
        <f>$D61-vlookup(Summary!$C61,Summary!$C$2:$Q$103,3+counta($F$1:N$1),false)</f>
        <v>0.55</v>
      </c>
      <c r="O61" s="99">
        <f>$D61-vlookup(Summary!$C61,Summary!$C$2:$Q$103,3+counta($F$1:O$1),false)</f>
        <v>-0.249</v>
      </c>
      <c r="P61" s="99">
        <f>$D61-vlookup(Summary!$C61,Summary!$C$2:$Q$103,3+counta($F$1:P$1),false)</f>
        <v>0.25</v>
      </c>
      <c r="Q61" s="99">
        <f>$D61-vlookup(Summary!$C61,Summary!$C$2:$Q$103,3+counta($F$1:Q$1),false)</f>
        <v>0.45</v>
      </c>
    </row>
    <row r="62" ht="15.75" customHeight="1">
      <c r="A62" s="15">
        <f>Main!A62</f>
        <v>61</v>
      </c>
      <c r="B62" s="15" t="str">
        <f>Main!B62</f>
        <v>The meat industry in Australia and/or the US will succeed in controlling the use of ‘meat terms’ (meat, beef etc.) for non-animal protein products</v>
      </c>
      <c r="C62" s="15" t="str">
        <f>Main!C62</f>
        <v>Society</v>
      </c>
      <c r="D62" s="15">
        <v>0.74</v>
      </c>
      <c r="F62" s="99">
        <f>$D62-vlookup(Summary!$C62,Summary!$C$2:$Q$103,3+counta($F$1:F$1),false)</f>
        <v>0.39</v>
      </c>
      <c r="G62" s="99">
        <f>$D62-vlookup(Summary!$C62,Summary!$C$2:$Q$103,3+counta($F$1:G$1),false)</f>
        <v>0.14</v>
      </c>
      <c r="H62" s="99">
        <f>$D62-vlookup(Summary!$C62,Summary!$C$2:$Q$103,3+counta($F$1:H$1),false)</f>
        <v>0.54</v>
      </c>
      <c r="I62" s="99">
        <f>$D62-vlookup(Summary!$C62,Summary!$C$2:$Q$103,3+counta($F$1:I$1),false)</f>
        <v>0.14</v>
      </c>
      <c r="J62" s="99">
        <f>$D62-vlookup(Summary!$C62,Summary!$C$2:$Q$103,3+counta($F$1:J$1),false)</f>
        <v>-0.06</v>
      </c>
      <c r="K62" s="99">
        <f>$D62-vlookup(Summary!$C62,Summary!$C$2:$Q$103,3+counta($F$1:K$1),false)</f>
        <v>0</v>
      </c>
      <c r="L62" s="99">
        <f>$D62-vlookup(Summary!$C62,Summary!$C$2:$Q$103,3+counta($F$1:L$1),false)</f>
        <v>0.64</v>
      </c>
      <c r="M62" s="99">
        <f>$D62-vlookup(Summary!$C62,Summary!$C$2:$Q$103,3+counta($F$1:M$1),false)</f>
        <v>0.54</v>
      </c>
      <c r="N62" s="99">
        <f>$D62-vlookup(Summary!$C62,Summary!$C$2:$Q$103,3+counta($F$1:N$1),false)</f>
        <v>0.64</v>
      </c>
      <c r="O62" s="99">
        <f>$D62-vlookup(Summary!$C62,Summary!$C$2:$Q$103,3+counta($F$1:O$1),false)</f>
        <v>-0.259</v>
      </c>
      <c r="P62" s="99">
        <f>$D62-vlookup(Summary!$C62,Summary!$C$2:$Q$103,3+counta($F$1:P$1),false)</f>
        <v>-0.06</v>
      </c>
      <c r="Q62" s="99">
        <f>$D62-vlookup(Summary!$C62,Summary!$C$2:$Q$103,3+counta($F$1:Q$1),false)</f>
        <v>0.24</v>
      </c>
    </row>
    <row r="63" ht="15.75" customHeight="1">
      <c r="A63" s="15">
        <f>Main!A63</f>
        <v>62</v>
      </c>
      <c r="B63" s="15" t="str">
        <f>Main!B63</f>
        <v>The median house price in Canberra will be over $1,200,000 (currently $1,015,833)</v>
      </c>
      <c r="C63" s="15" t="str">
        <f>Main!C63</f>
        <v>Society</v>
      </c>
      <c r="D63" s="15">
        <v>0.8</v>
      </c>
      <c r="F63" s="99">
        <f>$D63-vlookup(Summary!$C63,Summary!$C$2:$Q$103,3+counta($F$1:F$1),false)</f>
        <v>0.1</v>
      </c>
      <c r="G63" s="99">
        <f>$D63-vlookup(Summary!$C63,Summary!$C$2:$Q$103,3+counta($F$1:G$1),false)</f>
        <v>0.6</v>
      </c>
      <c r="H63" s="99">
        <f>$D63-vlookup(Summary!$C63,Summary!$C$2:$Q$103,3+counta($F$1:H$1),false)</f>
        <v>0.6</v>
      </c>
      <c r="I63" s="99">
        <f>$D63-vlookup(Summary!$C63,Summary!$C$2:$Q$103,3+counta($F$1:I$1),false)</f>
        <v>0</v>
      </c>
      <c r="J63" s="99">
        <f>$D63-vlookup(Summary!$C63,Summary!$C$2:$Q$103,3+counta($F$1:J$1),false)</f>
        <v>0</v>
      </c>
      <c r="K63" s="99">
        <f>$D63-vlookup(Summary!$C63,Summary!$C$2:$Q$103,3+counta($F$1:K$1),false)</f>
        <v>0</v>
      </c>
      <c r="L63" s="99">
        <f>$D63-vlookup(Summary!$C63,Summary!$C$2:$Q$103,3+counta($F$1:L$1),false)</f>
        <v>-0.19999</v>
      </c>
      <c r="M63" s="99">
        <f>$D63-vlookup(Summary!$C63,Summary!$C$2:$Q$103,3+counta($F$1:M$1),false)</f>
        <v>0.6</v>
      </c>
      <c r="N63" s="99">
        <f>$D63-vlookup(Summary!$C63,Summary!$C$2:$Q$103,3+counta($F$1:N$1),false)</f>
        <v>-0.1</v>
      </c>
      <c r="O63" s="99">
        <f>$D63-vlookup(Summary!$C63,Summary!$C$2:$Q$103,3+counta($F$1:O$1),false)</f>
        <v>0.65</v>
      </c>
      <c r="P63" s="99">
        <f>$D63-vlookup(Summary!$C63,Summary!$C$2:$Q$103,3+counta($F$1:P$1),false)</f>
        <v>0.2</v>
      </c>
      <c r="Q63" s="99">
        <f>$D63-vlookup(Summary!$C63,Summary!$C$2:$Q$103,3+counta($F$1:Q$1),false)</f>
        <v>0.35</v>
      </c>
    </row>
    <row r="64" ht="15.75" customHeight="1">
      <c r="A64" s="15">
        <f>Main!A64</f>
        <v>63</v>
      </c>
      <c r="B64" s="15" t="str">
        <f>Main!B64</f>
        <v>An artist or band on the Rock and Roll Hall of Fame has a performance using digital avatar (source https://en.wikipedia.org/wiki/List_of_Rock_and_Roll_Hall_of_Fame_inductees)</v>
      </c>
      <c r="C64" s="15" t="str">
        <f>Main!C64</f>
        <v>Society</v>
      </c>
      <c r="D64" s="15">
        <v>0.6</v>
      </c>
      <c r="F64" s="99">
        <f>$D64-vlookup(Summary!$C64,Summary!$C$2:$Q$103,3+counta($F$1:F$1),false)</f>
        <v>0.2</v>
      </c>
      <c r="G64" s="99">
        <f>$D64-vlookup(Summary!$C64,Summary!$C$2:$Q$103,3+counta($F$1:G$1),false)</f>
        <v>0</v>
      </c>
      <c r="H64" s="99">
        <f>$D64-vlookup(Summary!$C64,Summary!$C$2:$Q$103,3+counta($F$1:H$1),false)</f>
        <v>-0.1</v>
      </c>
      <c r="I64" s="99">
        <f>$D64-vlookup(Summary!$C64,Summary!$C$2:$Q$103,3+counta($F$1:I$1),false)</f>
        <v>0.3</v>
      </c>
      <c r="J64" s="99">
        <f>$D64-vlookup(Summary!$C64,Summary!$C$2:$Q$103,3+counta($F$1:J$1),false)</f>
        <v>0.1</v>
      </c>
      <c r="K64" s="99">
        <f>$D64-vlookup(Summary!$C64,Summary!$C$2:$Q$103,3+counta($F$1:K$1),false)</f>
        <v>0</v>
      </c>
      <c r="L64" s="99">
        <f>$D64-vlookup(Summary!$C64,Summary!$C$2:$Q$103,3+counta($F$1:L$1),false)</f>
        <v>0</v>
      </c>
      <c r="M64" s="99">
        <f>$D64-vlookup(Summary!$C64,Summary!$C$2:$Q$103,3+counta($F$1:M$1),false)</f>
        <v>-0.1</v>
      </c>
      <c r="N64" s="99">
        <f>$D64-vlookup(Summary!$C64,Summary!$C$2:$Q$103,3+counta($F$1:N$1),false)</f>
        <v>0.4</v>
      </c>
      <c r="O64" s="99">
        <f>$D64-vlookup(Summary!$C64,Summary!$C$2:$Q$103,3+counta($F$1:O$1),false)</f>
        <v>0.45</v>
      </c>
      <c r="P64" s="99">
        <f>$D64-vlookup(Summary!$C64,Summary!$C$2:$Q$103,3+counta($F$1:P$1),false)</f>
        <v>0.5</v>
      </c>
      <c r="Q64" s="99">
        <f>$D64-vlookup(Summary!$C64,Summary!$C$2:$Q$103,3+counta($F$1:Q$1),false)</f>
        <v>0.1</v>
      </c>
    </row>
    <row r="65" ht="15.75" customHeight="1">
      <c r="A65" s="15">
        <f>Main!A65</f>
        <v>64</v>
      </c>
      <c r="B65" s="15" t="str">
        <f>Main!B65</f>
        <v>No Australian tennis player will win a senior Championship event at the Australian Open in 2022</v>
      </c>
      <c r="C65" s="15" t="str">
        <f>Main!C65</f>
        <v>Sport</v>
      </c>
      <c r="D65" s="15">
        <v>0.0</v>
      </c>
      <c r="F65" s="99">
        <f>$D65-vlookup(Summary!$C65,Summary!$C$2:$Q$103,3+counta($F$1:F$1),false)</f>
        <v>0</v>
      </c>
      <c r="G65" s="99">
        <f>$D65-vlookup(Summary!$C65,Summary!$C$2:$Q$103,3+counta($F$1:G$1),false)</f>
        <v>0</v>
      </c>
      <c r="H65" s="99">
        <f>$D65-vlookup(Summary!$C65,Summary!$C$2:$Q$103,3+counta($F$1:H$1),false)</f>
        <v>0</v>
      </c>
      <c r="I65" s="99">
        <f>$D65-vlookup(Summary!$C65,Summary!$C$2:$Q$103,3+counta($F$1:I$1),false)</f>
        <v>0</v>
      </c>
      <c r="J65" s="99">
        <f>$D65-vlookup(Summary!$C65,Summary!$C$2:$Q$103,3+counta($F$1:J$1),false)</f>
        <v>-0.6</v>
      </c>
      <c r="K65" s="99">
        <f>$D65-vlookup(Summary!$C65,Summary!$C$2:$Q$103,3+counta($F$1:K$1),false)</f>
        <v>0</v>
      </c>
      <c r="L65" s="99">
        <f>$D65-vlookup(Summary!$C65,Summary!$C$2:$Q$103,3+counta($F$1:L$1),false)</f>
        <v>0</v>
      </c>
      <c r="M65" s="99">
        <f>$D65-vlookup(Summary!$C65,Summary!$C$2:$Q$103,3+counta($F$1:M$1),false)</f>
        <v>0</v>
      </c>
      <c r="N65" s="99">
        <f>$D65-vlookup(Summary!$C65,Summary!$C$2:$Q$103,3+counta($F$1:N$1),false)</f>
        <v>-0.1</v>
      </c>
      <c r="O65" s="99">
        <f>$D65-vlookup(Summary!$C65,Summary!$C$2:$Q$103,3+counta($F$1:O$1),false)</f>
        <v>0</v>
      </c>
      <c r="P65" s="99">
        <f>$D65-vlookup(Summary!$C65,Summary!$C$2:$Q$103,3+counta($F$1:P$1),false)</f>
        <v>-0.5</v>
      </c>
      <c r="Q65" s="99">
        <f>$D65-vlookup(Summary!$C65,Summary!$C$2:$Q$103,3+counta($F$1:Q$1),false)</f>
        <v>-0.2</v>
      </c>
    </row>
    <row r="66" ht="15.75" customHeight="1">
      <c r="A66" s="15">
        <f>Main!A66</f>
        <v>65</v>
      </c>
      <c r="B66" s="15" t="str">
        <f>Main!B66</f>
        <v>Daniel Ricciardo will win the Australian GP in 2022.</v>
      </c>
      <c r="C66" s="15" t="str">
        <f>Main!C66</f>
        <v>Sport</v>
      </c>
      <c r="D66" s="15">
        <v>0.6</v>
      </c>
      <c r="F66" s="99">
        <f>$D66-vlookup(Summary!$C66,Summary!$C$2:$Q$103,3+counta($F$1:F$1),false)</f>
        <v>0.1</v>
      </c>
      <c r="G66" s="99">
        <f>$D66-vlookup(Summary!$C66,Summary!$C$2:$Q$103,3+counta($F$1:G$1),false)</f>
        <v>0.5</v>
      </c>
      <c r="H66" s="99">
        <f>$D66-vlookup(Summary!$C66,Summary!$C$2:$Q$103,3+counta($F$1:H$1),false)</f>
        <v>0.1</v>
      </c>
      <c r="I66" s="99">
        <f>$D66-vlookup(Summary!$C66,Summary!$C$2:$Q$103,3+counta($F$1:I$1),false)</f>
        <v>0.1</v>
      </c>
      <c r="J66" s="99">
        <f>$D66-vlookup(Summary!$C66,Summary!$C$2:$Q$103,3+counta($F$1:J$1),false)</f>
        <v>0.3</v>
      </c>
      <c r="K66" s="99">
        <f>$D66-vlookup(Summary!$C66,Summary!$C$2:$Q$103,3+counta($F$1:K$1),false)</f>
        <v>0</v>
      </c>
      <c r="L66" s="99">
        <f>$D66-vlookup(Summary!$C66,Summary!$C$2:$Q$103,3+counta($F$1:L$1),false)</f>
        <v>0.4</v>
      </c>
      <c r="M66" s="99">
        <f>$D66-vlookup(Summary!$C66,Summary!$C$2:$Q$103,3+counta($F$1:M$1),false)</f>
        <v>0.1</v>
      </c>
      <c r="N66" s="99">
        <f>$D66-vlookup(Summary!$C66,Summary!$C$2:$Q$103,3+counta($F$1:N$1),false)</f>
        <v>0.5</v>
      </c>
      <c r="O66" s="99">
        <f>$D66-vlookup(Summary!$C66,Summary!$C$2:$Q$103,3+counta($F$1:O$1),false)</f>
        <v>0.1</v>
      </c>
      <c r="P66" s="99">
        <f>$D66-vlookup(Summary!$C66,Summary!$C$2:$Q$103,3+counta($F$1:P$1),false)</f>
        <v>0.5</v>
      </c>
      <c r="Q66" s="99">
        <f>$D66-vlookup(Summary!$C66,Summary!$C$2:$Q$103,3+counta($F$1:Q$1),false)</f>
        <v>0.5</v>
      </c>
    </row>
    <row r="67" ht="15.75" customHeight="1">
      <c r="A67" s="15">
        <f>Main!A67</f>
        <v>66</v>
      </c>
      <c r="B67" s="15" t="str">
        <f>Main!B67</f>
        <v>Collingwood will make it into the top 8 at the end of the footy season</v>
      </c>
      <c r="C67" s="15" t="str">
        <f>Main!C67</f>
        <v>Sport</v>
      </c>
      <c r="D67" s="15">
        <v>0.6</v>
      </c>
      <c r="F67" s="99">
        <f>$D67-vlookup(Summary!$C67,Summary!$C$2:$Q$103,3+counta($F$1:F$1),false)</f>
        <v>0.1</v>
      </c>
      <c r="G67" s="99">
        <f>$D67-vlookup(Summary!$C67,Summary!$C$2:$Q$103,3+counta($F$1:G$1),false)</f>
        <v>0.5</v>
      </c>
      <c r="H67" s="99">
        <f>$D67-vlookup(Summary!$C67,Summary!$C$2:$Q$103,3+counta($F$1:H$1),false)</f>
        <v>0.15</v>
      </c>
      <c r="I67" s="99">
        <f>$D67-vlookup(Summary!$C67,Summary!$C$2:$Q$103,3+counta($F$1:I$1),false)</f>
        <v>0.1</v>
      </c>
      <c r="J67" s="99">
        <f>$D67-vlookup(Summary!$C67,Summary!$C$2:$Q$103,3+counta($F$1:J$1),false)</f>
        <v>0</v>
      </c>
      <c r="K67" s="99">
        <f>$D67-vlookup(Summary!$C67,Summary!$C$2:$Q$103,3+counta($F$1:K$1),false)</f>
        <v>0</v>
      </c>
      <c r="L67" s="99">
        <f>$D67-vlookup(Summary!$C67,Summary!$C$2:$Q$103,3+counta($F$1:L$1),false)</f>
        <v>0.1</v>
      </c>
      <c r="M67" s="99">
        <f>$D67-vlookup(Summary!$C67,Summary!$C$2:$Q$103,3+counta($F$1:M$1),false)</f>
        <v>0.15</v>
      </c>
      <c r="N67" s="99">
        <f>$D67-vlookup(Summary!$C67,Summary!$C$2:$Q$103,3+counta($F$1:N$1),false)</f>
        <v>-0.1</v>
      </c>
      <c r="O67" s="99">
        <f>$D67-vlookup(Summary!$C67,Summary!$C$2:$Q$103,3+counta($F$1:O$1),false)</f>
        <v>0.1</v>
      </c>
      <c r="P67" s="99">
        <f>$D67-vlookup(Summary!$C67,Summary!$C$2:$Q$103,3+counta($F$1:P$1),false)</f>
        <v>0.5</v>
      </c>
      <c r="Q67" s="99">
        <f>$D67-vlookup(Summary!$C67,Summary!$C$2:$Q$103,3+counta($F$1:Q$1),false)</f>
        <v>0</v>
      </c>
    </row>
    <row r="68" ht="15.75" customHeight="1">
      <c r="A68" s="15">
        <f>Main!A68</f>
        <v>67</v>
      </c>
      <c r="B68" s="15" t="str">
        <f>Main!B68</f>
        <v>Italy will defeat Portugal in their qualifying match and reach the finals of the Football World Cup</v>
      </c>
      <c r="C68" s="15" t="str">
        <f>Main!C68</f>
        <v>Sport</v>
      </c>
      <c r="D68" s="15">
        <v>0.85</v>
      </c>
      <c r="F68" s="99">
        <f>$D68-vlookup(Summary!$C68,Summary!$C$2:$Q$103,3+counta($F$1:F$1),false)</f>
        <v>0.35</v>
      </c>
      <c r="G68" s="99">
        <f>$D68-vlookup(Summary!$C68,Summary!$C$2:$Q$103,3+counta($F$1:G$1),false)</f>
        <v>0.25</v>
      </c>
      <c r="H68" s="99">
        <f>$D68-vlookup(Summary!$C68,Summary!$C$2:$Q$103,3+counta($F$1:H$1),false)</f>
        <v>0.15</v>
      </c>
      <c r="I68" s="99">
        <f>$D68-vlookup(Summary!$C68,Summary!$C$2:$Q$103,3+counta($F$1:I$1),false)</f>
        <v>0.35</v>
      </c>
      <c r="J68" s="99">
        <f>$D68-vlookup(Summary!$C68,Summary!$C$2:$Q$103,3+counta($F$1:J$1),false)</f>
        <v>0.35</v>
      </c>
      <c r="K68" s="99">
        <f>$D68-vlookup(Summary!$C68,Summary!$C$2:$Q$103,3+counta($F$1:K$1),false)</f>
        <v>0</v>
      </c>
      <c r="L68" s="99">
        <f>$D68-vlookup(Summary!$C68,Summary!$C$2:$Q$103,3+counta($F$1:L$1),false)</f>
        <v>0.8</v>
      </c>
      <c r="M68" s="99">
        <f>$D68-vlookup(Summary!$C68,Summary!$C$2:$Q$103,3+counta($F$1:M$1),false)</f>
        <v>0.15</v>
      </c>
      <c r="N68" s="99">
        <f>$D68-vlookup(Summary!$C68,Summary!$C$2:$Q$103,3+counta($F$1:N$1),false)</f>
        <v>0.35</v>
      </c>
      <c r="O68" s="99">
        <f>$D68-vlookup(Summary!$C68,Summary!$C$2:$Q$103,3+counta($F$1:O$1),false)</f>
        <v>0.35</v>
      </c>
      <c r="P68" s="99">
        <f>$D68-vlookup(Summary!$C68,Summary!$C$2:$Q$103,3+counta($F$1:P$1),false)</f>
        <v>-0.05</v>
      </c>
      <c r="Q68" s="99">
        <f>$D68-vlookup(Summary!$C68,Summary!$C$2:$Q$103,3+counta($F$1:Q$1),false)</f>
        <v>0.05</v>
      </c>
    </row>
    <row r="69" ht="15.75" customHeight="1">
      <c r="A69" s="15">
        <f>Main!A69</f>
        <v>68</v>
      </c>
      <c r="B69" s="15" t="str">
        <f>Main!B69</f>
        <v>Ash Barty will be world number 1 in the WRA rankings after the US Open</v>
      </c>
      <c r="C69" s="15" t="str">
        <f>Main!C69</f>
        <v>Sport</v>
      </c>
      <c r="D69" s="15">
        <v>0.98</v>
      </c>
      <c r="F69" s="99">
        <f>$D69-vlookup(Summary!$C69,Summary!$C$2:$Q$103,3+counta($F$1:F$1),false)</f>
        <v>0.18</v>
      </c>
      <c r="G69" s="99">
        <f>$D69-vlookup(Summary!$C69,Summary!$C$2:$Q$103,3+counta($F$1:G$1),false)</f>
        <v>0.08</v>
      </c>
      <c r="H69" s="99">
        <f>$D69-vlookup(Summary!$C69,Summary!$C$2:$Q$103,3+counta($F$1:H$1),false)</f>
        <v>0.18</v>
      </c>
      <c r="I69" s="99">
        <f>$D69-vlookup(Summary!$C69,Summary!$C$2:$Q$103,3+counta($F$1:I$1),false)</f>
        <v>0.18</v>
      </c>
      <c r="J69" s="99">
        <f>$D69-vlookup(Summary!$C69,Summary!$C$2:$Q$103,3+counta($F$1:J$1),false)</f>
        <v>0.18</v>
      </c>
      <c r="K69" s="99">
        <f>$D69-vlookup(Summary!$C69,Summary!$C$2:$Q$103,3+counta($F$1:K$1),false)</f>
        <v>0</v>
      </c>
      <c r="L69" s="99">
        <f>$D69-vlookup(Summary!$C69,Summary!$C$2:$Q$103,3+counta($F$1:L$1),false)</f>
        <v>-0.019</v>
      </c>
      <c r="M69" s="99">
        <f>$D69-vlookup(Summary!$C69,Summary!$C$2:$Q$103,3+counta($F$1:M$1),false)</f>
        <v>0.18</v>
      </c>
      <c r="N69" s="99">
        <f>$D69-vlookup(Summary!$C69,Summary!$C$2:$Q$103,3+counta($F$1:N$1),false)</f>
        <v>0.08</v>
      </c>
      <c r="O69" s="99">
        <f>$D69-vlookup(Summary!$C69,Summary!$C$2:$Q$103,3+counta($F$1:O$1),false)</f>
        <v>0.48</v>
      </c>
      <c r="P69" s="99">
        <f>$D69-vlookup(Summary!$C69,Summary!$C$2:$Q$103,3+counta($F$1:P$1),false)</f>
        <v>0.08</v>
      </c>
      <c r="Q69" s="99">
        <f>$D69-vlookup(Summary!$C69,Summary!$C$2:$Q$103,3+counta($F$1:Q$1),false)</f>
        <v>0.43</v>
      </c>
    </row>
    <row r="70" ht="15.75" customHeight="1">
      <c r="A70" s="15">
        <f>Main!A70</f>
        <v>69</v>
      </c>
      <c r="B70" s="15" t="str">
        <f>Main!B70</f>
        <v>Neither Roger Federer nor Serena Williams will win a Grand Slam tennis tournament</v>
      </c>
      <c r="C70" s="15" t="str">
        <f>Main!C70</f>
        <v>Sport</v>
      </c>
      <c r="D70" s="15">
        <v>0.9</v>
      </c>
      <c r="F70" s="99">
        <f>$D70-vlookup(Summary!$C70,Summary!$C$2:$Q$103,3+counta($F$1:F$1),false)</f>
        <v>0.25</v>
      </c>
      <c r="G70" s="99">
        <f>$D70-vlookup(Summary!$C70,Summary!$C$2:$Q$103,3+counta($F$1:G$1),false)</f>
        <v>0.1</v>
      </c>
      <c r="H70" s="99">
        <f>$D70-vlookup(Summary!$C70,Summary!$C$2:$Q$103,3+counta($F$1:H$1),false)</f>
        <v>-0.05</v>
      </c>
      <c r="I70" s="99">
        <f>$D70-vlookup(Summary!$C70,Summary!$C$2:$Q$103,3+counta($F$1:I$1),false)</f>
        <v>0.5</v>
      </c>
      <c r="J70" s="99">
        <f>$D70-vlookup(Summary!$C70,Summary!$C$2:$Q$103,3+counta($F$1:J$1),false)</f>
        <v>0.1</v>
      </c>
      <c r="K70" s="99">
        <f>$D70-vlookup(Summary!$C70,Summary!$C$2:$Q$103,3+counta($F$1:K$1),false)</f>
        <v>0</v>
      </c>
      <c r="L70" s="99">
        <f>$D70-vlookup(Summary!$C70,Summary!$C$2:$Q$103,3+counta($F$1:L$1),false)</f>
        <v>-0.099</v>
      </c>
      <c r="M70" s="99">
        <f>$D70-vlookup(Summary!$C70,Summary!$C$2:$Q$103,3+counta($F$1:M$1),false)</f>
        <v>-0.05</v>
      </c>
      <c r="N70" s="99">
        <f>$D70-vlookup(Summary!$C70,Summary!$C$2:$Q$103,3+counta($F$1:N$1),false)</f>
        <v>0.1</v>
      </c>
      <c r="O70" s="99">
        <f>$D70-vlookup(Summary!$C70,Summary!$C$2:$Q$103,3+counta($F$1:O$1),false)</f>
        <v>0.05</v>
      </c>
      <c r="P70" s="99">
        <f>$D70-vlookup(Summary!$C70,Summary!$C$2:$Q$103,3+counta($F$1:P$1),false)</f>
        <v>0.8</v>
      </c>
      <c r="Q70" s="99">
        <f>$D70-vlookup(Summary!$C70,Summary!$C$2:$Q$103,3+counta($F$1:Q$1),false)</f>
        <v>0.4</v>
      </c>
    </row>
    <row r="71" ht="15.75" customHeight="1">
      <c r="A71" s="15">
        <f>Main!A71</f>
        <v>70</v>
      </c>
      <c r="B71" s="15" t="str">
        <f>Main!B71</f>
        <v>The Football World Cup will not go ahead on the scheduled dates in Qatar</v>
      </c>
      <c r="C71" s="15" t="str">
        <f>Main!C71</f>
        <v>Sport</v>
      </c>
      <c r="D71" s="15">
        <v>0.3</v>
      </c>
      <c r="F71" s="99">
        <f>$D71-vlookup(Summary!$C71,Summary!$C$2:$Q$103,3+counta($F$1:F$1),false)</f>
        <v>-0.1</v>
      </c>
      <c r="G71" s="99">
        <f>$D71-vlookup(Summary!$C71,Summary!$C$2:$Q$103,3+counta($F$1:G$1),false)</f>
        <v>0.05</v>
      </c>
      <c r="H71" s="99">
        <f>$D71-vlookup(Summary!$C71,Summary!$C$2:$Q$103,3+counta($F$1:H$1),false)</f>
        <v>0.2</v>
      </c>
      <c r="I71" s="99">
        <f>$D71-vlookup(Summary!$C71,Summary!$C$2:$Q$103,3+counta($F$1:I$1),false)</f>
        <v>-0.2</v>
      </c>
      <c r="J71" s="99">
        <f>$D71-vlookup(Summary!$C71,Summary!$C$2:$Q$103,3+counta($F$1:J$1),false)</f>
        <v>-0.2</v>
      </c>
      <c r="K71" s="99">
        <f>$D71-vlookup(Summary!$C71,Summary!$C$2:$Q$103,3+counta($F$1:K$1),false)</f>
        <v>0</v>
      </c>
      <c r="L71" s="99">
        <f>$D71-vlookup(Summary!$C71,Summary!$C$2:$Q$103,3+counta($F$1:L$1),false)</f>
        <v>-0.25</v>
      </c>
      <c r="M71" s="99">
        <f>$D71-vlookup(Summary!$C71,Summary!$C$2:$Q$103,3+counta($F$1:M$1),false)</f>
        <v>0.2</v>
      </c>
      <c r="N71" s="99">
        <f>$D71-vlookup(Summary!$C71,Summary!$C$2:$Q$103,3+counta($F$1:N$1),false)</f>
        <v>0.2</v>
      </c>
      <c r="O71" s="99">
        <f>$D71-vlookup(Summary!$C71,Summary!$C$2:$Q$103,3+counta($F$1:O$1),false)</f>
        <v>-0.35</v>
      </c>
      <c r="P71" s="99">
        <f>$D71-vlookup(Summary!$C71,Summary!$C$2:$Q$103,3+counta($F$1:P$1),false)</f>
        <v>-0.6</v>
      </c>
      <c r="Q71" s="99">
        <f>$D71-vlookup(Summary!$C71,Summary!$C$2:$Q$103,3+counta($F$1:Q$1),false)</f>
        <v>0.1</v>
      </c>
    </row>
    <row r="72" ht="15.75" customHeight="1">
      <c r="A72" s="15">
        <f>Main!A72</f>
        <v>71</v>
      </c>
      <c r="B72" s="15" t="str">
        <f>Main!B72</f>
        <v>Lewis hamilton will win the 2022 world championship in Formula 1</v>
      </c>
      <c r="C72" s="15" t="str">
        <f>Main!C72</f>
        <v>Sport</v>
      </c>
      <c r="D72" s="15">
        <v>0.8</v>
      </c>
      <c r="F72" s="99">
        <f>$D72-vlookup(Summary!$C72,Summary!$C$2:$Q$103,3+counta($F$1:F$1),false)</f>
        <v>0.2</v>
      </c>
      <c r="G72" s="99">
        <f>$D72-vlookup(Summary!$C72,Summary!$C$2:$Q$103,3+counta($F$1:G$1),false)</f>
        <v>0.6</v>
      </c>
      <c r="H72" s="99">
        <f>$D72-vlookup(Summary!$C72,Summary!$C$2:$Q$103,3+counta($F$1:H$1),false)</f>
        <v>0.2</v>
      </c>
      <c r="I72" s="99">
        <f>$D72-vlookup(Summary!$C72,Summary!$C$2:$Q$103,3+counta($F$1:I$1),false)</f>
        <v>0.3</v>
      </c>
      <c r="J72" s="99">
        <f>$D72-vlookup(Summary!$C72,Summary!$C$2:$Q$103,3+counta($F$1:J$1),false)</f>
        <v>0</v>
      </c>
      <c r="K72" s="99">
        <f>$D72-vlookup(Summary!$C72,Summary!$C$2:$Q$103,3+counta($F$1:K$1),false)</f>
        <v>0</v>
      </c>
      <c r="L72" s="99">
        <f>$D72-vlookup(Summary!$C72,Summary!$C$2:$Q$103,3+counta($F$1:L$1),false)</f>
        <v>0.2</v>
      </c>
      <c r="M72" s="99">
        <f>$D72-vlookup(Summary!$C72,Summary!$C$2:$Q$103,3+counta($F$1:M$1),false)</f>
        <v>0.2</v>
      </c>
      <c r="N72" s="99">
        <f>$D72-vlookup(Summary!$C72,Summary!$C$2:$Q$103,3+counta($F$1:N$1),false)</f>
        <v>0</v>
      </c>
      <c r="O72" s="99">
        <f>$D72-vlookup(Summary!$C72,Summary!$C$2:$Q$103,3+counta($F$1:O$1),false)</f>
        <v>0.45</v>
      </c>
      <c r="P72" s="99">
        <f>$D72-vlookup(Summary!$C72,Summary!$C$2:$Q$103,3+counta($F$1:P$1),false)</f>
        <v>-0.1</v>
      </c>
      <c r="Q72" s="99">
        <f>$D72-vlookup(Summary!$C72,Summary!$C$2:$Q$103,3+counta($F$1:Q$1),false)</f>
        <v>0.15</v>
      </c>
    </row>
    <row r="73" ht="15.75" customHeight="1">
      <c r="A73" s="15">
        <f>Main!A73</f>
        <v>72</v>
      </c>
      <c r="B73" s="15" t="str">
        <f>Main!B73</f>
        <v>The Haas F1 team will score 0 points in the 2022 season</v>
      </c>
      <c r="C73" s="15" t="str">
        <f>Main!C73</f>
        <v>Sport</v>
      </c>
      <c r="D73" s="15">
        <v>0.5</v>
      </c>
      <c r="F73" s="99">
        <f>$D73-vlookup(Summary!$C73,Summary!$C$2:$Q$103,3+counta($F$1:F$1),false)</f>
        <v>0</v>
      </c>
      <c r="G73" s="99">
        <f>$D73-vlookup(Summary!$C73,Summary!$C$2:$Q$103,3+counta($F$1:G$1),false)</f>
        <v>-0.2</v>
      </c>
      <c r="H73" s="99">
        <f>$D73-vlookup(Summary!$C73,Summary!$C$2:$Q$103,3+counta($F$1:H$1),false)</f>
        <v>0</v>
      </c>
      <c r="I73" s="99">
        <f>$D73-vlookup(Summary!$C73,Summary!$C$2:$Q$103,3+counta($F$1:I$1),false)</f>
        <v>0</v>
      </c>
      <c r="J73" s="99">
        <f>$D73-vlookup(Summary!$C73,Summary!$C$2:$Q$103,3+counta($F$1:J$1),false)</f>
        <v>0.2</v>
      </c>
      <c r="K73" s="99">
        <f>$D73-vlookup(Summary!$C73,Summary!$C$2:$Q$103,3+counta($F$1:K$1),false)</f>
        <v>0</v>
      </c>
      <c r="L73" s="99">
        <f>$D73-vlookup(Summary!$C73,Summary!$C$2:$Q$103,3+counta($F$1:L$1),false)</f>
        <v>0</v>
      </c>
      <c r="M73" s="99">
        <f>$D73-vlookup(Summary!$C73,Summary!$C$2:$Q$103,3+counta($F$1:M$1),false)</f>
        <v>0</v>
      </c>
      <c r="N73" s="99">
        <f>$D73-vlookup(Summary!$C73,Summary!$C$2:$Q$103,3+counta($F$1:N$1),false)</f>
        <v>0</v>
      </c>
      <c r="O73" s="99">
        <f>$D73-vlookup(Summary!$C73,Summary!$C$2:$Q$103,3+counta($F$1:O$1),false)</f>
        <v>-0.15</v>
      </c>
      <c r="P73" s="99">
        <f>$D73-vlookup(Summary!$C73,Summary!$C$2:$Q$103,3+counta($F$1:P$1),false)</f>
        <v>0.4</v>
      </c>
      <c r="Q73" s="99">
        <f>$D73-vlookup(Summary!$C73,Summary!$C$2:$Q$103,3+counta($F$1:Q$1),false)</f>
        <v>-0.1</v>
      </c>
    </row>
    <row r="74" ht="15.75" customHeight="1">
      <c r="A74" s="15">
        <f>Main!A74</f>
        <v>73</v>
      </c>
      <c r="B74" s="15" t="str">
        <f>Main!B74</f>
        <v>ULA's vulcan centaur will launch succesfully (places a payload into orbit)</v>
      </c>
      <c r="C74" s="15" t="str">
        <f>Main!C74</f>
        <v>Technology</v>
      </c>
      <c r="D74" s="15">
        <v>0.6</v>
      </c>
      <c r="F74" s="99">
        <f>$D74-vlookup(Summary!$C74,Summary!$C$2:$Q$103,3+counta($F$1:F$1),false)</f>
        <v>0</v>
      </c>
      <c r="G74" s="99">
        <f>$D74-vlookup(Summary!$C74,Summary!$C$2:$Q$103,3+counta($F$1:G$1),false)</f>
        <v>-0.1</v>
      </c>
      <c r="H74" s="99">
        <f>$D74-vlookup(Summary!$C74,Summary!$C$2:$Q$103,3+counta($F$1:H$1),false)</f>
        <v>-0.1</v>
      </c>
      <c r="I74" s="99">
        <f>$D74-vlookup(Summary!$C74,Summary!$C$2:$Q$103,3+counta($F$1:I$1),false)</f>
        <v>0</v>
      </c>
      <c r="J74" s="99">
        <f>$D74-vlookup(Summary!$C74,Summary!$C$2:$Q$103,3+counta($F$1:J$1),false)</f>
        <v>0</v>
      </c>
      <c r="K74" s="99">
        <f>$D74-vlookup(Summary!$C74,Summary!$C$2:$Q$103,3+counta($F$1:K$1),false)</f>
        <v>0</v>
      </c>
      <c r="L74" s="99">
        <f>$D74-vlookup(Summary!$C74,Summary!$C$2:$Q$103,3+counta($F$1:L$1),false)</f>
        <v>0.4</v>
      </c>
      <c r="M74" s="99">
        <f>$D74-vlookup(Summary!$C74,Summary!$C$2:$Q$103,3+counta($F$1:M$1),false)</f>
        <v>-0.1</v>
      </c>
      <c r="N74" s="99">
        <f>$D74-vlookup(Summary!$C74,Summary!$C$2:$Q$103,3+counta($F$1:N$1),false)</f>
        <v>0.2</v>
      </c>
      <c r="O74" s="99">
        <f>$D74-vlookup(Summary!$C74,Summary!$C$2:$Q$103,3+counta($F$1:O$1),false)</f>
        <v>-0.25</v>
      </c>
      <c r="P74" s="99">
        <f>$D74-vlookup(Summary!$C74,Summary!$C$2:$Q$103,3+counta($F$1:P$1),false)</f>
        <v>0.1</v>
      </c>
      <c r="Q74" s="99">
        <f>$D74-vlookup(Summary!$C74,Summary!$C$2:$Q$103,3+counta($F$1:Q$1),false)</f>
        <v>0.1</v>
      </c>
    </row>
    <row r="75" ht="15.75" customHeight="1">
      <c r="A75" s="15">
        <f>Main!A75</f>
        <v>74</v>
      </c>
      <c r="B75" s="15" t="str">
        <f>Main!B75</f>
        <v>NASA will declare its Artemis 1 mission a success</v>
      </c>
      <c r="C75" s="15" t="str">
        <f>Main!C75</f>
        <v>Technology</v>
      </c>
      <c r="D75" s="15">
        <v>0.8</v>
      </c>
      <c r="F75" s="99">
        <f>$D75-vlookup(Summary!$C75,Summary!$C$2:$Q$103,3+counta($F$1:F$1),false)</f>
        <v>0.1</v>
      </c>
      <c r="G75" s="99">
        <f>$D75-vlookup(Summary!$C75,Summary!$C$2:$Q$103,3+counta($F$1:G$1),false)</f>
        <v>0</v>
      </c>
      <c r="H75" s="99">
        <f>$D75-vlookup(Summary!$C75,Summary!$C$2:$Q$103,3+counta($F$1:H$1),false)</f>
        <v>0.1</v>
      </c>
      <c r="I75" s="99">
        <f>$D75-vlookup(Summary!$C75,Summary!$C$2:$Q$103,3+counta($F$1:I$1),false)</f>
        <v>0.1</v>
      </c>
      <c r="J75" s="99">
        <f>$D75-vlookup(Summary!$C75,Summary!$C$2:$Q$103,3+counta($F$1:J$1),false)</f>
        <v>0.1</v>
      </c>
      <c r="K75" s="99">
        <f>$D75-vlookup(Summary!$C75,Summary!$C$2:$Q$103,3+counta($F$1:K$1),false)</f>
        <v>0</v>
      </c>
      <c r="L75" s="99">
        <f>$D75-vlookup(Summary!$C75,Summary!$C$2:$Q$103,3+counta($F$1:L$1),false)</f>
        <v>0.2</v>
      </c>
      <c r="M75" s="99">
        <f>$D75-vlookup(Summary!$C75,Summary!$C$2:$Q$103,3+counta($F$1:M$1),false)</f>
        <v>0.1</v>
      </c>
      <c r="N75" s="99">
        <f>$D75-vlookup(Summary!$C75,Summary!$C$2:$Q$103,3+counta($F$1:N$1),false)</f>
        <v>0.3</v>
      </c>
      <c r="O75" s="99">
        <f>$D75-vlookup(Summary!$C75,Summary!$C$2:$Q$103,3+counta($F$1:O$1),false)</f>
        <v>0.15</v>
      </c>
      <c r="P75" s="99">
        <f>$D75-vlookup(Summary!$C75,Summary!$C$2:$Q$103,3+counta($F$1:P$1),false)</f>
        <v>0.3</v>
      </c>
      <c r="Q75" s="99">
        <f>$D75-vlookup(Summary!$C75,Summary!$C$2:$Q$103,3+counta($F$1:Q$1),false)</f>
        <v>0.1</v>
      </c>
    </row>
    <row r="76" ht="15.75" customHeight="1">
      <c r="A76" s="15">
        <f>Main!A76</f>
        <v>75</v>
      </c>
      <c r="B76" s="15" t="str">
        <f>Main!B76</f>
        <v>Starship/Superheavy will place Starship into a (partial) orbital trajectory</v>
      </c>
      <c r="C76" s="15" t="str">
        <f>Main!C76</f>
        <v>Technology</v>
      </c>
      <c r="D76" s="15">
        <v>0.5</v>
      </c>
      <c r="F76" s="99">
        <f>$D76-vlookup(Summary!$C76,Summary!$C$2:$Q$103,3+counta($F$1:F$1),false)</f>
        <v>-0.15</v>
      </c>
      <c r="G76" s="99">
        <f>$D76-vlookup(Summary!$C76,Summary!$C$2:$Q$103,3+counta($F$1:G$1),false)</f>
        <v>-0.1</v>
      </c>
      <c r="H76" s="99">
        <f>$D76-vlookup(Summary!$C76,Summary!$C$2:$Q$103,3+counta($F$1:H$1),false)</f>
        <v>-0.1</v>
      </c>
      <c r="I76" s="99">
        <f>$D76-vlookup(Summary!$C76,Summary!$C$2:$Q$103,3+counta($F$1:I$1),false)</f>
        <v>-0.15</v>
      </c>
      <c r="J76" s="99">
        <f>$D76-vlookup(Summary!$C76,Summary!$C$2:$Q$103,3+counta($F$1:J$1),false)</f>
        <v>-0.2</v>
      </c>
      <c r="K76" s="99">
        <f>$D76-vlookup(Summary!$C76,Summary!$C$2:$Q$103,3+counta($F$1:K$1),false)</f>
        <v>0</v>
      </c>
      <c r="L76" s="99">
        <f>$D76-vlookup(Summary!$C76,Summary!$C$2:$Q$103,3+counta($F$1:L$1),false)</f>
        <v>0</v>
      </c>
      <c r="M76" s="99">
        <f>$D76-vlookup(Summary!$C76,Summary!$C$2:$Q$103,3+counta($F$1:M$1),false)</f>
        <v>-0.1</v>
      </c>
      <c r="N76" s="99">
        <f>$D76-vlookup(Summary!$C76,Summary!$C$2:$Q$103,3+counta($F$1:N$1),false)</f>
        <v>0</v>
      </c>
      <c r="O76" s="99">
        <f>$D76-vlookup(Summary!$C76,Summary!$C$2:$Q$103,3+counta($F$1:O$1),false)</f>
        <v>-0.35</v>
      </c>
      <c r="P76" s="99">
        <f>$D76-vlookup(Summary!$C76,Summary!$C$2:$Q$103,3+counta($F$1:P$1),false)</f>
        <v>0</v>
      </c>
      <c r="Q76" s="99">
        <f>$D76-vlookup(Summary!$C76,Summary!$C$2:$Q$103,3+counta($F$1:Q$1),false)</f>
        <v>0</v>
      </c>
    </row>
    <row r="77" ht="15.75" customHeight="1">
      <c r="A77" s="15">
        <f>Main!A77</f>
        <v>76</v>
      </c>
      <c r="B77" s="15" t="str">
        <f>Main!B77</f>
        <v>James Webb telescope will deploy at L2 and 1 image from its Near-Infrared Camera (NIRCam) will be available on the internet for viewing by the public</v>
      </c>
      <c r="C77" s="15" t="str">
        <f>Main!C77</f>
        <v>Technology</v>
      </c>
      <c r="D77" s="15">
        <v>0.65</v>
      </c>
      <c r="F77" s="99">
        <f>$D77-vlookup(Summary!$C77,Summary!$C$2:$Q$103,3+counta($F$1:F$1),false)</f>
        <v>-0.05</v>
      </c>
      <c r="G77" s="99">
        <f>$D77-vlookup(Summary!$C77,Summary!$C$2:$Q$103,3+counta($F$1:G$1),false)</f>
        <v>-0.15</v>
      </c>
      <c r="H77" s="99">
        <f>$D77-vlookup(Summary!$C77,Summary!$C$2:$Q$103,3+counta($F$1:H$1),false)</f>
        <v>-0.25</v>
      </c>
      <c r="I77" s="99">
        <f>$D77-vlookup(Summary!$C77,Summary!$C$2:$Q$103,3+counta($F$1:I$1),false)</f>
        <v>-0.05</v>
      </c>
      <c r="J77" s="99">
        <f>$D77-vlookup(Summary!$C77,Summary!$C$2:$Q$103,3+counta($F$1:J$1),false)</f>
        <v>-0.15</v>
      </c>
      <c r="K77" s="99">
        <f>$D77-vlookup(Summary!$C77,Summary!$C$2:$Q$103,3+counta($F$1:K$1),false)</f>
        <v>0</v>
      </c>
      <c r="L77" s="99">
        <f>$D77-vlookup(Summary!$C77,Summary!$C$2:$Q$103,3+counta($F$1:L$1),false)</f>
        <v>-0.05</v>
      </c>
      <c r="M77" s="99">
        <f>$D77-vlookup(Summary!$C77,Summary!$C$2:$Q$103,3+counta($F$1:M$1),false)</f>
        <v>-0.25</v>
      </c>
      <c r="N77" s="99">
        <f>$D77-vlookup(Summary!$C77,Summary!$C$2:$Q$103,3+counta($F$1:N$1),false)</f>
        <v>0.15</v>
      </c>
      <c r="O77" s="99">
        <f>$D77-vlookup(Summary!$C77,Summary!$C$2:$Q$103,3+counta($F$1:O$1),false)</f>
        <v>-0.349</v>
      </c>
      <c r="P77" s="99">
        <f>$D77-vlookup(Summary!$C77,Summary!$C$2:$Q$103,3+counta($F$1:P$1),false)</f>
        <v>-0.25</v>
      </c>
      <c r="Q77" s="99">
        <f>$D77-vlookup(Summary!$C77,Summary!$C$2:$Q$103,3+counta($F$1:Q$1),false)</f>
        <v>0.15</v>
      </c>
    </row>
    <row r="78" ht="15.75" customHeight="1">
      <c r="A78" s="15">
        <f>Main!A78</f>
        <v>77</v>
      </c>
      <c r="B78" s="15" t="str">
        <f>Main!B78</f>
        <v>Facebook connect 2022 (or its 'meta' equivalent) will be hosted in virtual reality / a ('the'?) metaverse</v>
      </c>
      <c r="C78" s="15" t="str">
        <f>Main!C78</f>
        <v>Technology</v>
      </c>
      <c r="D78" s="15">
        <v>0.5</v>
      </c>
      <c r="F78" s="99">
        <f>$D78-vlookup(Summary!$C78,Summary!$C$2:$Q$103,3+counta($F$1:F$1),false)</f>
        <v>0.2</v>
      </c>
      <c r="G78" s="99">
        <f>$D78-vlookup(Summary!$C78,Summary!$C$2:$Q$103,3+counta($F$1:G$1),false)</f>
        <v>-0.1</v>
      </c>
      <c r="H78" s="99">
        <f>$D78-vlookup(Summary!$C78,Summary!$C$2:$Q$103,3+counta($F$1:H$1),false)</f>
        <v>-0.4</v>
      </c>
      <c r="I78" s="99">
        <f>$D78-vlookup(Summary!$C78,Summary!$C$2:$Q$103,3+counta($F$1:I$1),false)</f>
        <v>0.4</v>
      </c>
      <c r="J78" s="99">
        <f>$D78-vlookup(Summary!$C78,Summary!$C$2:$Q$103,3+counta($F$1:J$1),false)</f>
        <v>-0.4</v>
      </c>
      <c r="K78" s="99">
        <f>$D78-vlookup(Summary!$C78,Summary!$C$2:$Q$103,3+counta($F$1:K$1),false)</f>
        <v>0</v>
      </c>
      <c r="L78" s="99">
        <f>$D78-vlookup(Summary!$C78,Summary!$C$2:$Q$103,3+counta($F$1:L$1),false)</f>
        <v>0</v>
      </c>
      <c r="M78" s="99">
        <f>$D78-vlookup(Summary!$C78,Summary!$C$2:$Q$103,3+counta($F$1:M$1),false)</f>
        <v>-0.4</v>
      </c>
      <c r="N78" s="99">
        <f>$D78-vlookup(Summary!$C78,Summary!$C$2:$Q$103,3+counta($F$1:N$1),false)</f>
        <v>0.3</v>
      </c>
      <c r="O78" s="99">
        <f>$D78-vlookup(Summary!$C78,Summary!$C$2:$Q$103,3+counta($F$1:O$1),false)</f>
        <v>0.15</v>
      </c>
      <c r="P78" s="99">
        <f>$D78-vlookup(Summary!$C78,Summary!$C$2:$Q$103,3+counta($F$1:P$1),false)</f>
        <v>0</v>
      </c>
      <c r="Q78" s="99">
        <f>$D78-vlookup(Summary!$C78,Summary!$C$2:$Q$103,3+counta($F$1:Q$1),false)</f>
        <v>-0.2</v>
      </c>
    </row>
    <row r="79" ht="15.75" customHeight="1">
      <c r="A79" s="15">
        <f>Main!A79</f>
        <v>78</v>
      </c>
      <c r="B79" s="15" t="str">
        <f>Main!B79</f>
        <v>Apple will announce mixed reality glasses</v>
      </c>
      <c r="C79" s="15" t="str">
        <f>Main!C79</f>
        <v>Technology</v>
      </c>
      <c r="D79" s="15">
        <v>0.675</v>
      </c>
      <c r="F79" s="99">
        <f>$D79-vlookup(Summary!$C79,Summary!$C$2:$Q$103,3+counta($F$1:F$1),false)</f>
        <v>0.425</v>
      </c>
      <c r="G79" s="99">
        <f>$D79-vlookup(Summary!$C79,Summary!$C$2:$Q$103,3+counta($F$1:G$1),false)</f>
        <v>0.275</v>
      </c>
      <c r="H79" s="99">
        <f>$D79-vlookup(Summary!$C79,Summary!$C$2:$Q$103,3+counta($F$1:H$1),false)</f>
        <v>0.475</v>
      </c>
      <c r="I79" s="99">
        <f>$D79-vlookup(Summary!$C79,Summary!$C$2:$Q$103,3+counta($F$1:I$1),false)</f>
        <v>0.575</v>
      </c>
      <c r="J79" s="99">
        <f>$D79-vlookup(Summary!$C79,Summary!$C$2:$Q$103,3+counta($F$1:J$1),false)</f>
        <v>-0.225</v>
      </c>
      <c r="K79" s="99">
        <f>$D79-vlookup(Summary!$C79,Summary!$C$2:$Q$103,3+counta($F$1:K$1),false)</f>
        <v>0</v>
      </c>
      <c r="L79" s="99">
        <f>$D79-vlookup(Summary!$C79,Summary!$C$2:$Q$103,3+counta($F$1:L$1),false)</f>
        <v>0.225</v>
      </c>
      <c r="M79" s="99">
        <f>$D79-vlookup(Summary!$C79,Summary!$C$2:$Q$103,3+counta($F$1:M$1),false)</f>
        <v>0.475</v>
      </c>
      <c r="N79" s="99">
        <f>$D79-vlookup(Summary!$C79,Summary!$C$2:$Q$103,3+counta($F$1:N$1),false)</f>
        <v>-0.025</v>
      </c>
      <c r="O79" s="99">
        <f>$D79-vlookup(Summary!$C79,Summary!$C$2:$Q$103,3+counta($F$1:O$1),false)</f>
        <v>0.325</v>
      </c>
      <c r="P79" s="99">
        <f>$D79-vlookup(Summary!$C79,Summary!$C$2:$Q$103,3+counta($F$1:P$1),false)</f>
        <v>0.575</v>
      </c>
      <c r="Q79" s="99">
        <f>$D79-vlookup(Summary!$C79,Summary!$C$2:$Q$103,3+counta($F$1:Q$1),false)</f>
        <v>-0.125</v>
      </c>
    </row>
    <row r="80" ht="15.75" customHeight="1">
      <c r="A80" s="15">
        <f>Main!A80</f>
        <v>79</v>
      </c>
      <c r="B80" s="15" t="str">
        <f>Main!B80</f>
        <v> In-app purchases of Kindle books will be possible in the Kindle iphone app</v>
      </c>
      <c r="C80" s="15" t="str">
        <f>Main!C80</f>
        <v>Technology</v>
      </c>
      <c r="D80" s="15">
        <v>0.85</v>
      </c>
      <c r="F80" s="99">
        <f>$D80-vlookup(Summary!$C80,Summary!$C$2:$Q$103,3+counta($F$1:F$1),false)</f>
        <v>0.35</v>
      </c>
      <c r="G80" s="99">
        <f>$D80-vlookup(Summary!$C80,Summary!$C$2:$Q$103,3+counta($F$1:G$1),false)</f>
        <v>0.3</v>
      </c>
      <c r="H80" s="99">
        <f>$D80-vlookup(Summary!$C80,Summary!$C$2:$Q$103,3+counta($F$1:H$1),false)</f>
        <v>0.65</v>
      </c>
      <c r="I80" s="99">
        <f>$D80-vlookup(Summary!$C80,Summary!$C$2:$Q$103,3+counta($F$1:I$1),false)</f>
        <v>0.35</v>
      </c>
      <c r="J80" s="99">
        <f>$D80-vlookup(Summary!$C80,Summary!$C$2:$Q$103,3+counta($F$1:J$1),false)</f>
        <v>-0.05</v>
      </c>
      <c r="K80" s="99">
        <f>$D80-vlookup(Summary!$C80,Summary!$C$2:$Q$103,3+counta($F$1:K$1),false)</f>
        <v>0</v>
      </c>
      <c r="L80" s="99">
        <f>$D80-vlookup(Summary!$C80,Summary!$C$2:$Q$103,3+counta($F$1:L$1),false)</f>
        <v>0.65</v>
      </c>
      <c r="M80" s="99">
        <f>$D80-vlookup(Summary!$C80,Summary!$C$2:$Q$103,3+counta($F$1:M$1),false)</f>
        <v>0.65</v>
      </c>
      <c r="N80" s="99">
        <f>$D80-vlookup(Summary!$C80,Summary!$C$2:$Q$103,3+counta($F$1:N$1),false)</f>
        <v>0.05</v>
      </c>
      <c r="O80" s="99">
        <f>$D80-vlookup(Summary!$C80,Summary!$C$2:$Q$103,3+counta($F$1:O$1),false)</f>
        <v>0.7</v>
      </c>
      <c r="P80" s="99">
        <f>$D80-vlookup(Summary!$C80,Summary!$C$2:$Q$103,3+counta($F$1:P$1),false)</f>
        <v>0.35</v>
      </c>
      <c r="Q80" s="99">
        <f>$D80-vlookup(Summary!$C80,Summary!$C$2:$Q$103,3+counta($F$1:Q$1),false)</f>
        <v>0.35</v>
      </c>
    </row>
    <row r="81" ht="15.75" customHeight="1">
      <c r="A81" s="15">
        <f>Main!A81</f>
        <v>80</v>
      </c>
      <c r="B81" s="15" t="str">
        <f>Main!B81</f>
        <v>It will be possible for at least one of the prediction participants to have food delivered by drone to their place of residence as a mainstream service, without it being part of a specific trial.</v>
      </c>
      <c r="C81" s="15" t="str">
        <f>Main!C81</f>
        <v>Technology</v>
      </c>
      <c r="D81" s="15">
        <v>0.65</v>
      </c>
      <c r="F81" s="99">
        <f>$D81-vlookup(Summary!$C81,Summary!$C$2:$Q$103,3+counta($F$1:F$1),false)</f>
        <v>0.45</v>
      </c>
      <c r="G81" s="99">
        <f>$D81-vlookup(Summary!$C81,Summary!$C$2:$Q$103,3+counta($F$1:G$1),false)</f>
        <v>0.35</v>
      </c>
      <c r="H81" s="99">
        <f>$D81-vlookup(Summary!$C81,Summary!$C$2:$Q$103,3+counta($F$1:H$1),false)</f>
        <v>0.55</v>
      </c>
      <c r="I81" s="99">
        <f>$D81-vlookup(Summary!$C81,Summary!$C$2:$Q$103,3+counta($F$1:I$1),false)</f>
        <v>0.55</v>
      </c>
      <c r="J81" s="99">
        <f>$D81-vlookup(Summary!$C81,Summary!$C$2:$Q$103,3+counta($F$1:J$1),false)</f>
        <v>0.25</v>
      </c>
      <c r="K81" s="99">
        <f>$D81-vlookup(Summary!$C81,Summary!$C$2:$Q$103,3+counta($F$1:K$1),false)</f>
        <v>0</v>
      </c>
      <c r="L81" s="99">
        <f>$D81-vlookup(Summary!$C81,Summary!$C$2:$Q$103,3+counta($F$1:L$1),false)</f>
        <v>0.15</v>
      </c>
      <c r="M81" s="99">
        <f>$D81-vlookup(Summary!$C81,Summary!$C$2:$Q$103,3+counta($F$1:M$1),false)</f>
        <v>0.55</v>
      </c>
      <c r="N81" s="99">
        <f>$D81-vlookup(Summary!$C81,Summary!$C$2:$Q$103,3+counta($F$1:N$1),false)</f>
        <v>-0.05</v>
      </c>
      <c r="O81" s="99">
        <f>$D81-vlookup(Summary!$C81,Summary!$C$2:$Q$103,3+counta($F$1:O$1),false)</f>
        <v>0</v>
      </c>
      <c r="P81" s="99">
        <f>$D81-vlookup(Summary!$C81,Summary!$C$2:$Q$103,3+counta($F$1:P$1),false)</f>
        <v>-0.25</v>
      </c>
      <c r="Q81" s="99">
        <f>$D81-vlookup(Summary!$C81,Summary!$C$2:$Q$103,3+counta($F$1:Q$1),false)</f>
        <v>0</v>
      </c>
    </row>
    <row r="82" ht="15.75" customHeight="1">
      <c r="A82" s="15">
        <f>Main!A82</f>
        <v>81</v>
      </c>
      <c r="B82" s="15" t="str">
        <f>Main!B82</f>
        <v>TMTG, the company that owns Trump’s “TRUTH Social” platform, will have a market cap of over $20 billion USD. (Twitter is around 35b)</v>
      </c>
      <c r="C82" s="15" t="str">
        <f>Main!C82</f>
        <v>Technology</v>
      </c>
      <c r="D82" s="15">
        <v>0.8</v>
      </c>
      <c r="F82" s="99">
        <f>$D82-vlookup(Summary!$C82,Summary!$C$2:$Q$103,3+counta($F$1:F$1),false)</f>
        <v>-0.1</v>
      </c>
      <c r="G82" s="99">
        <f>$D82-vlookup(Summary!$C82,Summary!$C$2:$Q$103,3+counta($F$1:G$1),false)</f>
        <v>-0.19</v>
      </c>
      <c r="H82" s="99">
        <f>$D82-vlookup(Summary!$C82,Summary!$C$2:$Q$103,3+counta($F$1:H$1),false)</f>
        <v>0.6</v>
      </c>
      <c r="I82" s="99">
        <f>$D82-vlookup(Summary!$C82,Summary!$C$2:$Q$103,3+counta($F$1:I$1),false)</f>
        <v>-0.1</v>
      </c>
      <c r="J82" s="99">
        <f>$D82-vlookup(Summary!$C82,Summary!$C$2:$Q$103,3+counta($F$1:J$1),false)</f>
        <v>0.5</v>
      </c>
      <c r="K82" s="99">
        <f>$D82-vlookup(Summary!$C82,Summary!$C$2:$Q$103,3+counta($F$1:K$1),false)</f>
        <v>0</v>
      </c>
      <c r="L82" s="99">
        <f>$D82-vlookup(Summary!$C82,Summary!$C$2:$Q$103,3+counta($F$1:L$1),false)</f>
        <v>0.6</v>
      </c>
      <c r="M82" s="99">
        <f>$D82-vlookup(Summary!$C82,Summary!$C$2:$Q$103,3+counta($F$1:M$1),false)</f>
        <v>0.6</v>
      </c>
      <c r="N82" s="99">
        <f>$D82-vlookup(Summary!$C82,Summary!$C$2:$Q$103,3+counta($F$1:N$1),false)</f>
        <v>0.7</v>
      </c>
      <c r="O82" s="99">
        <f>$D82-vlookup(Summary!$C82,Summary!$C$2:$Q$103,3+counta($F$1:O$1),false)</f>
        <v>0.65</v>
      </c>
      <c r="P82" s="99">
        <f>$D82-vlookup(Summary!$C82,Summary!$C$2:$Q$103,3+counta($F$1:P$1),false)</f>
        <v>0.3</v>
      </c>
      <c r="Q82" s="99">
        <f>$D82-vlookup(Summary!$C82,Summary!$C$2:$Q$103,3+counta($F$1:Q$1),false)</f>
        <v>0.5</v>
      </c>
    </row>
    <row r="83" ht="15.75" customHeight="1">
      <c r="A83" s="15">
        <f>Main!A83</f>
        <v>82</v>
      </c>
      <c r="B83" s="15" t="str">
        <f>Main!B83</f>
        <v>It will not be financially viable to mine ethereum using commercial GPUs.</v>
      </c>
      <c r="C83" s="15" t="str">
        <f>Main!C83</f>
        <v>Technology</v>
      </c>
      <c r="D83" s="15">
        <v>0.5</v>
      </c>
      <c r="F83" s="99">
        <f>$D83-vlookup(Summary!$C83,Summary!$C$2:$Q$103,3+counta($F$1:F$1),false)</f>
        <v>-0.15</v>
      </c>
      <c r="G83" s="99">
        <f>$D83-vlookup(Summary!$C83,Summary!$C$2:$Q$103,3+counta($F$1:G$1),false)</f>
        <v>-0.3</v>
      </c>
      <c r="H83" s="99">
        <f>$D83-vlookup(Summary!$C83,Summary!$C$2:$Q$103,3+counta($F$1:H$1),false)</f>
        <v>-0.4</v>
      </c>
      <c r="I83" s="99">
        <f>$D83-vlookup(Summary!$C83,Summary!$C$2:$Q$103,3+counta($F$1:I$1),false)</f>
        <v>0</v>
      </c>
      <c r="J83" s="99">
        <f>$D83-vlookup(Summary!$C83,Summary!$C$2:$Q$103,3+counta($F$1:J$1),false)</f>
        <v>0</v>
      </c>
      <c r="K83" s="99">
        <f>$D83-vlookup(Summary!$C83,Summary!$C$2:$Q$103,3+counta($F$1:K$1),false)</f>
        <v>0</v>
      </c>
      <c r="L83" s="99">
        <f>$D83-vlookup(Summary!$C83,Summary!$C$2:$Q$103,3+counta($F$1:L$1),false)</f>
        <v>0.05</v>
      </c>
      <c r="M83" s="99">
        <f>$D83-vlookup(Summary!$C83,Summary!$C$2:$Q$103,3+counta($F$1:M$1),false)</f>
        <v>-0.4</v>
      </c>
      <c r="N83" s="99">
        <f>$D83-vlookup(Summary!$C83,Summary!$C$2:$Q$103,3+counta($F$1:N$1),false)</f>
        <v>-0.3</v>
      </c>
      <c r="O83" s="99">
        <f>$D83-vlookup(Summary!$C83,Summary!$C$2:$Q$103,3+counta($F$1:O$1),false)</f>
        <v>-0.35</v>
      </c>
      <c r="P83" s="99">
        <f>$D83-vlookup(Summary!$C83,Summary!$C$2:$Q$103,3+counta($F$1:P$1),false)</f>
        <v>0</v>
      </c>
      <c r="Q83" s="99">
        <f>$D83-vlookup(Summary!$C83,Summary!$C$2:$Q$103,3+counta($F$1:Q$1),false)</f>
        <v>-0.1</v>
      </c>
    </row>
    <row r="84" ht="15.75" customHeight="1">
      <c r="A84" s="15">
        <f>Main!A84</f>
        <v>83</v>
      </c>
      <c r="B84" s="15" t="str">
        <f>Main!B84</f>
        <v>China will have more than 800 satellites in orbit (currently around 500)</v>
      </c>
      <c r="C84" s="15" t="str">
        <f>Main!C84</f>
        <v>Technology</v>
      </c>
      <c r="D84" s="15">
        <v>0.85</v>
      </c>
      <c r="F84" s="99">
        <f>$D84-vlookup(Summary!$C84,Summary!$C$2:$Q$103,3+counta($F$1:F$1),false)</f>
        <v>0.45</v>
      </c>
      <c r="G84" s="99">
        <f>$D84-vlookup(Summary!$C84,Summary!$C$2:$Q$103,3+counta($F$1:G$1),false)</f>
        <v>0.2</v>
      </c>
      <c r="H84" s="99">
        <f>$D84-vlookup(Summary!$C84,Summary!$C$2:$Q$103,3+counta($F$1:H$1),false)</f>
        <v>0.8</v>
      </c>
      <c r="I84" s="99">
        <f>$D84-vlookup(Summary!$C84,Summary!$C$2:$Q$103,3+counta($F$1:I$1),false)</f>
        <v>0.65</v>
      </c>
      <c r="J84" s="99">
        <f>$D84-vlookup(Summary!$C84,Summary!$C$2:$Q$103,3+counta($F$1:J$1),false)</f>
        <v>0.15</v>
      </c>
      <c r="K84" s="99">
        <f>$D84-vlookup(Summary!$C84,Summary!$C$2:$Q$103,3+counta($F$1:K$1),false)</f>
        <v>0</v>
      </c>
      <c r="L84" s="99">
        <f>$D84-vlookup(Summary!$C84,Summary!$C$2:$Q$103,3+counta($F$1:L$1),false)</f>
        <v>0.849</v>
      </c>
      <c r="M84" s="99">
        <f>$D84-vlookup(Summary!$C84,Summary!$C$2:$Q$103,3+counta($F$1:M$1),false)</f>
        <v>0.8</v>
      </c>
      <c r="N84" s="99">
        <f>$D84-vlookup(Summary!$C84,Summary!$C$2:$Q$103,3+counta($F$1:N$1),false)</f>
        <v>0.75</v>
      </c>
      <c r="O84" s="99">
        <f>$D84-vlookup(Summary!$C84,Summary!$C$2:$Q$103,3+counta($F$1:O$1),false)</f>
        <v>0.849</v>
      </c>
      <c r="P84" s="99">
        <f>$D84-vlookup(Summary!$C84,Summary!$C$2:$Q$103,3+counta($F$1:P$1),false)</f>
        <v>0.35</v>
      </c>
      <c r="Q84" s="99">
        <f>$D84-vlookup(Summary!$C84,Summary!$C$2:$Q$103,3+counta($F$1:Q$1),false)</f>
        <v>0.2</v>
      </c>
    </row>
    <row r="85" ht="15.75" customHeight="1">
      <c r="A85" s="15">
        <f>Main!A85</f>
        <v>84</v>
      </c>
      <c r="B85" s="15" t="str">
        <f>Main!B85</f>
        <v>Australia will be in the top 40 countries for broadband speed (as tracked in wiki page)</v>
      </c>
      <c r="C85" s="15" t="str">
        <f>Main!C85</f>
        <v>Technology</v>
      </c>
      <c r="D85" s="15">
        <v>0.7</v>
      </c>
      <c r="F85" s="99">
        <f>$D85-vlookup(Summary!$C85,Summary!$C$2:$Q$103,3+counta($F$1:F$1),false)</f>
        <v>0.5</v>
      </c>
      <c r="G85" s="99">
        <f>$D85-vlookup(Summary!$C85,Summary!$C$2:$Q$103,3+counta($F$1:G$1),false)</f>
        <v>-0.2</v>
      </c>
      <c r="H85" s="99">
        <f>$D85-vlookup(Summary!$C85,Summary!$C$2:$Q$103,3+counta($F$1:H$1),false)</f>
        <v>0.65</v>
      </c>
      <c r="I85" s="99">
        <f>$D85-vlookup(Summary!$C85,Summary!$C$2:$Q$103,3+counta($F$1:I$1),false)</f>
        <v>0.4</v>
      </c>
      <c r="J85" s="99">
        <f>$D85-vlookup(Summary!$C85,Summary!$C$2:$Q$103,3+counta($F$1:J$1),false)</f>
        <v>0.5</v>
      </c>
      <c r="K85" s="99">
        <f>$D85-vlookup(Summary!$C85,Summary!$C$2:$Q$103,3+counta($F$1:K$1),false)</f>
        <v>0</v>
      </c>
      <c r="L85" s="99">
        <f>$D85-vlookup(Summary!$C85,Summary!$C$2:$Q$103,3+counta($F$1:L$1),false)</f>
        <v>0.65</v>
      </c>
      <c r="M85" s="99">
        <f>$D85-vlookup(Summary!$C85,Summary!$C$2:$Q$103,3+counta($F$1:M$1),false)</f>
        <v>0.65</v>
      </c>
      <c r="N85" s="99">
        <f>$D85-vlookup(Summary!$C85,Summary!$C$2:$Q$103,3+counta($F$1:N$1),false)</f>
        <v>0</v>
      </c>
      <c r="O85" s="99">
        <f>$D85-vlookup(Summary!$C85,Summary!$C$2:$Q$103,3+counta($F$1:O$1),false)</f>
        <v>0.55</v>
      </c>
      <c r="P85" s="99">
        <f>$D85-vlookup(Summary!$C85,Summary!$C$2:$Q$103,3+counta($F$1:P$1),false)</f>
        <v>-0.1</v>
      </c>
      <c r="Q85" s="99">
        <f>$D85-vlookup(Summary!$C85,Summary!$C$2:$Q$103,3+counta($F$1:Q$1),false)</f>
        <v>0</v>
      </c>
    </row>
    <row r="86" ht="15.75" customHeight="1">
      <c r="A86" s="15">
        <f>Main!A86</f>
        <v>85</v>
      </c>
      <c r="B86" s="15" t="str">
        <f>Main!B86</f>
        <v>India will produce more total CO2 emissions than the US</v>
      </c>
      <c r="C86" s="15" t="str">
        <f>Main!C86</f>
        <v>Technology</v>
      </c>
      <c r="D86" s="15">
        <v>0.8</v>
      </c>
      <c r="F86" s="99">
        <f>$D86-vlookup(Summary!$C86,Summary!$C$2:$Q$103,3+counta($F$1:F$1),false)</f>
        <v>0.5</v>
      </c>
      <c r="G86" s="99">
        <f>$D86-vlookup(Summary!$C86,Summary!$C$2:$Q$103,3+counta($F$1:G$1),false)</f>
        <v>0.6</v>
      </c>
      <c r="H86" s="99">
        <f>$D86-vlookup(Summary!$C86,Summary!$C$2:$Q$103,3+counta($F$1:H$1),false)</f>
        <v>0.7</v>
      </c>
      <c r="I86" s="99">
        <f>$D86-vlookup(Summary!$C86,Summary!$C$2:$Q$103,3+counta($F$1:I$1),false)</f>
        <v>0.7</v>
      </c>
      <c r="J86" s="99">
        <f>$D86-vlookup(Summary!$C86,Summary!$C$2:$Q$103,3+counta($F$1:J$1),false)</f>
        <v>0.3</v>
      </c>
      <c r="K86" s="99">
        <f>$D86-vlookup(Summary!$C86,Summary!$C$2:$Q$103,3+counta($F$1:K$1),false)</f>
        <v>0</v>
      </c>
      <c r="L86" s="99">
        <f>$D86-vlookup(Summary!$C86,Summary!$C$2:$Q$103,3+counta($F$1:L$1),false)</f>
        <v>0.799</v>
      </c>
      <c r="M86" s="99">
        <f>$D86-vlookup(Summary!$C86,Summary!$C$2:$Q$103,3+counta($F$1:M$1),false)</f>
        <v>0.7</v>
      </c>
      <c r="N86" s="99">
        <f>$D86-vlookup(Summary!$C86,Summary!$C$2:$Q$103,3+counta($F$1:N$1),false)</f>
        <v>0</v>
      </c>
      <c r="O86" s="99">
        <f>$D86-vlookup(Summary!$C86,Summary!$C$2:$Q$103,3+counta($F$1:O$1),false)</f>
        <v>0.45</v>
      </c>
      <c r="P86" s="99">
        <f>$D86-vlookup(Summary!$C86,Summary!$C$2:$Q$103,3+counta($F$1:P$1),false)</f>
        <v>0</v>
      </c>
      <c r="Q86" s="99">
        <f>$D86-vlookup(Summary!$C86,Summary!$C$2:$Q$103,3+counta($F$1:Q$1),false)</f>
        <v>0.2</v>
      </c>
    </row>
    <row r="87" ht="15.75" customHeight="1">
      <c r="A87" s="15">
        <f>Main!A87</f>
        <v>86</v>
      </c>
      <c r="B87" s="15" t="str">
        <f>Main!B87</f>
        <v>The number of electric vehicles under $50K (excl on road costs) grows 67% or more in Australia, as listed on carsguide.com.au. Currently there are three cars: Hyundai Ioniq, Nissan Leaf and MG ZS EV</v>
      </c>
      <c r="C87" s="15" t="str">
        <f>Main!C87</f>
        <v>Technology</v>
      </c>
      <c r="D87" s="15">
        <v>0.65</v>
      </c>
      <c r="F87" s="99">
        <f>$D87-vlookup(Summary!$C87,Summary!$C$2:$Q$103,3+counta($F$1:F$1),false)</f>
        <v>0.25</v>
      </c>
      <c r="G87" s="99">
        <f>$D87-vlookup(Summary!$C87,Summary!$C$2:$Q$103,3+counta($F$1:G$1),false)</f>
        <v>-0.15</v>
      </c>
      <c r="H87" s="99">
        <f>$D87-vlookup(Summary!$C87,Summary!$C$2:$Q$103,3+counta($F$1:H$1),false)</f>
        <v>-0.05</v>
      </c>
      <c r="I87" s="99">
        <f>$D87-vlookup(Summary!$C87,Summary!$C$2:$Q$103,3+counta($F$1:I$1),false)</f>
        <v>0.45</v>
      </c>
      <c r="J87" s="99">
        <f>$D87-vlookup(Summary!$C87,Summary!$C$2:$Q$103,3+counta($F$1:J$1),false)</f>
        <v>0.35</v>
      </c>
      <c r="K87" s="99">
        <f>$D87-vlookup(Summary!$C87,Summary!$C$2:$Q$103,3+counta($F$1:K$1),false)</f>
        <v>0</v>
      </c>
      <c r="L87" s="99">
        <f>$D87-vlookup(Summary!$C87,Summary!$C$2:$Q$103,3+counta($F$1:L$1),false)</f>
        <v>0.1</v>
      </c>
      <c r="M87" s="99">
        <f>$D87-vlookup(Summary!$C87,Summary!$C$2:$Q$103,3+counta($F$1:M$1),false)</f>
        <v>-0.05</v>
      </c>
      <c r="N87" s="99">
        <f>$D87-vlookup(Summary!$C87,Summary!$C$2:$Q$103,3+counta($F$1:N$1),false)</f>
        <v>-0.25</v>
      </c>
      <c r="O87" s="99">
        <f>$D87-vlookup(Summary!$C87,Summary!$C$2:$Q$103,3+counta($F$1:O$1),false)</f>
        <v>0.3</v>
      </c>
      <c r="P87" s="99">
        <f>$D87-vlookup(Summary!$C87,Summary!$C$2:$Q$103,3+counta($F$1:P$1),false)</f>
        <v>-0.05</v>
      </c>
      <c r="Q87" s="99">
        <f>$D87-vlookup(Summary!$C87,Summary!$C$2:$Q$103,3+counta($F$1:Q$1),false)</f>
        <v>0.3</v>
      </c>
    </row>
    <row r="88" ht="15.75" customHeight="1">
      <c r="A88" s="15">
        <f>Main!A88</f>
        <v>87</v>
      </c>
      <c r="B88" s="15" t="str">
        <f>Main!B88</f>
        <v>Boris Johnson will be replaced as Prime Minister by the Tory Party</v>
      </c>
      <c r="C88" s="15" t="str">
        <f>Main!C88</f>
        <v>World Politics</v>
      </c>
      <c r="D88" s="15">
        <v>0.85</v>
      </c>
      <c r="F88" s="99">
        <f>$D88-vlookup(Summary!$C88,Summary!$C$2:$Q$103,3+counta($F$1:F$1),false)</f>
        <v>0</v>
      </c>
      <c r="G88" s="99">
        <f>$D88-vlookup(Summary!$C88,Summary!$C$2:$Q$103,3+counta($F$1:G$1),false)</f>
        <v>0.05</v>
      </c>
      <c r="H88" s="99">
        <f>$D88-vlookup(Summary!$C88,Summary!$C$2:$Q$103,3+counta($F$1:H$1),false)</f>
        <v>0.55</v>
      </c>
      <c r="I88" s="99">
        <f>$D88-vlookup(Summary!$C88,Summary!$C$2:$Q$103,3+counta($F$1:I$1),false)</f>
        <v>0.05</v>
      </c>
      <c r="J88" s="99">
        <f>$D88-vlookup(Summary!$C88,Summary!$C$2:$Q$103,3+counta($F$1:J$1),false)</f>
        <v>0.45</v>
      </c>
      <c r="K88" s="99">
        <f>$D88-vlookup(Summary!$C88,Summary!$C$2:$Q$103,3+counta($F$1:K$1),false)</f>
        <v>0</v>
      </c>
      <c r="L88" s="99">
        <f>$D88-vlookup(Summary!$C88,Summary!$C$2:$Q$103,3+counta($F$1:L$1),false)</f>
        <v>0.75</v>
      </c>
      <c r="M88" s="99">
        <f>$D88-vlookup(Summary!$C88,Summary!$C$2:$Q$103,3+counta($F$1:M$1),false)</f>
        <v>0.55</v>
      </c>
      <c r="N88" s="99">
        <f>$D88-vlookup(Summary!$C88,Summary!$C$2:$Q$103,3+counta($F$1:N$1),false)</f>
        <v>-0.05</v>
      </c>
      <c r="O88" s="99">
        <f>$D88-vlookup(Summary!$C88,Summary!$C$2:$Q$103,3+counta($F$1:O$1),false)</f>
        <v>0.2</v>
      </c>
      <c r="P88" s="99">
        <f>$D88-vlookup(Summary!$C88,Summary!$C$2:$Q$103,3+counta($F$1:P$1),false)</f>
        <v>-0.05</v>
      </c>
      <c r="Q88" s="99">
        <f>$D88-vlookup(Summary!$C88,Summary!$C$2:$Q$103,3+counta($F$1:Q$1),false)</f>
        <v>0.35</v>
      </c>
    </row>
    <row r="89" ht="15.75" customHeight="1">
      <c r="A89" s="15">
        <f>Main!A89</f>
        <v>88</v>
      </c>
      <c r="B89" s="15" t="str">
        <f>Main!B89</f>
        <v>Boris Johnson will be the Prime Minister of the UK</v>
      </c>
      <c r="C89" s="15" t="str">
        <f>Main!C89</f>
        <v>World Politics</v>
      </c>
      <c r="D89" s="15">
        <v>0.25</v>
      </c>
      <c r="F89" s="99">
        <f>$D89-vlookup(Summary!$C89,Summary!$C$2:$Q$103,3+counta($F$1:F$1),false)</f>
        <v>0.1</v>
      </c>
      <c r="G89" s="99">
        <f>$D89-vlookup(Summary!$C89,Summary!$C$2:$Q$103,3+counta($F$1:G$1),false)</f>
        <v>0.05</v>
      </c>
      <c r="H89" s="99">
        <f>$D89-vlookup(Summary!$C89,Summary!$C$2:$Q$103,3+counta($F$1:H$1),false)</f>
        <v>-0.45</v>
      </c>
      <c r="I89" s="99">
        <f>$D89-vlookup(Summary!$C89,Summary!$C$2:$Q$103,3+counta($F$1:I$1),false)</f>
        <v>0.05</v>
      </c>
      <c r="J89" s="99">
        <f>$D89-vlookup(Summary!$C89,Summary!$C$2:$Q$103,3+counta($F$1:J$1),false)</f>
        <v>-0.35</v>
      </c>
      <c r="K89" s="99">
        <f>$D89-vlookup(Summary!$C89,Summary!$C$2:$Q$103,3+counta($F$1:K$1),false)</f>
        <v>0</v>
      </c>
      <c r="L89" s="99">
        <f>$D89-vlookup(Summary!$C89,Summary!$C$2:$Q$103,3+counta($F$1:L$1),false)</f>
        <v>-0.6</v>
      </c>
      <c r="M89" s="99">
        <f>$D89-vlookup(Summary!$C89,Summary!$C$2:$Q$103,3+counta($F$1:M$1),false)</f>
        <v>-0.45</v>
      </c>
      <c r="N89" s="99">
        <f>$D89-vlookup(Summary!$C89,Summary!$C$2:$Q$103,3+counta($F$1:N$1),false)</f>
        <v>0.05</v>
      </c>
      <c r="O89" s="99">
        <f>$D89-vlookup(Summary!$C89,Summary!$C$2:$Q$103,3+counta($F$1:O$1),false)</f>
        <v>-0.1</v>
      </c>
      <c r="P89" s="99">
        <f>$D89-vlookup(Summary!$C89,Summary!$C$2:$Q$103,3+counta($F$1:P$1),false)</f>
        <v>0.15</v>
      </c>
      <c r="Q89" s="99">
        <f>$D89-vlookup(Summary!$C89,Summary!$C$2:$Q$103,3+counta($F$1:Q$1),false)</f>
        <v>-0.15</v>
      </c>
    </row>
    <row r="90" ht="15.75" customHeight="1">
      <c r="A90" s="15">
        <f>Main!A90</f>
        <v>89</v>
      </c>
      <c r="B90" s="15" t="str">
        <f>Main!B90</f>
        <v>At least some American states will resort to proclaimed and violent civil war rather that accept democratic elections</v>
      </c>
      <c r="C90" s="15" t="str">
        <f>Main!C90</f>
        <v>World Politics</v>
      </c>
      <c r="D90" s="15">
        <v>0.2</v>
      </c>
      <c r="F90" s="99">
        <f>$D90-vlookup(Summary!$C90,Summary!$C$2:$Q$103,3+counta($F$1:F$1),false)</f>
        <v>-0.1</v>
      </c>
      <c r="G90" s="99">
        <f>$D90-vlookup(Summary!$C90,Summary!$C$2:$Q$103,3+counta($F$1:G$1),false)</f>
        <v>0.1</v>
      </c>
      <c r="H90" s="99">
        <f>$D90-vlookup(Summary!$C90,Summary!$C$2:$Q$103,3+counta($F$1:H$1),false)</f>
        <v>0.1</v>
      </c>
      <c r="I90" s="99">
        <f>$D90-vlookup(Summary!$C90,Summary!$C$2:$Q$103,3+counta($F$1:I$1),false)</f>
        <v>0.1</v>
      </c>
      <c r="J90" s="99">
        <f>$D90-vlookup(Summary!$C90,Summary!$C$2:$Q$103,3+counta($F$1:J$1),false)</f>
        <v>-0.5</v>
      </c>
      <c r="K90" s="99">
        <f>$D90-vlookup(Summary!$C90,Summary!$C$2:$Q$103,3+counta($F$1:K$1),false)</f>
        <v>0</v>
      </c>
      <c r="L90" s="99">
        <f>$D90-vlookup(Summary!$C90,Summary!$C$2:$Q$103,3+counta($F$1:L$1),false)</f>
        <v>0.15</v>
      </c>
      <c r="M90" s="99">
        <f>$D90-vlookup(Summary!$C90,Summary!$C$2:$Q$103,3+counta($F$1:M$1),false)</f>
        <v>0.1</v>
      </c>
      <c r="N90" s="99">
        <f>$D90-vlookup(Summary!$C90,Summary!$C$2:$Q$103,3+counta($F$1:N$1),false)</f>
        <v>0.1</v>
      </c>
      <c r="O90" s="99">
        <f>$D90-vlookup(Summary!$C90,Summary!$C$2:$Q$103,3+counta($F$1:O$1),false)</f>
        <v>0.199</v>
      </c>
      <c r="P90" s="99">
        <f>$D90-vlookup(Summary!$C90,Summary!$C$2:$Q$103,3+counta($F$1:P$1),false)</f>
        <v>0.1</v>
      </c>
      <c r="Q90" s="99">
        <f>$D90-vlookup(Summary!$C90,Summary!$C$2:$Q$103,3+counta($F$1:Q$1),false)</f>
        <v>-0.05</v>
      </c>
    </row>
    <row r="91" ht="15.75" customHeight="1">
      <c r="A91" s="15">
        <f>Main!A91</f>
        <v>90</v>
      </c>
      <c r="B91" s="15" t="str">
        <f>Main!B91</f>
        <v>Democrats will lose control of the US House of Representatives at the midterm elections</v>
      </c>
      <c r="C91" s="15" t="str">
        <f>Main!C91</f>
        <v>World Politics</v>
      </c>
      <c r="D91" s="15">
        <v>0.7</v>
      </c>
      <c r="F91" s="99">
        <f>$D91-vlookup(Summary!$C91,Summary!$C$2:$Q$103,3+counta($F$1:F$1),false)</f>
        <v>-0.1</v>
      </c>
      <c r="G91" s="99">
        <f>$D91-vlookup(Summary!$C91,Summary!$C$2:$Q$103,3+counta($F$1:G$1),false)</f>
        <v>-0.2</v>
      </c>
      <c r="H91" s="99">
        <f>$D91-vlookup(Summary!$C91,Summary!$C$2:$Q$103,3+counta($F$1:H$1),false)</f>
        <v>0</v>
      </c>
      <c r="I91" s="99">
        <f>$D91-vlookup(Summary!$C91,Summary!$C$2:$Q$103,3+counta($F$1:I$1),false)</f>
        <v>0.1</v>
      </c>
      <c r="J91" s="99">
        <f>$D91-vlookup(Summary!$C91,Summary!$C$2:$Q$103,3+counta($F$1:J$1),false)</f>
        <v>-0.2</v>
      </c>
      <c r="K91" s="99">
        <f>$D91-vlookup(Summary!$C91,Summary!$C$2:$Q$103,3+counta($F$1:K$1),false)</f>
        <v>0</v>
      </c>
      <c r="L91" s="99">
        <f>$D91-vlookup(Summary!$C91,Summary!$C$2:$Q$103,3+counta($F$1:L$1),false)</f>
        <v>0</v>
      </c>
      <c r="M91" s="99">
        <f>$D91-vlookup(Summary!$C91,Summary!$C$2:$Q$103,3+counta($F$1:M$1),false)</f>
        <v>0</v>
      </c>
      <c r="N91" s="99">
        <f>$D91-vlookup(Summary!$C91,Summary!$C$2:$Q$103,3+counta($F$1:N$1),false)</f>
        <v>-0.1</v>
      </c>
      <c r="O91" s="99">
        <f>$D91-vlookup(Summary!$C91,Summary!$C$2:$Q$103,3+counta($F$1:O$1),false)</f>
        <v>-0.299</v>
      </c>
      <c r="P91" s="99">
        <f>$D91-vlookup(Summary!$C91,Summary!$C$2:$Q$103,3+counta($F$1:P$1),false)</f>
        <v>0.6</v>
      </c>
      <c r="Q91" s="99">
        <f>$D91-vlookup(Summary!$C91,Summary!$C$2:$Q$103,3+counta($F$1:Q$1),false)</f>
        <v>0.3</v>
      </c>
    </row>
    <row r="92" ht="15.75" customHeight="1">
      <c r="A92" s="15">
        <f>Main!A92</f>
        <v>91</v>
      </c>
      <c r="B92" s="15" t="str">
        <f>Main!B92</f>
        <v>Democrats will not have control of the US Senate after the midterm election</v>
      </c>
      <c r="C92" s="15" t="str">
        <f>Main!C92</f>
        <v>World Politics</v>
      </c>
      <c r="D92" s="15">
        <v>0.8</v>
      </c>
      <c r="F92" s="99">
        <f>$D92-vlookup(Summary!$C92,Summary!$C$2:$Q$103,3+counta($F$1:F$1),false)</f>
        <v>0</v>
      </c>
      <c r="G92" s="99">
        <f>$D92-vlookup(Summary!$C92,Summary!$C$2:$Q$103,3+counta($F$1:G$1),false)</f>
        <v>-0.1</v>
      </c>
      <c r="H92" s="99">
        <f>$D92-vlookup(Summary!$C92,Summary!$C$2:$Q$103,3+counta($F$1:H$1),false)</f>
        <v>0.1</v>
      </c>
      <c r="I92" s="99">
        <f>$D92-vlookup(Summary!$C92,Summary!$C$2:$Q$103,3+counta($F$1:I$1),false)</f>
        <v>0.2</v>
      </c>
      <c r="J92" s="99">
        <f>$D92-vlookup(Summary!$C92,Summary!$C$2:$Q$103,3+counta($F$1:J$1),false)</f>
        <v>-0.1</v>
      </c>
      <c r="K92" s="99">
        <f>$D92-vlookup(Summary!$C92,Summary!$C$2:$Q$103,3+counta($F$1:K$1),false)</f>
        <v>0</v>
      </c>
      <c r="L92" s="99">
        <f>$D92-vlookup(Summary!$C92,Summary!$C$2:$Q$103,3+counta($F$1:L$1),false)</f>
        <v>0</v>
      </c>
      <c r="M92" s="99">
        <f>$D92-vlookup(Summary!$C92,Summary!$C$2:$Q$103,3+counta($F$1:M$1),false)</f>
        <v>0.1</v>
      </c>
      <c r="N92" s="99">
        <f>$D92-vlookup(Summary!$C92,Summary!$C$2:$Q$103,3+counta($F$1:N$1),false)</f>
        <v>0</v>
      </c>
      <c r="O92" s="99">
        <f>$D92-vlookup(Summary!$C92,Summary!$C$2:$Q$103,3+counta($F$1:O$1),false)</f>
        <v>-0.199</v>
      </c>
      <c r="P92" s="99">
        <f>$D92-vlookup(Summary!$C92,Summary!$C$2:$Q$103,3+counta($F$1:P$1),false)</f>
        <v>0.7</v>
      </c>
      <c r="Q92" s="99">
        <f>$D92-vlookup(Summary!$C92,Summary!$C$2:$Q$103,3+counta($F$1:Q$1),false)</f>
        <v>0.6</v>
      </c>
    </row>
    <row r="93" ht="15.75" customHeight="1">
      <c r="A93" s="15">
        <f>Main!A93</f>
        <v>92</v>
      </c>
      <c r="B93" s="15" t="str">
        <f>Main!B93</f>
        <v>Donald Trump will recieve at least 1 vote in the selection of the Speaker of the US house of Representatives (Congress)</v>
      </c>
      <c r="C93" s="15" t="str">
        <f>Main!C93</f>
        <v>World Politics</v>
      </c>
      <c r="D93" s="15">
        <v>0.35</v>
      </c>
      <c r="F93" s="99">
        <f>$D93-vlookup(Summary!$C93,Summary!$C$2:$Q$103,3+counta($F$1:F$1),false)</f>
        <v>0.05</v>
      </c>
      <c r="G93" s="99">
        <f>$D93-vlookup(Summary!$C93,Summary!$C$2:$Q$103,3+counta($F$1:G$1),false)</f>
        <v>0.05</v>
      </c>
      <c r="H93" s="99">
        <f>$D93-vlookup(Summary!$C93,Summary!$C$2:$Q$103,3+counta($F$1:H$1),false)</f>
        <v>-0.35</v>
      </c>
      <c r="I93" s="99">
        <f>$D93-vlookup(Summary!$C93,Summary!$C$2:$Q$103,3+counta($F$1:I$1),false)</f>
        <v>0.25</v>
      </c>
      <c r="J93" s="99">
        <f>$D93-vlookup(Summary!$C93,Summary!$C$2:$Q$103,3+counta($F$1:J$1),false)</f>
        <v>-0.55</v>
      </c>
      <c r="K93" s="99">
        <f>$D93-vlookup(Summary!$C93,Summary!$C$2:$Q$103,3+counta($F$1:K$1),false)</f>
        <v>0</v>
      </c>
      <c r="L93" s="99">
        <f>$D93-vlookup(Summary!$C93,Summary!$C$2:$Q$103,3+counta($F$1:L$1),false)</f>
        <v>-0.35</v>
      </c>
      <c r="M93" s="99">
        <f>$D93-vlookup(Summary!$C93,Summary!$C$2:$Q$103,3+counta($F$1:M$1),false)</f>
        <v>-0.35</v>
      </c>
      <c r="N93" s="99">
        <f>$D93-vlookup(Summary!$C93,Summary!$C$2:$Q$103,3+counta($F$1:N$1),false)</f>
        <v>-0.55</v>
      </c>
      <c r="O93" s="99">
        <f>$D93-vlookup(Summary!$C93,Summary!$C$2:$Q$103,3+counta($F$1:O$1),false)</f>
        <v>-0.3</v>
      </c>
      <c r="P93" s="99">
        <f>$D93-vlookup(Summary!$C93,Summary!$C$2:$Q$103,3+counta($F$1:P$1),false)</f>
        <v>0.25</v>
      </c>
      <c r="Q93" s="99">
        <f>$D93-vlookup(Summary!$C93,Summary!$C$2:$Q$103,3+counta($F$1:Q$1),false)</f>
        <v>-0.15</v>
      </c>
    </row>
    <row r="94" ht="15.75" customHeight="1">
      <c r="A94" s="15">
        <f>Main!A94</f>
        <v>93</v>
      </c>
      <c r="B94" s="15" t="str">
        <f>Main!B94</f>
        <v>Donald Trump will release a book in 2022</v>
      </c>
      <c r="C94" s="15" t="str">
        <f>Main!C94</f>
        <v>World Politics</v>
      </c>
      <c r="D94" s="15">
        <v>0.8</v>
      </c>
      <c r="F94" s="99">
        <f>$D94-vlookup(Summary!$C94,Summary!$C$2:$Q$103,3+counta($F$1:F$1),false)</f>
        <v>0.25</v>
      </c>
      <c r="G94" s="99">
        <f>$D94-vlookup(Summary!$C94,Summary!$C$2:$Q$103,3+counta($F$1:G$1),false)</f>
        <v>0.1</v>
      </c>
      <c r="H94" s="99">
        <f>$D94-vlookup(Summary!$C94,Summary!$C$2:$Q$103,3+counta($F$1:H$1),false)</f>
        <v>0</v>
      </c>
      <c r="I94" s="99">
        <f>$D94-vlookup(Summary!$C94,Summary!$C$2:$Q$103,3+counta($F$1:I$1),false)</f>
        <v>0.6</v>
      </c>
      <c r="J94" s="99">
        <f>$D94-vlookup(Summary!$C94,Summary!$C$2:$Q$103,3+counta($F$1:J$1),false)</f>
        <v>-0.1</v>
      </c>
      <c r="K94" s="99">
        <f>$D94-vlookup(Summary!$C94,Summary!$C$2:$Q$103,3+counta($F$1:K$1),false)</f>
        <v>0</v>
      </c>
      <c r="L94" s="99">
        <f>$D94-vlookup(Summary!$C94,Summary!$C$2:$Q$103,3+counta($F$1:L$1),false)</f>
        <v>0.25</v>
      </c>
      <c r="M94" s="99">
        <f>$D94-vlookup(Summary!$C94,Summary!$C$2:$Q$103,3+counta($F$1:M$1),false)</f>
        <v>0</v>
      </c>
      <c r="N94" s="99">
        <f>$D94-vlookup(Summary!$C94,Summary!$C$2:$Q$103,3+counta($F$1:N$1),false)</f>
        <v>-0.1</v>
      </c>
      <c r="O94" s="99">
        <f>$D94-vlookup(Summary!$C94,Summary!$C$2:$Q$103,3+counta($F$1:O$1),false)</f>
        <v>0.65</v>
      </c>
      <c r="P94" s="99">
        <f>$D94-vlookup(Summary!$C94,Summary!$C$2:$Q$103,3+counta($F$1:P$1),false)</f>
        <v>0.3</v>
      </c>
      <c r="Q94" s="99">
        <f>$D94-vlookup(Summary!$C94,Summary!$C$2:$Q$103,3+counta($F$1:Q$1),false)</f>
        <v>0.25</v>
      </c>
    </row>
    <row r="95" ht="15.75" customHeight="1">
      <c r="A95" s="15">
        <f>Main!A95</f>
        <v>94</v>
      </c>
      <c r="B95" s="15" t="str">
        <f>Main!B95</f>
        <v>Trump will announce he will contest the Republican presidential candidacy and launch an NFT</v>
      </c>
      <c r="C95" s="15" t="str">
        <f>Main!C95</f>
        <v>World Politics</v>
      </c>
      <c r="D95" s="15">
        <v>0.9</v>
      </c>
      <c r="F95" s="99">
        <f>$D95-vlookup(Summary!$C95,Summary!$C$2:$Q$103,3+counta($F$1:F$1),false)</f>
        <v>0.6</v>
      </c>
      <c r="G95" s="99">
        <f>$D95-vlookup(Summary!$C95,Summary!$C$2:$Q$103,3+counta($F$1:G$1),false)</f>
        <v>0.5</v>
      </c>
      <c r="H95" s="99">
        <f>$D95-vlookup(Summary!$C95,Summary!$C$2:$Q$103,3+counta($F$1:H$1),false)</f>
        <v>0.2</v>
      </c>
      <c r="I95" s="99">
        <f>$D95-vlookup(Summary!$C95,Summary!$C$2:$Q$103,3+counta($F$1:I$1),false)</f>
        <v>0.85</v>
      </c>
      <c r="J95" s="99">
        <f>$D95-vlookup(Summary!$C95,Summary!$C$2:$Q$103,3+counta($F$1:J$1),false)</f>
        <v>0.3</v>
      </c>
      <c r="K95" s="99">
        <f>$D95-vlookup(Summary!$C95,Summary!$C$2:$Q$103,3+counta($F$1:K$1),false)</f>
        <v>0</v>
      </c>
      <c r="L95" s="99">
        <f>$D95-vlookup(Summary!$C95,Summary!$C$2:$Q$103,3+counta($F$1:L$1),false)</f>
        <v>0.4</v>
      </c>
      <c r="M95" s="99">
        <f>$D95-vlookup(Summary!$C95,Summary!$C$2:$Q$103,3+counta($F$1:M$1),false)</f>
        <v>0.2</v>
      </c>
      <c r="N95" s="99">
        <f>$D95-vlookup(Summary!$C95,Summary!$C$2:$Q$103,3+counta($F$1:N$1),false)</f>
        <v>0.7</v>
      </c>
      <c r="O95" s="99">
        <f>$D95-vlookup(Summary!$C95,Summary!$C$2:$Q$103,3+counta($F$1:O$1),false)</f>
        <v>0.899</v>
      </c>
      <c r="P95" s="99">
        <f>$D95-vlookup(Summary!$C95,Summary!$C$2:$Q$103,3+counta($F$1:P$1),false)</f>
        <v>0.4</v>
      </c>
      <c r="Q95" s="99">
        <f>$D95-vlookup(Summary!$C95,Summary!$C$2:$Q$103,3+counta($F$1:Q$1),false)</f>
        <v>0.8</v>
      </c>
    </row>
    <row r="96" ht="15.75" customHeight="1">
      <c r="A96" s="15">
        <f>Main!A96</f>
        <v>95</v>
      </c>
      <c r="B96" s="15" t="str">
        <f>Main!B96</f>
        <v>China will invade Taiwan</v>
      </c>
      <c r="C96" s="15" t="str">
        <f>Main!C96</f>
        <v>World Politics</v>
      </c>
      <c r="D96" s="15">
        <v>0.4</v>
      </c>
      <c r="F96" s="99">
        <f>$D96-vlookup(Summary!$C96,Summary!$C$2:$Q$103,3+counta($F$1:F$1),false)</f>
        <v>0.05</v>
      </c>
      <c r="G96" s="99">
        <f>$D96-vlookup(Summary!$C96,Summary!$C$2:$Q$103,3+counta($F$1:G$1),false)</f>
        <v>0.2</v>
      </c>
      <c r="H96" s="99">
        <f>$D96-vlookup(Summary!$C96,Summary!$C$2:$Q$103,3+counta($F$1:H$1),false)</f>
        <v>-0.3</v>
      </c>
      <c r="I96" s="99">
        <f>$D96-vlookup(Summary!$C96,Summary!$C$2:$Q$103,3+counta($F$1:I$1),false)</f>
        <v>-0.2</v>
      </c>
      <c r="J96" s="99">
        <f>$D96-vlookup(Summary!$C96,Summary!$C$2:$Q$103,3+counta($F$1:J$1),false)</f>
        <v>-0.3</v>
      </c>
      <c r="K96" s="99">
        <f>$D96-vlookup(Summary!$C96,Summary!$C$2:$Q$103,3+counta($F$1:K$1),false)</f>
        <v>0</v>
      </c>
      <c r="L96" s="99">
        <f>$D96-vlookup(Summary!$C96,Summary!$C$2:$Q$103,3+counta($F$1:L$1),false)</f>
        <v>0.35</v>
      </c>
      <c r="M96" s="99">
        <f>$D96-vlookup(Summary!$C96,Summary!$C$2:$Q$103,3+counta($F$1:M$1),false)</f>
        <v>-0.3</v>
      </c>
      <c r="N96" s="99">
        <f>$D96-vlookup(Summary!$C96,Summary!$C$2:$Q$103,3+counta($F$1:N$1),false)</f>
        <v>0.2</v>
      </c>
      <c r="O96" s="99">
        <f>$D96-vlookup(Summary!$C96,Summary!$C$2:$Q$103,3+counta($F$1:O$1),false)</f>
        <v>0.399</v>
      </c>
      <c r="P96" s="99">
        <f>$D96-vlookup(Summary!$C96,Summary!$C$2:$Q$103,3+counta($F$1:P$1),false)</f>
        <v>0.3</v>
      </c>
      <c r="Q96" s="99">
        <f>$D96-vlookup(Summary!$C96,Summary!$C$2:$Q$103,3+counta($F$1:Q$1),false)</f>
        <v>-0.1</v>
      </c>
    </row>
    <row r="97" ht="15.75" customHeight="1">
      <c r="A97" s="15">
        <f>Main!A97</f>
        <v>96</v>
      </c>
      <c r="B97" s="15" t="str">
        <f>Main!B97</f>
        <v>A nuclear weapon will be detonated for any purpose (including a test) somewhere on earth or in space</v>
      </c>
      <c r="C97" s="15" t="str">
        <f>Main!C97</f>
        <v>World Politics</v>
      </c>
      <c r="D97" s="15">
        <v>0.7</v>
      </c>
      <c r="F97" s="99">
        <f>$D97-vlookup(Summary!$C97,Summary!$C$2:$Q$103,3+counta($F$1:F$1),false)</f>
        <v>0.6</v>
      </c>
      <c r="G97" s="99">
        <f>$D97-vlookup(Summary!$C97,Summary!$C$2:$Q$103,3+counta($F$1:G$1),false)</f>
        <v>0.3</v>
      </c>
      <c r="H97" s="99">
        <f>$D97-vlookup(Summary!$C97,Summary!$C$2:$Q$103,3+counta($F$1:H$1),false)</f>
        <v>0.6</v>
      </c>
      <c r="I97" s="99">
        <f>$D97-vlookup(Summary!$C97,Summary!$C$2:$Q$103,3+counta($F$1:I$1),false)</f>
        <v>0.5</v>
      </c>
      <c r="J97" s="99">
        <f>$D97-vlookup(Summary!$C97,Summary!$C$2:$Q$103,3+counta($F$1:J$1),false)</f>
        <v>-0.1</v>
      </c>
      <c r="K97" s="99">
        <f>$D97-vlookup(Summary!$C97,Summary!$C$2:$Q$103,3+counta($F$1:K$1),false)</f>
        <v>0</v>
      </c>
      <c r="L97" s="99">
        <f>$D97-vlookup(Summary!$C97,Summary!$C$2:$Q$103,3+counta($F$1:L$1),false)</f>
        <v>0.4</v>
      </c>
      <c r="M97" s="99">
        <f>$D97-vlookup(Summary!$C97,Summary!$C$2:$Q$103,3+counta($F$1:M$1),false)</f>
        <v>0.6</v>
      </c>
      <c r="N97" s="99">
        <f>$D97-vlookup(Summary!$C97,Summary!$C$2:$Q$103,3+counta($F$1:N$1),false)</f>
        <v>0.6</v>
      </c>
      <c r="O97" s="99">
        <f>$D97-vlookup(Summary!$C97,Summary!$C$2:$Q$103,3+counta($F$1:O$1),false)</f>
        <v>0.55</v>
      </c>
      <c r="P97" s="99">
        <f>$D97-vlookup(Summary!$C97,Summary!$C$2:$Q$103,3+counta($F$1:P$1),false)</f>
        <v>0.2</v>
      </c>
      <c r="Q97" s="99">
        <f>$D97-vlookup(Summary!$C97,Summary!$C$2:$Q$103,3+counta($F$1:Q$1),false)</f>
        <v>0.1</v>
      </c>
    </row>
    <row r="98" ht="15.75" customHeight="1">
      <c r="A98" s="15">
        <f>Main!A98</f>
        <v>97</v>
      </c>
      <c r="B98" s="15" t="str">
        <f>Main!B98</f>
        <v>Iran will announce it has produced a nuclear weapon</v>
      </c>
      <c r="C98" s="15" t="str">
        <f>Main!C98</f>
        <v>World Politics</v>
      </c>
      <c r="D98" s="15">
        <v>0.7</v>
      </c>
      <c r="F98" s="99">
        <f>$D98-vlookup(Summary!$C98,Summary!$C$2:$Q$103,3+counta($F$1:F$1),false)</f>
        <v>0.25</v>
      </c>
      <c r="G98" s="99">
        <f>$D98-vlookup(Summary!$C98,Summary!$C$2:$Q$103,3+counta($F$1:G$1),false)</f>
        <v>0.4</v>
      </c>
      <c r="H98" s="99">
        <f>$D98-vlookup(Summary!$C98,Summary!$C$2:$Q$103,3+counta($F$1:H$1),false)</f>
        <v>0.6</v>
      </c>
      <c r="I98" s="99">
        <f>$D98-vlookup(Summary!$C98,Summary!$C$2:$Q$103,3+counta($F$1:I$1),false)</f>
        <v>0.5</v>
      </c>
      <c r="J98" s="99">
        <f>$D98-vlookup(Summary!$C98,Summary!$C$2:$Q$103,3+counta($F$1:J$1),false)</f>
        <v>0.1</v>
      </c>
      <c r="K98" s="99">
        <f>$D98-vlookup(Summary!$C98,Summary!$C$2:$Q$103,3+counta($F$1:K$1),false)</f>
        <v>0</v>
      </c>
      <c r="L98" s="99">
        <f>$D98-vlookup(Summary!$C98,Summary!$C$2:$Q$103,3+counta($F$1:L$1),false)</f>
        <v>0.4</v>
      </c>
      <c r="M98" s="99">
        <f>$D98-vlookup(Summary!$C98,Summary!$C$2:$Q$103,3+counta($F$1:M$1),false)</f>
        <v>0.6</v>
      </c>
      <c r="N98" s="99">
        <f>$D98-vlookup(Summary!$C98,Summary!$C$2:$Q$103,3+counta($F$1:N$1),false)</f>
        <v>0.6</v>
      </c>
      <c r="O98" s="99">
        <f>$D98-vlookup(Summary!$C98,Summary!$C$2:$Q$103,3+counta($F$1:O$1),false)</f>
        <v>0.55</v>
      </c>
      <c r="P98" s="99">
        <f>$D98-vlookup(Summary!$C98,Summary!$C$2:$Q$103,3+counta($F$1:P$1),false)</f>
        <v>0.2</v>
      </c>
      <c r="Q98" s="99">
        <f>$D98-vlookup(Summary!$C98,Summary!$C$2:$Q$103,3+counta($F$1:Q$1),false)</f>
        <v>0.1</v>
      </c>
    </row>
    <row r="99" ht="15.75" customHeight="1">
      <c r="A99" s="15">
        <f>Main!A99</f>
        <v>98</v>
      </c>
      <c r="B99" s="15" t="str">
        <f>Main!B99</f>
        <v>One or more of the G12 member countries will have diplomatically recognised Taiwan</v>
      </c>
      <c r="C99" s="15" t="str">
        <f>Main!C99</f>
        <v>World Politics</v>
      </c>
      <c r="D99" s="15">
        <v>0.75</v>
      </c>
      <c r="F99" s="99">
        <f>$D99-vlookup(Summary!$C99,Summary!$C$2:$Q$103,3+counta($F$1:F$1),false)</f>
        <v>0.6</v>
      </c>
      <c r="G99" s="99">
        <f>$D99-vlookup(Summary!$C99,Summary!$C$2:$Q$103,3+counta($F$1:G$1),false)</f>
        <v>0.55</v>
      </c>
      <c r="H99" s="99">
        <f>$D99-vlookup(Summary!$C99,Summary!$C$2:$Q$103,3+counta($F$1:H$1),false)</f>
        <v>0.65</v>
      </c>
      <c r="I99" s="99">
        <f>$D99-vlookup(Summary!$C99,Summary!$C$2:$Q$103,3+counta($F$1:I$1),false)</f>
        <v>0.55</v>
      </c>
      <c r="J99" s="99">
        <f>$D99-vlookup(Summary!$C99,Summary!$C$2:$Q$103,3+counta($F$1:J$1),false)</f>
        <v>0.35</v>
      </c>
      <c r="K99" s="99">
        <f>$D99-vlookup(Summary!$C99,Summary!$C$2:$Q$103,3+counta($F$1:K$1),false)</f>
        <v>0</v>
      </c>
      <c r="L99" s="99">
        <f>$D99-vlookup(Summary!$C99,Summary!$C$2:$Q$103,3+counta($F$1:L$1),false)</f>
        <v>0.45</v>
      </c>
      <c r="M99" s="99">
        <f>$D99-vlookup(Summary!$C99,Summary!$C$2:$Q$103,3+counta($F$1:M$1),false)</f>
        <v>0.65</v>
      </c>
      <c r="N99" s="99">
        <f>$D99-vlookup(Summary!$C99,Summary!$C$2:$Q$103,3+counta($F$1:N$1),false)</f>
        <v>0.15</v>
      </c>
      <c r="O99" s="99">
        <f>$D99-vlookup(Summary!$C99,Summary!$C$2:$Q$103,3+counta($F$1:O$1),false)</f>
        <v>0.6</v>
      </c>
      <c r="P99" s="99">
        <f>$D99-vlookup(Summary!$C99,Summary!$C$2:$Q$103,3+counta($F$1:P$1),false)</f>
        <v>0.25</v>
      </c>
      <c r="Q99" s="99">
        <f>$D99-vlookup(Summary!$C99,Summary!$C$2:$Q$103,3+counta($F$1:Q$1),false)</f>
        <v>0.15</v>
      </c>
    </row>
    <row r="100" ht="15.75" customHeight="1">
      <c r="A100" s="15">
        <f>Main!A100</f>
        <v>99</v>
      </c>
      <c r="B100" s="15" t="str">
        <f>Main!B100</f>
        <v>Russia will have invaded Ukraine (as reported by CNN, BBC, Guardian or NYT)</v>
      </c>
      <c r="C100" s="15" t="str">
        <f>Main!C100</f>
        <v>World Politics</v>
      </c>
      <c r="D100" s="15">
        <v>0.7</v>
      </c>
      <c r="F100" s="99">
        <f>$D100-vlookup(Summary!$C100,Summary!$C$2:$Q$103,3+counta($F$1:F$1),false)</f>
        <v>0.1</v>
      </c>
      <c r="G100" s="99">
        <f>$D100-vlookup(Summary!$C100,Summary!$C$2:$Q$103,3+counta($F$1:G$1),false)</f>
        <v>0.3</v>
      </c>
      <c r="H100" s="99">
        <f>$D100-vlookup(Summary!$C100,Summary!$C$2:$Q$103,3+counta($F$1:H$1),false)</f>
        <v>-0.25</v>
      </c>
      <c r="I100" s="99">
        <f>$D100-vlookup(Summary!$C100,Summary!$C$2:$Q$103,3+counta($F$1:I$1),false)</f>
        <v>-0.1</v>
      </c>
      <c r="J100" s="99">
        <f>$D100-vlookup(Summary!$C100,Summary!$C$2:$Q$103,3+counta($F$1:J$1),false)</f>
        <v>-0.1</v>
      </c>
      <c r="K100" s="99">
        <f>$D100-vlookup(Summary!$C100,Summary!$C$2:$Q$103,3+counta($F$1:K$1),false)</f>
        <v>0</v>
      </c>
      <c r="L100" s="99">
        <f>$D100-vlookup(Summary!$C100,Summary!$C$2:$Q$103,3+counta($F$1:L$1),false)</f>
        <v>-0.1</v>
      </c>
      <c r="M100" s="99">
        <f>$D100-vlookup(Summary!$C100,Summary!$C$2:$Q$103,3+counta($F$1:M$1),false)</f>
        <v>-0.25</v>
      </c>
      <c r="N100" s="99">
        <f>$D100-vlookup(Summary!$C100,Summary!$C$2:$Q$103,3+counta($F$1:N$1),false)</f>
        <v>0</v>
      </c>
      <c r="O100" s="99">
        <f>$D100-vlookup(Summary!$C100,Summary!$C$2:$Q$103,3+counta($F$1:O$1),false)</f>
        <v>0.05</v>
      </c>
      <c r="P100" s="99">
        <f>$D100-vlookup(Summary!$C100,Summary!$C$2:$Q$103,3+counta($F$1:P$1),false)</f>
        <v>0.6</v>
      </c>
      <c r="Q100" s="99">
        <f>$D100-vlookup(Summary!$C100,Summary!$C$2:$Q$103,3+counta($F$1:Q$1),false)</f>
        <v>0.1</v>
      </c>
    </row>
    <row r="101" ht="15.75" customHeight="1">
      <c r="A101" s="15">
        <f>Main!A101</f>
        <v>100</v>
      </c>
      <c r="B101" s="15" t="str">
        <f>Main!B101</f>
        <v>The US will have gone to battle with China or Russia ( nuclear battle acceptable) agreed upon by at least half the people attending 2022 predictions</v>
      </c>
      <c r="C101" s="15" t="str">
        <f>Main!C101</f>
        <v>World Politics</v>
      </c>
      <c r="D101" s="15">
        <v>0.6</v>
      </c>
      <c r="F101" s="99">
        <f>$D101-vlookup(Summary!$C101,Summary!$C$2:$Q$103,3+counta($F$1:F$1),false)</f>
        <v>0.3</v>
      </c>
      <c r="G101" s="99">
        <f>$D101-vlookup(Summary!$C101,Summary!$C$2:$Q$103,3+counta($F$1:G$1),false)</f>
        <v>0.5</v>
      </c>
      <c r="H101" s="99">
        <f>$D101-vlookup(Summary!$C101,Summary!$C$2:$Q$103,3+counta($F$1:H$1),false)</f>
        <v>0.5</v>
      </c>
      <c r="I101" s="99">
        <f>$D101-vlookup(Summary!$C101,Summary!$C$2:$Q$103,3+counta($F$1:I$1),false)</f>
        <v>0.5</v>
      </c>
      <c r="J101" s="99">
        <f>$D101-vlookup(Summary!$C101,Summary!$C$2:$Q$103,3+counta($F$1:J$1),false)</f>
        <v>0.1</v>
      </c>
      <c r="K101" s="99">
        <f>$D101-vlookup(Summary!$C101,Summary!$C$2:$Q$103,3+counta($F$1:K$1),false)</f>
        <v>0</v>
      </c>
      <c r="L101" s="99">
        <f>$D101-vlookup(Summary!$C101,Summary!$C$2:$Q$103,3+counta($F$1:L$1),false)</f>
        <v>0.5</v>
      </c>
      <c r="M101" s="99">
        <f>$D101-vlookup(Summary!$C101,Summary!$C$2:$Q$103,3+counta($F$1:M$1),false)</f>
        <v>0.5</v>
      </c>
      <c r="N101" s="99">
        <f>$D101-vlookup(Summary!$C101,Summary!$C$2:$Q$103,3+counta($F$1:N$1),false)</f>
        <v>0.4</v>
      </c>
      <c r="O101" s="99">
        <f>$D101-vlookup(Summary!$C101,Summary!$C$2:$Q$103,3+counta($F$1:O$1),false)</f>
        <v>0.599</v>
      </c>
      <c r="P101" s="99">
        <f>$D101-vlookup(Summary!$C101,Summary!$C$2:$Q$103,3+counta($F$1:P$1),false)</f>
        <v>0.5</v>
      </c>
      <c r="Q101" s="99">
        <f>$D101-vlookup(Summary!$C101,Summary!$C$2:$Q$103,3+counta($F$1:Q$1),false)</f>
        <v>0.4</v>
      </c>
    </row>
    <row r="102" ht="15.75" customHeight="1">
      <c r="A102" s="15">
        <f>Main!A102</f>
        <v>101</v>
      </c>
      <c r="B102" s="15" t="str">
        <f>Main!B102</f>
        <v>There is an assassination attempt on Xi Jinping as reported in The Guardian</v>
      </c>
      <c r="C102" s="15" t="str">
        <f>Main!C102</f>
        <v>World Politics</v>
      </c>
      <c r="D102" s="15">
        <v>0.35</v>
      </c>
      <c r="F102" s="99">
        <f>$D102-vlookup(Summary!$C102,Summary!$C$2:$Q$103,3+counta($F$1:F$1),false)</f>
        <v>0.2</v>
      </c>
      <c r="G102" s="99">
        <f>$D102-vlookup(Summary!$C102,Summary!$C$2:$Q$103,3+counta($F$1:G$1),false)</f>
        <v>-0.05</v>
      </c>
      <c r="H102" s="99">
        <f>$D102-vlookup(Summary!$C102,Summary!$C$2:$Q$103,3+counta($F$1:H$1),false)</f>
        <v>0.3</v>
      </c>
      <c r="I102" s="99">
        <f>$D102-vlookup(Summary!$C102,Summary!$C$2:$Q$103,3+counta($F$1:I$1),false)</f>
        <v>0.25</v>
      </c>
      <c r="J102" s="99">
        <f>$D102-vlookup(Summary!$C102,Summary!$C$2:$Q$103,3+counta($F$1:J$1),false)</f>
        <v>0.05</v>
      </c>
      <c r="K102" s="99">
        <f>$D102-vlookup(Summary!$C102,Summary!$C$2:$Q$103,3+counta($F$1:K$1),false)</f>
        <v>0</v>
      </c>
      <c r="L102" s="99">
        <f>$D102-vlookup(Summary!$C102,Summary!$C$2:$Q$103,3+counta($F$1:L$1),false)</f>
        <v>-0.15</v>
      </c>
      <c r="M102" s="99">
        <f>$D102-vlookup(Summary!$C102,Summary!$C$2:$Q$103,3+counta($F$1:M$1),false)</f>
        <v>0.3</v>
      </c>
      <c r="N102" s="99">
        <f>$D102-vlookup(Summary!$C102,Summary!$C$2:$Q$103,3+counta($F$1:N$1),false)</f>
        <v>0.25</v>
      </c>
      <c r="O102" s="99">
        <f>$D102-vlookup(Summary!$C102,Summary!$C$2:$Q$103,3+counta($F$1:O$1),false)</f>
        <v>0.349</v>
      </c>
      <c r="P102" s="99">
        <f>$D102-vlookup(Summary!$C102,Summary!$C$2:$Q$103,3+counta($F$1:P$1),false)</f>
        <v>0.25</v>
      </c>
      <c r="Q102" s="99">
        <f>$D102-vlookup(Summary!$C102,Summary!$C$2:$Q$103,3+counta($F$1:Q$1),false)</f>
        <v>-0.1</v>
      </c>
    </row>
    <row r="103" ht="15.75" customHeight="1">
      <c r="A103" s="15">
        <f>Main!A103</f>
        <v>102</v>
      </c>
      <c r="B103" s="15" t="str">
        <f>Main!B103</f>
        <v>Bolsanaro wins the next Brazilian elections</v>
      </c>
      <c r="C103" s="15" t="str">
        <f>Main!C103</f>
        <v>World Politics</v>
      </c>
      <c r="D103" s="15">
        <v>0.75</v>
      </c>
      <c r="F103" s="99">
        <f>$D103-vlookup(Summary!$C103,Summary!$C$2:$Q$103,3+counta($F$1:F$1),false)</f>
        <v>0.35</v>
      </c>
      <c r="G103" s="99">
        <f>$D103-vlookup(Summary!$C103,Summary!$C$2:$Q$103,3+counta($F$1:G$1),false)</f>
        <v>0.45</v>
      </c>
      <c r="H103" s="99">
        <f>$D103-vlookup(Summary!$C103,Summary!$C$2:$Q$103,3+counta($F$1:H$1),false)</f>
        <v>0.35</v>
      </c>
      <c r="I103" s="99">
        <f>$D103-vlookup(Summary!$C103,Summary!$C$2:$Q$103,3+counta($F$1:I$1),false)</f>
        <v>0.35</v>
      </c>
      <c r="J103" s="99">
        <f>$D103-vlookup(Summary!$C103,Summary!$C$2:$Q$103,3+counta($F$1:J$1),false)</f>
        <v>-0.05</v>
      </c>
      <c r="K103" s="99">
        <f>$D103-vlookup(Summary!$C103,Summary!$C$2:$Q$103,3+counta($F$1:K$1),false)</f>
        <v>0</v>
      </c>
      <c r="L103" s="99">
        <f>$D103-vlookup(Summary!$C103,Summary!$C$2:$Q$103,3+counta($F$1:L$1),false)</f>
        <v>0.45</v>
      </c>
      <c r="M103" s="99">
        <f>$D103-vlookup(Summary!$C103,Summary!$C$2:$Q$103,3+counta($F$1:M$1),false)</f>
        <v>0.35</v>
      </c>
      <c r="N103" s="99">
        <f>$D103-vlookup(Summary!$C103,Summary!$C$2:$Q$103,3+counta($F$1:N$1),false)</f>
        <v>0.55</v>
      </c>
      <c r="O103" s="99">
        <f>$D103-vlookup(Summary!$C103,Summary!$C$2:$Q$103,3+counta($F$1:O$1),false)</f>
        <v>0.1</v>
      </c>
      <c r="P103" s="99">
        <f>$D103-vlookup(Summary!$C103,Summary!$C$2:$Q$103,3+counta($F$1:P$1),false)</f>
        <v>0.65</v>
      </c>
      <c r="Q103" s="99">
        <f>$D103-vlookup(Summary!$C103,Summary!$C$2:$Q$103,3+counta($F$1:Q$1),false)</f>
        <v>0.15</v>
      </c>
    </row>
    <row r="104" ht="15.75" customHeight="1">
      <c r="A104" s="15" t="str">
        <f>Main!A104</f>
        <v/>
      </c>
      <c r="B104" s="15" t="str">
        <f>Main!B104</f>
        <v/>
      </c>
      <c r="C104" s="15" t="str">
        <f>Main!C104</f>
        <v/>
      </c>
      <c r="E104" s="104" t="s">
        <v>197</v>
      </c>
      <c r="F104" s="102">
        <f t="shared" ref="F104:Q104" si="1">countif(F$2:F$103,"&gt;=0.5")+countif(F$2:F$103,"&lt;=-0.5")</f>
        <v>12</v>
      </c>
      <c r="G104" s="101">
        <f t="shared" si="1"/>
        <v>17</v>
      </c>
      <c r="H104" s="101">
        <f t="shared" si="1"/>
        <v>28</v>
      </c>
      <c r="I104" s="101">
        <f t="shared" si="1"/>
        <v>26</v>
      </c>
      <c r="J104" s="102">
        <f t="shared" si="1"/>
        <v>13</v>
      </c>
      <c r="K104" s="101">
        <f t="shared" si="1"/>
        <v>0</v>
      </c>
      <c r="L104" s="103">
        <f t="shared" si="1"/>
        <v>30</v>
      </c>
      <c r="M104" s="101">
        <f t="shared" si="1"/>
        <v>27</v>
      </c>
      <c r="N104" s="101">
        <f t="shared" si="1"/>
        <v>27</v>
      </c>
      <c r="O104" s="101">
        <f t="shared" si="1"/>
        <v>28</v>
      </c>
      <c r="P104" s="101">
        <f t="shared" si="1"/>
        <v>23</v>
      </c>
      <c r="Q104" s="102">
        <f t="shared" si="1"/>
        <v>13</v>
      </c>
    </row>
    <row r="105" ht="15.75" customHeight="1">
      <c r="A105" s="15" t="str">
        <f>Main!A105</f>
        <v/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14:B1000">
    <cfRule type="notContainsBlanks" dxfId="2" priority="1">
      <formula>LEN(TRIM(B114))&gt;0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117.63"/>
    <col customWidth="1" min="3" max="3" width="12.63"/>
    <col customWidth="1" min="4" max="4" width="19.75"/>
    <col customWidth="1" min="5" max="5" width="19.88"/>
    <col customWidth="1" min="6" max="7" width="12.63"/>
  </cols>
  <sheetData>
    <row r="1" ht="15.75" customHeight="1">
      <c r="A1" s="92" t="s">
        <v>4</v>
      </c>
      <c r="B1" s="92" t="s">
        <v>6</v>
      </c>
      <c r="C1" s="92" t="s">
        <v>5</v>
      </c>
      <c r="D1" s="92" t="s">
        <v>194</v>
      </c>
      <c r="E1" s="92" t="s">
        <v>195</v>
      </c>
      <c r="F1" s="8" t="s">
        <v>9</v>
      </c>
      <c r="G1" s="10" t="s">
        <v>21</v>
      </c>
      <c r="H1" s="8" t="s">
        <v>11</v>
      </c>
      <c r="I1" s="10" t="s">
        <v>12</v>
      </c>
      <c r="J1" s="8" t="s">
        <v>13</v>
      </c>
      <c r="K1" s="98" t="s">
        <v>196</v>
      </c>
      <c r="L1" s="8" t="s">
        <v>15</v>
      </c>
      <c r="M1" s="10" t="s">
        <v>16</v>
      </c>
      <c r="N1" s="8" t="s">
        <v>17</v>
      </c>
      <c r="O1" s="10" t="s">
        <v>18</v>
      </c>
      <c r="P1" s="8" t="s">
        <v>19</v>
      </c>
      <c r="Q1" s="10" t="s">
        <v>20</v>
      </c>
    </row>
    <row r="2" ht="15.75" customHeight="1">
      <c r="A2" s="15">
        <f>Main!A2</f>
        <v>1</v>
      </c>
      <c r="B2" s="15" t="str">
        <f>Main!B2</f>
        <v>That there will be a hung parliament at the next election and Labor will take office</v>
      </c>
      <c r="C2" s="15" t="str">
        <f>Main!C2</f>
        <v>Aus Politics</v>
      </c>
      <c r="D2" s="106">
        <v>0.2</v>
      </c>
      <c r="F2" s="99">
        <f>$D2-vlookup(Summary!$C2,Summary!$C$2:$Q$103,3+counta($F$1:F$1),false)</f>
        <v>-0.2</v>
      </c>
      <c r="G2" s="99">
        <f>$D2-vlookup(Summary!$C2,Summary!$C$2:$Q$103,3+counta($F$1:G$1),false)</f>
        <v>-0.5</v>
      </c>
      <c r="H2" s="99">
        <f>$D2-vlookup(Summary!$C2,Summary!$C$2:$Q$103,3+counta($F$1:H$1),false)</f>
        <v>0.1</v>
      </c>
      <c r="I2" s="99">
        <f>$D2-vlookup(Summary!$C2,Summary!$C$2:$Q$103,3+counta($F$1:I$1),false)</f>
        <v>0</v>
      </c>
      <c r="J2" s="99">
        <f>$D2-vlookup(Summary!$C2,Summary!$C$2:$Q$103,3+counta($F$1:J$1),false)</f>
        <v>-0.3</v>
      </c>
      <c r="K2" s="99">
        <f>$D2-vlookup(Summary!$C2,Summary!$C$2:$Q$103,3+counta($F$1:K$1),false)</f>
        <v>-0.45</v>
      </c>
      <c r="L2" s="99">
        <f>$D2-vlookup(Summary!$C2,Summary!$C$2:$Q$103,3+counta($F$1:L$1),false)</f>
        <v>0</v>
      </c>
      <c r="M2" s="99">
        <f>$D2-vlookup(Summary!$C2,Summary!$C$2:$Q$103,3+counta($F$1:M$1),false)</f>
        <v>0.1</v>
      </c>
      <c r="N2" s="99">
        <f>$D2-vlookup(Summary!$C2,Summary!$C$2:$Q$103,3+counta($F$1:N$1),false)</f>
        <v>-0.6</v>
      </c>
      <c r="O2" s="99">
        <f>$D2-vlookup(Summary!$C2,Summary!$C$2:$Q$103,3+counta($F$1:O$1),false)</f>
        <v>-0.15</v>
      </c>
      <c r="P2" s="99">
        <f>$D2-vlookup(Summary!$C2,Summary!$C$2:$Q$103,3+counta($F$1:P$1),false)</f>
        <v>0.1</v>
      </c>
      <c r="Q2" s="99">
        <f>$D2-vlookup(Summary!$C2,Summary!$C$2:$Q$103,3+counta($F$1:Q$1),false)</f>
        <v>-0.25</v>
      </c>
    </row>
    <row r="3" ht="15.75" customHeight="1">
      <c r="A3" s="15">
        <f>Main!A3</f>
        <v>2</v>
      </c>
      <c r="B3" s="15" t="str">
        <f>Main!B3</f>
        <v>Dan Andrews will become leader of the Australian Labor Party</v>
      </c>
      <c r="C3" s="15" t="str">
        <f>Main!C3</f>
        <v>Aus Politics</v>
      </c>
      <c r="D3" s="106">
        <v>0.001</v>
      </c>
      <c r="F3" s="99">
        <f>$D3-vlookup(Summary!$C3,Summary!$C$2:$Q$103,3+counta($F$1:F$1),false)</f>
        <v>-0.199</v>
      </c>
      <c r="G3" s="99">
        <f>$D3-vlookup(Summary!$C3,Summary!$C$2:$Q$103,3+counta($F$1:G$1),false)</f>
        <v>-0.099</v>
      </c>
      <c r="H3" s="99">
        <f>$D3-vlookup(Summary!$C3,Summary!$C$2:$Q$103,3+counta($F$1:H$1),false)</f>
        <v>-0.049</v>
      </c>
      <c r="I3" s="99">
        <f>$D3-vlookup(Summary!$C3,Summary!$C$2:$Q$103,3+counta($F$1:I$1),false)</f>
        <v>-0.199</v>
      </c>
      <c r="J3" s="99">
        <f>$D3-vlookup(Summary!$C3,Summary!$C$2:$Q$103,3+counta($F$1:J$1),false)</f>
        <v>-0.099</v>
      </c>
      <c r="K3" s="99">
        <f>$D3-vlookup(Summary!$C3,Summary!$C$2:$Q$103,3+counta($F$1:K$1),false)</f>
        <v>0.001</v>
      </c>
      <c r="L3" s="99">
        <f>$D3-vlookup(Summary!$C3,Summary!$C$2:$Q$103,3+counta($F$1:L$1),false)</f>
        <v>0</v>
      </c>
      <c r="M3" s="99">
        <f>$D3-vlookup(Summary!$C3,Summary!$C$2:$Q$103,3+counta($F$1:M$1),false)</f>
        <v>-0.049</v>
      </c>
      <c r="N3" s="99">
        <f>$D3-vlookup(Summary!$C3,Summary!$C$2:$Q$103,3+counta($F$1:N$1),false)</f>
        <v>-0.099</v>
      </c>
      <c r="O3" s="99">
        <f>$D3-vlookup(Summary!$C3,Summary!$C$2:$Q$103,3+counta($F$1:O$1),false)</f>
        <v>0</v>
      </c>
      <c r="P3" s="99">
        <f>$D3-vlookup(Summary!$C3,Summary!$C$2:$Q$103,3+counta($F$1:P$1),false)</f>
        <v>-0.099</v>
      </c>
      <c r="Q3" s="99">
        <f>$D3-vlookup(Summary!$C3,Summary!$C$2:$Q$103,3+counta($F$1:Q$1),false)</f>
        <v>-0.009</v>
      </c>
    </row>
    <row r="4" ht="15.75" customHeight="1">
      <c r="A4" s="15">
        <f>Main!A4</f>
        <v>3</v>
      </c>
      <c r="B4" s="15" t="str">
        <f>Main!B4</f>
        <v>The Greens will get more than 9 senators in the next federal election</v>
      </c>
      <c r="C4" s="15" t="str">
        <f>Main!C4</f>
        <v>Aus Politics</v>
      </c>
      <c r="D4" s="106">
        <v>0.7</v>
      </c>
      <c r="F4" s="99">
        <f>$D4-vlookup(Summary!$C4,Summary!$C$2:$Q$103,3+counta($F$1:F$1),false)</f>
        <v>0.1</v>
      </c>
      <c r="G4" s="99">
        <f>$D4-vlookup(Summary!$C4,Summary!$C$2:$Q$103,3+counta($F$1:G$1),false)</f>
        <v>0.4</v>
      </c>
      <c r="H4" s="99">
        <f>$D4-vlookup(Summary!$C4,Summary!$C$2:$Q$103,3+counta($F$1:H$1),false)</f>
        <v>0.6</v>
      </c>
      <c r="I4" s="99">
        <f>$D4-vlookup(Summary!$C4,Summary!$C$2:$Q$103,3+counta($F$1:I$1),false)</f>
        <v>0.1</v>
      </c>
      <c r="J4" s="99">
        <f>$D4-vlookup(Summary!$C4,Summary!$C$2:$Q$103,3+counta($F$1:J$1),false)</f>
        <v>0</v>
      </c>
      <c r="K4" s="99">
        <f>$D4-vlookup(Summary!$C4,Summary!$C$2:$Q$103,3+counta($F$1:K$1),false)</f>
        <v>0.1</v>
      </c>
      <c r="L4" s="99">
        <f>$D4-vlookup(Summary!$C4,Summary!$C$2:$Q$103,3+counta($F$1:L$1),false)</f>
        <v>0</v>
      </c>
      <c r="M4" s="99">
        <f>$D4-vlookup(Summary!$C4,Summary!$C$2:$Q$103,3+counta($F$1:M$1),false)</f>
        <v>0.6</v>
      </c>
      <c r="N4" s="99">
        <f>$D4-vlookup(Summary!$C4,Summary!$C$2:$Q$103,3+counta($F$1:N$1),false)</f>
        <v>0.6</v>
      </c>
      <c r="O4" s="99">
        <f>$D4-vlookup(Summary!$C4,Summary!$C$2:$Q$103,3+counta($F$1:O$1),false)</f>
        <v>0.2</v>
      </c>
      <c r="P4" s="99">
        <f>$D4-vlookup(Summary!$C4,Summary!$C$2:$Q$103,3+counta($F$1:P$1),false)</f>
        <v>0.2</v>
      </c>
      <c r="Q4" s="99">
        <f>$D4-vlookup(Summary!$C4,Summary!$C$2:$Q$103,3+counta($F$1:Q$1),false)</f>
        <v>0.15</v>
      </c>
    </row>
    <row r="5" ht="15.75" customHeight="1">
      <c r="A5" s="15">
        <f>Main!A5</f>
        <v>4</v>
      </c>
      <c r="B5" s="15" t="str">
        <f>Main!B5</f>
        <v>The House of Reps will include 5 independents by the end of the federal election</v>
      </c>
      <c r="C5" s="15" t="str">
        <f>Main!C5</f>
        <v>Aus Politics</v>
      </c>
      <c r="D5" s="106">
        <v>0.001</v>
      </c>
      <c r="F5" s="99">
        <f>$D5-vlookup(Summary!$C5,Summary!$C$2:$Q$103,3+counta($F$1:F$1),false)</f>
        <v>-0.699</v>
      </c>
      <c r="G5" s="99">
        <f>$D5-vlookup(Summary!$C5,Summary!$C$2:$Q$103,3+counta($F$1:G$1),false)</f>
        <v>-0.299</v>
      </c>
      <c r="H5" s="99">
        <f>$D5-vlookup(Summary!$C5,Summary!$C$2:$Q$103,3+counta($F$1:H$1),false)</f>
        <v>-0.099</v>
      </c>
      <c r="I5" s="99">
        <f>$D5-vlookup(Summary!$C5,Summary!$C$2:$Q$103,3+counta($F$1:I$1),false)</f>
        <v>-0.699</v>
      </c>
      <c r="J5" s="99">
        <f>$D5-vlookup(Summary!$C5,Summary!$C$2:$Q$103,3+counta($F$1:J$1),false)</f>
        <v>-0.899</v>
      </c>
      <c r="K5" s="99">
        <f>$D5-vlookup(Summary!$C5,Summary!$C$2:$Q$103,3+counta($F$1:K$1),false)</f>
        <v>-0.749</v>
      </c>
      <c r="L5" s="99">
        <f>$D5-vlookup(Summary!$C5,Summary!$C$2:$Q$103,3+counta($F$1:L$1),false)</f>
        <v>0</v>
      </c>
      <c r="M5" s="99">
        <f>$D5-vlookup(Summary!$C5,Summary!$C$2:$Q$103,3+counta($F$1:M$1),false)</f>
        <v>-0.099</v>
      </c>
      <c r="N5" s="99">
        <f>$D5-vlookup(Summary!$C5,Summary!$C$2:$Q$103,3+counta($F$1:N$1),false)</f>
        <v>-0.899</v>
      </c>
      <c r="O5" s="99">
        <f>$D5-vlookup(Summary!$C5,Summary!$C$2:$Q$103,3+counta($F$1:O$1),false)</f>
        <v>-0.499</v>
      </c>
      <c r="P5" s="99">
        <f>$D5-vlookup(Summary!$C5,Summary!$C$2:$Q$103,3+counta($F$1:P$1),false)</f>
        <v>-0.799</v>
      </c>
      <c r="Q5" s="99">
        <f>$D5-vlookup(Summary!$C5,Summary!$C$2:$Q$103,3+counta($F$1:Q$1),false)</f>
        <v>-0.699</v>
      </c>
    </row>
    <row r="6" ht="15.75" customHeight="1">
      <c r="A6" s="15">
        <f>Main!A6</f>
        <v>5</v>
      </c>
      <c r="B6" s="15" t="str">
        <f>Main!B6</f>
        <v>The Australian Labor Party will not pledge to reverse the uni fee structure introduced in 2020</v>
      </c>
      <c r="C6" s="15" t="str">
        <f>Main!C6</f>
        <v>Aus Politics</v>
      </c>
      <c r="D6" s="106">
        <v>0.9</v>
      </c>
      <c r="F6" s="99">
        <f>$D6-vlookup(Summary!$C6,Summary!$C$2:$Q$103,3+counta($F$1:F$1),false)</f>
        <v>0.3</v>
      </c>
      <c r="G6" s="99">
        <f>$D6-vlookup(Summary!$C6,Summary!$C$2:$Q$103,3+counta($F$1:G$1),false)</f>
        <v>0.1</v>
      </c>
      <c r="H6" s="99">
        <f>$D6-vlookup(Summary!$C6,Summary!$C$2:$Q$103,3+counta($F$1:H$1),false)</f>
        <v>0</v>
      </c>
      <c r="I6" s="99">
        <f>$D6-vlookup(Summary!$C6,Summary!$C$2:$Q$103,3+counta($F$1:I$1),false)</f>
        <v>0.2</v>
      </c>
      <c r="J6" s="99">
        <f>$D6-vlookup(Summary!$C6,Summary!$C$2:$Q$103,3+counta($F$1:J$1),false)</f>
        <v>0.4</v>
      </c>
      <c r="K6" s="99">
        <f>$D6-vlookup(Summary!$C6,Summary!$C$2:$Q$103,3+counta($F$1:K$1),false)</f>
        <v>0.05</v>
      </c>
      <c r="L6" s="99">
        <f>$D6-vlookup(Summary!$C6,Summary!$C$2:$Q$103,3+counta($F$1:L$1),false)</f>
        <v>0</v>
      </c>
      <c r="M6" s="99">
        <f>$D6-vlookup(Summary!$C6,Summary!$C$2:$Q$103,3+counta($F$1:M$1),false)</f>
        <v>0</v>
      </c>
      <c r="N6" s="99">
        <f>$D6-vlookup(Summary!$C6,Summary!$C$2:$Q$103,3+counta($F$1:N$1),false)</f>
        <v>0</v>
      </c>
      <c r="O6" s="99">
        <f>$D6-vlookup(Summary!$C6,Summary!$C$2:$Q$103,3+counta($F$1:O$1),false)</f>
        <v>0.05</v>
      </c>
      <c r="P6" s="99">
        <f>$D6-vlookup(Summary!$C6,Summary!$C$2:$Q$103,3+counta($F$1:P$1),false)</f>
        <v>0.1</v>
      </c>
      <c r="Q6" s="99">
        <f>$D6-vlookup(Summary!$C6,Summary!$C$2:$Q$103,3+counta($F$1:Q$1),false)</f>
        <v>0.15</v>
      </c>
    </row>
    <row r="7" ht="15.75" customHeight="1">
      <c r="A7" s="15">
        <f>Main!A7</f>
        <v>6</v>
      </c>
      <c r="B7" s="15" t="str">
        <f>Main!B7</f>
        <v>Zali Steggal and Helen Haines will both retain their seats in Federal Parliament</v>
      </c>
      <c r="C7" s="15" t="str">
        <f>Main!C7</f>
        <v>Aus Politics</v>
      </c>
      <c r="D7" s="106">
        <v>0.4</v>
      </c>
      <c r="F7" s="99">
        <f>$D7-vlookup(Summary!$C7,Summary!$C$2:$Q$103,3+counta($F$1:F$1),false)</f>
        <v>-0.1</v>
      </c>
      <c r="G7" s="99">
        <f>$D7-vlookup(Summary!$C7,Summary!$C$2:$Q$103,3+counta($F$1:G$1),false)</f>
        <v>-0.5</v>
      </c>
      <c r="H7" s="99">
        <f>$D7-vlookup(Summary!$C7,Summary!$C$2:$Q$103,3+counta($F$1:H$1),false)</f>
        <v>-0.1</v>
      </c>
      <c r="I7" s="99">
        <f>$D7-vlookup(Summary!$C7,Summary!$C$2:$Q$103,3+counta($F$1:I$1),false)</f>
        <v>-0.3</v>
      </c>
      <c r="J7" s="99">
        <f>$D7-vlookup(Summary!$C7,Summary!$C$2:$Q$103,3+counta($F$1:J$1),false)</f>
        <v>-0.5</v>
      </c>
      <c r="K7" s="99">
        <f>$D7-vlookup(Summary!$C7,Summary!$C$2:$Q$103,3+counta($F$1:K$1),false)</f>
        <v>-0.55</v>
      </c>
      <c r="L7" s="99">
        <f>$D7-vlookup(Summary!$C7,Summary!$C$2:$Q$103,3+counta($F$1:L$1),false)</f>
        <v>0</v>
      </c>
      <c r="M7" s="99">
        <f>$D7-vlookup(Summary!$C7,Summary!$C$2:$Q$103,3+counta($F$1:M$1),false)</f>
        <v>-0.1</v>
      </c>
      <c r="N7" s="99">
        <f>$D7-vlookup(Summary!$C7,Summary!$C$2:$Q$103,3+counta($F$1:N$1),false)</f>
        <v>-0.5</v>
      </c>
      <c r="O7" s="99">
        <f>$D7-vlookup(Summary!$C7,Summary!$C$2:$Q$103,3+counta($F$1:O$1),false)</f>
        <v>-0.45</v>
      </c>
      <c r="P7" s="99">
        <f>$D7-vlookup(Summary!$C7,Summary!$C$2:$Q$103,3+counta($F$1:P$1),false)</f>
        <v>-0.5</v>
      </c>
      <c r="Q7" s="99">
        <f>$D7-vlookup(Summary!$C7,Summary!$C$2:$Q$103,3+counta($F$1:Q$1),false)</f>
        <v>-0.1</v>
      </c>
    </row>
    <row r="8" ht="15.75" customHeight="1">
      <c r="A8" s="15">
        <f>Main!A8</f>
        <v>7</v>
      </c>
      <c r="B8" s="15" t="str">
        <f>Main!B8</f>
        <v>Scott Morrison will lose leadership of the Liberal Party at least once</v>
      </c>
      <c r="C8" s="15" t="str">
        <f>Main!C8</f>
        <v>Aus Politics</v>
      </c>
      <c r="D8" s="106">
        <v>0.5</v>
      </c>
      <c r="F8" s="99">
        <f>$D8-vlookup(Summary!$C8,Summary!$C$2:$Q$103,3+counta($F$1:F$1),false)</f>
        <v>-0.3</v>
      </c>
      <c r="G8" s="99">
        <f>$D8-vlookup(Summary!$C8,Summary!$C$2:$Q$103,3+counta($F$1:G$1),false)</f>
        <v>-0.2</v>
      </c>
      <c r="H8" s="99">
        <f>$D8-vlookup(Summary!$C8,Summary!$C$2:$Q$103,3+counta($F$1:H$1),false)</f>
        <v>0.35</v>
      </c>
      <c r="I8" s="99">
        <f>$D8-vlookup(Summary!$C8,Summary!$C$2:$Q$103,3+counta($F$1:I$1),false)</f>
        <v>0.2</v>
      </c>
      <c r="J8" s="99">
        <f>$D8-vlookup(Summary!$C8,Summary!$C$2:$Q$103,3+counta($F$1:J$1),false)</f>
        <v>-0.1</v>
      </c>
      <c r="K8" s="99">
        <f>$D8-vlookup(Summary!$C8,Summary!$C$2:$Q$103,3+counta($F$1:K$1),false)</f>
        <v>-0.25</v>
      </c>
      <c r="L8" s="99">
        <f>$D8-vlookup(Summary!$C8,Summary!$C$2:$Q$103,3+counta($F$1:L$1),false)</f>
        <v>0</v>
      </c>
      <c r="M8" s="99">
        <f>$D8-vlookup(Summary!$C8,Summary!$C$2:$Q$103,3+counta($F$1:M$1),false)</f>
        <v>0.45</v>
      </c>
      <c r="N8" s="99">
        <f>$D8-vlookup(Summary!$C8,Summary!$C$2:$Q$103,3+counta($F$1:N$1),false)</f>
        <v>-0.4</v>
      </c>
      <c r="O8" s="99">
        <f>$D8-vlookup(Summary!$C8,Summary!$C$2:$Q$103,3+counta($F$1:O$1),false)</f>
        <v>0.15</v>
      </c>
      <c r="P8" s="99">
        <f>$D8-vlookup(Summary!$C8,Summary!$C$2:$Q$103,3+counta($F$1:P$1),false)</f>
        <v>-0.2</v>
      </c>
      <c r="Q8" s="99">
        <f>$D8-vlookup(Summary!$C8,Summary!$C$2:$Q$103,3+counta($F$1:Q$1),false)</f>
        <v>-0.4</v>
      </c>
    </row>
    <row r="9" ht="15.75" customHeight="1">
      <c r="A9" s="15">
        <f>Main!A9</f>
        <v>8</v>
      </c>
      <c r="B9" s="15" t="str">
        <f>Main!B9</f>
        <v>Anthony Albanese will be Prime Minister on at least one day</v>
      </c>
      <c r="C9" s="15" t="str">
        <f>Main!C9</f>
        <v>Aus Politics</v>
      </c>
      <c r="D9" s="106">
        <v>0.3</v>
      </c>
      <c r="F9" s="99">
        <f>$D9-vlookup(Summary!$C9,Summary!$C$2:$Q$103,3+counta($F$1:F$1),false)</f>
        <v>-0.3</v>
      </c>
      <c r="G9" s="99">
        <f>$D9-vlookup(Summary!$C9,Summary!$C$2:$Q$103,3+counta($F$1:G$1),false)</f>
        <v>-0.6</v>
      </c>
      <c r="H9" s="99">
        <f>$D9-vlookup(Summary!$C9,Summary!$C$2:$Q$103,3+counta($F$1:H$1),false)</f>
        <v>0.25</v>
      </c>
      <c r="I9" s="99">
        <f>$D9-vlookup(Summary!$C9,Summary!$C$2:$Q$103,3+counta($F$1:I$1),false)</f>
        <v>0</v>
      </c>
      <c r="J9" s="99">
        <f>$D9-vlookup(Summary!$C9,Summary!$C$2:$Q$103,3+counta($F$1:J$1),false)</f>
        <v>0.2</v>
      </c>
      <c r="K9" s="99">
        <f>$D9-vlookup(Summary!$C9,Summary!$C$2:$Q$103,3+counta($F$1:K$1),false)</f>
        <v>-0.45</v>
      </c>
      <c r="L9" s="99">
        <f>$D9-vlookup(Summary!$C9,Summary!$C$2:$Q$103,3+counta($F$1:L$1),false)</f>
        <v>0</v>
      </c>
      <c r="M9" s="99">
        <f>$D9-vlookup(Summary!$C9,Summary!$C$2:$Q$103,3+counta($F$1:M$1),false)</f>
        <v>0.25</v>
      </c>
      <c r="N9" s="99">
        <f>$D9-vlookup(Summary!$C9,Summary!$C$2:$Q$103,3+counta($F$1:N$1),false)</f>
        <v>-0.6</v>
      </c>
      <c r="O9" s="99">
        <f>$D9-vlookup(Summary!$C9,Summary!$C$2:$Q$103,3+counta($F$1:O$1),false)</f>
        <v>-0.05</v>
      </c>
      <c r="P9" s="99">
        <f>$D9-vlookup(Summary!$C9,Summary!$C$2:$Q$103,3+counta($F$1:P$1),false)</f>
        <v>-0.5</v>
      </c>
      <c r="Q9" s="99">
        <f>$D9-vlookup(Summary!$C9,Summary!$C$2:$Q$103,3+counta($F$1:Q$1),false)</f>
        <v>-0.1</v>
      </c>
    </row>
    <row r="10" ht="15.75" customHeight="1">
      <c r="A10" s="15">
        <f>Main!A10</f>
        <v>9</v>
      </c>
      <c r="B10" s="15" t="str">
        <f>Main!B10</f>
        <v>A sitting MP will make allegations of possible voter fraud or election 'rigging' in the 2022 Australian federal election</v>
      </c>
      <c r="C10" s="15" t="str">
        <f>Main!C10</f>
        <v>Aus Politics</v>
      </c>
      <c r="D10" s="106">
        <v>0.9</v>
      </c>
      <c r="F10" s="99">
        <f>$D10-vlookup(Summary!$C10,Summary!$C$2:$Q$103,3+counta($F$1:F$1),false)</f>
        <v>0.35</v>
      </c>
      <c r="G10" s="99">
        <f>$D10-vlookup(Summary!$C10,Summary!$C$2:$Q$103,3+counta($F$1:G$1),false)</f>
        <v>0.6</v>
      </c>
      <c r="H10" s="99">
        <f>$D10-vlookup(Summary!$C10,Summary!$C$2:$Q$103,3+counta($F$1:H$1),false)</f>
        <v>0.6</v>
      </c>
      <c r="I10" s="99">
        <f>$D10-vlookup(Summary!$C10,Summary!$C$2:$Q$103,3+counta($F$1:I$1),false)</f>
        <v>0.5</v>
      </c>
      <c r="J10" s="99">
        <f>$D10-vlookup(Summary!$C10,Summary!$C$2:$Q$103,3+counta($F$1:J$1),false)</f>
        <v>0</v>
      </c>
      <c r="K10" s="99">
        <f>$D10-vlookup(Summary!$C10,Summary!$C$2:$Q$103,3+counta($F$1:K$1),false)</f>
        <v>0.55</v>
      </c>
      <c r="L10" s="99">
        <f>$D10-vlookup(Summary!$C10,Summary!$C$2:$Q$103,3+counta($F$1:L$1),false)</f>
        <v>0</v>
      </c>
      <c r="M10" s="99">
        <f>$D10-vlookup(Summary!$C10,Summary!$C$2:$Q$103,3+counta($F$1:M$1),false)</f>
        <v>0.6</v>
      </c>
      <c r="N10" s="99">
        <f>$D10-vlookup(Summary!$C10,Summary!$C$2:$Q$103,3+counta($F$1:N$1),false)</f>
        <v>0.2</v>
      </c>
      <c r="O10" s="99">
        <f>$D10-vlookup(Summary!$C10,Summary!$C$2:$Q$103,3+counta($F$1:O$1),false)</f>
        <v>0.05</v>
      </c>
      <c r="P10" s="99">
        <f>$D10-vlookup(Summary!$C10,Summary!$C$2:$Q$103,3+counta($F$1:P$1),false)</f>
        <v>0.5</v>
      </c>
      <c r="Q10" s="99">
        <f>$D10-vlookup(Summary!$C10,Summary!$C$2:$Q$103,3+counta($F$1:Q$1),false)</f>
        <v>0.1</v>
      </c>
    </row>
    <row r="11" ht="15.75" customHeight="1">
      <c r="A11" s="15">
        <f>Main!A11</f>
        <v>10</v>
      </c>
      <c r="B11" s="15" t="str">
        <f>Main!B11</f>
        <v>The Australian Intelligence Community will release a statement contradicting a Government minister or MP during the 2022 election campaign</v>
      </c>
      <c r="C11" s="15" t="str">
        <f>Main!C11</f>
        <v>Aus Politics</v>
      </c>
      <c r="D11" s="106">
        <v>0.15</v>
      </c>
      <c r="F11" s="99">
        <f>$D11-vlookup(Summary!$C11,Summary!$C$2:$Q$103,3+counta($F$1:F$1),false)</f>
        <v>-0.25</v>
      </c>
      <c r="G11" s="99">
        <f>$D11-vlookup(Summary!$C11,Summary!$C$2:$Q$103,3+counta($F$1:G$1),false)</f>
        <v>-0.05</v>
      </c>
      <c r="H11" s="99">
        <f>$D11-vlookup(Summary!$C11,Summary!$C$2:$Q$103,3+counta($F$1:H$1),false)</f>
        <v>0.05</v>
      </c>
      <c r="I11" s="99">
        <f>$D11-vlookup(Summary!$C11,Summary!$C$2:$Q$103,3+counta($F$1:I$1),false)</f>
        <v>-0.05</v>
      </c>
      <c r="J11" s="99">
        <f>$D11-vlookup(Summary!$C11,Summary!$C$2:$Q$103,3+counta($F$1:J$1),false)</f>
        <v>0.05</v>
      </c>
      <c r="K11" s="99">
        <f>$D11-vlookup(Summary!$C11,Summary!$C$2:$Q$103,3+counta($F$1:K$1),false)</f>
        <v>-0.4</v>
      </c>
      <c r="L11" s="99">
        <f>$D11-vlookup(Summary!$C11,Summary!$C$2:$Q$103,3+counta($F$1:L$1),false)</f>
        <v>0</v>
      </c>
      <c r="M11" s="99">
        <f>$D11-vlookup(Summary!$C11,Summary!$C$2:$Q$103,3+counta($F$1:M$1),false)</f>
        <v>0.05</v>
      </c>
      <c r="N11" s="99">
        <f>$D11-vlookup(Summary!$C11,Summary!$C$2:$Q$103,3+counta($F$1:N$1),false)</f>
        <v>-0.75</v>
      </c>
      <c r="O11" s="99">
        <f>$D11-vlookup(Summary!$C11,Summary!$C$2:$Q$103,3+counta($F$1:O$1),false)</f>
        <v>0.149</v>
      </c>
      <c r="P11" s="99">
        <f>$D11-vlookup(Summary!$C11,Summary!$C$2:$Q$103,3+counta($F$1:P$1),false)</f>
        <v>0.05</v>
      </c>
      <c r="Q11" s="99">
        <f>$D11-vlookup(Summary!$C11,Summary!$C$2:$Q$103,3+counta($F$1:Q$1),false)</f>
        <v>-0.6</v>
      </c>
    </row>
    <row r="12" ht="15.75" customHeight="1">
      <c r="A12" s="15">
        <f>Main!A12</f>
        <v>11</v>
      </c>
      <c r="B12" s="15" t="str">
        <f>Main!B12</f>
        <v>Scott Morrison will still be the Prime Minister of Australia</v>
      </c>
      <c r="C12" s="15" t="str">
        <f>Main!C12</f>
        <v>Aus Politics</v>
      </c>
      <c r="D12" s="106">
        <v>0.7</v>
      </c>
      <c r="F12" s="99">
        <f>$D12-vlookup(Summary!$C12,Summary!$C$2:$Q$103,3+counta($F$1:F$1),false)</f>
        <v>0.3</v>
      </c>
      <c r="G12" s="99">
        <f>$D12-vlookup(Summary!$C12,Summary!$C$2:$Q$103,3+counta($F$1:G$1),false)</f>
        <v>0.5</v>
      </c>
      <c r="H12" s="99">
        <f>$D12-vlookup(Summary!$C12,Summary!$C$2:$Q$103,3+counta($F$1:H$1),false)</f>
        <v>0.5</v>
      </c>
      <c r="I12" s="99">
        <f>$D12-vlookup(Summary!$C12,Summary!$C$2:$Q$103,3+counta($F$1:I$1),false)</f>
        <v>-0.1</v>
      </c>
      <c r="J12" s="99">
        <f>$D12-vlookup(Summary!$C12,Summary!$C$2:$Q$103,3+counta($F$1:J$1),false)</f>
        <v>0.2</v>
      </c>
      <c r="K12" s="99">
        <f>$D12-vlookup(Summary!$C12,Summary!$C$2:$Q$103,3+counta($F$1:K$1),false)</f>
        <v>-0.05</v>
      </c>
      <c r="L12" s="99">
        <f>$D12-vlookup(Summary!$C12,Summary!$C$2:$Q$103,3+counta($F$1:L$1),false)</f>
        <v>0</v>
      </c>
      <c r="M12" s="99">
        <f>$D12-vlookup(Summary!$C12,Summary!$C$2:$Q$103,3+counta($F$1:M$1),false)</f>
        <v>0.65</v>
      </c>
      <c r="N12" s="99">
        <f>$D12-vlookup(Summary!$C12,Summary!$C$2:$Q$103,3+counta($F$1:N$1),false)</f>
        <v>0.6</v>
      </c>
      <c r="O12" s="99">
        <f>$D12-vlookup(Summary!$C12,Summary!$C$2:$Q$103,3+counta($F$1:O$1),false)</f>
        <v>0.05</v>
      </c>
      <c r="P12" s="99">
        <f>$D12-vlookup(Summary!$C12,Summary!$C$2:$Q$103,3+counta($F$1:P$1),false)</f>
        <v>0.4</v>
      </c>
      <c r="Q12" s="99">
        <f>$D12-vlookup(Summary!$C12,Summary!$C$2:$Q$103,3+counta($F$1:Q$1),false)</f>
        <v>0.6</v>
      </c>
    </row>
    <row r="13" ht="15.75" customHeight="1">
      <c r="A13" s="15">
        <f>Main!A13</f>
        <v>12</v>
      </c>
      <c r="B13" s="15" t="str">
        <f>Main!B13</f>
        <v>An Australian federal Minister will step down from their position due to direct involvement (proven or otherwise) in sexual misconduct at some point in the year.</v>
      </c>
      <c r="C13" s="15" t="str">
        <f>Main!C13</f>
        <v>Aus Politics</v>
      </c>
      <c r="D13" s="106">
        <v>0.2</v>
      </c>
      <c r="F13" s="99">
        <f>$D13-vlookup(Summary!$C13,Summary!$C$2:$Q$103,3+counta($F$1:F$1),false)</f>
        <v>-0.45</v>
      </c>
      <c r="G13" s="99">
        <f>$D13-vlookup(Summary!$C13,Summary!$C$2:$Q$103,3+counta($F$1:G$1),false)</f>
        <v>-0.2</v>
      </c>
      <c r="H13" s="99">
        <f>$D13-vlookup(Summary!$C13,Summary!$C$2:$Q$103,3+counta($F$1:H$1),false)</f>
        <v>0.1</v>
      </c>
      <c r="I13" s="99">
        <f>$D13-vlookup(Summary!$C13,Summary!$C$2:$Q$103,3+counta($F$1:I$1),false)</f>
        <v>-0.7</v>
      </c>
      <c r="J13" s="99">
        <f>$D13-vlookup(Summary!$C13,Summary!$C$2:$Q$103,3+counta($F$1:J$1),false)</f>
        <v>-0.7</v>
      </c>
      <c r="K13" s="99">
        <f>$D13-vlookup(Summary!$C13,Summary!$C$2:$Q$103,3+counta($F$1:K$1),false)</f>
        <v>-0.15</v>
      </c>
      <c r="L13" s="99">
        <f>$D13-vlookup(Summary!$C13,Summary!$C$2:$Q$103,3+counta($F$1:L$1),false)</f>
        <v>0</v>
      </c>
      <c r="M13" s="99">
        <f>$D13-vlookup(Summary!$C13,Summary!$C$2:$Q$103,3+counta($F$1:M$1),false)</f>
        <v>0.1</v>
      </c>
      <c r="N13" s="99">
        <f>$D13-vlookup(Summary!$C13,Summary!$C$2:$Q$103,3+counta($F$1:N$1),false)</f>
        <v>-0.4</v>
      </c>
      <c r="O13" s="99">
        <f>$D13-vlookup(Summary!$C13,Summary!$C$2:$Q$103,3+counta($F$1:O$1),false)</f>
        <v>0.05</v>
      </c>
      <c r="P13" s="99">
        <f>$D13-vlookup(Summary!$C13,Summary!$C$2:$Q$103,3+counta($F$1:P$1),false)</f>
        <v>-0.1</v>
      </c>
      <c r="Q13" s="99">
        <f>$D13-vlookup(Summary!$C13,Summary!$C$2:$Q$103,3+counta($F$1:Q$1),false)</f>
        <v>-0.4</v>
      </c>
    </row>
    <row r="14" ht="15.75" customHeight="1">
      <c r="A14" s="15">
        <f>Main!A14</f>
        <v>13</v>
      </c>
      <c r="B14" s="15" t="str">
        <f>Main!B14</f>
        <v>Friendlyjordies, or evidence he has brought to light, will feature in a court case or ICAC inquiry.</v>
      </c>
      <c r="C14" s="15" t="str">
        <f>Main!C14</f>
        <v>Aus Politics</v>
      </c>
      <c r="D14" s="106">
        <v>0.5</v>
      </c>
      <c r="F14" s="99">
        <f>$D14-vlookup(Summary!$C14,Summary!$C$2:$Q$103,3+counta($F$1:F$1),false)</f>
        <v>-0.05</v>
      </c>
      <c r="G14" s="99">
        <f>$D14-vlookup(Summary!$C14,Summary!$C$2:$Q$103,3+counta($F$1:G$1),false)</f>
        <v>-0.2</v>
      </c>
      <c r="H14" s="99">
        <f>$D14-vlookup(Summary!$C14,Summary!$C$2:$Q$103,3+counta($F$1:H$1),false)</f>
        <v>0.2</v>
      </c>
      <c r="I14" s="99">
        <f>$D14-vlookup(Summary!$C14,Summary!$C$2:$Q$103,3+counta($F$1:I$1),false)</f>
        <v>-0.1</v>
      </c>
      <c r="J14" s="99">
        <f>$D14-vlookup(Summary!$C14,Summary!$C$2:$Q$103,3+counta($F$1:J$1),false)</f>
        <v>-0.2</v>
      </c>
      <c r="K14" s="99">
        <f>$D14-vlookup(Summary!$C14,Summary!$C$2:$Q$103,3+counta($F$1:K$1),false)</f>
        <v>-0.15</v>
      </c>
      <c r="L14" s="99">
        <f>$D14-vlookup(Summary!$C14,Summary!$C$2:$Q$103,3+counta($F$1:L$1),false)</f>
        <v>0</v>
      </c>
      <c r="M14" s="99">
        <f>$D14-vlookup(Summary!$C14,Summary!$C$2:$Q$103,3+counta($F$1:M$1),false)</f>
        <v>0.2</v>
      </c>
      <c r="N14" s="99">
        <f>$D14-vlookup(Summary!$C14,Summary!$C$2:$Q$103,3+counta($F$1:N$1),false)</f>
        <v>0.4</v>
      </c>
      <c r="O14" s="99">
        <f>$D14-vlookup(Summary!$C14,Summary!$C$2:$Q$103,3+counta($F$1:O$1),false)</f>
        <v>0.35</v>
      </c>
      <c r="P14" s="99">
        <f>$D14-vlookup(Summary!$C14,Summary!$C$2:$Q$103,3+counta($F$1:P$1),false)</f>
        <v>0</v>
      </c>
      <c r="Q14" s="99">
        <f>$D14-vlookup(Summary!$C14,Summary!$C$2:$Q$103,3+counta($F$1:Q$1),false)</f>
        <v>0</v>
      </c>
    </row>
    <row r="15" ht="15.75" customHeight="1">
      <c r="A15" s="15">
        <f>Main!A15</f>
        <v>14</v>
      </c>
      <c r="B15" s="15" t="str">
        <f>Main!B15</f>
        <v>At least one person commits suicide as an effect of the Royal Commission into Defence and Veteran Suicide, as reported in The Guardian</v>
      </c>
      <c r="C15" s="15" t="str">
        <f>Main!C15</f>
        <v>Aus Politics</v>
      </c>
      <c r="D15" s="106">
        <v>0.6</v>
      </c>
      <c r="F15" s="99">
        <f>$D15-vlookup(Summary!$C15,Summary!$C$2:$Q$103,3+counta($F$1:F$1),false)</f>
        <v>0.2</v>
      </c>
      <c r="G15" s="99">
        <f>$D15-vlookup(Summary!$C15,Summary!$C$2:$Q$103,3+counta($F$1:G$1),false)</f>
        <v>-0.2</v>
      </c>
      <c r="H15" s="99">
        <f>$D15-vlookup(Summary!$C15,Summary!$C$2:$Q$103,3+counta($F$1:H$1),false)</f>
        <v>-0.1</v>
      </c>
      <c r="I15" s="99">
        <f>$D15-vlookup(Summary!$C15,Summary!$C$2:$Q$103,3+counta($F$1:I$1),false)</f>
        <v>0.2</v>
      </c>
      <c r="J15" s="99">
        <f>$D15-vlookup(Summary!$C15,Summary!$C$2:$Q$103,3+counta($F$1:J$1),false)</f>
        <v>0.3</v>
      </c>
      <c r="K15" s="99">
        <f>$D15-vlookup(Summary!$C15,Summary!$C$2:$Q$103,3+counta($F$1:K$1),false)</f>
        <v>-0.25</v>
      </c>
      <c r="L15" s="99">
        <f>$D15-vlookup(Summary!$C15,Summary!$C$2:$Q$103,3+counta($F$1:L$1),false)</f>
        <v>0</v>
      </c>
      <c r="M15" s="99">
        <f>$D15-vlookup(Summary!$C15,Summary!$C$2:$Q$103,3+counta($F$1:M$1),false)</f>
        <v>-0.1</v>
      </c>
      <c r="N15" s="99">
        <f>$D15-vlookup(Summary!$C15,Summary!$C$2:$Q$103,3+counta($F$1:N$1),false)</f>
        <v>-0.3</v>
      </c>
      <c r="O15" s="99">
        <f>$D15-vlookup(Summary!$C15,Summary!$C$2:$Q$103,3+counta($F$1:O$1),false)</f>
        <v>0.45</v>
      </c>
      <c r="P15" s="99">
        <f>$D15-vlookup(Summary!$C15,Summary!$C$2:$Q$103,3+counta($F$1:P$1),false)</f>
        <v>0.1</v>
      </c>
      <c r="Q15" s="99">
        <f>$D15-vlookup(Summary!$C15,Summary!$C$2:$Q$103,3+counta($F$1:Q$1),false)</f>
        <v>0.2</v>
      </c>
    </row>
    <row r="16" ht="15.75" customHeight="1">
      <c r="A16" s="15">
        <f>Main!A16</f>
        <v>15</v>
      </c>
      <c r="B16" s="15" t="str">
        <f>Main!B16</f>
        <v>Taylor Swift will get married</v>
      </c>
      <c r="C16" s="15" t="str">
        <f>Main!C16</f>
        <v>Celebrities</v>
      </c>
      <c r="D16" s="106">
        <v>0.2</v>
      </c>
      <c r="F16" s="99">
        <f>$D16-vlookup(Summary!$C16,Summary!$C$2:$Q$103,3+counta($F$1:F$1),false)</f>
        <v>-0.35</v>
      </c>
      <c r="G16" s="99">
        <f>$D16-vlookup(Summary!$C16,Summary!$C$2:$Q$103,3+counta($F$1:G$1),false)</f>
        <v>-0.2</v>
      </c>
      <c r="H16" s="99">
        <f>$D16-vlookup(Summary!$C16,Summary!$C$2:$Q$103,3+counta($F$1:H$1),false)</f>
        <v>-0.5</v>
      </c>
      <c r="I16" s="99">
        <f>$D16-vlookup(Summary!$C16,Summary!$C$2:$Q$103,3+counta($F$1:I$1),false)</f>
        <v>0.05</v>
      </c>
      <c r="J16" s="99">
        <f>$D16-vlookup(Summary!$C16,Summary!$C$2:$Q$103,3+counta($F$1:J$1),false)</f>
        <v>-0.4</v>
      </c>
      <c r="K16" s="99">
        <f>$D16-vlookup(Summary!$C16,Summary!$C$2:$Q$103,3+counta($F$1:K$1),false)</f>
        <v>-0.6</v>
      </c>
      <c r="L16" s="99">
        <f>$D16-vlookup(Summary!$C16,Summary!$C$2:$Q$103,3+counta($F$1:L$1),false)</f>
        <v>0</v>
      </c>
      <c r="M16" s="99">
        <f>$D16-vlookup(Summary!$C16,Summary!$C$2:$Q$103,3+counta($F$1:M$1),false)</f>
        <v>-0.5</v>
      </c>
      <c r="N16" s="99">
        <f>$D16-vlookup(Summary!$C16,Summary!$C$2:$Q$103,3+counta($F$1:N$1),false)</f>
        <v>-0.6</v>
      </c>
      <c r="O16" s="99">
        <f>$D16-vlookup(Summary!$C16,Summary!$C$2:$Q$103,3+counta($F$1:O$1),false)</f>
        <v>0.05</v>
      </c>
      <c r="P16" s="99">
        <f>$D16-vlookup(Summary!$C16,Summary!$C$2:$Q$103,3+counta($F$1:P$1),false)</f>
        <v>-0.3</v>
      </c>
      <c r="Q16" s="99">
        <f>$D16-vlookup(Summary!$C16,Summary!$C$2:$Q$103,3+counta($F$1:Q$1),false)</f>
        <v>0.19</v>
      </c>
    </row>
    <row r="17" ht="15.75" customHeight="1">
      <c r="A17" s="15">
        <f>Main!A17</f>
        <v>16</v>
      </c>
      <c r="B17" s="15" t="str">
        <f>Main!B17</f>
        <v>Jane Campion will win the Oscar for Best Director</v>
      </c>
      <c r="C17" s="15" t="str">
        <f>Main!C17</f>
        <v>Celebrities</v>
      </c>
      <c r="D17" s="106">
        <v>0.7</v>
      </c>
      <c r="F17" s="99">
        <f>$D17-vlookup(Summary!$C17,Summary!$C$2:$Q$103,3+counta($F$1:F$1),false)</f>
        <v>-0.1</v>
      </c>
      <c r="G17" s="99">
        <f>$D17-vlookup(Summary!$C17,Summary!$C$2:$Q$103,3+counta($F$1:G$1),false)</f>
        <v>0.1</v>
      </c>
      <c r="H17" s="99">
        <f>$D17-vlookup(Summary!$C17,Summary!$C$2:$Q$103,3+counta($F$1:H$1),false)</f>
        <v>0.5</v>
      </c>
      <c r="I17" s="99">
        <f>$D17-vlookup(Summary!$C17,Summary!$C$2:$Q$103,3+counta($F$1:I$1),false)</f>
        <v>-0.2</v>
      </c>
      <c r="J17" s="99">
        <f>$D17-vlookup(Summary!$C17,Summary!$C$2:$Q$103,3+counta($F$1:J$1),false)</f>
        <v>-0.2</v>
      </c>
      <c r="K17" s="99">
        <f>$D17-vlookup(Summary!$C17,Summary!$C$2:$Q$103,3+counta($F$1:K$1),false)</f>
        <v>-0.25</v>
      </c>
      <c r="L17" s="99">
        <f>$D17-vlookup(Summary!$C17,Summary!$C$2:$Q$103,3+counta($F$1:L$1),false)</f>
        <v>0</v>
      </c>
      <c r="M17" s="99">
        <f>$D17-vlookup(Summary!$C17,Summary!$C$2:$Q$103,3+counta($F$1:M$1),false)</f>
        <v>0.5</v>
      </c>
      <c r="N17" s="99">
        <f>$D17-vlookup(Summary!$C17,Summary!$C$2:$Q$103,3+counta($F$1:N$1),false)</f>
        <v>0.6</v>
      </c>
      <c r="O17" s="99">
        <f>$D17-vlookup(Summary!$C17,Summary!$C$2:$Q$103,3+counta($F$1:O$1),false)</f>
        <v>0.2</v>
      </c>
      <c r="P17" s="99">
        <f>$D17-vlookup(Summary!$C17,Summary!$C$2:$Q$103,3+counta($F$1:P$1),false)</f>
        <v>0.2</v>
      </c>
      <c r="Q17" s="99">
        <f>$D17-vlookup(Summary!$C17,Summary!$C$2:$Q$103,3+counta($F$1:Q$1),false)</f>
        <v>0.4</v>
      </c>
    </row>
    <row r="18" ht="15.75" customHeight="1">
      <c r="A18" s="15">
        <f>Main!A18</f>
        <v>17</v>
      </c>
      <c r="B18" s="15" t="str">
        <f>Main!B18</f>
        <v>Harry and Megan's animated series "Pearl" will be released and have over 50% on Rotten Tomatoes</v>
      </c>
      <c r="C18" s="15" t="str">
        <f>Main!C18</f>
        <v>Celebrities</v>
      </c>
      <c r="D18" s="106">
        <v>0.2</v>
      </c>
      <c r="F18" s="99">
        <f>$D18-vlookup(Summary!$C18,Summary!$C$2:$Q$103,3+counta($F$1:F$1),false)</f>
        <v>-0.2</v>
      </c>
      <c r="G18" s="99">
        <f>$D18-vlookup(Summary!$C18,Summary!$C$2:$Q$103,3+counta($F$1:G$1),false)</f>
        <v>-0.1</v>
      </c>
      <c r="H18" s="99">
        <f>$D18-vlookup(Summary!$C18,Summary!$C$2:$Q$103,3+counta($F$1:H$1),false)</f>
        <v>-0.6</v>
      </c>
      <c r="I18" s="99">
        <f>$D18-vlookup(Summary!$C18,Summary!$C$2:$Q$103,3+counta($F$1:I$1),false)</f>
        <v>-0.2</v>
      </c>
      <c r="J18" s="99">
        <f>$D18-vlookup(Summary!$C18,Summary!$C$2:$Q$103,3+counta($F$1:J$1),false)</f>
        <v>0.1</v>
      </c>
      <c r="K18" s="99">
        <f>$D18-vlookup(Summary!$C18,Summary!$C$2:$Q$103,3+counta($F$1:K$1),false)</f>
        <v>-0.6</v>
      </c>
      <c r="L18" s="99">
        <f>$D18-vlookup(Summary!$C18,Summary!$C$2:$Q$103,3+counta($F$1:L$1),false)</f>
        <v>0</v>
      </c>
      <c r="M18" s="99">
        <f>$D18-vlookup(Summary!$C18,Summary!$C$2:$Q$103,3+counta($F$1:M$1),false)</f>
        <v>-0.6</v>
      </c>
      <c r="N18" s="99">
        <f>$D18-vlookup(Summary!$C18,Summary!$C$2:$Q$103,3+counta($F$1:N$1),false)</f>
        <v>-0.6</v>
      </c>
      <c r="O18" s="99">
        <f>$D18-vlookup(Summary!$C18,Summary!$C$2:$Q$103,3+counta($F$1:O$1),false)</f>
        <v>0.05</v>
      </c>
      <c r="P18" s="99">
        <f>$D18-vlookup(Summary!$C18,Summary!$C$2:$Q$103,3+counta($F$1:P$1),false)</f>
        <v>-0.3</v>
      </c>
      <c r="Q18" s="99">
        <f>$D18-vlookup(Summary!$C18,Summary!$C$2:$Q$103,3+counta($F$1:Q$1),false)</f>
        <v>-0.2</v>
      </c>
    </row>
    <row r="19" ht="15.75" customHeight="1">
      <c r="A19" s="15">
        <f>Main!A19</f>
        <v>18</v>
      </c>
      <c r="B19" s="15" t="str">
        <f>Main!B19</f>
        <v>Prince Andrew will enter or exit a courtroom wearing an oxygen mask and/or sitting in a wheelchair</v>
      </c>
      <c r="C19" s="15" t="str">
        <f>Main!C19</f>
        <v>Celebrities</v>
      </c>
      <c r="D19" s="106">
        <v>0.1</v>
      </c>
      <c r="F19" s="99">
        <f>$D19-vlookup(Summary!$C19,Summary!$C$2:$Q$103,3+counta($F$1:F$1),false)</f>
        <v>-0.2</v>
      </c>
      <c r="G19" s="99">
        <f>$D19-vlookup(Summary!$C19,Summary!$C$2:$Q$103,3+counta($F$1:G$1),false)</f>
        <v>-0.1</v>
      </c>
      <c r="H19" s="99">
        <f>$D19-vlookup(Summary!$C19,Summary!$C$2:$Q$103,3+counta($F$1:H$1),false)</f>
        <v>-0.6</v>
      </c>
      <c r="I19" s="99">
        <f>$D19-vlookup(Summary!$C19,Summary!$C$2:$Q$103,3+counta($F$1:I$1),false)</f>
        <v>0</v>
      </c>
      <c r="J19" s="99">
        <f>$D19-vlookup(Summary!$C19,Summary!$C$2:$Q$103,3+counta($F$1:J$1),false)</f>
        <v>-0.3</v>
      </c>
      <c r="K19" s="99">
        <f>$D19-vlookup(Summary!$C19,Summary!$C$2:$Q$103,3+counta($F$1:K$1),false)</f>
        <v>-0.1</v>
      </c>
      <c r="L19" s="99">
        <f>$D19-vlookup(Summary!$C19,Summary!$C$2:$Q$103,3+counta($F$1:L$1),false)</f>
        <v>0</v>
      </c>
      <c r="M19" s="99">
        <f>$D19-vlookup(Summary!$C19,Summary!$C$2:$Q$103,3+counta($F$1:M$1),false)</f>
        <v>0.05</v>
      </c>
      <c r="N19" s="99">
        <f>$D19-vlookup(Summary!$C19,Summary!$C$2:$Q$103,3+counta($F$1:N$1),false)</f>
        <v>0</v>
      </c>
      <c r="O19" s="99">
        <f>$D19-vlookup(Summary!$C19,Summary!$C$2:$Q$103,3+counta($F$1:O$1),false)</f>
        <v>-0.05</v>
      </c>
      <c r="P19" s="99">
        <f>$D19-vlookup(Summary!$C19,Summary!$C$2:$Q$103,3+counta($F$1:P$1),false)</f>
        <v>0</v>
      </c>
      <c r="Q19" s="99">
        <f>$D19-vlookup(Summary!$C19,Summary!$C$2:$Q$103,3+counta($F$1:Q$1),false)</f>
        <v>-0.1</v>
      </c>
    </row>
    <row r="20" ht="15.75" customHeight="1">
      <c r="A20" s="15">
        <f>Main!A20</f>
        <v>19</v>
      </c>
      <c r="B20" s="15" t="str">
        <f>Main!B20</f>
        <v>News Ltd will report on the emergence of a conspiracy theory relating to the Queen's death: that the palace is either secretly concealing her death or her continuing life</v>
      </c>
      <c r="C20" s="15" t="str">
        <f>Main!C20</f>
        <v>Celebrities</v>
      </c>
      <c r="D20" s="106">
        <v>0.05</v>
      </c>
      <c r="F20" s="99">
        <f>$D20-vlookup(Summary!$C20,Summary!$C$2:$Q$103,3+counta($F$1:F$1),false)</f>
        <v>-0.2</v>
      </c>
      <c r="G20" s="99">
        <f>$D20-vlookup(Summary!$C20,Summary!$C$2:$Q$103,3+counta($F$1:G$1),false)</f>
        <v>-0.35</v>
      </c>
      <c r="H20" s="99">
        <f>$D20-vlookup(Summary!$C20,Summary!$C$2:$Q$103,3+counta($F$1:H$1),false)</f>
        <v>-0.75</v>
      </c>
      <c r="I20" s="99">
        <f>$D20-vlookup(Summary!$C20,Summary!$C$2:$Q$103,3+counta($F$1:I$1),false)</f>
        <v>0</v>
      </c>
      <c r="J20" s="99">
        <f>$D20-vlookup(Summary!$C20,Summary!$C$2:$Q$103,3+counta($F$1:J$1),false)</f>
        <v>-0.45</v>
      </c>
      <c r="K20" s="99">
        <f>$D20-vlookup(Summary!$C20,Summary!$C$2:$Q$103,3+counta($F$1:K$1),false)</f>
        <v>-0.8</v>
      </c>
      <c r="L20" s="99">
        <f>$D20-vlookup(Summary!$C20,Summary!$C$2:$Q$103,3+counta($F$1:L$1),false)</f>
        <v>0</v>
      </c>
      <c r="M20" s="99">
        <f>$D20-vlookup(Summary!$C20,Summary!$C$2:$Q$103,3+counta($F$1:M$1),false)</f>
        <v>-0.75</v>
      </c>
      <c r="N20" s="99">
        <f>$D20-vlookup(Summary!$C20,Summary!$C$2:$Q$103,3+counta($F$1:N$1),false)</f>
        <v>-0.05</v>
      </c>
      <c r="O20" s="99">
        <f>$D20-vlookup(Summary!$C20,Summary!$C$2:$Q$103,3+counta($F$1:O$1),false)</f>
        <v>0.049</v>
      </c>
      <c r="P20" s="99">
        <f>$D20-vlookup(Summary!$C20,Summary!$C$2:$Q$103,3+counta($F$1:P$1),false)</f>
        <v>-0.05</v>
      </c>
      <c r="Q20" s="99">
        <f>$D20-vlookup(Summary!$C20,Summary!$C$2:$Q$103,3+counta($F$1:Q$1),false)</f>
        <v>-0.45</v>
      </c>
    </row>
    <row r="21" ht="15.75" customHeight="1">
      <c r="A21" s="15">
        <f>Main!A21</f>
        <v>20</v>
      </c>
      <c r="B21" s="15" t="str">
        <f>Main!B21</f>
        <v>Julian Assange will be located in Australia</v>
      </c>
      <c r="C21" s="15" t="str">
        <f>Main!C21</f>
        <v>Celebrities</v>
      </c>
      <c r="D21" s="106">
        <v>0.2</v>
      </c>
      <c r="F21" s="99">
        <f>$D21-vlookup(Summary!$C21,Summary!$C$2:$Q$103,3+counta($F$1:F$1),false)</f>
        <v>0</v>
      </c>
      <c r="G21" s="99">
        <f>$D21-vlookup(Summary!$C21,Summary!$C$2:$Q$103,3+counta($F$1:G$1),false)</f>
        <v>0</v>
      </c>
      <c r="H21" s="99">
        <f>$D21-vlookup(Summary!$C21,Summary!$C$2:$Q$103,3+counta($F$1:H$1),false)</f>
        <v>0.1</v>
      </c>
      <c r="I21" s="99">
        <f>$D21-vlookup(Summary!$C21,Summary!$C$2:$Q$103,3+counta($F$1:I$1),false)</f>
        <v>0.15</v>
      </c>
      <c r="J21" s="99">
        <f>$D21-vlookup(Summary!$C21,Summary!$C$2:$Q$103,3+counta($F$1:J$1),false)</f>
        <v>-0.1</v>
      </c>
      <c r="K21" s="99">
        <f>$D21-vlookup(Summary!$C21,Summary!$C$2:$Q$103,3+counta($F$1:K$1),false)</f>
        <v>-0.35</v>
      </c>
      <c r="L21" s="99">
        <f>$D21-vlookup(Summary!$C21,Summary!$C$2:$Q$103,3+counta($F$1:L$1),false)</f>
        <v>0</v>
      </c>
      <c r="M21" s="99">
        <f>$D21-vlookup(Summary!$C21,Summary!$C$2:$Q$103,3+counta($F$1:M$1),false)</f>
        <v>0.1</v>
      </c>
      <c r="N21" s="99">
        <f>$D21-vlookup(Summary!$C21,Summary!$C$2:$Q$103,3+counta($F$1:N$1),false)</f>
        <v>0</v>
      </c>
      <c r="O21" s="99">
        <f>$D21-vlookup(Summary!$C21,Summary!$C$2:$Q$103,3+counta($F$1:O$1),false)</f>
        <v>0.05</v>
      </c>
      <c r="P21" s="99">
        <f>$D21-vlookup(Summary!$C21,Summary!$C$2:$Q$103,3+counta($F$1:P$1),false)</f>
        <v>0.1</v>
      </c>
      <c r="Q21" s="99">
        <f>$D21-vlookup(Summary!$C21,Summary!$C$2:$Q$103,3+counta($F$1:Q$1),false)</f>
        <v>-0.1</v>
      </c>
    </row>
    <row r="22" ht="15.75" customHeight="1">
      <c r="A22" s="15">
        <f>Main!A22</f>
        <v>21</v>
      </c>
      <c r="B22" s="15" t="str">
        <f>Main!B22</f>
        <v>An alleged sexual predator will recieve an Emmy or Oscar by mainstream media (Andrew’s system)</v>
      </c>
      <c r="C22" s="15" t="str">
        <f>Main!C22</f>
        <v>Celebrities</v>
      </c>
      <c r="D22" s="106">
        <v>0.2</v>
      </c>
      <c r="F22" s="99">
        <f>$D22-vlookup(Summary!$C22,Summary!$C$2:$Q$103,3+counta($F$1:F$1),false)</f>
        <v>-0.2</v>
      </c>
      <c r="G22" s="99">
        <f>$D22-vlookup(Summary!$C22,Summary!$C$2:$Q$103,3+counta($F$1:G$1),false)</f>
        <v>-0.1</v>
      </c>
      <c r="H22" s="99">
        <f>$D22-vlookup(Summary!$C22,Summary!$C$2:$Q$103,3+counta($F$1:H$1),false)</f>
        <v>-0.1</v>
      </c>
      <c r="I22" s="99">
        <f>$D22-vlookup(Summary!$C22,Summary!$C$2:$Q$103,3+counta($F$1:I$1),false)</f>
        <v>0</v>
      </c>
      <c r="J22" s="99">
        <f>$D22-vlookup(Summary!$C22,Summary!$C$2:$Q$103,3+counta($F$1:J$1),false)</f>
        <v>-0.4</v>
      </c>
      <c r="K22" s="99">
        <f>$D22-vlookup(Summary!$C22,Summary!$C$2:$Q$103,3+counta($F$1:K$1),false)</f>
        <v>-0.5</v>
      </c>
      <c r="L22" s="99">
        <f>$D22-vlookup(Summary!$C22,Summary!$C$2:$Q$103,3+counta($F$1:L$1),false)</f>
        <v>0</v>
      </c>
      <c r="M22" s="99">
        <f>$D22-vlookup(Summary!$C22,Summary!$C$2:$Q$103,3+counta($F$1:M$1),false)</f>
        <v>-0.1</v>
      </c>
      <c r="N22" s="99">
        <f>$D22-vlookup(Summary!$C22,Summary!$C$2:$Q$103,3+counta($F$1:N$1),false)</f>
        <v>-0.6</v>
      </c>
      <c r="O22" s="99">
        <f>$D22-vlookup(Summary!$C22,Summary!$C$2:$Q$103,3+counta($F$1:O$1),false)</f>
        <v>-0.45</v>
      </c>
      <c r="P22" s="99">
        <f>$D22-vlookup(Summary!$C22,Summary!$C$2:$Q$103,3+counta($F$1:P$1),false)</f>
        <v>0.1</v>
      </c>
      <c r="Q22" s="99">
        <f>$D22-vlookup(Summary!$C22,Summary!$C$2:$Q$103,3+counta($F$1:Q$1),false)</f>
        <v>-0.4</v>
      </c>
    </row>
    <row r="23" ht="15.75" customHeight="1">
      <c r="A23" s="15">
        <f>Main!A23</f>
        <v>22</v>
      </c>
      <c r="B23" s="15" t="str">
        <f>Main!B23</f>
        <v>The Queen will die</v>
      </c>
      <c r="C23" s="15" t="str">
        <f>Main!C23</f>
        <v>Celebrities</v>
      </c>
      <c r="D23" s="106">
        <v>0.05</v>
      </c>
      <c r="F23" s="99">
        <f>$D23-vlookup(Summary!$C23,Summary!$C$2:$Q$103,3+counta($F$1:F$1),false)</f>
        <v>-0.35</v>
      </c>
      <c r="G23" s="99">
        <f>$D23-vlookup(Summary!$C23,Summary!$C$2:$Q$103,3+counta($F$1:G$1),false)</f>
        <v>-0.15</v>
      </c>
      <c r="H23" s="99">
        <f>$D23-vlookup(Summary!$C23,Summary!$C$2:$Q$103,3+counta($F$1:H$1),false)</f>
        <v>-0.85</v>
      </c>
      <c r="I23" s="99">
        <f>$D23-vlookup(Summary!$C23,Summary!$C$2:$Q$103,3+counta($F$1:I$1),false)</f>
        <v>-0.25</v>
      </c>
      <c r="J23" s="99">
        <f>$D23-vlookup(Summary!$C23,Summary!$C$2:$Q$103,3+counta($F$1:J$1),false)</f>
        <v>-0.65</v>
      </c>
      <c r="K23" s="99">
        <f>$D23-vlookup(Summary!$C23,Summary!$C$2:$Q$103,3+counta($F$1:K$1),false)</f>
        <v>-0.65</v>
      </c>
      <c r="L23" s="99">
        <f>$D23-vlookup(Summary!$C23,Summary!$C$2:$Q$103,3+counta($F$1:L$1),false)</f>
        <v>0</v>
      </c>
      <c r="M23" s="99">
        <f>$D23-vlookup(Summary!$C23,Summary!$C$2:$Q$103,3+counta($F$1:M$1),false)</f>
        <v>-0.85</v>
      </c>
      <c r="N23" s="99">
        <f>$D23-vlookup(Summary!$C23,Summary!$C$2:$Q$103,3+counta($F$1:N$1),false)</f>
        <v>-0.85</v>
      </c>
      <c r="O23" s="99">
        <f>$D23-vlookup(Summary!$C23,Summary!$C$2:$Q$103,3+counta($F$1:O$1),false)</f>
        <v>-0.3</v>
      </c>
      <c r="P23" s="99">
        <f>$D23-vlookup(Summary!$C23,Summary!$C$2:$Q$103,3+counta($F$1:P$1),false)</f>
        <v>-0.05</v>
      </c>
      <c r="Q23" s="99">
        <f>$D23-vlookup(Summary!$C23,Summary!$C$2:$Q$103,3+counta($F$1:Q$1),false)</f>
        <v>-0.25</v>
      </c>
    </row>
    <row r="24" ht="15.75" customHeight="1">
      <c r="A24" s="15">
        <f>Main!A24</f>
        <v>23</v>
      </c>
      <c r="B24" s="15" t="str">
        <f>Main!B24</f>
        <v>Ghislaine Maxwell will successfully strike a plea deal and reduce her aggregate sentence to no greater than 10 years with parole no greater than 5 years.</v>
      </c>
      <c r="C24" s="15" t="str">
        <f>Main!C24</f>
        <v>Celebrities</v>
      </c>
      <c r="D24" s="106">
        <v>0.2</v>
      </c>
      <c r="F24" s="99">
        <f>$D24-vlookup(Summary!$C24,Summary!$C$2:$Q$103,3+counta($F$1:F$1),false)</f>
        <v>-0.25</v>
      </c>
      <c r="G24" s="99">
        <f>$D24-vlookup(Summary!$C24,Summary!$C$2:$Q$103,3+counta($F$1:G$1),false)</f>
        <v>-0.5</v>
      </c>
      <c r="H24" s="99">
        <f>$D24-vlookup(Summary!$C24,Summary!$C$2:$Q$103,3+counta($F$1:H$1),false)</f>
        <v>-0.5</v>
      </c>
      <c r="I24" s="99">
        <f>$D24-vlookup(Summary!$C24,Summary!$C$2:$Q$103,3+counta($F$1:I$1),false)</f>
        <v>0.1</v>
      </c>
      <c r="J24" s="99">
        <f>$D24-vlookup(Summary!$C24,Summary!$C$2:$Q$103,3+counta($F$1:J$1),false)</f>
        <v>-0.7</v>
      </c>
      <c r="K24" s="99">
        <f>$D24-vlookup(Summary!$C24,Summary!$C$2:$Q$103,3+counta($F$1:K$1),false)</f>
        <v>-0.45</v>
      </c>
      <c r="L24" s="99">
        <f>$D24-vlookup(Summary!$C24,Summary!$C$2:$Q$103,3+counta($F$1:L$1),false)</f>
        <v>0</v>
      </c>
      <c r="M24" s="99">
        <f>$D24-vlookup(Summary!$C24,Summary!$C$2:$Q$103,3+counta($F$1:M$1),false)</f>
        <v>-0.5</v>
      </c>
      <c r="N24" s="99">
        <f>$D24-vlookup(Summary!$C24,Summary!$C$2:$Q$103,3+counta($F$1:N$1),false)</f>
        <v>0.1</v>
      </c>
      <c r="O24" s="99">
        <f>$D24-vlookup(Summary!$C24,Summary!$C$2:$Q$103,3+counta($F$1:O$1),false)</f>
        <v>-0.45</v>
      </c>
      <c r="P24" s="99">
        <f>$D24-vlookup(Summary!$C24,Summary!$C$2:$Q$103,3+counta($F$1:P$1),false)</f>
        <v>-0.5</v>
      </c>
      <c r="Q24" s="99">
        <f>$D24-vlookup(Summary!$C24,Summary!$C$2:$Q$103,3+counta($F$1:Q$1),false)</f>
        <v>-0.3</v>
      </c>
    </row>
    <row r="25" ht="15.75" customHeight="1">
      <c r="A25" s="15">
        <f>Main!A25</f>
        <v>24</v>
      </c>
      <c r="B25" s="15" t="str">
        <f>Main!B25</f>
        <v>Formal criminal charges will be laid against Prince Andrew for sex offenses</v>
      </c>
      <c r="C25" s="15" t="str">
        <f>Main!C25</f>
        <v>Celebrities</v>
      </c>
      <c r="D25" s="106">
        <v>0.15</v>
      </c>
      <c r="F25" s="99">
        <f>$D25-vlookup(Summary!$C25,Summary!$C$2:$Q$103,3+counta($F$1:F$1),false)</f>
        <v>-0.45</v>
      </c>
      <c r="G25" s="99">
        <f>$D25-vlookup(Summary!$C25,Summary!$C$2:$Q$103,3+counta($F$1:G$1),false)</f>
        <v>-0.05</v>
      </c>
      <c r="H25" s="99">
        <f>$D25-vlookup(Summary!$C25,Summary!$C$2:$Q$103,3+counta($F$1:H$1),false)</f>
        <v>-0.55</v>
      </c>
      <c r="I25" s="99">
        <f>$D25-vlookup(Summary!$C25,Summary!$C$2:$Q$103,3+counta($F$1:I$1),false)</f>
        <v>-0.75</v>
      </c>
      <c r="J25" s="99">
        <f>$D25-vlookup(Summary!$C25,Summary!$C$2:$Q$103,3+counta($F$1:J$1),false)</f>
        <v>0.05</v>
      </c>
      <c r="K25" s="99">
        <f>$D25-vlookup(Summary!$C25,Summary!$C$2:$Q$103,3+counta($F$1:K$1),false)</f>
        <v>-0.5</v>
      </c>
      <c r="L25" s="99">
        <f>$D25-vlookup(Summary!$C25,Summary!$C$2:$Q$103,3+counta($F$1:L$1),false)</f>
        <v>0</v>
      </c>
      <c r="M25" s="99">
        <f>$D25-vlookup(Summary!$C25,Summary!$C$2:$Q$103,3+counta($F$1:M$1),false)</f>
        <v>-0.55</v>
      </c>
      <c r="N25" s="99">
        <f>$D25-vlookup(Summary!$C25,Summary!$C$2:$Q$103,3+counta($F$1:N$1),false)</f>
        <v>-0.05</v>
      </c>
      <c r="O25" s="99">
        <f>$D25-vlookup(Summary!$C25,Summary!$C$2:$Q$103,3+counta($F$1:O$1),false)</f>
        <v>0</v>
      </c>
      <c r="P25" s="99">
        <f>$D25-vlookup(Summary!$C25,Summary!$C$2:$Q$103,3+counta($F$1:P$1),false)</f>
        <v>-0.35</v>
      </c>
      <c r="Q25" s="99">
        <f>$D25-vlookup(Summary!$C25,Summary!$C$2:$Q$103,3+counta($F$1:Q$1),false)</f>
        <v>-0.35</v>
      </c>
    </row>
    <row r="26" ht="15.75" customHeight="1">
      <c r="A26" s="15">
        <f>Main!A26</f>
        <v>25</v>
      </c>
      <c r="B26" s="15" t="str">
        <f>Main!B26</f>
        <v>Elizabeth Holmes will be sentenced to no greater than 15 years imprisonment.</v>
      </c>
      <c r="C26" s="15" t="str">
        <f>Main!C26</f>
        <v>Celebrities</v>
      </c>
      <c r="D26" s="106">
        <v>0.7</v>
      </c>
      <c r="F26" s="99">
        <f>$D26-vlookup(Summary!$C26,Summary!$C$2:$Q$103,3+counta($F$1:F$1),false)</f>
        <v>0.1</v>
      </c>
      <c r="G26" s="99">
        <f>$D26-vlookup(Summary!$C26,Summary!$C$2:$Q$103,3+counta($F$1:G$1),false)</f>
        <v>-0.2</v>
      </c>
      <c r="H26" s="99">
        <f>$D26-vlookup(Summary!$C26,Summary!$C$2:$Q$103,3+counta($F$1:H$1),false)</f>
        <v>-0.1</v>
      </c>
      <c r="I26" s="99">
        <f>$D26-vlookup(Summary!$C26,Summary!$C$2:$Q$103,3+counta($F$1:I$1),false)</f>
        <v>0.2</v>
      </c>
      <c r="J26" s="99">
        <f>$D26-vlookup(Summary!$C26,Summary!$C$2:$Q$103,3+counta($F$1:J$1),false)</f>
        <v>-0.2</v>
      </c>
      <c r="K26" s="99">
        <f>$D26-vlookup(Summary!$C26,Summary!$C$2:$Q$103,3+counta($F$1:K$1),false)</f>
        <v>0</v>
      </c>
      <c r="L26" s="99">
        <f>$D26-vlookup(Summary!$C26,Summary!$C$2:$Q$103,3+counta($F$1:L$1),false)</f>
        <v>0</v>
      </c>
      <c r="M26" s="99">
        <f>$D26-vlookup(Summary!$C26,Summary!$C$2:$Q$103,3+counta($F$1:M$1),false)</f>
        <v>-0.1</v>
      </c>
      <c r="N26" s="99">
        <f>$D26-vlookup(Summary!$C26,Summary!$C$2:$Q$103,3+counta($F$1:N$1),false)</f>
        <v>-0.2</v>
      </c>
      <c r="O26" s="99">
        <f>$D26-vlookup(Summary!$C26,Summary!$C$2:$Q$103,3+counta($F$1:O$1),false)</f>
        <v>-0.15</v>
      </c>
      <c r="P26" s="99">
        <f>$D26-vlookup(Summary!$C26,Summary!$C$2:$Q$103,3+counta($F$1:P$1),false)</f>
        <v>0.2</v>
      </c>
      <c r="Q26" s="99">
        <f>$D26-vlookup(Summary!$C26,Summary!$C$2:$Q$103,3+counta($F$1:Q$1),false)</f>
        <v>0</v>
      </c>
    </row>
    <row r="27" ht="15.75" customHeight="1">
      <c r="A27" s="15">
        <f>Main!A27</f>
        <v>26</v>
      </c>
      <c r="B27" s="15" t="str">
        <f>Main!B27</f>
        <v>Meghan and Harry will separate</v>
      </c>
      <c r="C27" s="15" t="str">
        <f>Main!C27</f>
        <v>Celebrities</v>
      </c>
      <c r="D27" s="106">
        <v>0.05</v>
      </c>
      <c r="F27" s="99">
        <f>$D27-vlookup(Summary!$C27,Summary!$C$2:$Q$103,3+counta($F$1:F$1),false)</f>
        <v>-0.15</v>
      </c>
      <c r="G27" s="99">
        <f>$D27-vlookup(Summary!$C27,Summary!$C$2:$Q$103,3+counta($F$1:G$1),false)</f>
        <v>-0.05</v>
      </c>
      <c r="H27" s="99">
        <f>$D27-vlookup(Summary!$C27,Summary!$C$2:$Q$103,3+counta($F$1:H$1),false)</f>
        <v>-0.15</v>
      </c>
      <c r="I27" s="99">
        <f>$D27-vlookup(Summary!$C27,Summary!$C$2:$Q$103,3+counta($F$1:I$1),false)</f>
        <v>-0.05</v>
      </c>
      <c r="J27" s="99">
        <f>$D27-vlookup(Summary!$C27,Summary!$C$2:$Q$103,3+counta($F$1:J$1),false)</f>
        <v>-0.45</v>
      </c>
      <c r="K27" s="99">
        <f>$D27-vlookup(Summary!$C27,Summary!$C$2:$Q$103,3+counta($F$1:K$1),false)</f>
        <v>-0.15</v>
      </c>
      <c r="L27" s="99">
        <f>$D27-vlookup(Summary!$C27,Summary!$C$2:$Q$103,3+counta($F$1:L$1),false)</f>
        <v>0</v>
      </c>
      <c r="M27" s="99">
        <f>$D27-vlookup(Summary!$C27,Summary!$C$2:$Q$103,3+counta($F$1:M$1),false)</f>
        <v>-0.15</v>
      </c>
      <c r="N27" s="99">
        <f>$D27-vlookup(Summary!$C27,Summary!$C$2:$Q$103,3+counta($F$1:N$1),false)</f>
        <v>-0.75</v>
      </c>
      <c r="O27" s="99">
        <f>$D27-vlookup(Summary!$C27,Summary!$C$2:$Q$103,3+counta($F$1:O$1),false)</f>
        <v>-0.1</v>
      </c>
      <c r="P27" s="99">
        <f>$D27-vlookup(Summary!$C27,Summary!$C$2:$Q$103,3+counta($F$1:P$1),false)</f>
        <v>-0.05</v>
      </c>
      <c r="Q27" s="99">
        <f>$D27-vlookup(Summary!$C27,Summary!$C$2:$Q$103,3+counta($F$1:Q$1),false)</f>
        <v>-0.25</v>
      </c>
    </row>
    <row r="28" ht="15.75" customHeight="1">
      <c r="A28" s="15">
        <f>Main!A28</f>
        <v>27</v>
      </c>
      <c r="B28" s="15" t="str">
        <f>Main!B28</f>
        <v>Tom Holland and Zendaya will separate.</v>
      </c>
      <c r="C28" s="15" t="str">
        <f>Main!C28</f>
        <v>Celebrities</v>
      </c>
      <c r="D28" s="106">
        <v>0.2</v>
      </c>
      <c r="F28" s="99">
        <f>$D28-vlookup(Summary!$C28,Summary!$C$2:$Q$103,3+counta($F$1:F$1),false)</f>
        <v>-0.4</v>
      </c>
      <c r="G28" s="99">
        <f>$D28-vlookup(Summary!$C28,Summary!$C$2:$Q$103,3+counta($F$1:G$1),false)</f>
        <v>-0.4</v>
      </c>
      <c r="H28" s="99">
        <f>$D28-vlookup(Summary!$C28,Summary!$C$2:$Q$103,3+counta($F$1:H$1),false)</f>
        <v>0</v>
      </c>
      <c r="I28" s="99">
        <f>$D28-vlookup(Summary!$C28,Summary!$C$2:$Q$103,3+counta($F$1:I$1),false)</f>
        <v>-0.3</v>
      </c>
      <c r="J28" s="99">
        <f>$D28-vlookup(Summary!$C28,Summary!$C$2:$Q$103,3+counta($F$1:J$1),false)</f>
        <v>-0.2</v>
      </c>
      <c r="K28" s="99">
        <f>$D28-vlookup(Summary!$C28,Summary!$C$2:$Q$103,3+counta($F$1:K$1),false)</f>
        <v>-0.45</v>
      </c>
      <c r="L28" s="99">
        <f>$D28-vlookup(Summary!$C28,Summary!$C$2:$Q$103,3+counta($F$1:L$1),false)</f>
        <v>0</v>
      </c>
      <c r="M28" s="99">
        <f>$D28-vlookup(Summary!$C28,Summary!$C$2:$Q$103,3+counta($F$1:M$1),false)</f>
        <v>0</v>
      </c>
      <c r="N28" s="99">
        <f>$D28-vlookup(Summary!$C28,Summary!$C$2:$Q$103,3+counta($F$1:N$1),false)</f>
        <v>-0.7</v>
      </c>
      <c r="O28" s="99">
        <f>$D28-vlookup(Summary!$C28,Summary!$C$2:$Q$103,3+counta($F$1:O$1),false)</f>
        <v>-0.3</v>
      </c>
      <c r="P28" s="99">
        <f>$D28-vlookup(Summary!$C28,Summary!$C$2:$Q$103,3+counta($F$1:P$1),false)</f>
        <v>-0.3</v>
      </c>
      <c r="Q28" s="99">
        <f>$D28-vlookup(Summary!$C28,Summary!$C$2:$Q$103,3+counta($F$1:Q$1),false)</f>
        <v>-0.2</v>
      </c>
    </row>
    <row r="29" ht="15.75" customHeight="1">
      <c r="A29" s="15">
        <f>Main!A29</f>
        <v>28</v>
      </c>
      <c r="B29" s="15" t="str">
        <f>Main!B29</f>
        <v>Donald Trump endorses on social media a movement that is called White Lives Matter</v>
      </c>
      <c r="C29" s="15" t="str">
        <f>Main!C29</f>
        <v>Celebrities</v>
      </c>
      <c r="D29" s="106">
        <v>0.001</v>
      </c>
      <c r="F29" s="99">
        <f>$D29-vlookup(Summary!$C29,Summary!$C$2:$Q$103,3+counta($F$1:F$1),false)</f>
        <v>-0.299</v>
      </c>
      <c r="G29" s="99">
        <f>$D29-vlookup(Summary!$C29,Summary!$C$2:$Q$103,3+counta($F$1:G$1),false)</f>
        <v>-0.299</v>
      </c>
      <c r="H29" s="99">
        <f>$D29-vlookup(Summary!$C29,Summary!$C$2:$Q$103,3+counta($F$1:H$1),false)</f>
        <v>-0.799</v>
      </c>
      <c r="I29" s="99">
        <f>$D29-vlookup(Summary!$C29,Summary!$C$2:$Q$103,3+counta($F$1:I$1),false)</f>
        <v>-0.099</v>
      </c>
      <c r="J29" s="99">
        <f>$D29-vlookup(Summary!$C29,Summary!$C$2:$Q$103,3+counta($F$1:J$1),false)</f>
        <v>-0.899</v>
      </c>
      <c r="K29" s="99">
        <f>$D29-vlookup(Summary!$C29,Summary!$C$2:$Q$103,3+counta($F$1:K$1),false)</f>
        <v>-0.449</v>
      </c>
      <c r="L29" s="99">
        <f>$D29-vlookup(Summary!$C29,Summary!$C$2:$Q$103,3+counta($F$1:L$1),false)</f>
        <v>0</v>
      </c>
      <c r="M29" s="99">
        <f>$D29-vlookup(Summary!$C29,Summary!$C$2:$Q$103,3+counta($F$1:M$1),false)</f>
        <v>-0.799</v>
      </c>
      <c r="N29" s="99">
        <f>$D29-vlookup(Summary!$C29,Summary!$C$2:$Q$103,3+counta($F$1:N$1),false)</f>
        <v>-0.899</v>
      </c>
      <c r="O29" s="99">
        <f>$D29-vlookup(Summary!$C29,Summary!$C$2:$Q$103,3+counta($F$1:O$1),false)</f>
        <v>0</v>
      </c>
      <c r="P29" s="99">
        <f>$D29-vlookup(Summary!$C29,Summary!$C$2:$Q$103,3+counta($F$1:P$1),false)</f>
        <v>-0.099</v>
      </c>
      <c r="Q29" s="99">
        <f>$D29-vlookup(Summary!$C29,Summary!$C$2:$Q$103,3+counta($F$1:Q$1),false)</f>
        <v>-0.549</v>
      </c>
    </row>
    <row r="30" ht="15.75" customHeight="1">
      <c r="A30" s="15">
        <f>Main!A30</f>
        <v>29</v>
      </c>
      <c r="B30" s="15" t="str">
        <f>Main!B30</f>
        <v>Britney Spears returns under conservatorship</v>
      </c>
      <c r="C30" s="15" t="str">
        <f>Main!C30</f>
        <v>Celebrities</v>
      </c>
      <c r="D30" s="106">
        <v>0.05</v>
      </c>
      <c r="F30" s="99">
        <f>$D30-vlookup(Summary!$C30,Summary!$C$2:$Q$103,3+counta($F$1:F$1),false)</f>
        <v>-0.05</v>
      </c>
      <c r="G30" s="99">
        <f>$D30-vlookup(Summary!$C30,Summary!$C$2:$Q$103,3+counta($F$1:G$1),false)</f>
        <v>-0.05</v>
      </c>
      <c r="H30" s="99">
        <f>$D30-vlookup(Summary!$C30,Summary!$C$2:$Q$103,3+counta($F$1:H$1),false)</f>
        <v>0</v>
      </c>
      <c r="I30" s="99">
        <f>$D30-vlookup(Summary!$C30,Summary!$C$2:$Q$103,3+counta($F$1:I$1),false)</f>
        <v>0</v>
      </c>
      <c r="J30" s="99">
        <f>$D30-vlookup(Summary!$C30,Summary!$C$2:$Q$103,3+counta($F$1:J$1),false)</f>
        <v>-0.05</v>
      </c>
      <c r="K30" s="99">
        <f>$D30-vlookup(Summary!$C30,Summary!$C$2:$Q$103,3+counta($F$1:K$1),false)</f>
        <v>0.05</v>
      </c>
      <c r="L30" s="99">
        <f>$D30-vlookup(Summary!$C30,Summary!$C$2:$Q$103,3+counta($F$1:L$1),false)</f>
        <v>0</v>
      </c>
      <c r="M30" s="99">
        <f>$D30-vlookup(Summary!$C30,Summary!$C$2:$Q$103,3+counta($F$1:M$1),false)</f>
        <v>0</v>
      </c>
      <c r="N30" s="99">
        <f>$D30-vlookup(Summary!$C30,Summary!$C$2:$Q$103,3+counta($F$1:N$1),false)</f>
        <v>-0.05</v>
      </c>
      <c r="O30" s="99">
        <f>$D30-vlookup(Summary!$C30,Summary!$C$2:$Q$103,3+counta($F$1:O$1),false)</f>
        <v>0.049</v>
      </c>
      <c r="P30" s="99">
        <f>$D30-vlookup(Summary!$C30,Summary!$C$2:$Q$103,3+counta($F$1:P$1),false)</f>
        <v>-0.05</v>
      </c>
      <c r="Q30" s="99">
        <f>$D30-vlookup(Summary!$C30,Summary!$C$2:$Q$103,3+counta($F$1:Q$1),false)</f>
        <v>-0.45</v>
      </c>
    </row>
    <row r="31" ht="15.75" customHeight="1">
      <c r="A31" s="15">
        <f>Main!A31</f>
        <v>30</v>
      </c>
      <c r="B31" s="15" t="str">
        <f>Main!B31</f>
        <v>Taylor Swift and her partner separate, or announce they're expecting a child</v>
      </c>
      <c r="C31" s="15" t="str">
        <f>Main!C31</f>
        <v>Celebrities</v>
      </c>
      <c r="D31" s="106">
        <v>0.1</v>
      </c>
      <c r="F31" s="99">
        <f>$D31-vlookup(Summary!$C31,Summary!$C$2:$Q$103,3+counta($F$1:F$1),false)</f>
        <v>-0.3</v>
      </c>
      <c r="G31" s="99">
        <f>$D31-vlookup(Summary!$C31,Summary!$C$2:$Q$103,3+counta($F$1:G$1),false)</f>
        <v>-0.2</v>
      </c>
      <c r="H31" s="99">
        <f>$D31-vlookup(Summary!$C31,Summary!$C$2:$Q$103,3+counta($F$1:H$1),false)</f>
        <v>-0.6</v>
      </c>
      <c r="I31" s="99">
        <f>$D31-vlookup(Summary!$C31,Summary!$C$2:$Q$103,3+counta($F$1:I$1),false)</f>
        <v>0</v>
      </c>
      <c r="J31" s="99">
        <f>$D31-vlookup(Summary!$C31,Summary!$C$2:$Q$103,3+counta($F$1:J$1),false)</f>
        <v>-0.6</v>
      </c>
      <c r="K31" s="99">
        <f>$D31-vlookup(Summary!$C31,Summary!$C$2:$Q$103,3+counta($F$1:K$1),false)</f>
        <v>-0.5</v>
      </c>
      <c r="L31" s="99">
        <f>$D31-vlookup(Summary!$C31,Summary!$C$2:$Q$103,3+counta($F$1:L$1),false)</f>
        <v>0</v>
      </c>
      <c r="M31" s="99">
        <f>$D31-vlookup(Summary!$C31,Summary!$C$2:$Q$103,3+counta($F$1:M$1),false)</f>
        <v>-0.6</v>
      </c>
      <c r="N31" s="99">
        <f>$D31-vlookup(Summary!$C31,Summary!$C$2:$Q$103,3+counta($F$1:N$1),false)</f>
        <v>-0.8</v>
      </c>
      <c r="O31" s="99">
        <f>$D31-vlookup(Summary!$C31,Summary!$C$2:$Q$103,3+counta($F$1:O$1),false)</f>
        <v>-0.05</v>
      </c>
      <c r="P31" s="99">
        <f>$D31-vlookup(Summary!$C31,Summary!$C$2:$Q$103,3+counta($F$1:P$1),false)</f>
        <v>-0.4</v>
      </c>
      <c r="Q31" s="99">
        <f>$D31-vlookup(Summary!$C31,Summary!$C$2:$Q$103,3+counta($F$1:Q$1),false)</f>
        <v>-0.1</v>
      </c>
    </row>
    <row r="32" ht="15.75" customHeight="1">
      <c r="A32" s="15">
        <f>Main!A32</f>
        <v>31</v>
      </c>
      <c r="B32" s="15" t="str">
        <f>Main!B32</f>
        <v>Aung San Suu Kyi dies or announces she has a terminal illness (terminal illness including cancer)</v>
      </c>
      <c r="C32" s="15" t="str">
        <f>Main!C32</f>
        <v>Celebrities</v>
      </c>
      <c r="D32" s="106">
        <v>0.2</v>
      </c>
      <c r="F32" s="99">
        <f>$D32-vlookup(Summary!$C32,Summary!$C$2:$Q$103,3+counta($F$1:F$1),false)</f>
        <v>-0.3</v>
      </c>
      <c r="G32" s="99">
        <f>$D32-vlookup(Summary!$C32,Summary!$C$2:$Q$103,3+counta($F$1:G$1),false)</f>
        <v>-0.2</v>
      </c>
      <c r="H32" s="99">
        <f>$D32-vlookup(Summary!$C32,Summary!$C$2:$Q$103,3+counta($F$1:H$1),false)</f>
        <v>-0.3</v>
      </c>
      <c r="I32" s="99">
        <f>$D32-vlookup(Summary!$C32,Summary!$C$2:$Q$103,3+counta($F$1:I$1),false)</f>
        <v>0</v>
      </c>
      <c r="J32" s="99">
        <f>$D32-vlookup(Summary!$C32,Summary!$C$2:$Q$103,3+counta($F$1:J$1),false)</f>
        <v>-0.1</v>
      </c>
      <c r="K32" s="99">
        <f>$D32-vlookup(Summary!$C32,Summary!$C$2:$Q$103,3+counta($F$1:K$1),false)</f>
        <v>-0.25</v>
      </c>
      <c r="L32" s="99">
        <f>$D32-vlookup(Summary!$C32,Summary!$C$2:$Q$103,3+counta($F$1:L$1),false)</f>
        <v>0</v>
      </c>
      <c r="M32" s="99">
        <f>$D32-vlookup(Summary!$C32,Summary!$C$2:$Q$103,3+counta($F$1:M$1),false)</f>
        <v>-0.3</v>
      </c>
      <c r="N32" s="99">
        <f>$D32-vlookup(Summary!$C32,Summary!$C$2:$Q$103,3+counta($F$1:N$1),false)</f>
        <v>0.1</v>
      </c>
      <c r="O32" s="99">
        <f>$D32-vlookup(Summary!$C32,Summary!$C$2:$Q$103,3+counta($F$1:O$1),false)</f>
        <v>-0.15</v>
      </c>
      <c r="P32" s="99">
        <f>$D32-vlookup(Summary!$C32,Summary!$C$2:$Q$103,3+counta($F$1:P$1),false)</f>
        <v>0.1</v>
      </c>
      <c r="Q32" s="99">
        <f>$D32-vlookup(Summary!$C32,Summary!$C$2:$Q$103,3+counta($F$1:Q$1),false)</f>
        <v>-0.3</v>
      </c>
    </row>
    <row r="33" ht="15.75" customHeight="1">
      <c r="A33" s="15">
        <f>Main!A33</f>
        <v>32</v>
      </c>
      <c r="B33" s="15" t="str">
        <f>Main!B33</f>
        <v>Henry Cavill marries</v>
      </c>
      <c r="C33" s="15" t="str">
        <f>Main!C33</f>
        <v>Celebrities</v>
      </c>
      <c r="D33" s="106">
        <v>0.2</v>
      </c>
      <c r="F33" s="99">
        <f>$D33-vlookup(Summary!$C33,Summary!$C$2:$Q$103,3+counta($F$1:F$1),false)</f>
        <v>-0.35</v>
      </c>
      <c r="G33" s="99">
        <f>$D33-vlookup(Summary!$C33,Summary!$C$2:$Q$103,3+counta($F$1:G$1),false)</f>
        <v>-0.4</v>
      </c>
      <c r="H33" s="99">
        <f>$D33-vlookup(Summary!$C33,Summary!$C$2:$Q$103,3+counta($F$1:H$1),false)</f>
        <v>0.1</v>
      </c>
      <c r="I33" s="99">
        <f>$D33-vlookup(Summary!$C33,Summary!$C$2:$Q$103,3+counta($F$1:I$1),false)</f>
        <v>0</v>
      </c>
      <c r="J33" s="99">
        <f>$D33-vlookup(Summary!$C33,Summary!$C$2:$Q$103,3+counta($F$1:J$1),false)</f>
        <v>-0.2</v>
      </c>
      <c r="K33" s="99">
        <f>$D33-vlookup(Summary!$C33,Summary!$C$2:$Q$103,3+counta($F$1:K$1),false)</f>
        <v>-0.3</v>
      </c>
      <c r="L33" s="99">
        <f>$D33-vlookup(Summary!$C33,Summary!$C$2:$Q$103,3+counta($F$1:L$1),false)</f>
        <v>0</v>
      </c>
      <c r="M33" s="99">
        <f>$D33-vlookup(Summary!$C33,Summary!$C$2:$Q$103,3+counta($F$1:M$1),false)</f>
        <v>0.1</v>
      </c>
      <c r="N33" s="99">
        <f>$D33-vlookup(Summary!$C33,Summary!$C$2:$Q$103,3+counta($F$1:N$1),false)</f>
        <v>-0.3</v>
      </c>
      <c r="O33" s="99">
        <f>$D33-vlookup(Summary!$C33,Summary!$C$2:$Q$103,3+counta($F$1:O$1),false)</f>
        <v>0.05</v>
      </c>
      <c r="P33" s="99">
        <f>$D33-vlookup(Summary!$C33,Summary!$C$2:$Q$103,3+counta($F$1:P$1),false)</f>
        <v>-0.3</v>
      </c>
      <c r="Q33" s="99">
        <f>$D33-vlookup(Summary!$C33,Summary!$C$2:$Q$103,3+counta($F$1:Q$1),false)</f>
        <v>-0.2</v>
      </c>
    </row>
    <row r="34" ht="15.75" customHeight="1">
      <c r="A34" s="15">
        <f>Main!A34</f>
        <v>33</v>
      </c>
      <c r="B34" s="15" t="str">
        <f>Main!B34</f>
        <v>Daily COVID cases in Australia will reach 150,000 at least once</v>
      </c>
      <c r="C34" s="15" t="str">
        <f>Main!C34</f>
        <v>Covid</v>
      </c>
      <c r="D34" s="106">
        <v>0.05</v>
      </c>
      <c r="F34" s="99">
        <f>$D34-vlookup(Summary!$C34,Summary!$C$2:$Q$103,3+counta($F$1:F$1),false)</f>
        <v>-0.05</v>
      </c>
      <c r="G34" s="99">
        <f>$D34-vlookup(Summary!$C34,Summary!$C$2:$Q$103,3+counta($F$1:G$1),false)</f>
        <v>-0.15</v>
      </c>
      <c r="H34" s="99">
        <f>$D34-vlookup(Summary!$C34,Summary!$C$2:$Q$103,3+counta($F$1:H$1),false)</f>
        <v>0.04</v>
      </c>
      <c r="I34" s="99">
        <f>$D34-vlookup(Summary!$C34,Summary!$C$2:$Q$103,3+counta($F$1:I$1),false)</f>
        <v>-0.05</v>
      </c>
      <c r="J34" s="99">
        <f>$D34-vlookup(Summary!$C34,Summary!$C$2:$Q$103,3+counta($F$1:J$1),false)</f>
        <v>-0.85</v>
      </c>
      <c r="K34" s="99">
        <f>$D34-vlookup(Summary!$C34,Summary!$C$2:$Q$103,3+counta($F$1:K$1),false)</f>
        <v>-0.55</v>
      </c>
      <c r="L34" s="99">
        <f>$D34-vlookup(Summary!$C34,Summary!$C$2:$Q$103,3+counta($F$1:L$1),false)</f>
        <v>0</v>
      </c>
      <c r="M34" s="99">
        <f>$D34-vlookup(Summary!$C34,Summary!$C$2:$Q$103,3+counta($F$1:M$1),false)</f>
        <v>0.04</v>
      </c>
      <c r="N34" s="99">
        <f>$D34-vlookup(Summary!$C34,Summary!$C$2:$Q$103,3+counta($F$1:N$1),false)</f>
        <v>-0.35</v>
      </c>
      <c r="O34" s="99">
        <f>$D34-vlookup(Summary!$C34,Summary!$C$2:$Q$103,3+counta($F$1:O$1),false)</f>
        <v>-0.1</v>
      </c>
      <c r="P34" s="99">
        <f>$D34-vlookup(Summary!$C34,Summary!$C$2:$Q$103,3+counta($F$1:P$1),false)</f>
        <v>-0.85</v>
      </c>
      <c r="Q34" s="99">
        <f>$D34-vlookup(Summary!$C34,Summary!$C$2:$Q$103,3+counta($F$1:Q$1),false)</f>
        <v>-0.85</v>
      </c>
    </row>
    <row r="35" ht="15.75" customHeight="1">
      <c r="A35" s="15">
        <f>Main!A35</f>
        <v>34</v>
      </c>
      <c r="B35" s="15" t="str">
        <f>Main!B35</f>
        <v>More deaths will be attributed to Omicron by the WHO than all other covid variants combined</v>
      </c>
      <c r="C35" s="15" t="str">
        <f>Main!C35</f>
        <v>Covid</v>
      </c>
      <c r="D35" s="106">
        <v>0.001</v>
      </c>
      <c r="F35" s="99">
        <f>$D35-vlookup(Summary!$C35,Summary!$C$2:$Q$103,3+counta($F$1:F$1),false)</f>
        <v>-0.299</v>
      </c>
      <c r="G35" s="99">
        <f>$D35-vlookup(Summary!$C35,Summary!$C$2:$Q$103,3+counta($F$1:G$1),false)</f>
        <v>-0.099</v>
      </c>
      <c r="H35" s="99">
        <f>$D35-vlookup(Summary!$C35,Summary!$C$2:$Q$103,3+counta($F$1:H$1),false)</f>
        <v>-0.799</v>
      </c>
      <c r="I35" s="99">
        <f>$D35-vlookup(Summary!$C35,Summary!$C$2:$Q$103,3+counta($F$1:I$1),false)</f>
        <v>-0.099</v>
      </c>
      <c r="J35" s="99">
        <f>$D35-vlookup(Summary!$C35,Summary!$C$2:$Q$103,3+counta($F$1:J$1),false)</f>
        <v>-0.399</v>
      </c>
      <c r="K35" s="99">
        <f>$D35-vlookup(Summary!$C35,Summary!$C$2:$Q$103,3+counta($F$1:K$1),false)</f>
        <v>-0.749</v>
      </c>
      <c r="L35" s="99">
        <f>$D35-vlookup(Summary!$C35,Summary!$C$2:$Q$103,3+counta($F$1:L$1),false)</f>
        <v>0</v>
      </c>
      <c r="M35" s="99">
        <f>$D35-vlookup(Summary!$C35,Summary!$C$2:$Q$103,3+counta($F$1:M$1),false)</f>
        <v>-0.799</v>
      </c>
      <c r="N35" s="99">
        <f>$D35-vlookup(Summary!$C35,Summary!$C$2:$Q$103,3+counta($F$1:N$1),false)</f>
        <v>-0.299</v>
      </c>
      <c r="O35" s="99">
        <f>$D35-vlookup(Summary!$C35,Summary!$C$2:$Q$103,3+counta($F$1:O$1),false)</f>
        <v>-0.849</v>
      </c>
      <c r="P35" s="99">
        <f>$D35-vlookup(Summary!$C35,Summary!$C$2:$Q$103,3+counta($F$1:P$1),false)</f>
        <v>-0.499</v>
      </c>
      <c r="Q35" s="99">
        <f>$D35-vlookup(Summary!$C35,Summary!$C$2:$Q$103,3+counta($F$1:Q$1),false)</f>
        <v>-0.699</v>
      </c>
    </row>
    <row r="36" ht="15.75" customHeight="1">
      <c r="A36" s="15">
        <f>Main!A36</f>
        <v>35</v>
      </c>
      <c r="B36" s="15" t="str">
        <f>Main!B36</f>
        <v>The average number of covid vaccinations per person amongst members of Xmas eve 2022 will be &gt; 3</v>
      </c>
      <c r="C36" s="15" t="str">
        <f>Main!C36</f>
        <v>Covid</v>
      </c>
      <c r="D36" s="106">
        <v>0.999</v>
      </c>
      <c r="F36" s="99">
        <f>$D36-vlookup(Summary!$C36,Summary!$C$2:$Q$103,3+counta($F$1:F$1),false)</f>
        <v>0.199</v>
      </c>
      <c r="G36" s="99">
        <f>$D36-vlookup(Summary!$C36,Summary!$C$2:$Q$103,3+counta($F$1:G$1),false)</f>
        <v>0.099</v>
      </c>
      <c r="H36" s="99">
        <f>$D36-vlookup(Summary!$C36,Summary!$C$2:$Q$103,3+counta($F$1:H$1),false)</f>
        <v>0.099</v>
      </c>
      <c r="I36" s="99">
        <f>$D36-vlookup(Summary!$C36,Summary!$C$2:$Q$103,3+counta($F$1:I$1),false)</f>
        <v>0.499</v>
      </c>
      <c r="J36" s="99">
        <f>$D36-vlookup(Summary!$C36,Summary!$C$2:$Q$103,3+counta($F$1:J$1),false)</f>
        <v>0.599</v>
      </c>
      <c r="K36" s="99">
        <f>$D36-vlookup(Summary!$C36,Summary!$C$2:$Q$103,3+counta($F$1:K$1),false)</f>
        <v>0.199</v>
      </c>
      <c r="L36" s="99">
        <f>$D36-vlookup(Summary!$C36,Summary!$C$2:$Q$103,3+counta($F$1:L$1),false)</f>
        <v>0</v>
      </c>
      <c r="M36" s="99">
        <f>$D36-vlookup(Summary!$C36,Summary!$C$2:$Q$103,3+counta($F$1:M$1),false)</f>
        <v>0.099</v>
      </c>
      <c r="N36" s="99">
        <f>$D36-vlookup(Summary!$C36,Summary!$C$2:$Q$103,3+counta($F$1:N$1),false)</f>
        <v>0.099</v>
      </c>
      <c r="O36" s="99">
        <f>$D36-vlookup(Summary!$C36,Summary!$C$2:$Q$103,3+counta($F$1:O$1),false)</f>
        <v>0.149</v>
      </c>
      <c r="P36" s="99">
        <f>$D36-vlookup(Summary!$C36,Summary!$C$2:$Q$103,3+counta($F$1:P$1),false)</f>
        <v>0.099</v>
      </c>
      <c r="Q36" s="99">
        <f>$D36-vlookup(Summary!$C36,Summary!$C$2:$Q$103,3+counta($F$1:Q$1),false)</f>
        <v>0.599</v>
      </c>
    </row>
    <row r="37" ht="15.75" customHeight="1">
      <c r="A37" s="15">
        <f>Main!A37</f>
        <v>36</v>
      </c>
      <c r="B37" s="15" t="str">
        <f>Main!B37</f>
        <v>2 new variants of Covid will be invented/discovered during 2022</v>
      </c>
      <c r="C37" s="15" t="str">
        <f>Main!C37</f>
        <v>Covid</v>
      </c>
      <c r="D37" s="106">
        <v>0.001</v>
      </c>
      <c r="F37" s="99">
        <f>$D37-vlookup(Summary!$C37,Summary!$C$2:$Q$103,3+counta($F$1:F$1),false)</f>
        <v>-0.299</v>
      </c>
      <c r="G37" s="99">
        <f>$D37-vlookup(Summary!$C37,Summary!$C$2:$Q$103,3+counta($F$1:G$1),false)</f>
        <v>-0.299</v>
      </c>
      <c r="H37" s="99">
        <f>$D37-vlookup(Summary!$C37,Summary!$C$2:$Q$103,3+counta($F$1:H$1),false)</f>
        <v>-0.799</v>
      </c>
      <c r="I37" s="99">
        <f>$D37-vlookup(Summary!$C37,Summary!$C$2:$Q$103,3+counta($F$1:I$1),false)</f>
        <v>-0.299</v>
      </c>
      <c r="J37" s="99">
        <f>$D37-vlookup(Summary!$C37,Summary!$C$2:$Q$103,3+counta($F$1:J$1),false)</f>
        <v>-0.899</v>
      </c>
      <c r="K37" s="99">
        <f>$D37-vlookup(Summary!$C37,Summary!$C$2:$Q$103,3+counta($F$1:K$1),false)</f>
        <v>-0.849</v>
      </c>
      <c r="L37" s="99">
        <f>$D37-vlookup(Summary!$C37,Summary!$C$2:$Q$103,3+counta($F$1:L$1),false)</f>
        <v>0</v>
      </c>
      <c r="M37" s="99">
        <f>$D37-vlookup(Summary!$C37,Summary!$C$2:$Q$103,3+counta($F$1:M$1),false)</f>
        <v>-0.799</v>
      </c>
      <c r="N37" s="99">
        <f>$D37-vlookup(Summary!$C37,Summary!$C$2:$Q$103,3+counta($F$1:N$1),false)</f>
        <v>-0.899</v>
      </c>
      <c r="O37" s="99">
        <f>$D37-vlookup(Summary!$C37,Summary!$C$2:$Q$103,3+counta($F$1:O$1),false)</f>
        <v>-0.349</v>
      </c>
      <c r="P37" s="99">
        <f>$D37-vlookup(Summary!$C37,Summary!$C$2:$Q$103,3+counta($F$1:P$1),false)</f>
        <v>-0.899</v>
      </c>
      <c r="Q37" s="99">
        <f>$D37-vlookup(Summary!$C37,Summary!$C$2:$Q$103,3+counta($F$1:Q$1),false)</f>
        <v>-0.399</v>
      </c>
    </row>
    <row r="38" ht="15.75" customHeight="1">
      <c r="A38" s="15">
        <f>Main!A38</f>
        <v>37</v>
      </c>
      <c r="B38" s="15" t="str">
        <f>Main!B38</f>
        <v>Tasmania will have experienced at least 10,000 new cases in 1 day</v>
      </c>
      <c r="C38" s="15" t="str">
        <f>Main!C38</f>
        <v>Covid</v>
      </c>
      <c r="D38" s="106">
        <v>0.001</v>
      </c>
      <c r="F38" s="99">
        <f>$D38-vlookup(Summary!$C38,Summary!$C$2:$Q$103,3+counta($F$1:F$1),false)</f>
        <v>-0.149</v>
      </c>
      <c r="G38" s="99">
        <f>$D38-vlookup(Summary!$C38,Summary!$C$2:$Q$103,3+counta($F$1:G$1),false)</f>
        <v>-0.099</v>
      </c>
      <c r="H38" s="99">
        <f>$D38-vlookup(Summary!$C38,Summary!$C$2:$Q$103,3+counta($F$1:H$1),false)</f>
        <v>-0.049</v>
      </c>
      <c r="I38" s="99">
        <f>$D38-vlookup(Summary!$C38,Summary!$C$2:$Q$103,3+counta($F$1:I$1),false)</f>
        <v>-0.099</v>
      </c>
      <c r="J38" s="99">
        <f>$D38-vlookup(Summary!$C38,Summary!$C$2:$Q$103,3+counta($F$1:J$1),false)</f>
        <v>-0.299</v>
      </c>
      <c r="K38" s="99">
        <f>$D38-vlookup(Summary!$C38,Summary!$C$2:$Q$103,3+counta($F$1:K$1),false)</f>
        <v>-0.449</v>
      </c>
      <c r="L38" s="99">
        <f>$D38-vlookup(Summary!$C38,Summary!$C$2:$Q$103,3+counta($F$1:L$1),false)</f>
        <v>0</v>
      </c>
      <c r="M38" s="99">
        <f>$D38-vlookup(Summary!$C38,Summary!$C$2:$Q$103,3+counta($F$1:M$1),false)</f>
        <v>-0.019</v>
      </c>
      <c r="N38" s="99">
        <f>$D38-vlookup(Summary!$C38,Summary!$C$2:$Q$103,3+counta($F$1:N$1),false)</f>
        <v>-0.099</v>
      </c>
      <c r="O38" s="99">
        <f>$D38-vlookup(Summary!$C38,Summary!$C$2:$Q$103,3+counta($F$1:O$1),false)</f>
        <v>0</v>
      </c>
      <c r="P38" s="99">
        <f>$D38-vlookup(Summary!$C38,Summary!$C$2:$Q$103,3+counta($F$1:P$1),false)</f>
        <v>-0.499</v>
      </c>
      <c r="Q38" s="99">
        <f>$D38-vlookup(Summary!$C38,Summary!$C$2:$Q$103,3+counta($F$1:Q$1),false)</f>
        <v>-0.549</v>
      </c>
    </row>
    <row r="39" ht="15.75" customHeight="1">
      <c r="A39" s="15">
        <f>Main!A39</f>
        <v>38</v>
      </c>
      <c r="B39" s="15" t="str">
        <f>Main!B39</f>
        <v>WHO switches to another alphabet than the Greek alphabet for Covid variants</v>
      </c>
      <c r="C39" s="15" t="str">
        <f>Main!C39</f>
        <v>Covid</v>
      </c>
      <c r="D39" s="106">
        <v>0.5</v>
      </c>
      <c r="F39" s="99">
        <f>$D39-vlookup(Summary!$C39,Summary!$C$2:$Q$103,3+counta($F$1:F$1),false)</f>
        <v>0.05</v>
      </c>
      <c r="G39" s="99">
        <f>$D39-vlookup(Summary!$C39,Summary!$C$2:$Q$103,3+counta($F$1:G$1),false)</f>
        <v>-0.3</v>
      </c>
      <c r="H39" s="99">
        <f>$D39-vlookup(Summary!$C39,Summary!$C$2:$Q$103,3+counta($F$1:H$1),false)</f>
        <v>0.3</v>
      </c>
      <c r="I39" s="99">
        <f>$D39-vlookup(Summary!$C39,Summary!$C$2:$Q$103,3+counta($F$1:I$1),false)</f>
        <v>0.4</v>
      </c>
      <c r="J39" s="99">
        <f>$D39-vlookup(Summary!$C39,Summary!$C$2:$Q$103,3+counta($F$1:J$1),false)</f>
        <v>0</v>
      </c>
      <c r="K39" s="99">
        <f>$D39-vlookup(Summary!$C39,Summary!$C$2:$Q$103,3+counta($F$1:K$1),false)</f>
        <v>-0.4</v>
      </c>
      <c r="L39" s="99">
        <f>$D39-vlookup(Summary!$C39,Summary!$C$2:$Q$103,3+counta($F$1:L$1),false)</f>
        <v>0</v>
      </c>
      <c r="M39" s="99">
        <f>$D39-vlookup(Summary!$C39,Summary!$C$2:$Q$103,3+counta($F$1:M$1),false)</f>
        <v>0.3</v>
      </c>
      <c r="N39" s="99">
        <f>$D39-vlookup(Summary!$C39,Summary!$C$2:$Q$103,3+counta($F$1:N$1),false)</f>
        <v>-0.4</v>
      </c>
      <c r="O39" s="99">
        <f>$D39-vlookup(Summary!$C39,Summary!$C$2:$Q$103,3+counta($F$1:O$1),false)</f>
        <v>0.35</v>
      </c>
      <c r="P39" s="99">
        <f>$D39-vlookup(Summary!$C39,Summary!$C$2:$Q$103,3+counta($F$1:P$1),false)</f>
        <v>0.4</v>
      </c>
      <c r="Q39" s="99">
        <f>$D39-vlookup(Summary!$C39,Summary!$C$2:$Q$103,3+counta($F$1:Q$1),false)</f>
        <v>0.15</v>
      </c>
    </row>
    <row r="40" ht="15.75" customHeight="1">
      <c r="A40" s="15">
        <f>Main!A40</f>
        <v>39</v>
      </c>
      <c r="B40" s="15" t="str">
        <f>Main!B40</f>
        <v>Lachy and Jac's extension will be completed</v>
      </c>
      <c r="C40" s="15" t="str">
        <f>Main!C40</f>
        <v>Family</v>
      </c>
      <c r="D40" s="106">
        <v>0.5</v>
      </c>
      <c r="F40" s="99">
        <f>$D40-vlookup(Summary!$C40,Summary!$C$2:$Q$103,3+counta($F$1:F$1),false)</f>
        <v>-0.2</v>
      </c>
      <c r="G40" s="99">
        <f>$D40-vlookup(Summary!$C40,Summary!$C$2:$Q$103,3+counta($F$1:G$1),false)</f>
        <v>-0.3</v>
      </c>
      <c r="H40" s="99">
        <f>$D40-vlookup(Summary!$C40,Summary!$C$2:$Q$103,3+counta($F$1:H$1),false)</f>
        <v>0.4</v>
      </c>
      <c r="I40" s="99">
        <f>$D40-vlookup(Summary!$C40,Summary!$C$2:$Q$103,3+counta($F$1:I$1),false)</f>
        <v>0</v>
      </c>
      <c r="J40" s="99">
        <f>$D40-vlookup(Summary!$C40,Summary!$C$2:$Q$103,3+counta($F$1:J$1),false)</f>
        <v>-0.3</v>
      </c>
      <c r="K40" s="99">
        <f>$D40-vlookup(Summary!$C40,Summary!$C$2:$Q$103,3+counta($F$1:K$1),false)</f>
        <v>0.1</v>
      </c>
      <c r="L40" s="99">
        <f>$D40-vlookup(Summary!$C40,Summary!$C$2:$Q$103,3+counta($F$1:L$1),false)</f>
        <v>0</v>
      </c>
      <c r="M40" s="99">
        <f>$D40-vlookup(Summary!$C40,Summary!$C$2:$Q$103,3+counta($F$1:M$1),false)</f>
        <v>0.5</v>
      </c>
      <c r="N40" s="99">
        <f>$D40-vlookup(Summary!$C40,Summary!$C$2:$Q$103,3+counta($F$1:N$1),false)</f>
        <v>-0.4</v>
      </c>
      <c r="O40" s="99">
        <f>$D40-vlookup(Summary!$C40,Summary!$C$2:$Q$103,3+counta($F$1:O$1),false)</f>
        <v>-0.35</v>
      </c>
      <c r="P40" s="99">
        <f>$D40-vlookup(Summary!$C40,Summary!$C$2:$Q$103,3+counta($F$1:P$1),false)</f>
        <v>0</v>
      </c>
      <c r="Q40" s="99">
        <f>$D40-vlookup(Summary!$C40,Summary!$C$2:$Q$103,3+counta($F$1:Q$1),false)</f>
        <v>0.35</v>
      </c>
    </row>
    <row r="41" ht="15.75" customHeight="1">
      <c r="A41" s="15">
        <f>Main!A41</f>
        <v>40</v>
      </c>
      <c r="B41" s="15" t="str">
        <f>Main!B41</f>
        <v>Rohan will work for two different employers (not his own family members)</v>
      </c>
      <c r="C41" s="15" t="str">
        <f>Main!C41</f>
        <v>Family</v>
      </c>
      <c r="D41" s="106">
        <v>0.3</v>
      </c>
      <c r="F41" s="99">
        <f>$D41-vlookup(Summary!$C41,Summary!$C$2:$Q$103,3+counta($F$1:F$1),false)</f>
        <v>-0.1</v>
      </c>
      <c r="G41" s="99">
        <f>$D41-vlookup(Summary!$C41,Summary!$C$2:$Q$103,3+counta($F$1:G$1),false)</f>
        <v>-0.3</v>
      </c>
      <c r="H41" s="99">
        <f>$D41-vlookup(Summary!$C41,Summary!$C$2:$Q$103,3+counta($F$1:H$1),false)</f>
        <v>0.2</v>
      </c>
      <c r="I41" s="99">
        <f>$D41-vlookup(Summary!$C41,Summary!$C$2:$Q$103,3+counta($F$1:I$1),false)</f>
        <v>0</v>
      </c>
      <c r="J41" s="99">
        <f>$D41-vlookup(Summary!$C41,Summary!$C$2:$Q$103,3+counta($F$1:J$1),false)</f>
        <v>-0.2</v>
      </c>
      <c r="K41" s="99">
        <f>$D41-vlookup(Summary!$C41,Summary!$C$2:$Q$103,3+counta($F$1:K$1),false)</f>
        <v>0</v>
      </c>
      <c r="L41" s="99">
        <f>$D41-vlookup(Summary!$C41,Summary!$C$2:$Q$103,3+counta($F$1:L$1),false)</f>
        <v>0</v>
      </c>
      <c r="M41" s="99">
        <f>$D41-vlookup(Summary!$C41,Summary!$C$2:$Q$103,3+counta($F$1:M$1),false)</f>
        <v>0.2</v>
      </c>
      <c r="N41" s="99">
        <f>$D41-vlookup(Summary!$C41,Summary!$C$2:$Q$103,3+counta($F$1:N$1),false)</f>
        <v>-0.3</v>
      </c>
      <c r="O41" s="99">
        <f>$D41-vlookup(Summary!$C41,Summary!$C$2:$Q$103,3+counta($F$1:O$1),false)</f>
        <v>0.15</v>
      </c>
      <c r="P41" s="99">
        <f>$D41-vlookup(Summary!$C41,Summary!$C$2:$Q$103,3+counta($F$1:P$1),false)</f>
        <v>-0.2</v>
      </c>
      <c r="Q41" s="99">
        <f>$D41-vlookup(Summary!$C41,Summary!$C$2:$Q$103,3+counta($F$1:Q$1),false)</f>
        <v>0</v>
      </c>
    </row>
    <row r="42" ht="15.75" customHeight="1">
      <c r="A42" s="15">
        <f>Main!A42</f>
        <v>41</v>
      </c>
      <c r="B42" s="15" t="str">
        <f>Main!B42</f>
        <v>Kate will swim the Broulee Bay to Breakers in March 2022 and improve her position from 9th in the 40s women’s age group</v>
      </c>
      <c r="C42" s="15" t="str">
        <f>Main!C42</f>
        <v>Family</v>
      </c>
      <c r="D42" s="106">
        <v>0.6</v>
      </c>
      <c r="F42" s="99">
        <f>$D42-vlookup(Summary!$C42,Summary!$C$2:$Q$103,3+counta($F$1:F$1),false)</f>
        <v>0</v>
      </c>
      <c r="G42" s="99">
        <f>$D42-vlookup(Summary!$C42,Summary!$C$2:$Q$103,3+counta($F$1:G$1),false)</f>
        <v>-0.2</v>
      </c>
      <c r="H42" s="99">
        <f>$D42-vlookup(Summary!$C42,Summary!$C$2:$Q$103,3+counta($F$1:H$1),false)</f>
        <v>-0.3</v>
      </c>
      <c r="I42" s="99">
        <f>$D42-vlookup(Summary!$C42,Summary!$C$2:$Q$103,3+counta($F$1:I$1),false)</f>
        <v>0.1</v>
      </c>
      <c r="J42" s="99">
        <f>$D42-vlookup(Summary!$C42,Summary!$C$2:$Q$103,3+counta($F$1:J$1),false)</f>
        <v>-0.3</v>
      </c>
      <c r="K42" s="99">
        <f>$D42-vlookup(Summary!$C42,Summary!$C$2:$Q$103,3+counta($F$1:K$1),false)</f>
        <v>-0.1</v>
      </c>
      <c r="L42" s="99">
        <f>$D42-vlookup(Summary!$C42,Summary!$C$2:$Q$103,3+counta($F$1:L$1),false)</f>
        <v>0</v>
      </c>
      <c r="M42" s="99">
        <f>$D42-vlookup(Summary!$C42,Summary!$C$2:$Q$103,3+counta($F$1:M$1),false)</f>
        <v>-0.3</v>
      </c>
      <c r="N42" s="99">
        <f>$D42-vlookup(Summary!$C42,Summary!$C$2:$Q$103,3+counta($F$1:N$1),false)</f>
        <v>0.4</v>
      </c>
      <c r="O42" s="99">
        <f>$D42-vlookup(Summary!$C42,Summary!$C$2:$Q$103,3+counta($F$1:O$1),false)</f>
        <v>-0.25</v>
      </c>
      <c r="P42" s="99">
        <f>$D42-vlookup(Summary!$C42,Summary!$C$2:$Q$103,3+counta($F$1:P$1),false)</f>
        <v>-0.3</v>
      </c>
      <c r="Q42" s="99">
        <f>$D42-vlookup(Summary!$C42,Summary!$C$2:$Q$103,3+counta($F$1:Q$1),false)</f>
        <v>0.1</v>
      </c>
    </row>
    <row r="43" ht="15.75" customHeight="1">
      <c r="A43" s="15">
        <f>Main!A43</f>
        <v>42</v>
      </c>
      <c r="B43" s="15" t="str">
        <f>Main!B43</f>
        <v>Rohan will be at least 6ft tall</v>
      </c>
      <c r="C43" s="15" t="str">
        <f>Main!C43</f>
        <v>Family</v>
      </c>
      <c r="D43" s="106">
        <v>0.99999</v>
      </c>
      <c r="F43" s="99">
        <f>$D43-vlookup(Summary!$C43,Summary!$C$2:$Q$103,3+counta($F$1:F$1),false)</f>
        <v>0.49999</v>
      </c>
      <c r="G43" s="99">
        <f>$D43-vlookup(Summary!$C43,Summary!$C$2:$Q$103,3+counta($F$1:G$1),false)</f>
        <v>0.09999</v>
      </c>
      <c r="H43" s="99">
        <f>$D43-vlookup(Summary!$C43,Summary!$C$2:$Q$103,3+counta($F$1:H$1),false)</f>
        <v>0.09999</v>
      </c>
      <c r="I43" s="99">
        <f>$D43-vlookup(Summary!$C43,Summary!$C$2:$Q$103,3+counta($F$1:I$1),false)</f>
        <v>0.59999</v>
      </c>
      <c r="J43" s="99">
        <f>$D43-vlookup(Summary!$C43,Summary!$C$2:$Q$103,3+counta($F$1:J$1),false)</f>
        <v>0.09999</v>
      </c>
      <c r="K43" s="99">
        <f>$D43-vlookup(Summary!$C43,Summary!$C$2:$Q$103,3+counta($F$1:K$1),false)</f>
        <v>0.99899</v>
      </c>
      <c r="L43" s="99">
        <f>$D43-vlookup(Summary!$C43,Summary!$C$2:$Q$103,3+counta($F$1:L$1),false)</f>
        <v>0</v>
      </c>
      <c r="M43" s="99">
        <f>$D43-vlookup(Summary!$C43,Summary!$C$2:$Q$103,3+counta($F$1:M$1),false)</f>
        <v>0.09999</v>
      </c>
      <c r="N43" s="99">
        <f>$D43-vlookup(Summary!$C43,Summary!$C$2:$Q$103,3+counta($F$1:N$1),false)</f>
        <v>0.09999</v>
      </c>
      <c r="O43" s="99">
        <f>$D43-vlookup(Summary!$C43,Summary!$C$2:$Q$103,3+counta($F$1:O$1),false)</f>
        <v>0.00099</v>
      </c>
      <c r="P43" s="99">
        <f>$D43-vlookup(Summary!$C43,Summary!$C$2:$Q$103,3+counta($F$1:P$1),false)</f>
        <v>0.09999</v>
      </c>
      <c r="Q43" s="99">
        <f>$D43-vlookup(Summary!$C43,Summary!$C$2:$Q$103,3+counta($F$1:Q$1),false)</f>
        <v>0.00999</v>
      </c>
    </row>
    <row r="44" ht="15.75" customHeight="1">
      <c r="A44" s="15">
        <f>Main!A44</f>
        <v>43</v>
      </c>
      <c r="B44" s="15" t="str">
        <f>Main!B44</f>
        <v>A participant in the prediction game will get a dog or another dog </v>
      </c>
      <c r="C44" s="15" t="str">
        <f>Main!C44</f>
        <v>Family</v>
      </c>
      <c r="D44" s="106">
        <v>0.2</v>
      </c>
      <c r="F44" s="99">
        <f>$D44-vlookup(Summary!$C44,Summary!$C$2:$Q$103,3+counta($F$1:F$1),false)</f>
        <v>-0.3</v>
      </c>
      <c r="G44" s="99">
        <f>$D44-vlookup(Summary!$C44,Summary!$C$2:$Q$103,3+counta($F$1:G$1),false)</f>
        <v>-0.75</v>
      </c>
      <c r="H44" s="99">
        <f>$D44-vlookup(Summary!$C44,Summary!$C$2:$Q$103,3+counta($F$1:H$1),false)</f>
        <v>0.1</v>
      </c>
      <c r="I44" s="99">
        <f>$D44-vlookup(Summary!$C44,Summary!$C$2:$Q$103,3+counta($F$1:I$1),false)</f>
        <v>0.1</v>
      </c>
      <c r="J44" s="99">
        <f>$D44-vlookup(Summary!$C44,Summary!$C$2:$Q$103,3+counta($F$1:J$1),false)</f>
        <v>-0.7</v>
      </c>
      <c r="K44" s="99">
        <f>$D44-vlookup(Summary!$C44,Summary!$C$2:$Q$103,3+counta($F$1:K$1),false)</f>
        <v>-0.55</v>
      </c>
      <c r="L44" s="99">
        <f>$D44-vlookup(Summary!$C44,Summary!$C$2:$Q$103,3+counta($F$1:L$1),false)</f>
        <v>0</v>
      </c>
      <c r="M44" s="99">
        <f>$D44-vlookup(Summary!$C44,Summary!$C$2:$Q$103,3+counta($F$1:M$1),false)</f>
        <v>0.1</v>
      </c>
      <c r="N44" s="99">
        <f>$D44-vlookup(Summary!$C44,Summary!$C$2:$Q$103,3+counta($F$1:N$1),false)</f>
        <v>0.1</v>
      </c>
      <c r="O44" s="99">
        <f>$D44-vlookup(Summary!$C44,Summary!$C$2:$Q$103,3+counta($F$1:O$1),false)</f>
        <v>0.199</v>
      </c>
      <c r="P44" s="99">
        <f>$D44-vlookup(Summary!$C44,Summary!$C$2:$Q$103,3+counta($F$1:P$1),false)</f>
        <v>-0.3</v>
      </c>
      <c r="Q44" s="99">
        <f>$D44-vlookup(Summary!$C44,Summary!$C$2:$Q$103,3+counta($F$1:Q$1),false)</f>
        <v>-0.05</v>
      </c>
    </row>
    <row r="45" ht="15.75" customHeight="1">
      <c r="A45" s="15">
        <f>Main!A45</f>
        <v>44</v>
      </c>
      <c r="B45" s="15" t="str">
        <f>Main!B45</f>
        <v>There will be a flow of water into the Lake Eyre basin in 2022</v>
      </c>
      <c r="C45" s="15" t="str">
        <f>Main!C45</f>
        <v>Natural world</v>
      </c>
      <c r="D45" s="106">
        <v>0.8</v>
      </c>
      <c r="F45" s="99">
        <f>$D45-vlookup(Summary!$C45,Summary!$C$2:$Q$103,3+counta($F$1:F$1),false)</f>
        <v>0.05</v>
      </c>
      <c r="G45" s="99">
        <f>$D45-vlookup(Summary!$C45,Summary!$C$2:$Q$103,3+counta($F$1:G$1),false)</f>
        <v>0</v>
      </c>
      <c r="H45" s="99">
        <f>$D45-vlookup(Summary!$C45,Summary!$C$2:$Q$103,3+counta($F$1:H$1),false)</f>
        <v>0.3</v>
      </c>
      <c r="I45" s="99">
        <f>$D45-vlookup(Summary!$C45,Summary!$C$2:$Q$103,3+counta($F$1:I$1),false)</f>
        <v>0.3</v>
      </c>
      <c r="J45" s="99">
        <f>$D45-vlookup(Summary!$C45,Summary!$C$2:$Q$103,3+counta($F$1:J$1),false)</f>
        <v>0.5</v>
      </c>
      <c r="K45" s="99">
        <f>$D45-vlookup(Summary!$C45,Summary!$C$2:$Q$103,3+counta($F$1:K$1),false)</f>
        <v>0.1</v>
      </c>
      <c r="L45" s="99">
        <f>$D45-vlookup(Summary!$C45,Summary!$C$2:$Q$103,3+counta($F$1:L$1),false)</f>
        <v>0</v>
      </c>
      <c r="M45" s="99">
        <f>$D45-vlookup(Summary!$C45,Summary!$C$2:$Q$103,3+counta($F$1:M$1),false)</f>
        <v>0.3</v>
      </c>
      <c r="N45" s="99">
        <f>$D45-vlookup(Summary!$C45,Summary!$C$2:$Q$103,3+counta($F$1:N$1),false)</f>
        <v>0.2</v>
      </c>
      <c r="O45" s="99">
        <f>$D45-vlookup(Summary!$C45,Summary!$C$2:$Q$103,3+counta($F$1:O$1),false)</f>
        <v>0.15</v>
      </c>
      <c r="P45" s="99">
        <f>$D45-vlookup(Summary!$C45,Summary!$C$2:$Q$103,3+counta($F$1:P$1),false)</f>
        <v>-0.1</v>
      </c>
      <c r="Q45" s="99">
        <f>$D45-vlookup(Summary!$C45,Summary!$C$2:$Q$103,3+counta($F$1:Q$1),false)</f>
        <v>0.3</v>
      </c>
    </row>
    <row r="46" ht="15.75" customHeight="1">
      <c r="A46" s="15">
        <f>Main!A46</f>
        <v>45</v>
      </c>
      <c r="B46" s="15" t="str">
        <f>Main!B46</f>
        <v>Water from the Paroo will spill into the Darling in 2022</v>
      </c>
      <c r="C46" s="15" t="str">
        <f>Main!C46</f>
        <v>Natural world</v>
      </c>
      <c r="D46" s="106">
        <v>0.8</v>
      </c>
      <c r="F46" s="99">
        <f>$D46-vlookup(Summary!$C46,Summary!$C$2:$Q$103,3+counta($F$1:F$1),false)</f>
        <v>0.3</v>
      </c>
      <c r="G46" s="99">
        <f>$D46-vlookup(Summary!$C46,Summary!$C$2:$Q$103,3+counta($F$1:G$1),false)</f>
        <v>0.1</v>
      </c>
      <c r="H46" s="99">
        <f>$D46-vlookup(Summary!$C46,Summary!$C$2:$Q$103,3+counta($F$1:H$1),false)</f>
        <v>0.3</v>
      </c>
      <c r="I46" s="99">
        <f>$D46-vlookup(Summary!$C46,Summary!$C$2:$Q$103,3+counta($F$1:I$1),false)</f>
        <v>0.3</v>
      </c>
      <c r="J46" s="99">
        <f>$D46-vlookup(Summary!$C46,Summary!$C$2:$Q$103,3+counta($F$1:J$1),false)</f>
        <v>0.2</v>
      </c>
      <c r="K46" s="99">
        <f>$D46-vlookup(Summary!$C46,Summary!$C$2:$Q$103,3+counta($F$1:K$1),false)</f>
        <v>0.2</v>
      </c>
      <c r="L46" s="99">
        <f>$D46-vlookup(Summary!$C46,Summary!$C$2:$Q$103,3+counta($F$1:L$1),false)</f>
        <v>0</v>
      </c>
      <c r="M46" s="99">
        <f>$D46-vlookup(Summary!$C46,Summary!$C$2:$Q$103,3+counta($F$1:M$1),false)</f>
        <v>0.3</v>
      </c>
      <c r="N46" s="99">
        <f>$D46-vlookup(Summary!$C46,Summary!$C$2:$Q$103,3+counta($F$1:N$1),false)</f>
        <v>0.2</v>
      </c>
      <c r="O46" s="99">
        <f>$D46-vlookup(Summary!$C46,Summary!$C$2:$Q$103,3+counta($F$1:O$1),false)</f>
        <v>0.3</v>
      </c>
      <c r="P46" s="99">
        <f>$D46-vlookup(Summary!$C46,Summary!$C$2:$Q$103,3+counta($F$1:P$1),false)</f>
        <v>0.7</v>
      </c>
      <c r="Q46" s="99">
        <f>$D46-vlookup(Summary!$C46,Summary!$C$2:$Q$103,3+counta($F$1:Q$1),false)</f>
        <v>0.3</v>
      </c>
    </row>
    <row r="47" ht="15.75" customHeight="1">
      <c r="A47" s="15">
        <f>Main!A47</f>
        <v>46</v>
      </c>
      <c r="B47" s="15" t="str">
        <f>Main!B47</f>
        <v>In the Antarctic the Thwaites Glacier ice-shelf will collapse in 2022</v>
      </c>
      <c r="C47" s="15" t="str">
        <f>Main!C47</f>
        <v>Natural world</v>
      </c>
      <c r="D47" s="106">
        <v>0.1</v>
      </c>
      <c r="F47" s="99">
        <f>$D47-vlookup(Summary!$C47,Summary!$C$2:$Q$103,3+counta($F$1:F$1),false)</f>
        <v>-0.4</v>
      </c>
      <c r="G47" s="99">
        <f>$D47-vlookup(Summary!$C47,Summary!$C$2:$Q$103,3+counta($F$1:G$1),false)</f>
        <v>-0.15</v>
      </c>
      <c r="H47" s="99">
        <f>$D47-vlookup(Summary!$C47,Summary!$C$2:$Q$103,3+counta($F$1:H$1),false)</f>
        <v>-0.6</v>
      </c>
      <c r="I47" s="99">
        <f>$D47-vlookup(Summary!$C47,Summary!$C$2:$Q$103,3+counta($F$1:I$1),false)</f>
        <v>-0.4</v>
      </c>
      <c r="J47" s="99">
        <f>$D47-vlookup(Summary!$C47,Summary!$C$2:$Q$103,3+counta($F$1:J$1),false)</f>
        <v>-0.6</v>
      </c>
      <c r="K47" s="99">
        <f>$D47-vlookup(Summary!$C47,Summary!$C$2:$Q$103,3+counta($F$1:K$1),false)</f>
        <v>-0.6</v>
      </c>
      <c r="L47" s="99">
        <f>$D47-vlookup(Summary!$C47,Summary!$C$2:$Q$103,3+counta($F$1:L$1),false)</f>
        <v>0</v>
      </c>
      <c r="M47" s="99">
        <f>$D47-vlookup(Summary!$C47,Summary!$C$2:$Q$103,3+counta($F$1:M$1),false)</f>
        <v>-0.6</v>
      </c>
      <c r="N47" s="99">
        <f>$D47-vlookup(Summary!$C47,Summary!$C$2:$Q$103,3+counta($F$1:N$1),false)</f>
        <v>-0.1</v>
      </c>
      <c r="O47" s="99">
        <f>$D47-vlookup(Summary!$C47,Summary!$C$2:$Q$103,3+counta($F$1:O$1),false)</f>
        <v>-0.25</v>
      </c>
      <c r="P47" s="99">
        <f>$D47-vlookup(Summary!$C47,Summary!$C$2:$Q$103,3+counta($F$1:P$1),false)</f>
        <v>-0.4</v>
      </c>
      <c r="Q47" s="99">
        <f>$D47-vlookup(Summary!$C47,Summary!$C$2:$Q$103,3+counta($F$1:Q$1),false)</f>
        <v>-0.4</v>
      </c>
    </row>
    <row r="48" ht="15.75" customHeight="1">
      <c r="A48" s="15">
        <f>Main!A48</f>
        <v>47</v>
      </c>
      <c r="B48" s="15" t="str">
        <f>Main!B48</f>
        <v>At least three quarters of the Great Barrier Reef will be bleached as a result of warming seas.</v>
      </c>
      <c r="C48" s="15" t="str">
        <f>Main!C48</f>
        <v>Natural world</v>
      </c>
      <c r="D48" s="106">
        <v>0.5</v>
      </c>
      <c r="F48" s="99">
        <f>$D48-vlookup(Summary!$C48,Summary!$C$2:$Q$103,3+counta($F$1:F$1),false)</f>
        <v>0</v>
      </c>
      <c r="G48" s="99">
        <f>$D48-vlookup(Summary!$C48,Summary!$C$2:$Q$103,3+counta($F$1:G$1),false)</f>
        <v>-0.3</v>
      </c>
      <c r="H48" s="99">
        <f>$D48-vlookup(Summary!$C48,Summary!$C$2:$Q$103,3+counta($F$1:H$1),false)</f>
        <v>-0.2</v>
      </c>
      <c r="I48" s="99">
        <f>$D48-vlookup(Summary!$C48,Summary!$C$2:$Q$103,3+counta($F$1:I$1),false)</f>
        <v>0</v>
      </c>
      <c r="J48" s="99">
        <f>$D48-vlookup(Summary!$C48,Summary!$C$2:$Q$103,3+counta($F$1:J$1),false)</f>
        <v>-0.3</v>
      </c>
      <c r="K48" s="99">
        <f>$D48-vlookup(Summary!$C48,Summary!$C$2:$Q$103,3+counta($F$1:K$1),false)</f>
        <v>-0.35</v>
      </c>
      <c r="L48" s="99">
        <f>$D48-vlookup(Summary!$C48,Summary!$C$2:$Q$103,3+counta($F$1:L$1),false)</f>
        <v>0</v>
      </c>
      <c r="M48" s="99">
        <f>$D48-vlookup(Summary!$C48,Summary!$C$2:$Q$103,3+counta($F$1:M$1),false)</f>
        <v>-0.2</v>
      </c>
      <c r="N48" s="99">
        <f>$D48-vlookup(Summary!$C48,Summary!$C$2:$Q$103,3+counta($F$1:N$1),false)</f>
        <v>-0.2</v>
      </c>
      <c r="O48" s="99">
        <f>$D48-vlookup(Summary!$C48,Summary!$C$2:$Q$103,3+counta($F$1:O$1),false)</f>
        <v>0.15</v>
      </c>
      <c r="P48" s="99">
        <f>$D48-vlookup(Summary!$C48,Summary!$C$2:$Q$103,3+counta($F$1:P$1),false)</f>
        <v>0</v>
      </c>
      <c r="Q48" s="99">
        <f>$D48-vlookup(Summary!$C48,Summary!$C$2:$Q$103,3+counta($F$1:Q$1),false)</f>
        <v>0.1</v>
      </c>
    </row>
    <row r="49" ht="15.75" customHeight="1">
      <c r="A49" s="15">
        <f>Main!A49</f>
        <v>48</v>
      </c>
      <c r="B49" s="15" t="str">
        <f>Main!B49</f>
        <v>Sabine Hoffstader will release a Youtube video explaining that the nature of dark matter has been confirmed experimentally</v>
      </c>
      <c r="C49" s="15" t="str">
        <f>Main!C49</f>
        <v>Natural world</v>
      </c>
      <c r="D49" s="106">
        <v>0.6</v>
      </c>
      <c r="F49" s="99">
        <f>$D49-vlookup(Summary!$C49,Summary!$C$2:$Q$103,3+counta($F$1:F$1),false)</f>
        <v>0.1</v>
      </c>
      <c r="G49" s="99">
        <f>$D49-vlookup(Summary!$C49,Summary!$C$2:$Q$103,3+counta($F$1:G$1),false)</f>
        <v>0.35</v>
      </c>
      <c r="H49" s="99">
        <f>$D49-vlookup(Summary!$C49,Summary!$C$2:$Q$103,3+counta($F$1:H$1),false)</f>
        <v>0.5</v>
      </c>
      <c r="I49" s="99">
        <f>$D49-vlookup(Summary!$C49,Summary!$C$2:$Q$103,3+counta($F$1:I$1),false)</f>
        <v>0.1</v>
      </c>
      <c r="J49" s="99">
        <f>$D49-vlookup(Summary!$C49,Summary!$C$2:$Q$103,3+counta($F$1:J$1),false)</f>
        <v>0.1</v>
      </c>
      <c r="K49" s="99">
        <f>$D49-vlookup(Summary!$C49,Summary!$C$2:$Q$103,3+counta($F$1:K$1),false)</f>
        <v>-0.05</v>
      </c>
      <c r="L49" s="99">
        <f>$D49-vlookup(Summary!$C49,Summary!$C$2:$Q$103,3+counta($F$1:L$1),false)</f>
        <v>0</v>
      </c>
      <c r="M49" s="99">
        <f>$D49-vlookup(Summary!$C49,Summary!$C$2:$Q$103,3+counta($F$1:M$1),false)</f>
        <v>0.5</v>
      </c>
      <c r="N49" s="99">
        <f>$D49-vlookup(Summary!$C49,Summary!$C$2:$Q$103,3+counta($F$1:N$1),false)</f>
        <v>0.1</v>
      </c>
      <c r="O49" s="99">
        <f>$D49-vlookup(Summary!$C49,Summary!$C$2:$Q$103,3+counta($F$1:O$1),false)</f>
        <v>0.599</v>
      </c>
      <c r="P49" s="99">
        <f>$D49-vlookup(Summary!$C49,Summary!$C$2:$Q$103,3+counta($F$1:P$1),false)</f>
        <v>0.1</v>
      </c>
      <c r="Q49" s="99">
        <f>$D49-vlookup(Summary!$C49,Summary!$C$2:$Q$103,3+counta($F$1:Q$1),false)</f>
        <v>0.1</v>
      </c>
    </row>
    <row r="50" ht="15.75" customHeight="1">
      <c r="A50" s="15">
        <f>Main!A50</f>
        <v>49</v>
      </c>
      <c r="B50" s="15" t="str">
        <f>Main!B50</f>
        <v>2022 will be the hottest year on record globally (via NASA)</v>
      </c>
      <c r="C50" s="15" t="str">
        <f>Main!C50</f>
        <v>Natural world</v>
      </c>
      <c r="D50" s="106">
        <v>0.2</v>
      </c>
      <c r="F50" s="99">
        <f>$D50-vlookup(Summary!$C50,Summary!$C$2:$Q$103,3+counta($F$1:F$1),false)</f>
        <v>-0.1</v>
      </c>
      <c r="G50" s="99">
        <f>$D50-vlookup(Summary!$C50,Summary!$C$2:$Q$103,3+counta($F$1:G$1),false)</f>
        <v>-0.25</v>
      </c>
      <c r="H50" s="99">
        <f>$D50-vlookup(Summary!$C50,Summary!$C$2:$Q$103,3+counta($F$1:H$1),false)</f>
        <v>-0.75</v>
      </c>
      <c r="I50" s="99">
        <f>$D50-vlookup(Summary!$C50,Summary!$C$2:$Q$103,3+counta($F$1:I$1),false)</f>
        <v>-0.1</v>
      </c>
      <c r="J50" s="99">
        <f>$D50-vlookup(Summary!$C50,Summary!$C$2:$Q$103,3+counta($F$1:J$1),false)</f>
        <v>-0.6</v>
      </c>
      <c r="K50" s="99">
        <f>$D50-vlookup(Summary!$C50,Summary!$C$2:$Q$103,3+counta($F$1:K$1),false)</f>
        <v>-0.62</v>
      </c>
      <c r="L50" s="99">
        <f>$D50-vlookup(Summary!$C50,Summary!$C$2:$Q$103,3+counta($F$1:L$1),false)</f>
        <v>0</v>
      </c>
      <c r="M50" s="99">
        <f>$D50-vlookup(Summary!$C50,Summary!$C$2:$Q$103,3+counta($F$1:M$1),false)</f>
        <v>-0.75</v>
      </c>
      <c r="N50" s="99">
        <f>$D50-vlookup(Summary!$C50,Summary!$C$2:$Q$103,3+counta($F$1:N$1),false)</f>
        <v>-0.1</v>
      </c>
      <c r="O50" s="99">
        <f>$D50-vlookup(Summary!$C50,Summary!$C$2:$Q$103,3+counta($F$1:O$1),false)</f>
        <v>0.05</v>
      </c>
      <c r="P50" s="99">
        <f>$D50-vlookup(Summary!$C50,Summary!$C$2:$Q$103,3+counta($F$1:P$1),false)</f>
        <v>-0.4</v>
      </c>
      <c r="Q50" s="99">
        <f>$D50-vlookup(Summary!$C50,Summary!$C$2:$Q$103,3+counta($F$1:Q$1),false)</f>
        <v>-0.2</v>
      </c>
    </row>
    <row r="51" ht="15.75" customHeight="1">
      <c r="A51" s="15">
        <f>Main!A51</f>
        <v>50</v>
      </c>
      <c r="B51" s="15" t="str">
        <f>Main!B51</f>
        <v>A cultivated chilli will replace the Carolina Reaper as the world’s hottest, as measured in scoville units (GWR seems to be the source of this currently)</v>
      </c>
      <c r="C51" s="15" t="str">
        <f>Main!C51</f>
        <v>Natural world</v>
      </c>
      <c r="D51" s="106">
        <v>0.5</v>
      </c>
      <c r="F51" s="99">
        <f>$D51-vlookup(Summary!$C51,Summary!$C$2:$Q$103,3+counta($F$1:F$1),false)</f>
        <v>-0.1</v>
      </c>
      <c r="G51" s="99">
        <f>$D51-vlookup(Summary!$C51,Summary!$C$2:$Q$103,3+counta($F$1:G$1),false)</f>
        <v>-0.01</v>
      </c>
      <c r="H51" s="99">
        <f>$D51-vlookup(Summary!$C51,Summary!$C$2:$Q$103,3+counta($F$1:H$1),false)</f>
        <v>-0.2</v>
      </c>
      <c r="I51" s="99">
        <f>$D51-vlookup(Summary!$C51,Summary!$C$2:$Q$103,3+counta($F$1:I$1),false)</f>
        <v>-0.3</v>
      </c>
      <c r="J51" s="99">
        <f>$D51-vlookup(Summary!$C51,Summary!$C$2:$Q$103,3+counta($F$1:J$1),false)</f>
        <v>0.3</v>
      </c>
      <c r="K51" s="99">
        <f>$D51-vlookup(Summary!$C51,Summary!$C$2:$Q$103,3+counta($F$1:K$1),false)</f>
        <v>-0.25</v>
      </c>
      <c r="L51" s="99">
        <f>$D51-vlookup(Summary!$C51,Summary!$C$2:$Q$103,3+counta($F$1:L$1),false)</f>
        <v>0</v>
      </c>
      <c r="M51" s="99">
        <f>$D51-vlookup(Summary!$C51,Summary!$C$2:$Q$103,3+counta($F$1:M$1),false)</f>
        <v>-0.2</v>
      </c>
      <c r="N51" s="99">
        <f>$D51-vlookup(Summary!$C51,Summary!$C$2:$Q$103,3+counta($F$1:N$1),false)</f>
        <v>-0.3</v>
      </c>
      <c r="O51" s="99">
        <f>$D51-vlookup(Summary!$C51,Summary!$C$2:$Q$103,3+counta($F$1:O$1),false)</f>
        <v>-0.15</v>
      </c>
      <c r="P51" s="99">
        <f>$D51-vlookup(Summary!$C51,Summary!$C$2:$Q$103,3+counta($F$1:P$1),false)</f>
        <v>0</v>
      </c>
      <c r="Q51" s="99">
        <f>$D51-vlookup(Summary!$C51,Summary!$C$2:$Q$103,3+counta($F$1:Q$1),false)</f>
        <v>-0.3</v>
      </c>
    </row>
    <row r="52" ht="15.75" customHeight="1">
      <c r="A52" s="15">
        <f>Main!A52</f>
        <v>51</v>
      </c>
      <c r="B52" s="15" t="str">
        <f>Main!B52</f>
        <v>Christchurch will experience an earthquake of at least 4 on the Richter scale</v>
      </c>
      <c r="C52" s="15" t="str">
        <f>Main!C52</f>
        <v>Natural world</v>
      </c>
      <c r="D52" s="106">
        <v>0.3</v>
      </c>
      <c r="F52" s="99">
        <f>$D52-vlookup(Summary!$C52,Summary!$C$2:$Q$103,3+counta($F$1:F$1),false)</f>
        <v>-0.1</v>
      </c>
      <c r="G52" s="99">
        <f>$D52-vlookup(Summary!$C52,Summary!$C$2:$Q$103,3+counta($F$1:G$1),false)</f>
        <v>0.05</v>
      </c>
      <c r="H52" s="99">
        <f>$D52-vlookup(Summary!$C52,Summary!$C$2:$Q$103,3+counta($F$1:H$1),false)</f>
        <v>-0.4</v>
      </c>
      <c r="I52" s="99">
        <f>$D52-vlookup(Summary!$C52,Summary!$C$2:$Q$103,3+counta($F$1:I$1),false)</f>
        <v>-0.4</v>
      </c>
      <c r="J52" s="99">
        <f>$D52-vlookup(Summary!$C52,Summary!$C$2:$Q$103,3+counta($F$1:J$1),false)</f>
        <v>-0.2</v>
      </c>
      <c r="K52" s="99">
        <f>$D52-vlookup(Summary!$C52,Summary!$C$2:$Q$103,3+counta($F$1:K$1),false)</f>
        <v>-0.35</v>
      </c>
      <c r="L52" s="99">
        <f>$D52-vlookup(Summary!$C52,Summary!$C$2:$Q$103,3+counta($F$1:L$1),false)</f>
        <v>0</v>
      </c>
      <c r="M52" s="99">
        <f>$D52-vlookup(Summary!$C52,Summary!$C$2:$Q$103,3+counta($F$1:M$1),false)</f>
        <v>-0.4</v>
      </c>
      <c r="N52" s="99">
        <f>$D52-vlookup(Summary!$C52,Summary!$C$2:$Q$103,3+counta($F$1:N$1),false)</f>
        <v>-0.1</v>
      </c>
      <c r="O52" s="99">
        <f>$D52-vlookup(Summary!$C52,Summary!$C$2:$Q$103,3+counta($F$1:O$1),false)</f>
        <v>-0.35</v>
      </c>
      <c r="P52" s="99">
        <f>$D52-vlookup(Summary!$C52,Summary!$C$2:$Q$103,3+counta($F$1:P$1),false)</f>
        <v>0.2</v>
      </c>
      <c r="Q52" s="99">
        <f>$D52-vlookup(Summary!$C52,Summary!$C$2:$Q$103,3+counta($F$1:Q$1),false)</f>
        <v>-0.2</v>
      </c>
    </row>
    <row r="53" ht="15.75" customHeight="1">
      <c r="A53" s="15">
        <f>Main!A53</f>
        <v>52</v>
      </c>
      <c r="B53" s="15" t="str">
        <f>Main!B53</f>
        <v>Pope Francis will condemn the metaverse or warn of its potential damage</v>
      </c>
      <c r="C53" s="15" t="str">
        <f>Main!C53</f>
        <v>Society</v>
      </c>
      <c r="D53" s="106">
        <v>0.5</v>
      </c>
      <c r="F53" s="99">
        <f>$D53-vlookup(Summary!$C53,Summary!$C$2:$Q$103,3+counta($F$1:F$1),false)</f>
        <v>-0.1</v>
      </c>
      <c r="G53" s="99">
        <f>$D53-vlookup(Summary!$C53,Summary!$C$2:$Q$103,3+counta($F$1:G$1),false)</f>
        <v>0.3</v>
      </c>
      <c r="H53" s="99">
        <f>$D53-vlookup(Summary!$C53,Summary!$C$2:$Q$103,3+counta($F$1:H$1),false)</f>
        <v>0.2</v>
      </c>
      <c r="I53" s="99">
        <f>$D53-vlookup(Summary!$C53,Summary!$C$2:$Q$103,3+counta($F$1:I$1),false)</f>
        <v>0</v>
      </c>
      <c r="J53" s="99">
        <f>$D53-vlookup(Summary!$C53,Summary!$C$2:$Q$103,3+counta($F$1:J$1),false)</f>
        <v>-0.4</v>
      </c>
      <c r="K53" s="99">
        <f>$D53-vlookup(Summary!$C53,Summary!$C$2:$Q$103,3+counta($F$1:K$1),false)</f>
        <v>-0.3</v>
      </c>
      <c r="L53" s="99">
        <f>$D53-vlookup(Summary!$C53,Summary!$C$2:$Q$103,3+counta($F$1:L$1),false)</f>
        <v>0</v>
      </c>
      <c r="M53" s="99">
        <f>$D53-vlookup(Summary!$C53,Summary!$C$2:$Q$103,3+counta($F$1:M$1),false)</f>
        <v>0.2</v>
      </c>
      <c r="N53" s="99">
        <f>$D53-vlookup(Summary!$C53,Summary!$C$2:$Q$103,3+counta($F$1:N$1),false)</f>
        <v>0.4</v>
      </c>
      <c r="O53" s="99">
        <f>$D53-vlookup(Summary!$C53,Summary!$C$2:$Q$103,3+counta($F$1:O$1),false)</f>
        <v>0.15</v>
      </c>
      <c r="P53" s="99">
        <f>$D53-vlookup(Summary!$C53,Summary!$C$2:$Q$103,3+counta($F$1:P$1),false)</f>
        <v>0</v>
      </c>
      <c r="Q53" s="99">
        <f>$D53-vlookup(Summary!$C53,Summary!$C$2:$Q$103,3+counta($F$1:Q$1),false)</f>
        <v>0.3</v>
      </c>
    </row>
    <row r="54" ht="15.75" customHeight="1">
      <c r="A54" s="15">
        <f>Main!A54</f>
        <v>53</v>
      </c>
      <c r="B54" s="15" t="str">
        <f>Main!B54</f>
        <v>The 4th most popular baby name for girls in Australia will be Isla according to the NSW Government popular baby names site</v>
      </c>
      <c r="C54" s="15" t="str">
        <f>Main!C54</f>
        <v>Society</v>
      </c>
      <c r="D54" s="106">
        <v>0.2</v>
      </c>
      <c r="F54" s="99">
        <f>$D54-vlookup(Summary!$C54,Summary!$C$2:$Q$103,3+counta($F$1:F$1),false)</f>
        <v>-0.15</v>
      </c>
      <c r="G54" s="99">
        <f>$D54-vlookup(Summary!$C54,Summary!$C$2:$Q$103,3+counta($F$1:G$1),false)</f>
        <v>-0.2</v>
      </c>
      <c r="H54" s="99">
        <f>$D54-vlookup(Summary!$C54,Summary!$C$2:$Q$103,3+counta($F$1:H$1),false)</f>
        <v>-0.3</v>
      </c>
      <c r="I54" s="99">
        <f>$D54-vlookup(Summary!$C54,Summary!$C$2:$Q$103,3+counta($F$1:I$1),false)</f>
        <v>0.1</v>
      </c>
      <c r="J54" s="99">
        <f>$D54-vlookup(Summary!$C54,Summary!$C$2:$Q$103,3+counta($F$1:J$1),false)</f>
        <v>-0.6</v>
      </c>
      <c r="K54" s="99">
        <f>$D54-vlookup(Summary!$C54,Summary!$C$2:$Q$103,3+counta($F$1:K$1),false)</f>
        <v>-0.7</v>
      </c>
      <c r="L54" s="99">
        <f>$D54-vlookup(Summary!$C54,Summary!$C$2:$Q$103,3+counta($F$1:L$1),false)</f>
        <v>0</v>
      </c>
      <c r="M54" s="99">
        <f>$D54-vlookup(Summary!$C54,Summary!$C$2:$Q$103,3+counta($F$1:M$1),false)</f>
        <v>-0.3</v>
      </c>
      <c r="N54" s="99">
        <f>$D54-vlookup(Summary!$C54,Summary!$C$2:$Q$103,3+counta($F$1:N$1),false)</f>
        <v>-0.7</v>
      </c>
      <c r="O54" s="99">
        <f>$D54-vlookup(Summary!$C54,Summary!$C$2:$Q$103,3+counta($F$1:O$1),false)</f>
        <v>-0.15</v>
      </c>
      <c r="P54" s="99">
        <f>$D54-vlookup(Summary!$C54,Summary!$C$2:$Q$103,3+counta($F$1:P$1),false)</f>
        <v>0.1</v>
      </c>
      <c r="Q54" s="99">
        <f>$D54-vlookup(Summary!$C54,Summary!$C$2:$Q$103,3+counta($F$1:Q$1),false)</f>
        <v>-0.6</v>
      </c>
    </row>
    <row r="55" ht="15.75" customHeight="1">
      <c r="A55" s="15">
        <f>Main!A55</f>
        <v>54</v>
      </c>
      <c r="B55" s="15" t="str">
        <f>Main!B55</f>
        <v>The 4th most popular baby name for boys in Australia will be Leo according to the NSW Government popular baby names site</v>
      </c>
      <c r="C55" s="15" t="str">
        <f>Main!C55</f>
        <v>Society</v>
      </c>
      <c r="D55" s="106">
        <v>0.2</v>
      </c>
      <c r="F55" s="99">
        <f>$D55-vlookup(Summary!$C55,Summary!$C$2:$Q$103,3+counta($F$1:F$1),false)</f>
        <v>-0.15</v>
      </c>
      <c r="G55" s="99">
        <f>$D55-vlookup(Summary!$C55,Summary!$C$2:$Q$103,3+counta($F$1:G$1),false)</f>
        <v>-0.2</v>
      </c>
      <c r="H55" s="99">
        <f>$D55-vlookup(Summary!$C55,Summary!$C$2:$Q$103,3+counta($F$1:H$1),false)</f>
        <v>-0.3</v>
      </c>
      <c r="I55" s="99">
        <f>$D55-vlookup(Summary!$C55,Summary!$C$2:$Q$103,3+counta($F$1:I$1),false)</f>
        <v>0.1</v>
      </c>
      <c r="J55" s="99">
        <f>$D55-vlookup(Summary!$C55,Summary!$C$2:$Q$103,3+counta($F$1:J$1),false)</f>
        <v>-0.5</v>
      </c>
      <c r="K55" s="99">
        <f>$D55-vlookup(Summary!$C55,Summary!$C$2:$Q$103,3+counta($F$1:K$1),false)</f>
        <v>-0.7</v>
      </c>
      <c r="L55" s="99">
        <f>$D55-vlookup(Summary!$C55,Summary!$C$2:$Q$103,3+counta($F$1:L$1),false)</f>
        <v>0</v>
      </c>
      <c r="M55" s="99">
        <f>$D55-vlookup(Summary!$C55,Summary!$C$2:$Q$103,3+counta($F$1:M$1),false)</f>
        <v>-0.3</v>
      </c>
      <c r="N55" s="99">
        <f>$D55-vlookup(Summary!$C55,Summary!$C$2:$Q$103,3+counta($F$1:N$1),false)</f>
        <v>0</v>
      </c>
      <c r="O55" s="99">
        <f>$D55-vlookup(Summary!$C55,Summary!$C$2:$Q$103,3+counta($F$1:O$1),false)</f>
        <v>-0.15</v>
      </c>
      <c r="P55" s="99">
        <f>$D55-vlookup(Summary!$C55,Summary!$C$2:$Q$103,3+counta($F$1:P$1),false)</f>
        <v>0.1</v>
      </c>
      <c r="Q55" s="99">
        <f>$D55-vlookup(Summary!$C55,Summary!$C$2:$Q$103,3+counta($F$1:Q$1),false)</f>
        <v>0</v>
      </c>
    </row>
    <row r="56" ht="15.75" customHeight="1">
      <c r="A56" s="15">
        <f>Main!A56</f>
        <v>55</v>
      </c>
      <c r="B56" s="15" t="str">
        <f>Main!B56</f>
        <v>A statue in Australia will be removed because of negative associations with its history or colonial ties.</v>
      </c>
      <c r="C56" s="15" t="str">
        <f>Main!C56</f>
        <v>Society</v>
      </c>
      <c r="D56" s="106">
        <v>0.4</v>
      </c>
      <c r="F56" s="99">
        <f>$D56-vlookup(Summary!$C56,Summary!$C$2:$Q$103,3+counta($F$1:F$1),false)</f>
        <v>0.2</v>
      </c>
      <c r="G56" s="99">
        <f>$D56-vlookup(Summary!$C56,Summary!$C$2:$Q$103,3+counta($F$1:G$1),false)</f>
        <v>-0.5</v>
      </c>
      <c r="H56" s="99">
        <f>$D56-vlookup(Summary!$C56,Summary!$C$2:$Q$103,3+counta($F$1:H$1),false)</f>
        <v>-0.4</v>
      </c>
      <c r="I56" s="99">
        <f>$D56-vlookup(Summary!$C56,Summary!$C$2:$Q$103,3+counta($F$1:I$1),false)</f>
        <v>0.2</v>
      </c>
      <c r="J56" s="99">
        <f>$D56-vlookup(Summary!$C56,Summary!$C$2:$Q$103,3+counta($F$1:J$1),false)</f>
        <v>-0.4</v>
      </c>
      <c r="K56" s="99">
        <f>$D56-vlookup(Summary!$C56,Summary!$C$2:$Q$103,3+counta($F$1:K$1),false)</f>
        <v>-0.2</v>
      </c>
      <c r="L56" s="99">
        <f>$D56-vlookup(Summary!$C56,Summary!$C$2:$Q$103,3+counta($F$1:L$1),false)</f>
        <v>0</v>
      </c>
      <c r="M56" s="99">
        <f>$D56-vlookup(Summary!$C56,Summary!$C$2:$Q$103,3+counta($F$1:M$1),false)</f>
        <v>-0.4</v>
      </c>
      <c r="N56" s="99">
        <f>$D56-vlookup(Summary!$C56,Summary!$C$2:$Q$103,3+counta($F$1:N$1),false)</f>
        <v>0.3</v>
      </c>
      <c r="O56" s="99">
        <f>$D56-vlookup(Summary!$C56,Summary!$C$2:$Q$103,3+counta($F$1:O$1),false)</f>
        <v>0.25</v>
      </c>
      <c r="P56" s="99">
        <f>$D56-vlookup(Summary!$C56,Summary!$C$2:$Q$103,3+counta($F$1:P$1),false)</f>
        <v>-0.3</v>
      </c>
      <c r="Q56" s="99">
        <f>$D56-vlookup(Summary!$C56,Summary!$C$2:$Q$103,3+counta($F$1:Q$1),false)</f>
        <v>-0.2</v>
      </c>
    </row>
    <row r="57" ht="15.75" customHeight="1">
      <c r="A57" s="15">
        <f>Main!A57</f>
        <v>56</v>
      </c>
      <c r="B57" s="15" t="str">
        <f>Main!B57</f>
        <v>Dave Chapelle’s special ‘The Closer’ will be available to watch on Netflix (Aus or US)</v>
      </c>
      <c r="C57" s="15" t="str">
        <f>Main!C57</f>
        <v>Society</v>
      </c>
      <c r="D57" s="106">
        <v>0.6</v>
      </c>
      <c r="F57" s="99">
        <f>$D57-vlookup(Summary!$C57,Summary!$C$2:$Q$103,3+counta($F$1:F$1),false)</f>
        <v>-0.2</v>
      </c>
      <c r="G57" s="99">
        <f>$D57-vlookup(Summary!$C57,Summary!$C$2:$Q$103,3+counta($F$1:G$1),false)</f>
        <v>0</v>
      </c>
      <c r="H57" s="99">
        <f>$D57-vlookup(Summary!$C57,Summary!$C$2:$Q$103,3+counta($F$1:H$1),false)</f>
        <v>0.1</v>
      </c>
      <c r="I57" s="99">
        <f>$D57-vlookup(Summary!$C57,Summary!$C$2:$Q$103,3+counta($F$1:I$1),false)</f>
        <v>-0.2</v>
      </c>
      <c r="J57" s="99">
        <f>$D57-vlookup(Summary!$C57,Summary!$C$2:$Q$103,3+counta($F$1:J$1),false)</f>
        <v>0</v>
      </c>
      <c r="K57" s="99">
        <f>$D57-vlookup(Summary!$C57,Summary!$C$2:$Q$103,3+counta($F$1:K$1),false)</f>
        <v>0.1</v>
      </c>
      <c r="L57" s="99">
        <f>$D57-vlookup(Summary!$C57,Summary!$C$2:$Q$103,3+counta($F$1:L$1),false)</f>
        <v>0</v>
      </c>
      <c r="M57" s="99">
        <f>$D57-vlookup(Summary!$C57,Summary!$C$2:$Q$103,3+counta($F$1:M$1),false)</f>
        <v>0.1</v>
      </c>
      <c r="N57" s="99">
        <f>$D57-vlookup(Summary!$C57,Summary!$C$2:$Q$103,3+counta($F$1:N$1),false)</f>
        <v>0.4</v>
      </c>
      <c r="O57" s="99">
        <f>$D57-vlookup(Summary!$C57,Summary!$C$2:$Q$103,3+counta($F$1:O$1),false)</f>
        <v>-0.399</v>
      </c>
      <c r="P57" s="99">
        <f>$D57-vlookup(Summary!$C57,Summary!$C$2:$Q$103,3+counta($F$1:P$1),false)</f>
        <v>0.1</v>
      </c>
      <c r="Q57" s="99">
        <f>$D57-vlookup(Summary!$C57,Summary!$C$2:$Q$103,3+counta($F$1:Q$1),false)</f>
        <v>0.1</v>
      </c>
    </row>
    <row r="58" ht="15.75" customHeight="1">
      <c r="A58" s="15">
        <f>Main!A58</f>
        <v>57</v>
      </c>
      <c r="B58" s="15" t="str">
        <f>Main!B58</f>
        <v>An actor in a Disney film or TV show will have their contract ‘cancelled’ due to social pressure related to a social media post or opinion they have expressed publicly.</v>
      </c>
      <c r="C58" s="15" t="str">
        <f>Main!C58</f>
        <v>Society</v>
      </c>
      <c r="D58" s="106">
        <v>0.5</v>
      </c>
      <c r="F58" s="99">
        <f>$D58-vlookup(Summary!$C58,Summary!$C$2:$Q$103,3+counta($F$1:F$1),false)</f>
        <v>-0.2</v>
      </c>
      <c r="G58" s="99">
        <f>$D58-vlookup(Summary!$C58,Summary!$C$2:$Q$103,3+counta($F$1:G$1),false)</f>
        <v>0.1</v>
      </c>
      <c r="H58" s="99">
        <f>$D58-vlookup(Summary!$C58,Summary!$C$2:$Q$103,3+counta($F$1:H$1),false)</f>
        <v>-0.1</v>
      </c>
      <c r="I58" s="99">
        <f>$D58-vlookup(Summary!$C58,Summary!$C$2:$Q$103,3+counta($F$1:I$1),false)</f>
        <v>-0.3</v>
      </c>
      <c r="J58" s="99">
        <f>$D58-vlookup(Summary!$C58,Summary!$C$2:$Q$103,3+counta($F$1:J$1),false)</f>
        <v>-0.3</v>
      </c>
      <c r="K58" s="99">
        <f>$D58-vlookup(Summary!$C58,Summary!$C$2:$Q$103,3+counta($F$1:K$1),false)</f>
        <v>-0.2</v>
      </c>
      <c r="L58" s="99">
        <f>$D58-vlookup(Summary!$C58,Summary!$C$2:$Q$103,3+counta($F$1:L$1),false)</f>
        <v>0</v>
      </c>
      <c r="M58" s="99">
        <f>$D58-vlookup(Summary!$C58,Summary!$C$2:$Q$103,3+counta($F$1:M$1),false)</f>
        <v>-0.1</v>
      </c>
      <c r="N58" s="99">
        <f>$D58-vlookup(Summary!$C58,Summary!$C$2:$Q$103,3+counta($F$1:N$1),false)</f>
        <v>-0.3</v>
      </c>
      <c r="O58" s="99">
        <f>$D58-vlookup(Summary!$C58,Summary!$C$2:$Q$103,3+counta($F$1:O$1),false)</f>
        <v>-0.15</v>
      </c>
      <c r="P58" s="99">
        <f>$D58-vlookup(Summary!$C58,Summary!$C$2:$Q$103,3+counta($F$1:P$1),false)</f>
        <v>0</v>
      </c>
      <c r="Q58" s="99">
        <f>$D58-vlookup(Summary!$C58,Summary!$C$2:$Q$103,3+counta($F$1:Q$1),false)</f>
        <v>0.1</v>
      </c>
    </row>
    <row r="59" ht="15.75" customHeight="1">
      <c r="A59" s="15">
        <f>Main!A59</f>
        <v>58</v>
      </c>
      <c r="B59" s="15" t="str">
        <f>Main!B59</f>
        <v>An Australian company or department will mandate the inclusion or visibility of preferred gender pronouns, whether through an HR directory or email signatures.</v>
      </c>
      <c r="C59" s="15" t="str">
        <f>Main!C59</f>
        <v>Society</v>
      </c>
      <c r="D59" s="106">
        <v>0.5</v>
      </c>
      <c r="F59" s="99">
        <f>$D59-vlookup(Summary!$C59,Summary!$C$2:$Q$103,3+counta($F$1:F$1),false)</f>
        <v>-0.15</v>
      </c>
      <c r="G59" s="99">
        <f>$D59-vlookup(Summary!$C59,Summary!$C$2:$Q$103,3+counta($F$1:G$1),false)</f>
        <v>-0.45</v>
      </c>
      <c r="H59" s="99">
        <f>$D59-vlookup(Summary!$C59,Summary!$C$2:$Q$103,3+counta($F$1:H$1),false)</f>
        <v>-0.1</v>
      </c>
      <c r="I59" s="99">
        <f>$D59-vlookup(Summary!$C59,Summary!$C$2:$Q$103,3+counta($F$1:I$1),false)</f>
        <v>-0.3</v>
      </c>
      <c r="J59" s="99">
        <f>$D59-vlookup(Summary!$C59,Summary!$C$2:$Q$103,3+counta($F$1:J$1),false)</f>
        <v>0</v>
      </c>
      <c r="K59" s="99">
        <f>$D59-vlookup(Summary!$C59,Summary!$C$2:$Q$103,3+counta($F$1:K$1),false)</f>
        <v>-0.25</v>
      </c>
      <c r="L59" s="99">
        <f>$D59-vlookup(Summary!$C59,Summary!$C$2:$Q$103,3+counta($F$1:L$1),false)</f>
        <v>0</v>
      </c>
      <c r="M59" s="99">
        <f>$D59-vlookup(Summary!$C59,Summary!$C$2:$Q$103,3+counta($F$1:M$1),false)</f>
        <v>-0.1</v>
      </c>
      <c r="N59" s="99">
        <f>$D59-vlookup(Summary!$C59,Summary!$C$2:$Q$103,3+counta($F$1:N$1),false)</f>
        <v>-0.3</v>
      </c>
      <c r="O59" s="99">
        <f>$D59-vlookup(Summary!$C59,Summary!$C$2:$Q$103,3+counta($F$1:O$1),false)</f>
        <v>0.15</v>
      </c>
      <c r="P59" s="99">
        <f>$D59-vlookup(Summary!$C59,Summary!$C$2:$Q$103,3+counta($F$1:P$1),false)</f>
        <v>0</v>
      </c>
      <c r="Q59" s="99">
        <f>$D59-vlookup(Summary!$C59,Summary!$C$2:$Q$103,3+counta($F$1:Q$1),false)</f>
        <v>0.1</v>
      </c>
    </row>
    <row r="60" ht="15.75" customHeight="1">
      <c r="A60" s="15">
        <f>Main!A60</f>
        <v>59</v>
      </c>
      <c r="B60" s="15" t="str">
        <f>Main!B60</f>
        <v>More than 30% of Australians will have been born overseas (currently 29.8%)</v>
      </c>
      <c r="C60" s="15" t="str">
        <f>Main!C60</f>
        <v>Society</v>
      </c>
      <c r="D60" s="106">
        <v>0.3</v>
      </c>
      <c r="F60" s="99">
        <f>$D60-vlookup(Summary!$C60,Summary!$C$2:$Q$103,3+counta($F$1:F$1),false)</f>
        <v>0.1</v>
      </c>
      <c r="G60" s="99">
        <f>$D60-vlookup(Summary!$C60,Summary!$C$2:$Q$103,3+counta($F$1:G$1),false)</f>
        <v>-0.3</v>
      </c>
      <c r="H60" s="99">
        <f>$D60-vlookup(Summary!$C60,Summary!$C$2:$Q$103,3+counta($F$1:H$1),false)</f>
        <v>0.2</v>
      </c>
      <c r="I60" s="99">
        <f>$D60-vlookup(Summary!$C60,Summary!$C$2:$Q$103,3+counta($F$1:I$1),false)</f>
        <v>-0.3</v>
      </c>
      <c r="J60" s="99">
        <f>$D60-vlookup(Summary!$C60,Summary!$C$2:$Q$103,3+counta($F$1:J$1),false)</f>
        <v>-0.6</v>
      </c>
      <c r="K60" s="99">
        <f>$D60-vlookup(Summary!$C60,Summary!$C$2:$Q$103,3+counta($F$1:K$1),false)</f>
        <v>-0.6</v>
      </c>
      <c r="L60" s="99">
        <f>$D60-vlookup(Summary!$C60,Summary!$C$2:$Q$103,3+counta($F$1:L$1),false)</f>
        <v>0</v>
      </c>
      <c r="M60" s="99">
        <f>$D60-vlookup(Summary!$C60,Summary!$C$2:$Q$103,3+counta($F$1:M$1),false)</f>
        <v>0.2</v>
      </c>
      <c r="N60" s="99">
        <f>$D60-vlookup(Summary!$C60,Summary!$C$2:$Q$103,3+counta($F$1:N$1),false)</f>
        <v>0.1</v>
      </c>
      <c r="O60" s="99">
        <f>$D60-vlookup(Summary!$C60,Summary!$C$2:$Q$103,3+counta($F$1:O$1),false)</f>
        <v>-0.35</v>
      </c>
      <c r="P60" s="99">
        <f>$D60-vlookup(Summary!$C60,Summary!$C$2:$Q$103,3+counta($F$1:P$1),false)</f>
        <v>0.2</v>
      </c>
      <c r="Q60" s="99">
        <f>$D60-vlookup(Summary!$C60,Summary!$C$2:$Q$103,3+counta($F$1:Q$1),false)</f>
        <v>-0.25</v>
      </c>
    </row>
    <row r="61" ht="15.75" customHeight="1">
      <c r="A61" s="15">
        <f>Main!A61</f>
        <v>60</v>
      </c>
      <c r="B61" s="15" t="str">
        <f>Main!B61</f>
        <v>LGBTIQ+ will be the acronym in widespread usage throughout Australia, as determined by the definition from LGBTIQ+ Health Australia (the peak body org for health and research related to that community)</v>
      </c>
      <c r="C61" s="15" t="str">
        <f>Main!C61</f>
        <v>Society</v>
      </c>
      <c r="D61" s="106">
        <v>0.9</v>
      </c>
      <c r="F61" s="99">
        <f>$D61-vlookup(Summary!$C61,Summary!$C$2:$Q$103,3+counta($F$1:F$1),false)</f>
        <v>0.45</v>
      </c>
      <c r="G61" s="99">
        <f>$D61-vlookup(Summary!$C61,Summary!$C$2:$Q$103,3+counta($F$1:G$1),false)</f>
        <v>0.2</v>
      </c>
      <c r="H61" s="99">
        <f>$D61-vlookup(Summary!$C61,Summary!$C$2:$Q$103,3+counta($F$1:H$1),false)</f>
        <v>0.4</v>
      </c>
      <c r="I61" s="99">
        <f>$D61-vlookup(Summary!$C61,Summary!$C$2:$Q$103,3+counta($F$1:I$1),false)</f>
        <v>0.2</v>
      </c>
      <c r="J61" s="99">
        <f>$D61-vlookup(Summary!$C61,Summary!$C$2:$Q$103,3+counta($F$1:J$1),false)</f>
        <v>0.2</v>
      </c>
      <c r="K61" s="99">
        <f>$D61-vlookup(Summary!$C61,Summary!$C$2:$Q$103,3+counta($F$1:K$1),false)</f>
        <v>0.15</v>
      </c>
      <c r="L61" s="99">
        <f>$D61-vlookup(Summary!$C61,Summary!$C$2:$Q$103,3+counta($F$1:L$1),false)</f>
        <v>0</v>
      </c>
      <c r="M61" s="99">
        <f>$D61-vlookup(Summary!$C61,Summary!$C$2:$Q$103,3+counta($F$1:M$1),false)</f>
        <v>0.4</v>
      </c>
      <c r="N61" s="99">
        <f>$D61-vlookup(Summary!$C61,Summary!$C$2:$Q$103,3+counta($F$1:N$1),false)</f>
        <v>0.7</v>
      </c>
      <c r="O61" s="99">
        <f>$D61-vlookup(Summary!$C61,Summary!$C$2:$Q$103,3+counta($F$1:O$1),false)</f>
        <v>-0.099</v>
      </c>
      <c r="P61" s="99">
        <f>$D61-vlookup(Summary!$C61,Summary!$C$2:$Q$103,3+counta($F$1:P$1),false)</f>
        <v>0.4</v>
      </c>
      <c r="Q61" s="99">
        <f>$D61-vlookup(Summary!$C61,Summary!$C$2:$Q$103,3+counta($F$1:Q$1),false)</f>
        <v>0.6</v>
      </c>
    </row>
    <row r="62" ht="15.75" customHeight="1">
      <c r="A62" s="15">
        <f>Main!A62</f>
        <v>61</v>
      </c>
      <c r="B62" s="15" t="str">
        <f>Main!B62</f>
        <v>The meat industry in Australia and/or the US will succeed in controlling the use of ‘meat terms’ (meat, beef etc.) for non-animal protein products</v>
      </c>
      <c r="C62" s="15" t="str">
        <f>Main!C62</f>
        <v>Society</v>
      </c>
      <c r="D62" s="106">
        <v>0.1</v>
      </c>
      <c r="F62" s="99">
        <f>$D62-vlookup(Summary!$C62,Summary!$C$2:$Q$103,3+counta($F$1:F$1),false)</f>
        <v>-0.25</v>
      </c>
      <c r="G62" s="99">
        <f>$D62-vlookup(Summary!$C62,Summary!$C$2:$Q$103,3+counta($F$1:G$1),false)</f>
        <v>-0.5</v>
      </c>
      <c r="H62" s="99">
        <f>$D62-vlookup(Summary!$C62,Summary!$C$2:$Q$103,3+counta($F$1:H$1),false)</f>
        <v>-0.1</v>
      </c>
      <c r="I62" s="99">
        <f>$D62-vlookup(Summary!$C62,Summary!$C$2:$Q$103,3+counta($F$1:I$1),false)</f>
        <v>-0.5</v>
      </c>
      <c r="J62" s="99">
        <f>$D62-vlookup(Summary!$C62,Summary!$C$2:$Q$103,3+counta($F$1:J$1),false)</f>
        <v>-0.7</v>
      </c>
      <c r="K62" s="99">
        <f>$D62-vlookup(Summary!$C62,Summary!$C$2:$Q$103,3+counta($F$1:K$1),false)</f>
        <v>-0.64</v>
      </c>
      <c r="L62" s="99">
        <f>$D62-vlookup(Summary!$C62,Summary!$C$2:$Q$103,3+counta($F$1:L$1),false)</f>
        <v>0</v>
      </c>
      <c r="M62" s="99">
        <f>$D62-vlookup(Summary!$C62,Summary!$C$2:$Q$103,3+counta($F$1:M$1),false)</f>
        <v>-0.1</v>
      </c>
      <c r="N62" s="99">
        <f>$D62-vlookup(Summary!$C62,Summary!$C$2:$Q$103,3+counta($F$1:N$1),false)</f>
        <v>0</v>
      </c>
      <c r="O62" s="99">
        <f>$D62-vlookup(Summary!$C62,Summary!$C$2:$Q$103,3+counta($F$1:O$1),false)</f>
        <v>-0.899</v>
      </c>
      <c r="P62" s="99">
        <f>$D62-vlookup(Summary!$C62,Summary!$C$2:$Q$103,3+counta($F$1:P$1),false)</f>
        <v>-0.7</v>
      </c>
      <c r="Q62" s="99">
        <f>$D62-vlookup(Summary!$C62,Summary!$C$2:$Q$103,3+counta($F$1:Q$1),false)</f>
        <v>-0.4</v>
      </c>
    </row>
    <row r="63" ht="15.75" customHeight="1">
      <c r="A63" s="15">
        <f>Main!A63</f>
        <v>62</v>
      </c>
      <c r="B63" s="15" t="str">
        <f>Main!B63</f>
        <v>The median house price in Canberra will be over $1,200,000 (currently $1,015,833)</v>
      </c>
      <c r="C63" s="15" t="str">
        <f>Main!C63</f>
        <v>Society</v>
      </c>
      <c r="D63" s="106">
        <v>0.99999</v>
      </c>
      <c r="F63" s="99">
        <f>$D63-vlookup(Summary!$C63,Summary!$C$2:$Q$103,3+counta($F$1:F$1),false)</f>
        <v>0.29999</v>
      </c>
      <c r="G63" s="99">
        <f>$D63-vlookup(Summary!$C63,Summary!$C$2:$Q$103,3+counta($F$1:G$1),false)</f>
        <v>0.79999</v>
      </c>
      <c r="H63" s="99">
        <f>$D63-vlookup(Summary!$C63,Summary!$C$2:$Q$103,3+counta($F$1:H$1),false)</f>
        <v>0.79999</v>
      </c>
      <c r="I63" s="99">
        <f>$D63-vlookup(Summary!$C63,Summary!$C$2:$Q$103,3+counta($F$1:I$1),false)</f>
        <v>0.19999</v>
      </c>
      <c r="J63" s="99">
        <f>$D63-vlookup(Summary!$C63,Summary!$C$2:$Q$103,3+counta($F$1:J$1),false)</f>
        <v>0.19999</v>
      </c>
      <c r="K63" s="99">
        <f>$D63-vlookup(Summary!$C63,Summary!$C$2:$Q$103,3+counta($F$1:K$1),false)</f>
        <v>0.19999</v>
      </c>
      <c r="L63" s="99">
        <f>$D63-vlookup(Summary!$C63,Summary!$C$2:$Q$103,3+counta($F$1:L$1),false)</f>
        <v>0</v>
      </c>
      <c r="M63" s="99">
        <f>$D63-vlookup(Summary!$C63,Summary!$C$2:$Q$103,3+counta($F$1:M$1),false)</f>
        <v>0.79999</v>
      </c>
      <c r="N63" s="99">
        <f>$D63-vlookup(Summary!$C63,Summary!$C$2:$Q$103,3+counta($F$1:N$1),false)</f>
        <v>0.09999</v>
      </c>
      <c r="O63" s="99">
        <f>$D63-vlookup(Summary!$C63,Summary!$C$2:$Q$103,3+counta($F$1:O$1),false)</f>
        <v>0.84999</v>
      </c>
      <c r="P63" s="99">
        <f>$D63-vlookup(Summary!$C63,Summary!$C$2:$Q$103,3+counta($F$1:P$1),false)</f>
        <v>0.39999</v>
      </c>
      <c r="Q63" s="99">
        <f>$D63-vlookup(Summary!$C63,Summary!$C$2:$Q$103,3+counta($F$1:Q$1),false)</f>
        <v>0.54999</v>
      </c>
    </row>
    <row r="64" ht="15.75" customHeight="1">
      <c r="A64" s="15">
        <f>Main!A64</f>
        <v>63</v>
      </c>
      <c r="B64" s="15" t="str">
        <f>Main!B64</f>
        <v>An artist or band on the Rock and Roll Hall of Fame has a performance using digital avatar (source https://en.wikipedia.org/wiki/List_of_Rock_and_Roll_Hall_of_Fame_inductees)</v>
      </c>
      <c r="C64" s="15" t="str">
        <f>Main!C64</f>
        <v>Society</v>
      </c>
      <c r="D64" s="106">
        <v>0.6</v>
      </c>
      <c r="F64" s="99">
        <f>$D64-vlookup(Summary!$C64,Summary!$C$2:$Q$103,3+counta($F$1:F$1),false)</f>
        <v>0.2</v>
      </c>
      <c r="G64" s="99">
        <f>$D64-vlookup(Summary!$C64,Summary!$C$2:$Q$103,3+counta($F$1:G$1),false)</f>
        <v>0</v>
      </c>
      <c r="H64" s="99">
        <f>$D64-vlookup(Summary!$C64,Summary!$C$2:$Q$103,3+counta($F$1:H$1),false)</f>
        <v>-0.1</v>
      </c>
      <c r="I64" s="99">
        <f>$D64-vlookup(Summary!$C64,Summary!$C$2:$Q$103,3+counta($F$1:I$1),false)</f>
        <v>0.3</v>
      </c>
      <c r="J64" s="99">
        <f>$D64-vlookup(Summary!$C64,Summary!$C$2:$Q$103,3+counta($F$1:J$1),false)</f>
        <v>0.1</v>
      </c>
      <c r="K64" s="99">
        <f>$D64-vlookup(Summary!$C64,Summary!$C$2:$Q$103,3+counta($F$1:K$1),false)</f>
        <v>0</v>
      </c>
      <c r="L64" s="99">
        <f>$D64-vlookup(Summary!$C64,Summary!$C$2:$Q$103,3+counta($F$1:L$1),false)</f>
        <v>0</v>
      </c>
      <c r="M64" s="99">
        <f>$D64-vlookup(Summary!$C64,Summary!$C$2:$Q$103,3+counta($F$1:M$1),false)</f>
        <v>-0.1</v>
      </c>
      <c r="N64" s="99">
        <f>$D64-vlookup(Summary!$C64,Summary!$C$2:$Q$103,3+counta($F$1:N$1),false)</f>
        <v>0.4</v>
      </c>
      <c r="O64" s="99">
        <f>$D64-vlookup(Summary!$C64,Summary!$C$2:$Q$103,3+counta($F$1:O$1),false)</f>
        <v>0.45</v>
      </c>
      <c r="P64" s="99">
        <f>$D64-vlookup(Summary!$C64,Summary!$C$2:$Q$103,3+counta($F$1:P$1),false)</f>
        <v>0.5</v>
      </c>
      <c r="Q64" s="99">
        <f>$D64-vlookup(Summary!$C64,Summary!$C$2:$Q$103,3+counta($F$1:Q$1),false)</f>
        <v>0.1</v>
      </c>
    </row>
    <row r="65" ht="15.75" customHeight="1">
      <c r="A65" s="15">
        <f>Main!A65</f>
        <v>64</v>
      </c>
      <c r="B65" s="15" t="str">
        <f>Main!B65</f>
        <v>No Australian tennis player will win a senior Championship event at the Australian Open in 2022</v>
      </c>
      <c r="C65" s="15" t="str">
        <f>Main!C65</f>
        <v>Sport</v>
      </c>
      <c r="D65" s="106">
        <v>0.0</v>
      </c>
      <c r="F65" s="99">
        <f>$D65-vlookup(Summary!$C65,Summary!$C$2:$Q$103,3+counta($F$1:F$1),false)</f>
        <v>0</v>
      </c>
      <c r="G65" s="99">
        <f>$D65-vlookup(Summary!$C65,Summary!$C$2:$Q$103,3+counta($F$1:G$1),false)</f>
        <v>0</v>
      </c>
      <c r="H65" s="99">
        <f>$D65-vlookup(Summary!$C65,Summary!$C$2:$Q$103,3+counta($F$1:H$1),false)</f>
        <v>0</v>
      </c>
      <c r="I65" s="99">
        <f>$D65-vlookup(Summary!$C65,Summary!$C$2:$Q$103,3+counta($F$1:I$1),false)</f>
        <v>0</v>
      </c>
      <c r="J65" s="99">
        <f>$D65-vlookup(Summary!$C65,Summary!$C$2:$Q$103,3+counta($F$1:J$1),false)</f>
        <v>-0.6</v>
      </c>
      <c r="K65" s="99">
        <f>$D65-vlookup(Summary!$C65,Summary!$C$2:$Q$103,3+counta($F$1:K$1),false)</f>
        <v>0</v>
      </c>
      <c r="L65" s="99">
        <f>$D65-vlookup(Summary!$C65,Summary!$C$2:$Q$103,3+counta($F$1:L$1),false)</f>
        <v>0</v>
      </c>
      <c r="M65" s="99">
        <f>$D65-vlookup(Summary!$C65,Summary!$C$2:$Q$103,3+counta($F$1:M$1),false)</f>
        <v>0</v>
      </c>
      <c r="N65" s="99">
        <f>$D65-vlookup(Summary!$C65,Summary!$C$2:$Q$103,3+counta($F$1:N$1),false)</f>
        <v>-0.1</v>
      </c>
      <c r="O65" s="99">
        <f>$D65-vlookup(Summary!$C65,Summary!$C$2:$Q$103,3+counta($F$1:O$1),false)</f>
        <v>0</v>
      </c>
      <c r="P65" s="99">
        <f>$D65-vlookup(Summary!$C65,Summary!$C$2:$Q$103,3+counta($F$1:P$1),false)</f>
        <v>-0.5</v>
      </c>
      <c r="Q65" s="99">
        <f>$D65-vlookup(Summary!$C65,Summary!$C$2:$Q$103,3+counta($F$1:Q$1),false)</f>
        <v>-0.2</v>
      </c>
    </row>
    <row r="66" ht="15.75" customHeight="1">
      <c r="A66" s="15">
        <f>Main!A66</f>
        <v>65</v>
      </c>
      <c r="B66" s="15" t="str">
        <f>Main!B66</f>
        <v>Daniel Ricciardo will win the Australian GP in 2022.</v>
      </c>
      <c r="C66" s="15" t="str">
        <f>Main!C66</f>
        <v>Sport</v>
      </c>
      <c r="D66" s="106">
        <v>0.2</v>
      </c>
      <c r="F66" s="99">
        <f>$D66-vlookup(Summary!$C66,Summary!$C$2:$Q$103,3+counta($F$1:F$1),false)</f>
        <v>-0.3</v>
      </c>
      <c r="G66" s="99">
        <f>$D66-vlookup(Summary!$C66,Summary!$C$2:$Q$103,3+counta($F$1:G$1),false)</f>
        <v>0.1</v>
      </c>
      <c r="H66" s="99">
        <f>$D66-vlookup(Summary!$C66,Summary!$C$2:$Q$103,3+counta($F$1:H$1),false)</f>
        <v>-0.3</v>
      </c>
      <c r="I66" s="99">
        <f>$D66-vlookup(Summary!$C66,Summary!$C$2:$Q$103,3+counta($F$1:I$1),false)</f>
        <v>-0.3</v>
      </c>
      <c r="J66" s="99">
        <f>$D66-vlookup(Summary!$C66,Summary!$C$2:$Q$103,3+counta($F$1:J$1),false)</f>
        <v>-0.1</v>
      </c>
      <c r="K66" s="99">
        <f>$D66-vlookup(Summary!$C66,Summary!$C$2:$Q$103,3+counta($F$1:K$1),false)</f>
        <v>-0.4</v>
      </c>
      <c r="L66" s="99">
        <f>$D66-vlookup(Summary!$C66,Summary!$C$2:$Q$103,3+counta($F$1:L$1),false)</f>
        <v>0</v>
      </c>
      <c r="M66" s="99">
        <f>$D66-vlookup(Summary!$C66,Summary!$C$2:$Q$103,3+counta($F$1:M$1),false)</f>
        <v>-0.3</v>
      </c>
      <c r="N66" s="99">
        <f>$D66-vlookup(Summary!$C66,Summary!$C$2:$Q$103,3+counta($F$1:N$1),false)</f>
        <v>0.1</v>
      </c>
      <c r="O66" s="99">
        <f>$D66-vlookup(Summary!$C66,Summary!$C$2:$Q$103,3+counta($F$1:O$1),false)</f>
        <v>-0.3</v>
      </c>
      <c r="P66" s="99">
        <f>$D66-vlookup(Summary!$C66,Summary!$C$2:$Q$103,3+counta($F$1:P$1),false)</f>
        <v>0.1</v>
      </c>
      <c r="Q66" s="99">
        <f>$D66-vlookup(Summary!$C66,Summary!$C$2:$Q$103,3+counta($F$1:Q$1),false)</f>
        <v>0.1</v>
      </c>
    </row>
    <row r="67" ht="15.75" customHeight="1">
      <c r="A67" s="15">
        <f>Main!A67</f>
        <v>66</v>
      </c>
      <c r="B67" s="15" t="str">
        <f>Main!B67</f>
        <v>Collingwood will make it into the top 8 at the end of the footy season</v>
      </c>
      <c r="C67" s="15" t="str">
        <f>Main!C67</f>
        <v>Sport</v>
      </c>
      <c r="D67" s="106">
        <v>0.5</v>
      </c>
      <c r="F67" s="99">
        <f>$D67-vlookup(Summary!$C67,Summary!$C$2:$Q$103,3+counta($F$1:F$1),false)</f>
        <v>0</v>
      </c>
      <c r="G67" s="99">
        <f>$D67-vlookup(Summary!$C67,Summary!$C$2:$Q$103,3+counta($F$1:G$1),false)</f>
        <v>0.4</v>
      </c>
      <c r="H67" s="99">
        <f>$D67-vlookup(Summary!$C67,Summary!$C$2:$Q$103,3+counta($F$1:H$1),false)</f>
        <v>0.05</v>
      </c>
      <c r="I67" s="99">
        <f>$D67-vlookup(Summary!$C67,Summary!$C$2:$Q$103,3+counta($F$1:I$1),false)</f>
        <v>0</v>
      </c>
      <c r="J67" s="99">
        <f>$D67-vlookup(Summary!$C67,Summary!$C$2:$Q$103,3+counta($F$1:J$1),false)</f>
        <v>-0.1</v>
      </c>
      <c r="K67" s="99">
        <f>$D67-vlookup(Summary!$C67,Summary!$C$2:$Q$103,3+counta($F$1:K$1),false)</f>
        <v>-0.1</v>
      </c>
      <c r="L67" s="99">
        <f>$D67-vlookup(Summary!$C67,Summary!$C$2:$Q$103,3+counta($F$1:L$1),false)</f>
        <v>0</v>
      </c>
      <c r="M67" s="99">
        <f>$D67-vlookup(Summary!$C67,Summary!$C$2:$Q$103,3+counta($F$1:M$1),false)</f>
        <v>0.05</v>
      </c>
      <c r="N67" s="99">
        <f>$D67-vlookup(Summary!$C67,Summary!$C$2:$Q$103,3+counta($F$1:N$1),false)</f>
        <v>-0.2</v>
      </c>
      <c r="O67" s="99">
        <f>$D67-vlookup(Summary!$C67,Summary!$C$2:$Q$103,3+counta($F$1:O$1),false)</f>
        <v>0</v>
      </c>
      <c r="P67" s="99">
        <f>$D67-vlookup(Summary!$C67,Summary!$C$2:$Q$103,3+counta($F$1:P$1),false)</f>
        <v>0.4</v>
      </c>
      <c r="Q67" s="99">
        <f>$D67-vlookup(Summary!$C67,Summary!$C$2:$Q$103,3+counta($F$1:Q$1),false)</f>
        <v>-0.1</v>
      </c>
    </row>
    <row r="68" ht="15.75" customHeight="1">
      <c r="A68" s="15">
        <f>Main!A68</f>
        <v>67</v>
      </c>
      <c r="B68" s="15" t="str">
        <f>Main!B68</f>
        <v>Italy will defeat Portugal in their qualifying match and reach the finals of the Football World Cup</v>
      </c>
      <c r="C68" s="15" t="str">
        <f>Main!C68</f>
        <v>Sport</v>
      </c>
      <c r="D68" s="106">
        <v>0.05</v>
      </c>
      <c r="F68" s="99">
        <f>$D68-vlookup(Summary!$C68,Summary!$C$2:$Q$103,3+counta($F$1:F$1),false)</f>
        <v>-0.45</v>
      </c>
      <c r="G68" s="99">
        <f>$D68-vlookup(Summary!$C68,Summary!$C$2:$Q$103,3+counta($F$1:G$1),false)</f>
        <v>-0.55</v>
      </c>
      <c r="H68" s="99">
        <f>$D68-vlookup(Summary!$C68,Summary!$C$2:$Q$103,3+counta($F$1:H$1),false)</f>
        <v>-0.65</v>
      </c>
      <c r="I68" s="99">
        <f>$D68-vlookup(Summary!$C68,Summary!$C$2:$Q$103,3+counta($F$1:I$1),false)</f>
        <v>-0.45</v>
      </c>
      <c r="J68" s="99">
        <f>$D68-vlookup(Summary!$C68,Summary!$C$2:$Q$103,3+counta($F$1:J$1),false)</f>
        <v>-0.45</v>
      </c>
      <c r="K68" s="99">
        <f>$D68-vlookup(Summary!$C68,Summary!$C$2:$Q$103,3+counta($F$1:K$1),false)</f>
        <v>-0.8</v>
      </c>
      <c r="L68" s="99">
        <f>$D68-vlookup(Summary!$C68,Summary!$C$2:$Q$103,3+counta($F$1:L$1),false)</f>
        <v>0</v>
      </c>
      <c r="M68" s="99">
        <f>$D68-vlookup(Summary!$C68,Summary!$C$2:$Q$103,3+counta($F$1:M$1),false)</f>
        <v>-0.65</v>
      </c>
      <c r="N68" s="99">
        <f>$D68-vlookup(Summary!$C68,Summary!$C$2:$Q$103,3+counta($F$1:N$1),false)</f>
        <v>-0.45</v>
      </c>
      <c r="O68" s="99">
        <f>$D68-vlookup(Summary!$C68,Summary!$C$2:$Q$103,3+counta($F$1:O$1),false)</f>
        <v>-0.45</v>
      </c>
      <c r="P68" s="99">
        <f>$D68-vlookup(Summary!$C68,Summary!$C$2:$Q$103,3+counta($F$1:P$1),false)</f>
        <v>-0.85</v>
      </c>
      <c r="Q68" s="99">
        <f>$D68-vlookup(Summary!$C68,Summary!$C$2:$Q$103,3+counta($F$1:Q$1),false)</f>
        <v>-0.75</v>
      </c>
    </row>
    <row r="69" ht="15.75" customHeight="1">
      <c r="A69" s="15">
        <f>Main!A69</f>
        <v>68</v>
      </c>
      <c r="B69" s="15" t="str">
        <f>Main!B69</f>
        <v>Ash Barty will be world number 1 in the WRA rankings after the US Open</v>
      </c>
      <c r="C69" s="15" t="str">
        <f>Main!C69</f>
        <v>Sport</v>
      </c>
      <c r="D69" s="106">
        <v>0.999</v>
      </c>
      <c r="F69" s="99">
        <f>$D69-vlookup(Summary!$C69,Summary!$C$2:$Q$103,3+counta($F$1:F$1),false)</f>
        <v>0.199</v>
      </c>
      <c r="G69" s="99">
        <f>$D69-vlookup(Summary!$C69,Summary!$C$2:$Q$103,3+counta($F$1:G$1),false)</f>
        <v>0.099</v>
      </c>
      <c r="H69" s="99">
        <f>$D69-vlookup(Summary!$C69,Summary!$C$2:$Q$103,3+counta($F$1:H$1),false)</f>
        <v>0.199</v>
      </c>
      <c r="I69" s="99">
        <f>$D69-vlookup(Summary!$C69,Summary!$C$2:$Q$103,3+counta($F$1:I$1),false)</f>
        <v>0.199</v>
      </c>
      <c r="J69" s="99">
        <f>$D69-vlookup(Summary!$C69,Summary!$C$2:$Q$103,3+counta($F$1:J$1),false)</f>
        <v>0.199</v>
      </c>
      <c r="K69" s="99">
        <f>$D69-vlookup(Summary!$C69,Summary!$C$2:$Q$103,3+counta($F$1:K$1),false)</f>
        <v>0.019</v>
      </c>
      <c r="L69" s="99">
        <f>$D69-vlookup(Summary!$C69,Summary!$C$2:$Q$103,3+counta($F$1:L$1),false)</f>
        <v>0</v>
      </c>
      <c r="M69" s="99">
        <f>$D69-vlookup(Summary!$C69,Summary!$C$2:$Q$103,3+counta($F$1:M$1),false)</f>
        <v>0.199</v>
      </c>
      <c r="N69" s="99">
        <f>$D69-vlookup(Summary!$C69,Summary!$C$2:$Q$103,3+counta($F$1:N$1),false)</f>
        <v>0.099</v>
      </c>
      <c r="O69" s="99">
        <f>$D69-vlookup(Summary!$C69,Summary!$C$2:$Q$103,3+counta($F$1:O$1),false)</f>
        <v>0.499</v>
      </c>
      <c r="P69" s="99">
        <f>$D69-vlookup(Summary!$C69,Summary!$C$2:$Q$103,3+counta($F$1:P$1),false)</f>
        <v>0.099</v>
      </c>
      <c r="Q69" s="99">
        <f>$D69-vlookup(Summary!$C69,Summary!$C$2:$Q$103,3+counta($F$1:Q$1),false)</f>
        <v>0.449</v>
      </c>
    </row>
    <row r="70" ht="15.75" customHeight="1">
      <c r="A70" s="15">
        <f>Main!A70</f>
        <v>69</v>
      </c>
      <c r="B70" s="15" t="str">
        <f>Main!B70</f>
        <v>Neither Roger Federer nor Serena Williams will win a Grand Slam tennis tournament</v>
      </c>
      <c r="C70" s="15" t="str">
        <f>Main!C70</f>
        <v>Sport</v>
      </c>
      <c r="D70" s="106">
        <v>0.999</v>
      </c>
      <c r="F70" s="99">
        <f>$D70-vlookup(Summary!$C70,Summary!$C$2:$Q$103,3+counta($F$1:F$1),false)</f>
        <v>0.349</v>
      </c>
      <c r="G70" s="99">
        <f>$D70-vlookup(Summary!$C70,Summary!$C$2:$Q$103,3+counta($F$1:G$1),false)</f>
        <v>0.199</v>
      </c>
      <c r="H70" s="99">
        <f>$D70-vlookup(Summary!$C70,Summary!$C$2:$Q$103,3+counta($F$1:H$1),false)</f>
        <v>0.049</v>
      </c>
      <c r="I70" s="99">
        <f>$D70-vlookup(Summary!$C70,Summary!$C$2:$Q$103,3+counta($F$1:I$1),false)</f>
        <v>0.599</v>
      </c>
      <c r="J70" s="99">
        <f>$D70-vlookup(Summary!$C70,Summary!$C$2:$Q$103,3+counta($F$1:J$1),false)</f>
        <v>0.199</v>
      </c>
      <c r="K70" s="99">
        <f>$D70-vlookup(Summary!$C70,Summary!$C$2:$Q$103,3+counta($F$1:K$1),false)</f>
        <v>0.099</v>
      </c>
      <c r="L70" s="99">
        <f>$D70-vlookup(Summary!$C70,Summary!$C$2:$Q$103,3+counta($F$1:L$1),false)</f>
        <v>0</v>
      </c>
      <c r="M70" s="99">
        <f>$D70-vlookup(Summary!$C70,Summary!$C$2:$Q$103,3+counta($F$1:M$1),false)</f>
        <v>0.049</v>
      </c>
      <c r="N70" s="99">
        <f>$D70-vlookup(Summary!$C70,Summary!$C$2:$Q$103,3+counta($F$1:N$1),false)</f>
        <v>0.199</v>
      </c>
      <c r="O70" s="99">
        <f>$D70-vlookup(Summary!$C70,Summary!$C$2:$Q$103,3+counta($F$1:O$1),false)</f>
        <v>0.149</v>
      </c>
      <c r="P70" s="99">
        <f>$D70-vlookup(Summary!$C70,Summary!$C$2:$Q$103,3+counta($F$1:P$1),false)</f>
        <v>0.899</v>
      </c>
      <c r="Q70" s="99">
        <f>$D70-vlookup(Summary!$C70,Summary!$C$2:$Q$103,3+counta($F$1:Q$1),false)</f>
        <v>0.499</v>
      </c>
    </row>
    <row r="71" ht="15.75" customHeight="1">
      <c r="A71" s="15">
        <f>Main!A71</f>
        <v>70</v>
      </c>
      <c r="B71" s="15" t="str">
        <f>Main!B71</f>
        <v>The Football World Cup will not go ahead on the scheduled dates in Qatar</v>
      </c>
      <c r="C71" s="15" t="str">
        <f>Main!C71</f>
        <v>Sport</v>
      </c>
      <c r="D71" s="106">
        <v>0.55</v>
      </c>
      <c r="F71" s="99">
        <f>$D71-vlookup(Summary!$C71,Summary!$C$2:$Q$103,3+counta($F$1:F$1),false)</f>
        <v>0.15</v>
      </c>
      <c r="G71" s="99">
        <f>$D71-vlookup(Summary!$C71,Summary!$C$2:$Q$103,3+counta($F$1:G$1),false)</f>
        <v>0.3</v>
      </c>
      <c r="H71" s="99">
        <f>$D71-vlookup(Summary!$C71,Summary!$C$2:$Q$103,3+counta($F$1:H$1),false)</f>
        <v>0.45</v>
      </c>
      <c r="I71" s="99">
        <f>$D71-vlookup(Summary!$C71,Summary!$C$2:$Q$103,3+counta($F$1:I$1),false)</f>
        <v>0.05</v>
      </c>
      <c r="J71" s="99">
        <f>$D71-vlookup(Summary!$C71,Summary!$C$2:$Q$103,3+counta($F$1:J$1),false)</f>
        <v>0.05</v>
      </c>
      <c r="K71" s="99">
        <f>$D71-vlookup(Summary!$C71,Summary!$C$2:$Q$103,3+counta($F$1:K$1),false)</f>
        <v>0.25</v>
      </c>
      <c r="L71" s="99">
        <f>$D71-vlookup(Summary!$C71,Summary!$C$2:$Q$103,3+counta($F$1:L$1),false)</f>
        <v>0</v>
      </c>
      <c r="M71" s="99">
        <f>$D71-vlookup(Summary!$C71,Summary!$C$2:$Q$103,3+counta($F$1:M$1),false)</f>
        <v>0.45</v>
      </c>
      <c r="N71" s="99">
        <f>$D71-vlookup(Summary!$C71,Summary!$C$2:$Q$103,3+counta($F$1:N$1),false)</f>
        <v>0.45</v>
      </c>
      <c r="O71" s="99">
        <f>$D71-vlookup(Summary!$C71,Summary!$C$2:$Q$103,3+counta($F$1:O$1),false)</f>
        <v>-0.1</v>
      </c>
      <c r="P71" s="99">
        <f>$D71-vlookup(Summary!$C71,Summary!$C$2:$Q$103,3+counta($F$1:P$1),false)</f>
        <v>-0.35</v>
      </c>
      <c r="Q71" s="99">
        <f>$D71-vlookup(Summary!$C71,Summary!$C$2:$Q$103,3+counta($F$1:Q$1),false)</f>
        <v>0.35</v>
      </c>
    </row>
    <row r="72" ht="15.75" customHeight="1">
      <c r="A72" s="15">
        <f>Main!A72</f>
        <v>71</v>
      </c>
      <c r="B72" s="15" t="str">
        <f>Main!B72</f>
        <v>Lewis hamilton will win the 2022 world championship in Formula 1</v>
      </c>
      <c r="C72" s="15" t="str">
        <f>Main!C72</f>
        <v>Sport</v>
      </c>
      <c r="D72" s="106">
        <v>0.6</v>
      </c>
      <c r="F72" s="99">
        <f>$D72-vlookup(Summary!$C72,Summary!$C$2:$Q$103,3+counta($F$1:F$1),false)</f>
        <v>0</v>
      </c>
      <c r="G72" s="99">
        <f>$D72-vlookup(Summary!$C72,Summary!$C$2:$Q$103,3+counta($F$1:G$1),false)</f>
        <v>0.4</v>
      </c>
      <c r="H72" s="99">
        <f>$D72-vlookup(Summary!$C72,Summary!$C$2:$Q$103,3+counta($F$1:H$1),false)</f>
        <v>0</v>
      </c>
      <c r="I72" s="99">
        <f>$D72-vlookup(Summary!$C72,Summary!$C$2:$Q$103,3+counta($F$1:I$1),false)</f>
        <v>0.1</v>
      </c>
      <c r="J72" s="99">
        <f>$D72-vlookup(Summary!$C72,Summary!$C$2:$Q$103,3+counta($F$1:J$1),false)</f>
        <v>-0.2</v>
      </c>
      <c r="K72" s="99">
        <f>$D72-vlookup(Summary!$C72,Summary!$C$2:$Q$103,3+counta($F$1:K$1),false)</f>
        <v>-0.2</v>
      </c>
      <c r="L72" s="99">
        <f>$D72-vlookup(Summary!$C72,Summary!$C$2:$Q$103,3+counta($F$1:L$1),false)</f>
        <v>0</v>
      </c>
      <c r="M72" s="99">
        <f>$D72-vlookup(Summary!$C72,Summary!$C$2:$Q$103,3+counta($F$1:M$1),false)</f>
        <v>0</v>
      </c>
      <c r="N72" s="99">
        <f>$D72-vlookup(Summary!$C72,Summary!$C$2:$Q$103,3+counta($F$1:N$1),false)</f>
        <v>-0.2</v>
      </c>
      <c r="O72" s="99">
        <f>$D72-vlookup(Summary!$C72,Summary!$C$2:$Q$103,3+counta($F$1:O$1),false)</f>
        <v>0.25</v>
      </c>
      <c r="P72" s="99">
        <f>$D72-vlookup(Summary!$C72,Summary!$C$2:$Q$103,3+counta($F$1:P$1),false)</f>
        <v>-0.3</v>
      </c>
      <c r="Q72" s="99">
        <f>$D72-vlookup(Summary!$C72,Summary!$C$2:$Q$103,3+counta($F$1:Q$1),false)</f>
        <v>-0.05</v>
      </c>
    </row>
    <row r="73" ht="15.75" customHeight="1">
      <c r="A73" s="15">
        <f>Main!A73</f>
        <v>72</v>
      </c>
      <c r="B73" s="15" t="str">
        <f>Main!B73</f>
        <v>The Haas F1 team will score 0 points in the 2022 season</v>
      </c>
      <c r="C73" s="15" t="str">
        <f>Main!C73</f>
        <v>Sport</v>
      </c>
      <c r="D73" s="106">
        <v>0.5</v>
      </c>
      <c r="F73" s="99">
        <f>$D73-vlookup(Summary!$C73,Summary!$C$2:$Q$103,3+counta($F$1:F$1),false)</f>
        <v>0</v>
      </c>
      <c r="G73" s="99">
        <f>$D73-vlookup(Summary!$C73,Summary!$C$2:$Q$103,3+counta($F$1:G$1),false)</f>
        <v>-0.2</v>
      </c>
      <c r="H73" s="99">
        <f>$D73-vlookup(Summary!$C73,Summary!$C$2:$Q$103,3+counta($F$1:H$1),false)</f>
        <v>0</v>
      </c>
      <c r="I73" s="99">
        <f>$D73-vlookup(Summary!$C73,Summary!$C$2:$Q$103,3+counta($F$1:I$1),false)</f>
        <v>0</v>
      </c>
      <c r="J73" s="99">
        <f>$D73-vlookup(Summary!$C73,Summary!$C$2:$Q$103,3+counta($F$1:J$1),false)</f>
        <v>0.2</v>
      </c>
      <c r="K73" s="99">
        <f>$D73-vlookup(Summary!$C73,Summary!$C$2:$Q$103,3+counta($F$1:K$1),false)</f>
        <v>0</v>
      </c>
      <c r="L73" s="99">
        <f>$D73-vlookup(Summary!$C73,Summary!$C$2:$Q$103,3+counta($F$1:L$1),false)</f>
        <v>0</v>
      </c>
      <c r="M73" s="99">
        <f>$D73-vlookup(Summary!$C73,Summary!$C$2:$Q$103,3+counta($F$1:M$1),false)</f>
        <v>0</v>
      </c>
      <c r="N73" s="99">
        <f>$D73-vlookup(Summary!$C73,Summary!$C$2:$Q$103,3+counta($F$1:N$1),false)</f>
        <v>0</v>
      </c>
      <c r="O73" s="99">
        <f>$D73-vlookup(Summary!$C73,Summary!$C$2:$Q$103,3+counta($F$1:O$1),false)</f>
        <v>-0.15</v>
      </c>
      <c r="P73" s="99">
        <f>$D73-vlookup(Summary!$C73,Summary!$C$2:$Q$103,3+counta($F$1:P$1),false)</f>
        <v>0.4</v>
      </c>
      <c r="Q73" s="99">
        <f>$D73-vlookup(Summary!$C73,Summary!$C$2:$Q$103,3+counta($F$1:Q$1),false)</f>
        <v>-0.1</v>
      </c>
    </row>
    <row r="74" ht="15.75" customHeight="1">
      <c r="A74" s="15">
        <f>Main!A74</f>
        <v>73</v>
      </c>
      <c r="B74" s="15" t="str">
        <f>Main!B74</f>
        <v>ULA's vulcan centaur will launch succesfully (places a payload into orbit)</v>
      </c>
      <c r="C74" s="15" t="str">
        <f>Main!C74</f>
        <v>Technology</v>
      </c>
      <c r="D74" s="106">
        <v>0.2</v>
      </c>
      <c r="F74" s="99">
        <f>$D74-vlookup(Summary!$C74,Summary!$C$2:$Q$103,3+counta($F$1:F$1),false)</f>
        <v>-0.4</v>
      </c>
      <c r="G74" s="99">
        <f>$D74-vlookup(Summary!$C74,Summary!$C$2:$Q$103,3+counta($F$1:G$1),false)</f>
        <v>-0.5</v>
      </c>
      <c r="H74" s="99">
        <f>$D74-vlookup(Summary!$C74,Summary!$C$2:$Q$103,3+counta($F$1:H$1),false)</f>
        <v>-0.5</v>
      </c>
      <c r="I74" s="99">
        <f>$D74-vlookup(Summary!$C74,Summary!$C$2:$Q$103,3+counta($F$1:I$1),false)</f>
        <v>-0.4</v>
      </c>
      <c r="J74" s="99">
        <f>$D74-vlookup(Summary!$C74,Summary!$C$2:$Q$103,3+counta($F$1:J$1),false)</f>
        <v>-0.4</v>
      </c>
      <c r="K74" s="99">
        <f>$D74-vlookup(Summary!$C74,Summary!$C$2:$Q$103,3+counta($F$1:K$1),false)</f>
        <v>-0.4</v>
      </c>
      <c r="L74" s="99">
        <f>$D74-vlookup(Summary!$C74,Summary!$C$2:$Q$103,3+counta($F$1:L$1),false)</f>
        <v>0</v>
      </c>
      <c r="M74" s="99">
        <f>$D74-vlookup(Summary!$C74,Summary!$C$2:$Q$103,3+counta($F$1:M$1),false)</f>
        <v>-0.5</v>
      </c>
      <c r="N74" s="99">
        <f>$D74-vlookup(Summary!$C74,Summary!$C$2:$Q$103,3+counta($F$1:N$1),false)</f>
        <v>-0.2</v>
      </c>
      <c r="O74" s="99">
        <f>$D74-vlookup(Summary!$C74,Summary!$C$2:$Q$103,3+counta($F$1:O$1),false)</f>
        <v>-0.65</v>
      </c>
      <c r="P74" s="99">
        <f>$D74-vlookup(Summary!$C74,Summary!$C$2:$Q$103,3+counta($F$1:P$1),false)</f>
        <v>-0.3</v>
      </c>
      <c r="Q74" s="99">
        <f>$D74-vlookup(Summary!$C74,Summary!$C$2:$Q$103,3+counta($F$1:Q$1),false)</f>
        <v>-0.3</v>
      </c>
    </row>
    <row r="75" ht="15.75" customHeight="1">
      <c r="A75" s="15">
        <f>Main!A75</f>
        <v>74</v>
      </c>
      <c r="B75" s="15" t="str">
        <f>Main!B75</f>
        <v>NASA will declare its Artemis 1 mission a success</v>
      </c>
      <c r="C75" s="15" t="str">
        <f>Main!C75</f>
        <v>Technology</v>
      </c>
      <c r="D75" s="106">
        <v>0.6</v>
      </c>
      <c r="F75" s="99">
        <f>$D75-vlookup(Summary!$C75,Summary!$C$2:$Q$103,3+counta($F$1:F$1),false)</f>
        <v>-0.1</v>
      </c>
      <c r="G75" s="99">
        <f>$D75-vlookup(Summary!$C75,Summary!$C$2:$Q$103,3+counta($F$1:G$1),false)</f>
        <v>-0.2</v>
      </c>
      <c r="H75" s="99">
        <f>$D75-vlookup(Summary!$C75,Summary!$C$2:$Q$103,3+counta($F$1:H$1),false)</f>
        <v>-0.1</v>
      </c>
      <c r="I75" s="99">
        <f>$D75-vlookup(Summary!$C75,Summary!$C$2:$Q$103,3+counta($F$1:I$1),false)</f>
        <v>-0.1</v>
      </c>
      <c r="J75" s="99">
        <f>$D75-vlookup(Summary!$C75,Summary!$C$2:$Q$103,3+counta($F$1:J$1),false)</f>
        <v>-0.1</v>
      </c>
      <c r="K75" s="99">
        <f>$D75-vlookup(Summary!$C75,Summary!$C$2:$Q$103,3+counta($F$1:K$1),false)</f>
        <v>-0.2</v>
      </c>
      <c r="L75" s="99">
        <f>$D75-vlookup(Summary!$C75,Summary!$C$2:$Q$103,3+counta($F$1:L$1),false)</f>
        <v>0</v>
      </c>
      <c r="M75" s="99">
        <f>$D75-vlookup(Summary!$C75,Summary!$C$2:$Q$103,3+counta($F$1:M$1),false)</f>
        <v>-0.1</v>
      </c>
      <c r="N75" s="99">
        <f>$D75-vlookup(Summary!$C75,Summary!$C$2:$Q$103,3+counta($F$1:N$1),false)</f>
        <v>0.1</v>
      </c>
      <c r="O75" s="99">
        <f>$D75-vlookup(Summary!$C75,Summary!$C$2:$Q$103,3+counta($F$1:O$1),false)</f>
        <v>-0.05</v>
      </c>
      <c r="P75" s="99">
        <f>$D75-vlookup(Summary!$C75,Summary!$C$2:$Q$103,3+counta($F$1:P$1),false)</f>
        <v>0.1</v>
      </c>
      <c r="Q75" s="99">
        <f>$D75-vlookup(Summary!$C75,Summary!$C$2:$Q$103,3+counta($F$1:Q$1),false)</f>
        <v>-0.1</v>
      </c>
    </row>
    <row r="76" ht="15.75" customHeight="1">
      <c r="A76" s="15">
        <f>Main!A76</f>
        <v>75</v>
      </c>
      <c r="B76" s="15" t="str">
        <f>Main!B76</f>
        <v>Starship/Superheavy will place Starship into a (partial) orbital trajectory</v>
      </c>
      <c r="C76" s="15" t="str">
        <f>Main!C76</f>
        <v>Technology</v>
      </c>
      <c r="D76" s="106">
        <v>0.5</v>
      </c>
      <c r="F76" s="99">
        <f>$D76-vlookup(Summary!$C76,Summary!$C$2:$Q$103,3+counta($F$1:F$1),false)</f>
        <v>-0.15</v>
      </c>
      <c r="G76" s="99">
        <f>$D76-vlookup(Summary!$C76,Summary!$C$2:$Q$103,3+counta($F$1:G$1),false)</f>
        <v>-0.1</v>
      </c>
      <c r="H76" s="99">
        <f>$D76-vlookup(Summary!$C76,Summary!$C$2:$Q$103,3+counta($F$1:H$1),false)</f>
        <v>-0.1</v>
      </c>
      <c r="I76" s="99">
        <f>$D76-vlookup(Summary!$C76,Summary!$C$2:$Q$103,3+counta($F$1:I$1),false)</f>
        <v>-0.15</v>
      </c>
      <c r="J76" s="99">
        <f>$D76-vlookup(Summary!$C76,Summary!$C$2:$Q$103,3+counta($F$1:J$1),false)</f>
        <v>-0.2</v>
      </c>
      <c r="K76" s="99">
        <f>$D76-vlookup(Summary!$C76,Summary!$C$2:$Q$103,3+counta($F$1:K$1),false)</f>
        <v>0</v>
      </c>
      <c r="L76" s="99">
        <f>$D76-vlookup(Summary!$C76,Summary!$C$2:$Q$103,3+counta($F$1:L$1),false)</f>
        <v>0</v>
      </c>
      <c r="M76" s="99">
        <f>$D76-vlookup(Summary!$C76,Summary!$C$2:$Q$103,3+counta($F$1:M$1),false)</f>
        <v>-0.1</v>
      </c>
      <c r="N76" s="99">
        <f>$D76-vlookup(Summary!$C76,Summary!$C$2:$Q$103,3+counta($F$1:N$1),false)</f>
        <v>0</v>
      </c>
      <c r="O76" s="99">
        <f>$D76-vlookup(Summary!$C76,Summary!$C$2:$Q$103,3+counta($F$1:O$1),false)</f>
        <v>-0.35</v>
      </c>
      <c r="P76" s="99">
        <f>$D76-vlookup(Summary!$C76,Summary!$C$2:$Q$103,3+counta($F$1:P$1),false)</f>
        <v>0</v>
      </c>
      <c r="Q76" s="99">
        <f>$D76-vlookup(Summary!$C76,Summary!$C$2:$Q$103,3+counta($F$1:Q$1),false)</f>
        <v>0</v>
      </c>
    </row>
    <row r="77" ht="15.75" customHeight="1">
      <c r="A77" s="15">
        <f>Main!A77</f>
        <v>76</v>
      </c>
      <c r="B77" s="15" t="str">
        <f>Main!B77</f>
        <v>James Webb telescope will deploy at L2 and 1 image from its Near-Infrared Camera (NIRCam) will be available on the internet for viewing by the public</v>
      </c>
      <c r="C77" s="15" t="str">
        <f>Main!C77</f>
        <v>Technology</v>
      </c>
      <c r="D77" s="106">
        <v>0.7</v>
      </c>
      <c r="F77" s="99">
        <f>$D77-vlookup(Summary!$C77,Summary!$C$2:$Q$103,3+counta($F$1:F$1),false)</f>
        <v>0</v>
      </c>
      <c r="G77" s="99">
        <f>$D77-vlookup(Summary!$C77,Summary!$C$2:$Q$103,3+counta($F$1:G$1),false)</f>
        <v>-0.1</v>
      </c>
      <c r="H77" s="99">
        <f>$D77-vlookup(Summary!$C77,Summary!$C$2:$Q$103,3+counta($F$1:H$1),false)</f>
        <v>-0.2</v>
      </c>
      <c r="I77" s="99">
        <f>$D77-vlookup(Summary!$C77,Summary!$C$2:$Q$103,3+counta($F$1:I$1),false)</f>
        <v>0</v>
      </c>
      <c r="J77" s="99">
        <f>$D77-vlookup(Summary!$C77,Summary!$C$2:$Q$103,3+counta($F$1:J$1),false)</f>
        <v>-0.1</v>
      </c>
      <c r="K77" s="99">
        <f>$D77-vlookup(Summary!$C77,Summary!$C$2:$Q$103,3+counta($F$1:K$1),false)</f>
        <v>0.05</v>
      </c>
      <c r="L77" s="99">
        <f>$D77-vlookup(Summary!$C77,Summary!$C$2:$Q$103,3+counta($F$1:L$1),false)</f>
        <v>0</v>
      </c>
      <c r="M77" s="99">
        <f>$D77-vlookup(Summary!$C77,Summary!$C$2:$Q$103,3+counta($F$1:M$1),false)</f>
        <v>-0.2</v>
      </c>
      <c r="N77" s="99">
        <f>$D77-vlookup(Summary!$C77,Summary!$C$2:$Q$103,3+counta($F$1:N$1),false)</f>
        <v>0.2</v>
      </c>
      <c r="O77" s="99">
        <f>$D77-vlookup(Summary!$C77,Summary!$C$2:$Q$103,3+counta($F$1:O$1),false)</f>
        <v>-0.299</v>
      </c>
      <c r="P77" s="99">
        <f>$D77-vlookup(Summary!$C77,Summary!$C$2:$Q$103,3+counta($F$1:P$1),false)</f>
        <v>-0.2</v>
      </c>
      <c r="Q77" s="99">
        <f>$D77-vlookup(Summary!$C77,Summary!$C$2:$Q$103,3+counta($F$1:Q$1),false)</f>
        <v>0.2</v>
      </c>
    </row>
    <row r="78" ht="15.75" customHeight="1">
      <c r="A78" s="15">
        <f>Main!A78</f>
        <v>77</v>
      </c>
      <c r="B78" s="15" t="str">
        <f>Main!B78</f>
        <v>Facebook connect 2022 (or its 'meta' equivalent) will be hosted in virtual reality / a ('the'?) metaverse</v>
      </c>
      <c r="C78" s="15" t="str">
        <f>Main!C78</f>
        <v>Technology</v>
      </c>
      <c r="D78" s="106">
        <v>0.5</v>
      </c>
      <c r="F78" s="99">
        <f>$D78-vlookup(Summary!$C78,Summary!$C$2:$Q$103,3+counta($F$1:F$1),false)</f>
        <v>0.2</v>
      </c>
      <c r="G78" s="99">
        <f>$D78-vlookup(Summary!$C78,Summary!$C$2:$Q$103,3+counta($F$1:G$1),false)</f>
        <v>-0.1</v>
      </c>
      <c r="H78" s="99">
        <f>$D78-vlookup(Summary!$C78,Summary!$C$2:$Q$103,3+counta($F$1:H$1),false)</f>
        <v>-0.4</v>
      </c>
      <c r="I78" s="99">
        <f>$D78-vlookup(Summary!$C78,Summary!$C$2:$Q$103,3+counta($F$1:I$1),false)</f>
        <v>0.4</v>
      </c>
      <c r="J78" s="99">
        <f>$D78-vlookup(Summary!$C78,Summary!$C$2:$Q$103,3+counta($F$1:J$1),false)</f>
        <v>-0.4</v>
      </c>
      <c r="K78" s="99">
        <f>$D78-vlookup(Summary!$C78,Summary!$C$2:$Q$103,3+counta($F$1:K$1),false)</f>
        <v>0</v>
      </c>
      <c r="L78" s="99">
        <f>$D78-vlookup(Summary!$C78,Summary!$C$2:$Q$103,3+counta($F$1:L$1),false)</f>
        <v>0</v>
      </c>
      <c r="M78" s="99">
        <f>$D78-vlookup(Summary!$C78,Summary!$C$2:$Q$103,3+counta($F$1:M$1),false)</f>
        <v>-0.4</v>
      </c>
      <c r="N78" s="99">
        <f>$D78-vlookup(Summary!$C78,Summary!$C$2:$Q$103,3+counta($F$1:N$1),false)</f>
        <v>0.3</v>
      </c>
      <c r="O78" s="99">
        <f>$D78-vlookup(Summary!$C78,Summary!$C$2:$Q$103,3+counta($F$1:O$1),false)</f>
        <v>0.15</v>
      </c>
      <c r="P78" s="99">
        <f>$D78-vlookup(Summary!$C78,Summary!$C$2:$Q$103,3+counta($F$1:P$1),false)</f>
        <v>0</v>
      </c>
      <c r="Q78" s="99">
        <f>$D78-vlookup(Summary!$C78,Summary!$C$2:$Q$103,3+counta($F$1:Q$1),false)</f>
        <v>-0.2</v>
      </c>
    </row>
    <row r="79" ht="15.75" customHeight="1">
      <c r="A79" s="15">
        <f>Main!A79</f>
        <v>78</v>
      </c>
      <c r="B79" s="15" t="str">
        <f>Main!B79</f>
        <v>Apple will announce mixed reality glasses</v>
      </c>
      <c r="C79" s="15" t="str">
        <f>Main!C79</f>
        <v>Technology</v>
      </c>
      <c r="D79" s="106">
        <v>0.45</v>
      </c>
      <c r="F79" s="99">
        <f>$D79-vlookup(Summary!$C79,Summary!$C$2:$Q$103,3+counta($F$1:F$1),false)</f>
        <v>0.2</v>
      </c>
      <c r="G79" s="99">
        <f>$D79-vlookup(Summary!$C79,Summary!$C$2:$Q$103,3+counta($F$1:G$1),false)</f>
        <v>0.05</v>
      </c>
      <c r="H79" s="99">
        <f>$D79-vlookup(Summary!$C79,Summary!$C$2:$Q$103,3+counta($F$1:H$1),false)</f>
        <v>0.25</v>
      </c>
      <c r="I79" s="99">
        <f>$D79-vlookup(Summary!$C79,Summary!$C$2:$Q$103,3+counta($F$1:I$1),false)</f>
        <v>0.35</v>
      </c>
      <c r="J79" s="99">
        <f>$D79-vlookup(Summary!$C79,Summary!$C$2:$Q$103,3+counta($F$1:J$1),false)</f>
        <v>-0.45</v>
      </c>
      <c r="K79" s="99">
        <f>$D79-vlookup(Summary!$C79,Summary!$C$2:$Q$103,3+counta($F$1:K$1),false)</f>
        <v>-0.225</v>
      </c>
      <c r="L79" s="99">
        <f>$D79-vlookup(Summary!$C79,Summary!$C$2:$Q$103,3+counta($F$1:L$1),false)</f>
        <v>0</v>
      </c>
      <c r="M79" s="99">
        <f>$D79-vlookup(Summary!$C79,Summary!$C$2:$Q$103,3+counta($F$1:M$1),false)</f>
        <v>0.25</v>
      </c>
      <c r="N79" s="99">
        <f>$D79-vlookup(Summary!$C79,Summary!$C$2:$Q$103,3+counta($F$1:N$1),false)</f>
        <v>-0.25</v>
      </c>
      <c r="O79" s="99">
        <f>$D79-vlookup(Summary!$C79,Summary!$C$2:$Q$103,3+counta($F$1:O$1),false)</f>
        <v>0.1</v>
      </c>
      <c r="P79" s="99">
        <f>$D79-vlookup(Summary!$C79,Summary!$C$2:$Q$103,3+counta($F$1:P$1),false)</f>
        <v>0.35</v>
      </c>
      <c r="Q79" s="99">
        <f>$D79-vlookup(Summary!$C79,Summary!$C$2:$Q$103,3+counta($F$1:Q$1),false)</f>
        <v>-0.35</v>
      </c>
    </row>
    <row r="80" ht="15.75" customHeight="1">
      <c r="A80" s="15">
        <f>Main!A80</f>
        <v>79</v>
      </c>
      <c r="B80" s="15" t="str">
        <f>Main!B80</f>
        <v> In-app purchases of Kindle books will be possible in the Kindle iphone app</v>
      </c>
      <c r="C80" s="15" t="str">
        <f>Main!C80</f>
        <v>Technology</v>
      </c>
      <c r="D80" s="106">
        <v>0.2</v>
      </c>
      <c r="F80" s="99">
        <f>$D80-vlookup(Summary!$C80,Summary!$C$2:$Q$103,3+counta($F$1:F$1),false)</f>
        <v>-0.3</v>
      </c>
      <c r="G80" s="99">
        <f>$D80-vlookup(Summary!$C80,Summary!$C$2:$Q$103,3+counta($F$1:G$1),false)</f>
        <v>-0.35</v>
      </c>
      <c r="H80" s="99">
        <f>$D80-vlookup(Summary!$C80,Summary!$C$2:$Q$103,3+counta($F$1:H$1),false)</f>
        <v>0</v>
      </c>
      <c r="I80" s="99">
        <f>$D80-vlookup(Summary!$C80,Summary!$C$2:$Q$103,3+counta($F$1:I$1),false)</f>
        <v>-0.3</v>
      </c>
      <c r="J80" s="99">
        <f>$D80-vlookup(Summary!$C80,Summary!$C$2:$Q$103,3+counta($F$1:J$1),false)</f>
        <v>-0.7</v>
      </c>
      <c r="K80" s="99">
        <f>$D80-vlookup(Summary!$C80,Summary!$C$2:$Q$103,3+counta($F$1:K$1),false)</f>
        <v>-0.65</v>
      </c>
      <c r="L80" s="99">
        <f>$D80-vlookup(Summary!$C80,Summary!$C$2:$Q$103,3+counta($F$1:L$1),false)</f>
        <v>0</v>
      </c>
      <c r="M80" s="99">
        <f>$D80-vlookup(Summary!$C80,Summary!$C$2:$Q$103,3+counta($F$1:M$1),false)</f>
        <v>0</v>
      </c>
      <c r="N80" s="99">
        <f>$D80-vlookup(Summary!$C80,Summary!$C$2:$Q$103,3+counta($F$1:N$1),false)</f>
        <v>-0.6</v>
      </c>
      <c r="O80" s="99">
        <f>$D80-vlookup(Summary!$C80,Summary!$C$2:$Q$103,3+counta($F$1:O$1),false)</f>
        <v>0.05</v>
      </c>
      <c r="P80" s="99">
        <f>$D80-vlookup(Summary!$C80,Summary!$C$2:$Q$103,3+counta($F$1:P$1),false)</f>
        <v>-0.3</v>
      </c>
      <c r="Q80" s="99">
        <f>$D80-vlookup(Summary!$C80,Summary!$C$2:$Q$103,3+counta($F$1:Q$1),false)</f>
        <v>-0.3</v>
      </c>
    </row>
    <row r="81" ht="15.75" customHeight="1">
      <c r="A81" s="15">
        <f>Main!A81</f>
        <v>80</v>
      </c>
      <c r="B81" s="15" t="str">
        <f>Main!B81</f>
        <v>It will be possible for at least one of the prediction participants to have food delivered by drone to their place of residence as a mainstream service, without it being part of a specific trial.</v>
      </c>
      <c r="C81" s="15" t="str">
        <f>Main!C81</f>
        <v>Technology</v>
      </c>
      <c r="D81" s="106">
        <v>0.5</v>
      </c>
      <c r="F81" s="99">
        <f>$D81-vlookup(Summary!$C81,Summary!$C$2:$Q$103,3+counta($F$1:F$1),false)</f>
        <v>0.3</v>
      </c>
      <c r="G81" s="99">
        <f>$D81-vlookup(Summary!$C81,Summary!$C$2:$Q$103,3+counta($F$1:G$1),false)</f>
        <v>0.2</v>
      </c>
      <c r="H81" s="99">
        <f>$D81-vlookup(Summary!$C81,Summary!$C$2:$Q$103,3+counta($F$1:H$1),false)</f>
        <v>0.4</v>
      </c>
      <c r="I81" s="99">
        <f>$D81-vlookup(Summary!$C81,Summary!$C$2:$Q$103,3+counta($F$1:I$1),false)</f>
        <v>0.4</v>
      </c>
      <c r="J81" s="99">
        <f>$D81-vlookup(Summary!$C81,Summary!$C$2:$Q$103,3+counta($F$1:J$1),false)</f>
        <v>0.1</v>
      </c>
      <c r="K81" s="99">
        <f>$D81-vlookup(Summary!$C81,Summary!$C$2:$Q$103,3+counta($F$1:K$1),false)</f>
        <v>-0.15</v>
      </c>
      <c r="L81" s="99">
        <f>$D81-vlookup(Summary!$C81,Summary!$C$2:$Q$103,3+counta($F$1:L$1),false)</f>
        <v>0</v>
      </c>
      <c r="M81" s="99">
        <f>$D81-vlookup(Summary!$C81,Summary!$C$2:$Q$103,3+counta($F$1:M$1),false)</f>
        <v>0.4</v>
      </c>
      <c r="N81" s="99">
        <f>$D81-vlookup(Summary!$C81,Summary!$C$2:$Q$103,3+counta($F$1:N$1),false)</f>
        <v>-0.2</v>
      </c>
      <c r="O81" s="99">
        <f>$D81-vlookup(Summary!$C81,Summary!$C$2:$Q$103,3+counta($F$1:O$1),false)</f>
        <v>-0.15</v>
      </c>
      <c r="P81" s="99">
        <f>$D81-vlookup(Summary!$C81,Summary!$C$2:$Q$103,3+counta($F$1:P$1),false)</f>
        <v>-0.4</v>
      </c>
      <c r="Q81" s="99">
        <f>$D81-vlookup(Summary!$C81,Summary!$C$2:$Q$103,3+counta($F$1:Q$1),false)</f>
        <v>-0.15</v>
      </c>
    </row>
    <row r="82" ht="15.75" customHeight="1">
      <c r="A82" s="15">
        <f>Main!A82</f>
        <v>81</v>
      </c>
      <c r="B82" s="15" t="str">
        <f>Main!B82</f>
        <v>TMTG, the company that owns Trump’s “TRUTH Social” platform, will have a market cap of over $20 billion USD. (Twitter is around 35b)</v>
      </c>
      <c r="C82" s="15" t="str">
        <f>Main!C82</f>
        <v>Technology</v>
      </c>
      <c r="D82" s="106">
        <v>0.2</v>
      </c>
      <c r="F82" s="99">
        <f>$D82-vlookup(Summary!$C82,Summary!$C$2:$Q$103,3+counta($F$1:F$1),false)</f>
        <v>-0.7</v>
      </c>
      <c r="G82" s="99">
        <f>$D82-vlookup(Summary!$C82,Summary!$C$2:$Q$103,3+counta($F$1:G$1),false)</f>
        <v>-0.79</v>
      </c>
      <c r="H82" s="99">
        <f>$D82-vlookup(Summary!$C82,Summary!$C$2:$Q$103,3+counta($F$1:H$1),false)</f>
        <v>0</v>
      </c>
      <c r="I82" s="99">
        <f>$D82-vlookup(Summary!$C82,Summary!$C$2:$Q$103,3+counta($F$1:I$1),false)</f>
        <v>-0.7</v>
      </c>
      <c r="J82" s="99">
        <f>$D82-vlookup(Summary!$C82,Summary!$C$2:$Q$103,3+counta($F$1:J$1),false)</f>
        <v>-0.1</v>
      </c>
      <c r="K82" s="99">
        <f>$D82-vlookup(Summary!$C82,Summary!$C$2:$Q$103,3+counta($F$1:K$1),false)</f>
        <v>-0.6</v>
      </c>
      <c r="L82" s="99">
        <f>$D82-vlookup(Summary!$C82,Summary!$C$2:$Q$103,3+counta($F$1:L$1),false)</f>
        <v>0</v>
      </c>
      <c r="M82" s="99">
        <f>$D82-vlookup(Summary!$C82,Summary!$C$2:$Q$103,3+counta($F$1:M$1),false)</f>
        <v>0</v>
      </c>
      <c r="N82" s="99">
        <f>$D82-vlookup(Summary!$C82,Summary!$C$2:$Q$103,3+counta($F$1:N$1),false)</f>
        <v>0.1</v>
      </c>
      <c r="O82" s="99">
        <f>$D82-vlookup(Summary!$C82,Summary!$C$2:$Q$103,3+counta($F$1:O$1),false)</f>
        <v>0.05</v>
      </c>
      <c r="P82" s="99">
        <f>$D82-vlookup(Summary!$C82,Summary!$C$2:$Q$103,3+counta($F$1:P$1),false)</f>
        <v>-0.3</v>
      </c>
      <c r="Q82" s="99">
        <f>$D82-vlookup(Summary!$C82,Summary!$C$2:$Q$103,3+counta($F$1:Q$1),false)</f>
        <v>-0.1</v>
      </c>
    </row>
    <row r="83" ht="15.75" customHeight="1">
      <c r="A83" s="15">
        <f>Main!A83</f>
        <v>82</v>
      </c>
      <c r="B83" s="15" t="str">
        <f>Main!B83</f>
        <v>It will not be financially viable to mine ethereum using commercial GPUs.</v>
      </c>
      <c r="C83" s="15" t="str">
        <f>Main!C83</f>
        <v>Technology</v>
      </c>
      <c r="D83" s="106">
        <v>0.45</v>
      </c>
      <c r="F83" s="99">
        <f>$D83-vlookup(Summary!$C83,Summary!$C$2:$Q$103,3+counta($F$1:F$1),false)</f>
        <v>-0.2</v>
      </c>
      <c r="G83" s="99">
        <f>$D83-vlookup(Summary!$C83,Summary!$C$2:$Q$103,3+counta($F$1:G$1),false)</f>
        <v>-0.35</v>
      </c>
      <c r="H83" s="99">
        <f>$D83-vlookup(Summary!$C83,Summary!$C$2:$Q$103,3+counta($F$1:H$1),false)</f>
        <v>-0.45</v>
      </c>
      <c r="I83" s="99">
        <f>$D83-vlookup(Summary!$C83,Summary!$C$2:$Q$103,3+counta($F$1:I$1),false)</f>
        <v>-0.05</v>
      </c>
      <c r="J83" s="99">
        <f>$D83-vlookup(Summary!$C83,Summary!$C$2:$Q$103,3+counta($F$1:J$1),false)</f>
        <v>-0.05</v>
      </c>
      <c r="K83" s="99">
        <f>$D83-vlookup(Summary!$C83,Summary!$C$2:$Q$103,3+counta($F$1:K$1),false)</f>
        <v>-0.05</v>
      </c>
      <c r="L83" s="99">
        <f>$D83-vlookup(Summary!$C83,Summary!$C$2:$Q$103,3+counta($F$1:L$1),false)</f>
        <v>0</v>
      </c>
      <c r="M83" s="99">
        <f>$D83-vlookup(Summary!$C83,Summary!$C$2:$Q$103,3+counta($F$1:M$1),false)</f>
        <v>-0.45</v>
      </c>
      <c r="N83" s="99">
        <f>$D83-vlookup(Summary!$C83,Summary!$C$2:$Q$103,3+counta($F$1:N$1),false)</f>
        <v>-0.35</v>
      </c>
      <c r="O83" s="99">
        <f>$D83-vlookup(Summary!$C83,Summary!$C$2:$Q$103,3+counta($F$1:O$1),false)</f>
        <v>-0.4</v>
      </c>
      <c r="P83" s="99">
        <f>$D83-vlookup(Summary!$C83,Summary!$C$2:$Q$103,3+counta($F$1:P$1),false)</f>
        <v>-0.05</v>
      </c>
      <c r="Q83" s="99">
        <f>$D83-vlookup(Summary!$C83,Summary!$C$2:$Q$103,3+counta($F$1:Q$1),false)</f>
        <v>-0.15</v>
      </c>
    </row>
    <row r="84" ht="15.75" customHeight="1">
      <c r="A84" s="15">
        <f>Main!A84</f>
        <v>83</v>
      </c>
      <c r="B84" s="15" t="str">
        <f>Main!B84</f>
        <v>China will have more than 800 satellites in orbit (currently around 500)</v>
      </c>
      <c r="C84" s="15" t="str">
        <f>Main!C84</f>
        <v>Technology</v>
      </c>
      <c r="D84" s="106">
        <v>0.001</v>
      </c>
      <c r="F84" s="99">
        <f>$D84-vlookup(Summary!$C84,Summary!$C$2:$Q$103,3+counta($F$1:F$1),false)</f>
        <v>-0.399</v>
      </c>
      <c r="G84" s="99">
        <f>$D84-vlookup(Summary!$C84,Summary!$C$2:$Q$103,3+counta($F$1:G$1),false)</f>
        <v>-0.649</v>
      </c>
      <c r="H84" s="99">
        <f>$D84-vlookup(Summary!$C84,Summary!$C$2:$Q$103,3+counta($F$1:H$1),false)</f>
        <v>-0.049</v>
      </c>
      <c r="I84" s="99">
        <f>$D84-vlookup(Summary!$C84,Summary!$C$2:$Q$103,3+counta($F$1:I$1),false)</f>
        <v>-0.199</v>
      </c>
      <c r="J84" s="99">
        <f>$D84-vlookup(Summary!$C84,Summary!$C$2:$Q$103,3+counta($F$1:J$1),false)</f>
        <v>-0.699</v>
      </c>
      <c r="K84" s="99">
        <f>$D84-vlookup(Summary!$C84,Summary!$C$2:$Q$103,3+counta($F$1:K$1),false)</f>
        <v>-0.849</v>
      </c>
      <c r="L84" s="99">
        <f>$D84-vlookup(Summary!$C84,Summary!$C$2:$Q$103,3+counta($F$1:L$1),false)</f>
        <v>0</v>
      </c>
      <c r="M84" s="99">
        <f>$D84-vlookup(Summary!$C84,Summary!$C$2:$Q$103,3+counta($F$1:M$1),false)</f>
        <v>-0.049</v>
      </c>
      <c r="N84" s="99">
        <f>$D84-vlookup(Summary!$C84,Summary!$C$2:$Q$103,3+counta($F$1:N$1),false)</f>
        <v>-0.099</v>
      </c>
      <c r="O84" s="99">
        <f>$D84-vlookup(Summary!$C84,Summary!$C$2:$Q$103,3+counta($F$1:O$1),false)</f>
        <v>0</v>
      </c>
      <c r="P84" s="99">
        <f>$D84-vlookup(Summary!$C84,Summary!$C$2:$Q$103,3+counta($F$1:P$1),false)</f>
        <v>-0.499</v>
      </c>
      <c r="Q84" s="99">
        <f>$D84-vlookup(Summary!$C84,Summary!$C$2:$Q$103,3+counta($F$1:Q$1),false)</f>
        <v>-0.649</v>
      </c>
    </row>
    <row r="85" ht="15.75" customHeight="1">
      <c r="A85" s="15">
        <f>Main!A85</f>
        <v>84</v>
      </c>
      <c r="B85" s="15" t="str">
        <f>Main!B85</f>
        <v>Australia will be in the top 40 countries for broadband speed (as tracked in wiki page)</v>
      </c>
      <c r="C85" s="15" t="str">
        <f>Main!C85</f>
        <v>Technology</v>
      </c>
      <c r="D85" s="106">
        <v>0.05</v>
      </c>
      <c r="F85" s="99">
        <f>$D85-vlookup(Summary!$C85,Summary!$C$2:$Q$103,3+counta($F$1:F$1),false)</f>
        <v>-0.15</v>
      </c>
      <c r="G85" s="99">
        <f>$D85-vlookup(Summary!$C85,Summary!$C$2:$Q$103,3+counta($F$1:G$1),false)</f>
        <v>-0.85</v>
      </c>
      <c r="H85" s="99">
        <f>$D85-vlookup(Summary!$C85,Summary!$C$2:$Q$103,3+counta($F$1:H$1),false)</f>
        <v>0</v>
      </c>
      <c r="I85" s="99">
        <f>$D85-vlookup(Summary!$C85,Summary!$C$2:$Q$103,3+counta($F$1:I$1),false)</f>
        <v>-0.25</v>
      </c>
      <c r="J85" s="99">
        <f>$D85-vlookup(Summary!$C85,Summary!$C$2:$Q$103,3+counta($F$1:J$1),false)</f>
        <v>-0.15</v>
      </c>
      <c r="K85" s="99">
        <f>$D85-vlookup(Summary!$C85,Summary!$C$2:$Q$103,3+counta($F$1:K$1),false)</f>
        <v>-0.65</v>
      </c>
      <c r="L85" s="99">
        <f>$D85-vlookup(Summary!$C85,Summary!$C$2:$Q$103,3+counta($F$1:L$1),false)</f>
        <v>0</v>
      </c>
      <c r="M85" s="99">
        <f>$D85-vlookup(Summary!$C85,Summary!$C$2:$Q$103,3+counta($F$1:M$1),false)</f>
        <v>0</v>
      </c>
      <c r="N85" s="99">
        <f>$D85-vlookup(Summary!$C85,Summary!$C$2:$Q$103,3+counta($F$1:N$1),false)</f>
        <v>-0.65</v>
      </c>
      <c r="O85" s="99">
        <f>$D85-vlookup(Summary!$C85,Summary!$C$2:$Q$103,3+counta($F$1:O$1),false)</f>
        <v>-0.1</v>
      </c>
      <c r="P85" s="99">
        <f>$D85-vlookup(Summary!$C85,Summary!$C$2:$Q$103,3+counta($F$1:P$1),false)</f>
        <v>-0.75</v>
      </c>
      <c r="Q85" s="99">
        <f>$D85-vlookup(Summary!$C85,Summary!$C$2:$Q$103,3+counta($F$1:Q$1),false)</f>
        <v>-0.65</v>
      </c>
    </row>
    <row r="86" ht="15.75" customHeight="1">
      <c r="A86" s="15">
        <f>Main!A86</f>
        <v>85</v>
      </c>
      <c r="B86" s="15" t="str">
        <f>Main!B86</f>
        <v>India will produce more total CO2 emissions than the US</v>
      </c>
      <c r="C86" s="15" t="str">
        <f>Main!C86</f>
        <v>Technology</v>
      </c>
      <c r="D86" s="106">
        <v>0.001</v>
      </c>
      <c r="F86" s="99">
        <f>$D86-vlookup(Summary!$C86,Summary!$C$2:$Q$103,3+counta($F$1:F$1),false)</f>
        <v>-0.299</v>
      </c>
      <c r="G86" s="99">
        <f>$D86-vlookup(Summary!$C86,Summary!$C$2:$Q$103,3+counta($F$1:G$1),false)</f>
        <v>-0.199</v>
      </c>
      <c r="H86" s="99">
        <f>$D86-vlookup(Summary!$C86,Summary!$C$2:$Q$103,3+counta($F$1:H$1),false)</f>
        <v>-0.099</v>
      </c>
      <c r="I86" s="99">
        <f>$D86-vlookup(Summary!$C86,Summary!$C$2:$Q$103,3+counta($F$1:I$1),false)</f>
        <v>-0.099</v>
      </c>
      <c r="J86" s="99">
        <f>$D86-vlookup(Summary!$C86,Summary!$C$2:$Q$103,3+counta($F$1:J$1),false)</f>
        <v>-0.499</v>
      </c>
      <c r="K86" s="99">
        <f>$D86-vlookup(Summary!$C86,Summary!$C$2:$Q$103,3+counta($F$1:K$1),false)</f>
        <v>-0.799</v>
      </c>
      <c r="L86" s="99">
        <f>$D86-vlookup(Summary!$C86,Summary!$C$2:$Q$103,3+counta($F$1:L$1),false)</f>
        <v>0</v>
      </c>
      <c r="M86" s="99">
        <f>$D86-vlookup(Summary!$C86,Summary!$C$2:$Q$103,3+counta($F$1:M$1),false)</f>
        <v>-0.099</v>
      </c>
      <c r="N86" s="99">
        <f>$D86-vlookup(Summary!$C86,Summary!$C$2:$Q$103,3+counta($F$1:N$1),false)</f>
        <v>-0.799</v>
      </c>
      <c r="O86" s="99">
        <f>$D86-vlookup(Summary!$C86,Summary!$C$2:$Q$103,3+counta($F$1:O$1),false)</f>
        <v>-0.349</v>
      </c>
      <c r="P86" s="99">
        <f>$D86-vlookup(Summary!$C86,Summary!$C$2:$Q$103,3+counta($F$1:P$1),false)</f>
        <v>-0.799</v>
      </c>
      <c r="Q86" s="99">
        <f>$D86-vlookup(Summary!$C86,Summary!$C$2:$Q$103,3+counta($F$1:Q$1),false)</f>
        <v>-0.599</v>
      </c>
    </row>
    <row r="87" ht="15.75" customHeight="1">
      <c r="A87" s="15">
        <f>Main!A87</f>
        <v>86</v>
      </c>
      <c r="B87" s="15" t="str">
        <f>Main!B87</f>
        <v>The number of electric vehicles under $50K (excl on road costs) grows 67% or more in Australia, as listed on carsguide.com.au. Currently there are three cars: Hyundai Ioniq, Nissan Leaf and MG ZS EV</v>
      </c>
      <c r="C87" s="15" t="str">
        <f>Main!C87</f>
        <v>Technology</v>
      </c>
      <c r="D87" s="106">
        <v>0.55</v>
      </c>
      <c r="F87" s="99">
        <f>$D87-vlookup(Summary!$C87,Summary!$C$2:$Q$103,3+counta($F$1:F$1),false)</f>
        <v>0.15</v>
      </c>
      <c r="G87" s="99">
        <f>$D87-vlookup(Summary!$C87,Summary!$C$2:$Q$103,3+counta($F$1:G$1),false)</f>
        <v>-0.25</v>
      </c>
      <c r="H87" s="99">
        <f>$D87-vlookup(Summary!$C87,Summary!$C$2:$Q$103,3+counta($F$1:H$1),false)</f>
        <v>-0.15</v>
      </c>
      <c r="I87" s="99">
        <f>$D87-vlookup(Summary!$C87,Summary!$C$2:$Q$103,3+counta($F$1:I$1),false)</f>
        <v>0.35</v>
      </c>
      <c r="J87" s="99">
        <f>$D87-vlookup(Summary!$C87,Summary!$C$2:$Q$103,3+counta($F$1:J$1),false)</f>
        <v>0.25</v>
      </c>
      <c r="K87" s="99">
        <f>$D87-vlookup(Summary!$C87,Summary!$C$2:$Q$103,3+counta($F$1:K$1),false)</f>
        <v>-0.1</v>
      </c>
      <c r="L87" s="99">
        <f>$D87-vlookup(Summary!$C87,Summary!$C$2:$Q$103,3+counta($F$1:L$1),false)</f>
        <v>0</v>
      </c>
      <c r="M87" s="99">
        <f>$D87-vlookup(Summary!$C87,Summary!$C$2:$Q$103,3+counta($F$1:M$1),false)</f>
        <v>-0.15</v>
      </c>
      <c r="N87" s="99">
        <f>$D87-vlookup(Summary!$C87,Summary!$C$2:$Q$103,3+counta($F$1:N$1),false)</f>
        <v>-0.35</v>
      </c>
      <c r="O87" s="99">
        <f>$D87-vlookup(Summary!$C87,Summary!$C$2:$Q$103,3+counta($F$1:O$1),false)</f>
        <v>0.2</v>
      </c>
      <c r="P87" s="99">
        <f>$D87-vlookup(Summary!$C87,Summary!$C$2:$Q$103,3+counta($F$1:P$1),false)</f>
        <v>-0.15</v>
      </c>
      <c r="Q87" s="99">
        <f>$D87-vlookup(Summary!$C87,Summary!$C$2:$Q$103,3+counta($F$1:Q$1),false)</f>
        <v>0.2</v>
      </c>
    </row>
    <row r="88" ht="15.75" customHeight="1">
      <c r="A88" s="15">
        <f>Main!A88</f>
        <v>87</v>
      </c>
      <c r="B88" s="15" t="str">
        <f>Main!B88</f>
        <v>Boris Johnson will be replaced as Prime Minister by the Tory Party</v>
      </c>
      <c r="C88" s="15" t="str">
        <f>Main!C88</f>
        <v>World Politics</v>
      </c>
      <c r="D88" s="106">
        <v>0.1</v>
      </c>
      <c r="F88" s="99">
        <f>$D88-vlookup(Summary!$C88,Summary!$C$2:$Q$103,3+counta($F$1:F$1),false)</f>
        <v>-0.75</v>
      </c>
      <c r="G88" s="99">
        <f>$D88-vlookup(Summary!$C88,Summary!$C$2:$Q$103,3+counta($F$1:G$1),false)</f>
        <v>-0.7</v>
      </c>
      <c r="H88" s="99">
        <f>$D88-vlookup(Summary!$C88,Summary!$C$2:$Q$103,3+counta($F$1:H$1),false)</f>
        <v>-0.2</v>
      </c>
      <c r="I88" s="99">
        <f>$D88-vlookup(Summary!$C88,Summary!$C$2:$Q$103,3+counta($F$1:I$1),false)</f>
        <v>-0.7</v>
      </c>
      <c r="J88" s="99">
        <f>$D88-vlookup(Summary!$C88,Summary!$C$2:$Q$103,3+counta($F$1:J$1),false)</f>
        <v>-0.3</v>
      </c>
      <c r="K88" s="99">
        <f>$D88-vlookup(Summary!$C88,Summary!$C$2:$Q$103,3+counta($F$1:K$1),false)</f>
        <v>-0.75</v>
      </c>
      <c r="L88" s="99">
        <f>$D88-vlookup(Summary!$C88,Summary!$C$2:$Q$103,3+counta($F$1:L$1),false)</f>
        <v>0</v>
      </c>
      <c r="M88" s="99">
        <f>$D88-vlookup(Summary!$C88,Summary!$C$2:$Q$103,3+counta($F$1:M$1),false)</f>
        <v>-0.2</v>
      </c>
      <c r="N88" s="99">
        <f>$D88-vlookup(Summary!$C88,Summary!$C$2:$Q$103,3+counta($F$1:N$1),false)</f>
        <v>-0.8</v>
      </c>
      <c r="O88" s="99">
        <f>$D88-vlookup(Summary!$C88,Summary!$C$2:$Q$103,3+counta($F$1:O$1),false)</f>
        <v>-0.55</v>
      </c>
      <c r="P88" s="99">
        <f>$D88-vlookup(Summary!$C88,Summary!$C$2:$Q$103,3+counta($F$1:P$1),false)</f>
        <v>-0.8</v>
      </c>
      <c r="Q88" s="99">
        <f>$D88-vlookup(Summary!$C88,Summary!$C$2:$Q$103,3+counta($F$1:Q$1),false)</f>
        <v>-0.4</v>
      </c>
    </row>
    <row r="89" ht="15.75" customHeight="1">
      <c r="A89" s="15">
        <f>Main!A89</f>
        <v>88</v>
      </c>
      <c r="B89" s="15" t="str">
        <f>Main!B89</f>
        <v>Boris Johnson will be the Prime Minister of the UK</v>
      </c>
      <c r="C89" s="15" t="str">
        <f>Main!C89</f>
        <v>World Politics</v>
      </c>
      <c r="D89" s="106">
        <v>0.85</v>
      </c>
      <c r="F89" s="99">
        <f>$D89-vlookup(Summary!$C89,Summary!$C$2:$Q$103,3+counta($F$1:F$1),false)</f>
        <v>0.7</v>
      </c>
      <c r="G89" s="99">
        <f>$D89-vlookup(Summary!$C89,Summary!$C$2:$Q$103,3+counta($F$1:G$1),false)</f>
        <v>0.65</v>
      </c>
      <c r="H89" s="99">
        <f>$D89-vlookup(Summary!$C89,Summary!$C$2:$Q$103,3+counta($F$1:H$1),false)</f>
        <v>0.15</v>
      </c>
      <c r="I89" s="99">
        <f>$D89-vlookup(Summary!$C89,Summary!$C$2:$Q$103,3+counta($F$1:I$1),false)</f>
        <v>0.65</v>
      </c>
      <c r="J89" s="99">
        <f>$D89-vlookup(Summary!$C89,Summary!$C$2:$Q$103,3+counta($F$1:J$1),false)</f>
        <v>0.25</v>
      </c>
      <c r="K89" s="99">
        <f>$D89-vlookup(Summary!$C89,Summary!$C$2:$Q$103,3+counta($F$1:K$1),false)</f>
        <v>0.6</v>
      </c>
      <c r="L89" s="99">
        <f>$D89-vlookup(Summary!$C89,Summary!$C$2:$Q$103,3+counta($F$1:L$1),false)</f>
        <v>0</v>
      </c>
      <c r="M89" s="99">
        <f>$D89-vlookup(Summary!$C89,Summary!$C$2:$Q$103,3+counta($F$1:M$1),false)</f>
        <v>0.15</v>
      </c>
      <c r="N89" s="99">
        <f>$D89-vlookup(Summary!$C89,Summary!$C$2:$Q$103,3+counta($F$1:N$1),false)</f>
        <v>0.65</v>
      </c>
      <c r="O89" s="99">
        <f>$D89-vlookup(Summary!$C89,Summary!$C$2:$Q$103,3+counta($F$1:O$1),false)</f>
        <v>0.5</v>
      </c>
      <c r="P89" s="99">
        <f>$D89-vlookup(Summary!$C89,Summary!$C$2:$Q$103,3+counta($F$1:P$1),false)</f>
        <v>0.75</v>
      </c>
      <c r="Q89" s="99">
        <f>$D89-vlookup(Summary!$C89,Summary!$C$2:$Q$103,3+counta($F$1:Q$1),false)</f>
        <v>0.45</v>
      </c>
    </row>
    <row r="90" ht="15.75" customHeight="1">
      <c r="A90" s="15">
        <f>Main!A90</f>
        <v>89</v>
      </c>
      <c r="B90" s="15" t="str">
        <f>Main!B90</f>
        <v>At least some American states will resort to proclaimed and violent civil war rather that accept democratic elections</v>
      </c>
      <c r="C90" s="15" t="str">
        <f>Main!C90</f>
        <v>World Politics</v>
      </c>
      <c r="D90" s="106">
        <v>0.05</v>
      </c>
      <c r="F90" s="99">
        <f>$D90-vlookup(Summary!$C90,Summary!$C$2:$Q$103,3+counta($F$1:F$1),false)</f>
        <v>-0.25</v>
      </c>
      <c r="G90" s="99">
        <f>$D90-vlookup(Summary!$C90,Summary!$C$2:$Q$103,3+counta($F$1:G$1),false)</f>
        <v>-0.05</v>
      </c>
      <c r="H90" s="99">
        <f>$D90-vlookup(Summary!$C90,Summary!$C$2:$Q$103,3+counta($F$1:H$1),false)</f>
        <v>-0.05</v>
      </c>
      <c r="I90" s="99">
        <f>$D90-vlookup(Summary!$C90,Summary!$C$2:$Q$103,3+counta($F$1:I$1),false)</f>
        <v>-0.05</v>
      </c>
      <c r="J90" s="99">
        <f>$D90-vlookup(Summary!$C90,Summary!$C$2:$Q$103,3+counta($F$1:J$1),false)</f>
        <v>-0.65</v>
      </c>
      <c r="K90" s="99">
        <f>$D90-vlookup(Summary!$C90,Summary!$C$2:$Q$103,3+counta($F$1:K$1),false)</f>
        <v>-0.15</v>
      </c>
      <c r="L90" s="99">
        <f>$D90-vlookup(Summary!$C90,Summary!$C$2:$Q$103,3+counta($F$1:L$1),false)</f>
        <v>0</v>
      </c>
      <c r="M90" s="99">
        <f>$D90-vlookup(Summary!$C90,Summary!$C$2:$Q$103,3+counta($F$1:M$1),false)</f>
        <v>-0.05</v>
      </c>
      <c r="N90" s="99">
        <f>$D90-vlookup(Summary!$C90,Summary!$C$2:$Q$103,3+counta($F$1:N$1),false)</f>
        <v>-0.05</v>
      </c>
      <c r="O90" s="99">
        <f>$D90-vlookup(Summary!$C90,Summary!$C$2:$Q$103,3+counta($F$1:O$1),false)</f>
        <v>0.049</v>
      </c>
      <c r="P90" s="99">
        <f>$D90-vlookup(Summary!$C90,Summary!$C$2:$Q$103,3+counta($F$1:P$1),false)</f>
        <v>-0.05</v>
      </c>
      <c r="Q90" s="99">
        <f>$D90-vlookup(Summary!$C90,Summary!$C$2:$Q$103,3+counta($F$1:Q$1),false)</f>
        <v>-0.2</v>
      </c>
    </row>
    <row r="91" ht="15.75" customHeight="1">
      <c r="A91" s="15">
        <f>Main!A91</f>
        <v>90</v>
      </c>
      <c r="B91" s="15" t="str">
        <f>Main!B91</f>
        <v>Democrats will lose control of the US House of Representatives at the midterm elections</v>
      </c>
      <c r="C91" s="15" t="str">
        <f>Main!C91</f>
        <v>World Politics</v>
      </c>
      <c r="D91" s="106">
        <v>0.7</v>
      </c>
      <c r="F91" s="99">
        <f>$D91-vlookup(Summary!$C91,Summary!$C$2:$Q$103,3+counta($F$1:F$1),false)</f>
        <v>-0.1</v>
      </c>
      <c r="G91" s="99">
        <f>$D91-vlookup(Summary!$C91,Summary!$C$2:$Q$103,3+counta($F$1:G$1),false)</f>
        <v>-0.2</v>
      </c>
      <c r="H91" s="99">
        <f>$D91-vlookup(Summary!$C91,Summary!$C$2:$Q$103,3+counta($F$1:H$1),false)</f>
        <v>0</v>
      </c>
      <c r="I91" s="99">
        <f>$D91-vlookup(Summary!$C91,Summary!$C$2:$Q$103,3+counta($F$1:I$1),false)</f>
        <v>0.1</v>
      </c>
      <c r="J91" s="99">
        <f>$D91-vlookup(Summary!$C91,Summary!$C$2:$Q$103,3+counta($F$1:J$1),false)</f>
        <v>-0.2</v>
      </c>
      <c r="K91" s="99">
        <f>$D91-vlookup(Summary!$C91,Summary!$C$2:$Q$103,3+counta($F$1:K$1),false)</f>
        <v>0</v>
      </c>
      <c r="L91" s="99">
        <f>$D91-vlookup(Summary!$C91,Summary!$C$2:$Q$103,3+counta($F$1:L$1),false)</f>
        <v>0</v>
      </c>
      <c r="M91" s="99">
        <f>$D91-vlookup(Summary!$C91,Summary!$C$2:$Q$103,3+counta($F$1:M$1),false)</f>
        <v>0</v>
      </c>
      <c r="N91" s="99">
        <f>$D91-vlookup(Summary!$C91,Summary!$C$2:$Q$103,3+counta($F$1:N$1),false)</f>
        <v>-0.1</v>
      </c>
      <c r="O91" s="99">
        <f>$D91-vlookup(Summary!$C91,Summary!$C$2:$Q$103,3+counta($F$1:O$1),false)</f>
        <v>-0.299</v>
      </c>
      <c r="P91" s="99">
        <f>$D91-vlookup(Summary!$C91,Summary!$C$2:$Q$103,3+counta($F$1:P$1),false)</f>
        <v>0.6</v>
      </c>
      <c r="Q91" s="99">
        <f>$D91-vlookup(Summary!$C91,Summary!$C$2:$Q$103,3+counta($F$1:Q$1),false)</f>
        <v>0.3</v>
      </c>
    </row>
    <row r="92" ht="15.75" customHeight="1">
      <c r="A92" s="15">
        <f>Main!A92</f>
        <v>91</v>
      </c>
      <c r="B92" s="15" t="str">
        <f>Main!B92</f>
        <v>Democrats will not have control of the US Senate after the midterm election</v>
      </c>
      <c r="C92" s="15" t="str">
        <f>Main!C92</f>
        <v>World Politics</v>
      </c>
      <c r="D92" s="106">
        <v>0.8</v>
      </c>
      <c r="F92" s="99">
        <f>$D92-vlookup(Summary!$C92,Summary!$C$2:$Q$103,3+counta($F$1:F$1),false)</f>
        <v>0</v>
      </c>
      <c r="G92" s="99">
        <f>$D92-vlookup(Summary!$C92,Summary!$C$2:$Q$103,3+counta($F$1:G$1),false)</f>
        <v>-0.1</v>
      </c>
      <c r="H92" s="99">
        <f>$D92-vlookup(Summary!$C92,Summary!$C$2:$Q$103,3+counta($F$1:H$1),false)</f>
        <v>0.1</v>
      </c>
      <c r="I92" s="99">
        <f>$D92-vlookup(Summary!$C92,Summary!$C$2:$Q$103,3+counta($F$1:I$1),false)</f>
        <v>0.2</v>
      </c>
      <c r="J92" s="99">
        <f>$D92-vlookup(Summary!$C92,Summary!$C$2:$Q$103,3+counta($F$1:J$1),false)</f>
        <v>-0.1</v>
      </c>
      <c r="K92" s="99">
        <f>$D92-vlookup(Summary!$C92,Summary!$C$2:$Q$103,3+counta($F$1:K$1),false)</f>
        <v>0</v>
      </c>
      <c r="L92" s="99">
        <f>$D92-vlookup(Summary!$C92,Summary!$C$2:$Q$103,3+counta($F$1:L$1),false)</f>
        <v>0</v>
      </c>
      <c r="M92" s="99">
        <f>$D92-vlookup(Summary!$C92,Summary!$C$2:$Q$103,3+counta($F$1:M$1),false)</f>
        <v>0.1</v>
      </c>
      <c r="N92" s="99">
        <f>$D92-vlookup(Summary!$C92,Summary!$C$2:$Q$103,3+counta($F$1:N$1),false)</f>
        <v>0</v>
      </c>
      <c r="O92" s="99">
        <f>$D92-vlookup(Summary!$C92,Summary!$C$2:$Q$103,3+counta($F$1:O$1),false)</f>
        <v>-0.199</v>
      </c>
      <c r="P92" s="99">
        <f>$D92-vlookup(Summary!$C92,Summary!$C$2:$Q$103,3+counta($F$1:P$1),false)</f>
        <v>0.7</v>
      </c>
      <c r="Q92" s="99">
        <f>$D92-vlookup(Summary!$C92,Summary!$C$2:$Q$103,3+counta($F$1:Q$1),false)</f>
        <v>0.6</v>
      </c>
    </row>
    <row r="93" ht="15.75" customHeight="1">
      <c r="A93" s="15">
        <f>Main!A93</f>
        <v>92</v>
      </c>
      <c r="B93" s="15" t="str">
        <f>Main!B93</f>
        <v>Donald Trump will recieve at least 1 vote in the selection of the Speaker of the US house of Representatives (Congress)</v>
      </c>
      <c r="C93" s="15" t="str">
        <f>Main!C93</f>
        <v>World Politics</v>
      </c>
      <c r="D93" s="106">
        <v>0.7</v>
      </c>
      <c r="F93" s="99">
        <f>$D93-vlookup(Summary!$C93,Summary!$C$2:$Q$103,3+counta($F$1:F$1),false)</f>
        <v>0.4</v>
      </c>
      <c r="G93" s="99">
        <f>$D93-vlookup(Summary!$C93,Summary!$C$2:$Q$103,3+counta($F$1:G$1),false)</f>
        <v>0.4</v>
      </c>
      <c r="H93" s="99">
        <f>$D93-vlookup(Summary!$C93,Summary!$C$2:$Q$103,3+counta($F$1:H$1),false)</f>
        <v>0</v>
      </c>
      <c r="I93" s="99">
        <f>$D93-vlookup(Summary!$C93,Summary!$C$2:$Q$103,3+counta($F$1:I$1),false)</f>
        <v>0.6</v>
      </c>
      <c r="J93" s="99">
        <f>$D93-vlookup(Summary!$C93,Summary!$C$2:$Q$103,3+counta($F$1:J$1),false)</f>
        <v>-0.2</v>
      </c>
      <c r="K93" s="99">
        <f>$D93-vlookup(Summary!$C93,Summary!$C$2:$Q$103,3+counta($F$1:K$1),false)</f>
        <v>0.35</v>
      </c>
      <c r="L93" s="99">
        <f>$D93-vlookup(Summary!$C93,Summary!$C$2:$Q$103,3+counta($F$1:L$1),false)</f>
        <v>0</v>
      </c>
      <c r="M93" s="99">
        <f>$D93-vlookup(Summary!$C93,Summary!$C$2:$Q$103,3+counta($F$1:M$1),false)</f>
        <v>0</v>
      </c>
      <c r="N93" s="99">
        <f>$D93-vlookup(Summary!$C93,Summary!$C$2:$Q$103,3+counta($F$1:N$1),false)</f>
        <v>-0.2</v>
      </c>
      <c r="O93" s="99">
        <f>$D93-vlookup(Summary!$C93,Summary!$C$2:$Q$103,3+counta($F$1:O$1),false)</f>
        <v>0.05</v>
      </c>
      <c r="P93" s="99">
        <f>$D93-vlookup(Summary!$C93,Summary!$C$2:$Q$103,3+counta($F$1:P$1),false)</f>
        <v>0.6</v>
      </c>
      <c r="Q93" s="99">
        <f>$D93-vlookup(Summary!$C93,Summary!$C$2:$Q$103,3+counta($F$1:Q$1),false)</f>
        <v>0.2</v>
      </c>
    </row>
    <row r="94" ht="15.75" customHeight="1">
      <c r="A94" s="15">
        <f>Main!A94</f>
        <v>93</v>
      </c>
      <c r="B94" s="15" t="str">
        <f>Main!B94</f>
        <v>Donald Trump will release a book in 2022</v>
      </c>
      <c r="C94" s="15" t="str">
        <f>Main!C94</f>
        <v>World Politics</v>
      </c>
      <c r="D94" s="106">
        <v>0.55</v>
      </c>
      <c r="F94" s="99">
        <f>$D94-vlookup(Summary!$C94,Summary!$C$2:$Q$103,3+counta($F$1:F$1),false)</f>
        <v>0</v>
      </c>
      <c r="G94" s="99">
        <f>$D94-vlookup(Summary!$C94,Summary!$C$2:$Q$103,3+counta($F$1:G$1),false)</f>
        <v>-0.15</v>
      </c>
      <c r="H94" s="99">
        <f>$D94-vlookup(Summary!$C94,Summary!$C$2:$Q$103,3+counta($F$1:H$1),false)</f>
        <v>-0.25</v>
      </c>
      <c r="I94" s="99">
        <f>$D94-vlookup(Summary!$C94,Summary!$C$2:$Q$103,3+counta($F$1:I$1),false)</f>
        <v>0.35</v>
      </c>
      <c r="J94" s="99">
        <f>$D94-vlookup(Summary!$C94,Summary!$C$2:$Q$103,3+counta($F$1:J$1),false)</f>
        <v>-0.35</v>
      </c>
      <c r="K94" s="99">
        <f>$D94-vlookup(Summary!$C94,Summary!$C$2:$Q$103,3+counta($F$1:K$1),false)</f>
        <v>-0.25</v>
      </c>
      <c r="L94" s="99">
        <f>$D94-vlookup(Summary!$C94,Summary!$C$2:$Q$103,3+counta($F$1:L$1),false)</f>
        <v>0</v>
      </c>
      <c r="M94" s="99">
        <f>$D94-vlookup(Summary!$C94,Summary!$C$2:$Q$103,3+counta($F$1:M$1),false)</f>
        <v>-0.25</v>
      </c>
      <c r="N94" s="99">
        <f>$D94-vlookup(Summary!$C94,Summary!$C$2:$Q$103,3+counta($F$1:N$1),false)</f>
        <v>-0.35</v>
      </c>
      <c r="O94" s="99">
        <f>$D94-vlookup(Summary!$C94,Summary!$C$2:$Q$103,3+counta($F$1:O$1),false)</f>
        <v>0.4</v>
      </c>
      <c r="P94" s="99">
        <f>$D94-vlookup(Summary!$C94,Summary!$C$2:$Q$103,3+counta($F$1:P$1),false)</f>
        <v>0.05</v>
      </c>
      <c r="Q94" s="99">
        <f>$D94-vlookup(Summary!$C94,Summary!$C$2:$Q$103,3+counta($F$1:Q$1),false)</f>
        <v>0</v>
      </c>
    </row>
    <row r="95" ht="15.75" customHeight="1">
      <c r="A95" s="15">
        <f>Main!A95</f>
        <v>94</v>
      </c>
      <c r="B95" s="15" t="str">
        <f>Main!B95</f>
        <v>Trump will announce he will contest the Republican presidential candidacy and launch an NFT</v>
      </c>
      <c r="C95" s="15" t="str">
        <f>Main!C95</f>
        <v>World Politics</v>
      </c>
      <c r="D95" s="106">
        <v>0.5</v>
      </c>
      <c r="F95" s="99">
        <f>$D95-vlookup(Summary!$C95,Summary!$C$2:$Q$103,3+counta($F$1:F$1),false)</f>
        <v>0.2</v>
      </c>
      <c r="G95" s="99">
        <f>$D95-vlookup(Summary!$C95,Summary!$C$2:$Q$103,3+counta($F$1:G$1),false)</f>
        <v>0.1</v>
      </c>
      <c r="H95" s="99">
        <f>$D95-vlookup(Summary!$C95,Summary!$C$2:$Q$103,3+counta($F$1:H$1),false)</f>
        <v>-0.2</v>
      </c>
      <c r="I95" s="99">
        <f>$D95-vlookup(Summary!$C95,Summary!$C$2:$Q$103,3+counta($F$1:I$1),false)</f>
        <v>0.45</v>
      </c>
      <c r="J95" s="99">
        <f>$D95-vlookup(Summary!$C95,Summary!$C$2:$Q$103,3+counta($F$1:J$1),false)</f>
        <v>-0.1</v>
      </c>
      <c r="K95" s="99">
        <f>$D95-vlookup(Summary!$C95,Summary!$C$2:$Q$103,3+counta($F$1:K$1),false)</f>
        <v>-0.4</v>
      </c>
      <c r="L95" s="99">
        <f>$D95-vlookup(Summary!$C95,Summary!$C$2:$Q$103,3+counta($F$1:L$1),false)</f>
        <v>0</v>
      </c>
      <c r="M95" s="99">
        <f>$D95-vlookup(Summary!$C95,Summary!$C$2:$Q$103,3+counta($F$1:M$1),false)</f>
        <v>-0.2</v>
      </c>
      <c r="N95" s="99">
        <f>$D95-vlookup(Summary!$C95,Summary!$C$2:$Q$103,3+counta($F$1:N$1),false)</f>
        <v>0.3</v>
      </c>
      <c r="O95" s="99">
        <f>$D95-vlookup(Summary!$C95,Summary!$C$2:$Q$103,3+counta($F$1:O$1),false)</f>
        <v>0.499</v>
      </c>
      <c r="P95" s="99">
        <f>$D95-vlookup(Summary!$C95,Summary!$C$2:$Q$103,3+counta($F$1:P$1),false)</f>
        <v>0</v>
      </c>
      <c r="Q95" s="99">
        <f>$D95-vlookup(Summary!$C95,Summary!$C$2:$Q$103,3+counta($F$1:Q$1),false)</f>
        <v>0.4</v>
      </c>
    </row>
    <row r="96" ht="15.75" customHeight="1">
      <c r="A96" s="15">
        <f>Main!A96</f>
        <v>95</v>
      </c>
      <c r="B96" s="15" t="str">
        <f>Main!B96</f>
        <v>China will invade Taiwan</v>
      </c>
      <c r="C96" s="15" t="str">
        <f>Main!C96</f>
        <v>World Politics</v>
      </c>
      <c r="D96" s="106">
        <v>0.05</v>
      </c>
      <c r="F96" s="99">
        <f>$D96-vlookup(Summary!$C96,Summary!$C$2:$Q$103,3+counta($F$1:F$1),false)</f>
        <v>-0.3</v>
      </c>
      <c r="G96" s="99">
        <f>$D96-vlookup(Summary!$C96,Summary!$C$2:$Q$103,3+counta($F$1:G$1),false)</f>
        <v>-0.15</v>
      </c>
      <c r="H96" s="99">
        <f>$D96-vlookup(Summary!$C96,Summary!$C$2:$Q$103,3+counta($F$1:H$1),false)</f>
        <v>-0.65</v>
      </c>
      <c r="I96" s="99">
        <f>$D96-vlookup(Summary!$C96,Summary!$C$2:$Q$103,3+counta($F$1:I$1),false)</f>
        <v>-0.55</v>
      </c>
      <c r="J96" s="99">
        <f>$D96-vlookup(Summary!$C96,Summary!$C$2:$Q$103,3+counta($F$1:J$1),false)</f>
        <v>-0.65</v>
      </c>
      <c r="K96" s="99">
        <f>$D96-vlookup(Summary!$C96,Summary!$C$2:$Q$103,3+counta($F$1:K$1),false)</f>
        <v>-0.35</v>
      </c>
      <c r="L96" s="99">
        <f>$D96-vlookup(Summary!$C96,Summary!$C$2:$Q$103,3+counta($F$1:L$1),false)</f>
        <v>0</v>
      </c>
      <c r="M96" s="99">
        <f>$D96-vlookup(Summary!$C96,Summary!$C$2:$Q$103,3+counta($F$1:M$1),false)</f>
        <v>-0.65</v>
      </c>
      <c r="N96" s="99">
        <f>$D96-vlookup(Summary!$C96,Summary!$C$2:$Q$103,3+counta($F$1:N$1),false)</f>
        <v>-0.15</v>
      </c>
      <c r="O96" s="99">
        <f>$D96-vlookup(Summary!$C96,Summary!$C$2:$Q$103,3+counta($F$1:O$1),false)</f>
        <v>0.049</v>
      </c>
      <c r="P96" s="99">
        <f>$D96-vlookup(Summary!$C96,Summary!$C$2:$Q$103,3+counta($F$1:P$1),false)</f>
        <v>-0.05</v>
      </c>
      <c r="Q96" s="99">
        <f>$D96-vlookup(Summary!$C96,Summary!$C$2:$Q$103,3+counta($F$1:Q$1),false)</f>
        <v>-0.45</v>
      </c>
    </row>
    <row r="97" ht="15.75" customHeight="1">
      <c r="A97" s="15">
        <f>Main!A97</f>
        <v>96</v>
      </c>
      <c r="B97" s="15" t="str">
        <f>Main!B97</f>
        <v>A nuclear weapon will be detonated for any purpose (including a test) somewhere on earth or in space</v>
      </c>
      <c r="C97" s="15" t="str">
        <f>Main!C97</f>
        <v>World Politics</v>
      </c>
      <c r="D97" s="106">
        <v>0.3</v>
      </c>
      <c r="F97" s="99">
        <f>$D97-vlookup(Summary!$C97,Summary!$C$2:$Q$103,3+counta($F$1:F$1),false)</f>
        <v>0.2</v>
      </c>
      <c r="G97" s="99">
        <f>$D97-vlookup(Summary!$C97,Summary!$C$2:$Q$103,3+counta($F$1:G$1),false)</f>
        <v>-0.1</v>
      </c>
      <c r="H97" s="99">
        <f>$D97-vlookup(Summary!$C97,Summary!$C$2:$Q$103,3+counta($F$1:H$1),false)</f>
        <v>0.2</v>
      </c>
      <c r="I97" s="99">
        <f>$D97-vlookup(Summary!$C97,Summary!$C$2:$Q$103,3+counta($F$1:I$1),false)</f>
        <v>0.1</v>
      </c>
      <c r="J97" s="99">
        <f>$D97-vlookup(Summary!$C97,Summary!$C$2:$Q$103,3+counta($F$1:J$1),false)</f>
        <v>-0.5</v>
      </c>
      <c r="K97" s="99">
        <f>$D97-vlookup(Summary!$C97,Summary!$C$2:$Q$103,3+counta($F$1:K$1),false)</f>
        <v>-0.4</v>
      </c>
      <c r="L97" s="99">
        <f>$D97-vlookup(Summary!$C97,Summary!$C$2:$Q$103,3+counta($F$1:L$1),false)</f>
        <v>0</v>
      </c>
      <c r="M97" s="99">
        <f>$D97-vlookup(Summary!$C97,Summary!$C$2:$Q$103,3+counta($F$1:M$1),false)</f>
        <v>0.2</v>
      </c>
      <c r="N97" s="99">
        <f>$D97-vlookup(Summary!$C97,Summary!$C$2:$Q$103,3+counta($F$1:N$1),false)</f>
        <v>0.2</v>
      </c>
      <c r="O97" s="99">
        <f>$D97-vlookup(Summary!$C97,Summary!$C$2:$Q$103,3+counta($F$1:O$1),false)</f>
        <v>0.15</v>
      </c>
      <c r="P97" s="99">
        <f>$D97-vlookup(Summary!$C97,Summary!$C$2:$Q$103,3+counta($F$1:P$1),false)</f>
        <v>-0.2</v>
      </c>
      <c r="Q97" s="99">
        <f>$D97-vlookup(Summary!$C97,Summary!$C$2:$Q$103,3+counta($F$1:Q$1),false)</f>
        <v>-0.3</v>
      </c>
    </row>
    <row r="98" ht="15.75" customHeight="1">
      <c r="A98" s="15">
        <f>Main!A98</f>
        <v>97</v>
      </c>
      <c r="B98" s="15" t="str">
        <f>Main!B98</f>
        <v>Iran will announce it has produced a nuclear weapon</v>
      </c>
      <c r="C98" s="15" t="str">
        <f>Main!C98</f>
        <v>World Politics</v>
      </c>
      <c r="D98" s="106">
        <v>0.3</v>
      </c>
      <c r="F98" s="99">
        <f>$D98-vlookup(Summary!$C98,Summary!$C$2:$Q$103,3+counta($F$1:F$1),false)</f>
        <v>-0.15</v>
      </c>
      <c r="G98" s="99">
        <f>$D98-vlookup(Summary!$C98,Summary!$C$2:$Q$103,3+counta($F$1:G$1),false)</f>
        <v>0</v>
      </c>
      <c r="H98" s="99">
        <f>$D98-vlookup(Summary!$C98,Summary!$C$2:$Q$103,3+counta($F$1:H$1),false)</f>
        <v>0.2</v>
      </c>
      <c r="I98" s="99">
        <f>$D98-vlookup(Summary!$C98,Summary!$C$2:$Q$103,3+counta($F$1:I$1),false)</f>
        <v>0.1</v>
      </c>
      <c r="J98" s="99">
        <f>$D98-vlookup(Summary!$C98,Summary!$C$2:$Q$103,3+counta($F$1:J$1),false)</f>
        <v>-0.3</v>
      </c>
      <c r="K98" s="99">
        <f>$D98-vlookup(Summary!$C98,Summary!$C$2:$Q$103,3+counta($F$1:K$1),false)</f>
        <v>-0.4</v>
      </c>
      <c r="L98" s="99">
        <f>$D98-vlookup(Summary!$C98,Summary!$C$2:$Q$103,3+counta($F$1:L$1),false)</f>
        <v>0</v>
      </c>
      <c r="M98" s="99">
        <f>$D98-vlookup(Summary!$C98,Summary!$C$2:$Q$103,3+counta($F$1:M$1),false)</f>
        <v>0.2</v>
      </c>
      <c r="N98" s="99">
        <f>$D98-vlookup(Summary!$C98,Summary!$C$2:$Q$103,3+counta($F$1:N$1),false)</f>
        <v>0.2</v>
      </c>
      <c r="O98" s="99">
        <f>$D98-vlookup(Summary!$C98,Summary!$C$2:$Q$103,3+counta($F$1:O$1),false)</f>
        <v>0.15</v>
      </c>
      <c r="P98" s="99">
        <f>$D98-vlookup(Summary!$C98,Summary!$C$2:$Q$103,3+counta($F$1:P$1),false)</f>
        <v>-0.2</v>
      </c>
      <c r="Q98" s="99">
        <f>$D98-vlookup(Summary!$C98,Summary!$C$2:$Q$103,3+counta($F$1:Q$1),false)</f>
        <v>-0.3</v>
      </c>
    </row>
    <row r="99" ht="15.75" customHeight="1">
      <c r="A99" s="15">
        <f>Main!A99</f>
        <v>98</v>
      </c>
      <c r="B99" s="15" t="str">
        <f>Main!B99</f>
        <v>One or more of the G12 member countries will have diplomatically recognised Taiwan</v>
      </c>
      <c r="C99" s="15" t="str">
        <f>Main!C99</f>
        <v>World Politics</v>
      </c>
      <c r="D99" s="106">
        <v>0.3</v>
      </c>
      <c r="F99" s="99">
        <f>$D99-vlookup(Summary!$C99,Summary!$C$2:$Q$103,3+counta($F$1:F$1),false)</f>
        <v>0.15</v>
      </c>
      <c r="G99" s="99">
        <f>$D99-vlookup(Summary!$C99,Summary!$C$2:$Q$103,3+counta($F$1:G$1),false)</f>
        <v>0.1</v>
      </c>
      <c r="H99" s="99">
        <f>$D99-vlookup(Summary!$C99,Summary!$C$2:$Q$103,3+counta($F$1:H$1),false)</f>
        <v>0.2</v>
      </c>
      <c r="I99" s="99">
        <f>$D99-vlookup(Summary!$C99,Summary!$C$2:$Q$103,3+counta($F$1:I$1),false)</f>
        <v>0.1</v>
      </c>
      <c r="J99" s="99">
        <f>$D99-vlookup(Summary!$C99,Summary!$C$2:$Q$103,3+counta($F$1:J$1),false)</f>
        <v>-0.1</v>
      </c>
      <c r="K99" s="99">
        <f>$D99-vlookup(Summary!$C99,Summary!$C$2:$Q$103,3+counta($F$1:K$1),false)</f>
        <v>-0.45</v>
      </c>
      <c r="L99" s="99">
        <f>$D99-vlookup(Summary!$C99,Summary!$C$2:$Q$103,3+counta($F$1:L$1),false)</f>
        <v>0</v>
      </c>
      <c r="M99" s="99">
        <f>$D99-vlookup(Summary!$C99,Summary!$C$2:$Q$103,3+counta($F$1:M$1),false)</f>
        <v>0.2</v>
      </c>
      <c r="N99" s="99">
        <f>$D99-vlookup(Summary!$C99,Summary!$C$2:$Q$103,3+counta($F$1:N$1),false)</f>
        <v>-0.3</v>
      </c>
      <c r="O99" s="99">
        <f>$D99-vlookup(Summary!$C99,Summary!$C$2:$Q$103,3+counta($F$1:O$1),false)</f>
        <v>0.15</v>
      </c>
      <c r="P99" s="99">
        <f>$D99-vlookup(Summary!$C99,Summary!$C$2:$Q$103,3+counta($F$1:P$1),false)</f>
        <v>-0.2</v>
      </c>
      <c r="Q99" s="99">
        <f>$D99-vlookup(Summary!$C99,Summary!$C$2:$Q$103,3+counta($F$1:Q$1),false)</f>
        <v>-0.3</v>
      </c>
    </row>
    <row r="100" ht="15.75" customHeight="1">
      <c r="A100" s="15">
        <f>Main!A100</f>
        <v>99</v>
      </c>
      <c r="B100" s="15" t="str">
        <f>Main!B100</f>
        <v>Russia will have invaded Ukraine (as reported by CNN, BBC, Guardian or NYT)</v>
      </c>
      <c r="C100" s="15" t="str">
        <f>Main!C100</f>
        <v>World Politics</v>
      </c>
      <c r="D100" s="106">
        <v>0.8</v>
      </c>
      <c r="F100" s="99">
        <f>$D100-vlookup(Summary!$C100,Summary!$C$2:$Q$103,3+counta($F$1:F$1),false)</f>
        <v>0.2</v>
      </c>
      <c r="G100" s="99">
        <f>$D100-vlookup(Summary!$C100,Summary!$C$2:$Q$103,3+counta($F$1:G$1),false)</f>
        <v>0.4</v>
      </c>
      <c r="H100" s="99">
        <f>$D100-vlookup(Summary!$C100,Summary!$C$2:$Q$103,3+counta($F$1:H$1),false)</f>
        <v>-0.15</v>
      </c>
      <c r="I100" s="99">
        <f>$D100-vlookup(Summary!$C100,Summary!$C$2:$Q$103,3+counta($F$1:I$1),false)</f>
        <v>0</v>
      </c>
      <c r="J100" s="99">
        <f>$D100-vlookup(Summary!$C100,Summary!$C$2:$Q$103,3+counta($F$1:J$1),false)</f>
        <v>0</v>
      </c>
      <c r="K100" s="99">
        <f>$D100-vlookup(Summary!$C100,Summary!$C$2:$Q$103,3+counta($F$1:K$1),false)</f>
        <v>0.1</v>
      </c>
      <c r="L100" s="99">
        <f>$D100-vlookup(Summary!$C100,Summary!$C$2:$Q$103,3+counta($F$1:L$1),false)</f>
        <v>0</v>
      </c>
      <c r="M100" s="99">
        <f>$D100-vlookup(Summary!$C100,Summary!$C$2:$Q$103,3+counta($F$1:M$1),false)</f>
        <v>-0.15</v>
      </c>
      <c r="N100" s="99">
        <f>$D100-vlookup(Summary!$C100,Summary!$C$2:$Q$103,3+counta($F$1:N$1),false)</f>
        <v>0.1</v>
      </c>
      <c r="O100" s="99">
        <f>$D100-vlookup(Summary!$C100,Summary!$C$2:$Q$103,3+counta($F$1:O$1),false)</f>
        <v>0.15</v>
      </c>
      <c r="P100" s="99">
        <f>$D100-vlookup(Summary!$C100,Summary!$C$2:$Q$103,3+counta($F$1:P$1),false)</f>
        <v>0.7</v>
      </c>
      <c r="Q100" s="99">
        <f>$D100-vlookup(Summary!$C100,Summary!$C$2:$Q$103,3+counta($F$1:Q$1),false)</f>
        <v>0.2</v>
      </c>
    </row>
    <row r="101" ht="15.75" customHeight="1">
      <c r="A101" s="15">
        <f>Main!A101</f>
        <v>100</v>
      </c>
      <c r="B101" s="15" t="str">
        <f>Main!B101</f>
        <v>The US will have gone to battle with China or Russia ( nuclear battle acceptable) agreed upon by at least half the people attending 2022 predictions</v>
      </c>
      <c r="C101" s="15" t="str">
        <f>Main!C101</f>
        <v>World Politics</v>
      </c>
      <c r="D101" s="106">
        <v>0.1</v>
      </c>
      <c r="F101" s="99">
        <f>$D101-vlookup(Summary!$C101,Summary!$C$2:$Q$103,3+counta($F$1:F$1),false)</f>
        <v>-0.2</v>
      </c>
      <c r="G101" s="99">
        <f>$D101-vlookup(Summary!$C101,Summary!$C$2:$Q$103,3+counta($F$1:G$1),false)</f>
        <v>0</v>
      </c>
      <c r="H101" s="99">
        <f>$D101-vlookup(Summary!$C101,Summary!$C$2:$Q$103,3+counta($F$1:H$1),false)</f>
        <v>0</v>
      </c>
      <c r="I101" s="99">
        <f>$D101-vlookup(Summary!$C101,Summary!$C$2:$Q$103,3+counta($F$1:I$1),false)</f>
        <v>0</v>
      </c>
      <c r="J101" s="99">
        <f>$D101-vlookup(Summary!$C101,Summary!$C$2:$Q$103,3+counta($F$1:J$1),false)</f>
        <v>-0.4</v>
      </c>
      <c r="K101" s="99">
        <f>$D101-vlookup(Summary!$C101,Summary!$C$2:$Q$103,3+counta($F$1:K$1),false)</f>
        <v>-0.5</v>
      </c>
      <c r="L101" s="99">
        <f>$D101-vlookup(Summary!$C101,Summary!$C$2:$Q$103,3+counta($F$1:L$1),false)</f>
        <v>0</v>
      </c>
      <c r="M101" s="99">
        <f>$D101-vlookup(Summary!$C101,Summary!$C$2:$Q$103,3+counta($F$1:M$1),false)</f>
        <v>0</v>
      </c>
      <c r="N101" s="99">
        <f>$D101-vlookup(Summary!$C101,Summary!$C$2:$Q$103,3+counta($F$1:N$1),false)</f>
        <v>-0.1</v>
      </c>
      <c r="O101" s="99">
        <f>$D101-vlookup(Summary!$C101,Summary!$C$2:$Q$103,3+counta($F$1:O$1),false)</f>
        <v>0.099</v>
      </c>
      <c r="P101" s="99">
        <f>$D101-vlookup(Summary!$C101,Summary!$C$2:$Q$103,3+counta($F$1:P$1),false)</f>
        <v>0</v>
      </c>
      <c r="Q101" s="99">
        <f>$D101-vlookup(Summary!$C101,Summary!$C$2:$Q$103,3+counta($F$1:Q$1),false)</f>
        <v>-0.1</v>
      </c>
    </row>
    <row r="102" ht="15.75" customHeight="1">
      <c r="A102" s="15">
        <f>Main!A102</f>
        <v>101</v>
      </c>
      <c r="B102" s="15" t="str">
        <f>Main!B102</f>
        <v>There is an assassination attempt on Xi Jinping as reported in The Guardian</v>
      </c>
      <c r="C102" s="15" t="str">
        <f>Main!C102</f>
        <v>World Politics</v>
      </c>
      <c r="D102" s="106">
        <v>0.5</v>
      </c>
      <c r="F102" s="99">
        <f>$D102-vlookup(Summary!$C102,Summary!$C$2:$Q$103,3+counta($F$1:F$1),false)</f>
        <v>0.35</v>
      </c>
      <c r="G102" s="99">
        <f>$D102-vlookup(Summary!$C102,Summary!$C$2:$Q$103,3+counta($F$1:G$1),false)</f>
        <v>0.1</v>
      </c>
      <c r="H102" s="99">
        <f>$D102-vlookup(Summary!$C102,Summary!$C$2:$Q$103,3+counta($F$1:H$1),false)</f>
        <v>0.45</v>
      </c>
      <c r="I102" s="99">
        <f>$D102-vlookup(Summary!$C102,Summary!$C$2:$Q$103,3+counta($F$1:I$1),false)</f>
        <v>0.4</v>
      </c>
      <c r="J102" s="99">
        <f>$D102-vlookup(Summary!$C102,Summary!$C$2:$Q$103,3+counta($F$1:J$1),false)</f>
        <v>0.2</v>
      </c>
      <c r="K102" s="99">
        <f>$D102-vlookup(Summary!$C102,Summary!$C$2:$Q$103,3+counta($F$1:K$1),false)</f>
        <v>0.15</v>
      </c>
      <c r="L102" s="99">
        <f>$D102-vlookup(Summary!$C102,Summary!$C$2:$Q$103,3+counta($F$1:L$1),false)</f>
        <v>0</v>
      </c>
      <c r="M102" s="99">
        <f>$D102-vlookup(Summary!$C102,Summary!$C$2:$Q$103,3+counta($F$1:M$1),false)</f>
        <v>0.45</v>
      </c>
      <c r="N102" s="99">
        <f>$D102-vlookup(Summary!$C102,Summary!$C$2:$Q$103,3+counta($F$1:N$1),false)</f>
        <v>0.4</v>
      </c>
      <c r="O102" s="99">
        <f>$D102-vlookup(Summary!$C102,Summary!$C$2:$Q$103,3+counta($F$1:O$1),false)</f>
        <v>0.499</v>
      </c>
      <c r="P102" s="99">
        <f>$D102-vlookup(Summary!$C102,Summary!$C$2:$Q$103,3+counta($F$1:P$1),false)</f>
        <v>0.4</v>
      </c>
      <c r="Q102" s="99">
        <f>$D102-vlookup(Summary!$C102,Summary!$C$2:$Q$103,3+counta($F$1:Q$1),false)</f>
        <v>0.05</v>
      </c>
    </row>
    <row r="103" ht="15.75" customHeight="1">
      <c r="A103" s="15">
        <f>Main!A103</f>
        <v>102</v>
      </c>
      <c r="B103" s="15" t="str">
        <f>Main!B103</f>
        <v>Bolsanaro wins the next Brazilian elections</v>
      </c>
      <c r="C103" s="15" t="str">
        <f>Main!C103</f>
        <v>World Politics</v>
      </c>
      <c r="D103" s="106">
        <v>0.3</v>
      </c>
      <c r="F103" s="99">
        <f>$D103-vlookup(Summary!$C103,Summary!$C$2:$Q$103,3+counta($F$1:F$1),false)</f>
        <v>-0.1</v>
      </c>
      <c r="G103" s="99">
        <f>$D103-vlookup(Summary!$C103,Summary!$C$2:$Q$103,3+counta($F$1:G$1),false)</f>
        <v>0</v>
      </c>
      <c r="H103" s="99">
        <f>$D103-vlookup(Summary!$C103,Summary!$C$2:$Q$103,3+counta($F$1:H$1),false)</f>
        <v>-0.1</v>
      </c>
      <c r="I103" s="99">
        <f>$D103-vlookup(Summary!$C103,Summary!$C$2:$Q$103,3+counta($F$1:I$1),false)</f>
        <v>-0.1</v>
      </c>
      <c r="J103" s="99">
        <f>$D103-vlookup(Summary!$C103,Summary!$C$2:$Q$103,3+counta($F$1:J$1),false)</f>
        <v>-0.5</v>
      </c>
      <c r="K103" s="99">
        <f>$D103-vlookup(Summary!$C103,Summary!$C$2:$Q$103,3+counta($F$1:K$1),false)</f>
        <v>-0.45</v>
      </c>
      <c r="L103" s="99">
        <f>$D103-vlookup(Summary!$C103,Summary!$C$2:$Q$103,3+counta($F$1:L$1),false)</f>
        <v>0</v>
      </c>
      <c r="M103" s="99">
        <f>$D103-vlookup(Summary!$C103,Summary!$C$2:$Q$103,3+counta($F$1:M$1),false)</f>
        <v>-0.1</v>
      </c>
      <c r="N103" s="99">
        <f>$D103-vlookup(Summary!$C103,Summary!$C$2:$Q$103,3+counta($F$1:N$1),false)</f>
        <v>0.1</v>
      </c>
      <c r="O103" s="99">
        <f>$D103-vlookup(Summary!$C103,Summary!$C$2:$Q$103,3+counta($F$1:O$1),false)</f>
        <v>-0.35</v>
      </c>
      <c r="P103" s="99">
        <f>$D103-vlookup(Summary!$C103,Summary!$C$2:$Q$103,3+counta($F$1:P$1),false)</f>
        <v>0.2</v>
      </c>
      <c r="Q103" s="99">
        <f>$D103-vlookup(Summary!$C103,Summary!$C$2:$Q$103,3+counta($F$1:Q$1),false)</f>
        <v>-0.3</v>
      </c>
    </row>
    <row r="104" ht="15.75" customHeight="1">
      <c r="A104" s="15" t="str">
        <f>Main!A104</f>
        <v/>
      </c>
      <c r="B104" s="15" t="str">
        <f>Main!B104</f>
        <v/>
      </c>
      <c r="C104" s="15" t="str">
        <f>Main!C104</f>
        <v/>
      </c>
      <c r="E104" s="104" t="s">
        <v>197</v>
      </c>
      <c r="F104" s="102">
        <f t="shared" ref="F104:Q104" si="1">countif(F$2:F$103,"&gt;=0.5")+countif(F$2:F$103,"&lt;=-0.5")</f>
        <v>4</v>
      </c>
      <c r="G104" s="101">
        <f t="shared" si="1"/>
        <v>17</v>
      </c>
      <c r="H104" s="101">
        <f t="shared" si="1"/>
        <v>22</v>
      </c>
      <c r="I104" s="101">
        <f t="shared" si="1"/>
        <v>12</v>
      </c>
      <c r="J104" s="101">
        <f t="shared" si="1"/>
        <v>25</v>
      </c>
      <c r="K104" s="103">
        <f t="shared" si="1"/>
        <v>30</v>
      </c>
      <c r="L104" s="101">
        <f t="shared" si="1"/>
        <v>0</v>
      </c>
      <c r="M104" s="101">
        <f t="shared" si="1"/>
        <v>22</v>
      </c>
      <c r="N104" s="101">
        <f t="shared" si="1"/>
        <v>24</v>
      </c>
      <c r="O104" s="101">
        <f t="shared" si="1"/>
        <v>7</v>
      </c>
      <c r="P104" s="101">
        <f t="shared" si="1"/>
        <v>21</v>
      </c>
      <c r="Q104" s="101">
        <f t="shared" si="1"/>
        <v>16</v>
      </c>
    </row>
    <row r="105" ht="15.75" customHeight="1">
      <c r="A105" s="15" t="str">
        <f>Main!A105</f>
        <v/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14:B1000">
    <cfRule type="notContainsBlanks" dxfId="2" priority="1">
      <formula>LEN(TRIM(B114))&gt;0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135.38"/>
    <col customWidth="1" min="3" max="3" width="12.63"/>
    <col customWidth="1" min="4" max="4" width="19.75"/>
    <col customWidth="1" min="5" max="5" width="19.88"/>
    <col customWidth="1" min="6" max="7" width="12.63"/>
  </cols>
  <sheetData>
    <row r="1" ht="15.75" customHeight="1">
      <c r="A1" s="92" t="s">
        <v>4</v>
      </c>
      <c r="B1" s="92" t="s">
        <v>6</v>
      </c>
      <c r="C1" s="92" t="s">
        <v>5</v>
      </c>
      <c r="D1" s="92" t="s">
        <v>194</v>
      </c>
      <c r="E1" s="92" t="s">
        <v>195</v>
      </c>
      <c r="F1" s="8" t="s">
        <v>9</v>
      </c>
      <c r="G1" s="10" t="s">
        <v>21</v>
      </c>
      <c r="H1" s="8" t="s">
        <v>11</v>
      </c>
      <c r="I1" s="10" t="s">
        <v>12</v>
      </c>
      <c r="J1" s="8" t="s">
        <v>13</v>
      </c>
      <c r="K1" s="98" t="s">
        <v>196</v>
      </c>
      <c r="L1" s="8" t="s">
        <v>15</v>
      </c>
      <c r="M1" s="10" t="s">
        <v>16</v>
      </c>
      <c r="N1" s="8" t="s">
        <v>17</v>
      </c>
      <c r="O1" s="10" t="s">
        <v>18</v>
      </c>
      <c r="P1" s="8" t="s">
        <v>19</v>
      </c>
      <c r="Q1" s="10" t="s">
        <v>20</v>
      </c>
    </row>
    <row r="2" ht="15.75" customHeight="1">
      <c r="A2" s="15">
        <f>Main!A2</f>
        <v>1</v>
      </c>
      <c r="B2" s="15" t="str">
        <f>Main!B2</f>
        <v>That there will be a hung parliament at the next election and Labor will take office</v>
      </c>
      <c r="C2" s="15" t="str">
        <f>Main!C2</f>
        <v>Aus Politics</v>
      </c>
      <c r="D2" s="15">
        <v>0.1</v>
      </c>
      <c r="F2" s="99">
        <f>$D2-vlookup(Summary!$C2,Summary!$C$2:$Q$103,3+counta($F$1:F$1),false)</f>
        <v>-0.3</v>
      </c>
      <c r="G2" s="99">
        <f>$D2-vlookup(Summary!$C2,Summary!$C$2:$Q$103,3+counta($F$1:G$1),false)</f>
        <v>-0.6</v>
      </c>
      <c r="H2" s="99">
        <f>$D2-vlookup(Summary!$C2,Summary!$C$2:$Q$103,3+counta($F$1:H$1),false)</f>
        <v>0</v>
      </c>
      <c r="I2" s="99">
        <f>$D2-vlookup(Summary!$C2,Summary!$C$2:$Q$103,3+counta($F$1:I$1),false)</f>
        <v>-0.1</v>
      </c>
      <c r="J2" s="99">
        <f>$D2-vlookup(Summary!$C2,Summary!$C$2:$Q$103,3+counta($F$1:J$1),false)</f>
        <v>-0.4</v>
      </c>
      <c r="K2" s="99">
        <f>$D2-vlookup(Summary!$C2,Summary!$C$2:$Q$103,3+counta($F$1:K$1),false)</f>
        <v>-0.55</v>
      </c>
      <c r="L2" s="99">
        <f>$D2-vlookup(Summary!$C2,Summary!$C$2:$Q$103,3+counta($F$1:L$1),false)</f>
        <v>-0.1</v>
      </c>
      <c r="M2" s="99">
        <f>$D2-vlookup(Summary!$C2,Summary!$C$2:$Q$103,3+counta($F$1:M$1),false)</f>
        <v>0</v>
      </c>
      <c r="N2" s="99">
        <f>$D2-vlookup(Summary!$C2,Summary!$C$2:$Q$103,3+counta($F$1:N$1),false)</f>
        <v>-0.7</v>
      </c>
      <c r="O2" s="99">
        <f>$D2-vlookup(Summary!$C2,Summary!$C$2:$Q$103,3+counta($F$1:O$1),false)</f>
        <v>-0.25</v>
      </c>
      <c r="P2" s="99">
        <f>$D2-vlookup(Summary!$C2,Summary!$C$2:$Q$103,3+counta($F$1:P$1),false)</f>
        <v>0</v>
      </c>
      <c r="Q2" s="99">
        <f>$D2-vlookup(Summary!$C2,Summary!$C$2:$Q$103,3+counta($F$1:Q$1),false)</f>
        <v>-0.35</v>
      </c>
    </row>
    <row r="3" ht="15.75" customHeight="1">
      <c r="A3" s="15">
        <f>Main!A3</f>
        <v>2</v>
      </c>
      <c r="B3" s="15" t="str">
        <f>Main!B3</f>
        <v>Dan Andrews will become leader of the Australian Labor Party</v>
      </c>
      <c r="C3" s="15" t="str">
        <f>Main!C3</f>
        <v>Aus Politics</v>
      </c>
      <c r="D3" s="15">
        <v>0.05</v>
      </c>
      <c r="F3" s="99">
        <f>$D3-vlookup(Summary!$C3,Summary!$C$2:$Q$103,3+counta($F$1:F$1),false)</f>
        <v>-0.15</v>
      </c>
      <c r="G3" s="99">
        <f>$D3-vlookup(Summary!$C3,Summary!$C$2:$Q$103,3+counta($F$1:G$1),false)</f>
        <v>-0.05</v>
      </c>
      <c r="H3" s="99">
        <f>$D3-vlookup(Summary!$C3,Summary!$C$2:$Q$103,3+counta($F$1:H$1),false)</f>
        <v>0</v>
      </c>
      <c r="I3" s="99">
        <f>$D3-vlookup(Summary!$C3,Summary!$C$2:$Q$103,3+counta($F$1:I$1),false)</f>
        <v>-0.15</v>
      </c>
      <c r="J3" s="99">
        <f>$D3-vlookup(Summary!$C3,Summary!$C$2:$Q$103,3+counta($F$1:J$1),false)</f>
        <v>-0.05</v>
      </c>
      <c r="K3" s="99">
        <f>$D3-vlookup(Summary!$C3,Summary!$C$2:$Q$103,3+counta($F$1:K$1),false)</f>
        <v>0.05</v>
      </c>
      <c r="L3" s="99">
        <f>$D3-vlookup(Summary!$C3,Summary!$C$2:$Q$103,3+counta($F$1:L$1),false)</f>
        <v>0.049</v>
      </c>
      <c r="M3" s="99">
        <f>$D3-vlookup(Summary!$C3,Summary!$C$2:$Q$103,3+counta($F$1:M$1),false)</f>
        <v>0</v>
      </c>
      <c r="N3" s="99">
        <f>$D3-vlookup(Summary!$C3,Summary!$C$2:$Q$103,3+counta($F$1:N$1),false)</f>
        <v>-0.05</v>
      </c>
      <c r="O3" s="99">
        <f>$D3-vlookup(Summary!$C3,Summary!$C$2:$Q$103,3+counta($F$1:O$1),false)</f>
        <v>0.049</v>
      </c>
      <c r="P3" s="99">
        <f>$D3-vlookup(Summary!$C3,Summary!$C$2:$Q$103,3+counta($F$1:P$1),false)</f>
        <v>-0.05</v>
      </c>
      <c r="Q3" s="99">
        <f>$D3-vlookup(Summary!$C3,Summary!$C$2:$Q$103,3+counta($F$1:Q$1),false)</f>
        <v>0.04</v>
      </c>
    </row>
    <row r="4" ht="15.75" customHeight="1">
      <c r="A4" s="15">
        <f>Main!A4</f>
        <v>3</v>
      </c>
      <c r="B4" s="15" t="str">
        <f>Main!B4</f>
        <v>The Greens will get more than 9 senators in the next federal election</v>
      </c>
      <c r="C4" s="15" t="str">
        <f>Main!C4</f>
        <v>Aus Politics</v>
      </c>
      <c r="D4" s="15">
        <v>0.1</v>
      </c>
      <c r="F4" s="99">
        <f>$D4-vlookup(Summary!$C4,Summary!$C$2:$Q$103,3+counta($F$1:F$1),false)</f>
        <v>-0.5</v>
      </c>
      <c r="G4" s="99">
        <f>$D4-vlookup(Summary!$C4,Summary!$C$2:$Q$103,3+counta($F$1:G$1),false)</f>
        <v>-0.2</v>
      </c>
      <c r="H4" s="99">
        <f>$D4-vlookup(Summary!$C4,Summary!$C$2:$Q$103,3+counta($F$1:H$1),false)</f>
        <v>0</v>
      </c>
      <c r="I4" s="99">
        <f>$D4-vlookup(Summary!$C4,Summary!$C$2:$Q$103,3+counta($F$1:I$1),false)</f>
        <v>-0.5</v>
      </c>
      <c r="J4" s="99">
        <f>$D4-vlookup(Summary!$C4,Summary!$C$2:$Q$103,3+counta($F$1:J$1),false)</f>
        <v>-0.6</v>
      </c>
      <c r="K4" s="99">
        <f>$D4-vlookup(Summary!$C4,Summary!$C$2:$Q$103,3+counta($F$1:K$1),false)</f>
        <v>-0.5</v>
      </c>
      <c r="L4" s="99">
        <f>$D4-vlookup(Summary!$C4,Summary!$C$2:$Q$103,3+counta($F$1:L$1),false)</f>
        <v>-0.6</v>
      </c>
      <c r="M4" s="99">
        <f>$D4-vlookup(Summary!$C4,Summary!$C$2:$Q$103,3+counta($F$1:M$1),false)</f>
        <v>0</v>
      </c>
      <c r="N4" s="99">
        <f>$D4-vlookup(Summary!$C4,Summary!$C$2:$Q$103,3+counta($F$1:N$1),false)</f>
        <v>0</v>
      </c>
      <c r="O4" s="99">
        <f>$D4-vlookup(Summary!$C4,Summary!$C$2:$Q$103,3+counta($F$1:O$1),false)</f>
        <v>-0.4</v>
      </c>
      <c r="P4" s="99">
        <f>$D4-vlookup(Summary!$C4,Summary!$C$2:$Q$103,3+counta($F$1:P$1),false)</f>
        <v>-0.4</v>
      </c>
      <c r="Q4" s="99">
        <f>$D4-vlookup(Summary!$C4,Summary!$C$2:$Q$103,3+counta($F$1:Q$1),false)</f>
        <v>-0.45</v>
      </c>
    </row>
    <row r="5" ht="15.75" customHeight="1">
      <c r="A5" s="15">
        <f>Main!A5</f>
        <v>4</v>
      </c>
      <c r="B5" s="15" t="str">
        <f>Main!B5</f>
        <v>The House of Reps will include 5 independents by the end of the federal election</v>
      </c>
      <c r="C5" s="15" t="str">
        <f>Main!C5</f>
        <v>Aus Politics</v>
      </c>
      <c r="D5" s="15">
        <v>0.1</v>
      </c>
      <c r="F5" s="99">
        <f>$D5-vlookup(Summary!$C5,Summary!$C$2:$Q$103,3+counta($F$1:F$1),false)</f>
        <v>-0.6</v>
      </c>
      <c r="G5" s="99">
        <f>$D5-vlookup(Summary!$C5,Summary!$C$2:$Q$103,3+counta($F$1:G$1),false)</f>
        <v>-0.2</v>
      </c>
      <c r="H5" s="99">
        <f>$D5-vlookup(Summary!$C5,Summary!$C$2:$Q$103,3+counta($F$1:H$1),false)</f>
        <v>0</v>
      </c>
      <c r="I5" s="99">
        <f>$D5-vlookup(Summary!$C5,Summary!$C$2:$Q$103,3+counta($F$1:I$1),false)</f>
        <v>-0.6</v>
      </c>
      <c r="J5" s="99">
        <f>$D5-vlookup(Summary!$C5,Summary!$C$2:$Q$103,3+counta($F$1:J$1),false)</f>
        <v>-0.8</v>
      </c>
      <c r="K5" s="99">
        <f>$D5-vlookup(Summary!$C5,Summary!$C$2:$Q$103,3+counta($F$1:K$1),false)</f>
        <v>-0.65</v>
      </c>
      <c r="L5" s="99">
        <f>$D5-vlookup(Summary!$C5,Summary!$C$2:$Q$103,3+counta($F$1:L$1),false)</f>
        <v>0.099</v>
      </c>
      <c r="M5" s="99">
        <f>$D5-vlookup(Summary!$C5,Summary!$C$2:$Q$103,3+counta($F$1:M$1),false)</f>
        <v>0</v>
      </c>
      <c r="N5" s="99">
        <f>$D5-vlookup(Summary!$C5,Summary!$C$2:$Q$103,3+counta($F$1:N$1),false)</f>
        <v>-0.8</v>
      </c>
      <c r="O5" s="99">
        <f>$D5-vlookup(Summary!$C5,Summary!$C$2:$Q$103,3+counta($F$1:O$1),false)</f>
        <v>-0.4</v>
      </c>
      <c r="P5" s="99">
        <f>$D5-vlookup(Summary!$C5,Summary!$C$2:$Q$103,3+counta($F$1:P$1),false)</f>
        <v>-0.7</v>
      </c>
      <c r="Q5" s="99">
        <f>$D5-vlookup(Summary!$C5,Summary!$C$2:$Q$103,3+counta($F$1:Q$1),false)</f>
        <v>-0.6</v>
      </c>
    </row>
    <row r="6" ht="15.75" customHeight="1">
      <c r="A6" s="15">
        <f>Main!A6</f>
        <v>5</v>
      </c>
      <c r="B6" s="15" t="str">
        <f>Main!B6</f>
        <v>The Australian Labor Party will not pledge to reverse the uni fee structure introduced in 2020</v>
      </c>
      <c r="C6" s="15" t="str">
        <f>Main!C6</f>
        <v>Aus Politics</v>
      </c>
      <c r="D6" s="15">
        <v>0.9</v>
      </c>
      <c r="F6" s="99">
        <f>$D6-vlookup(Summary!$C6,Summary!$C$2:$Q$103,3+counta($F$1:F$1),false)</f>
        <v>0.3</v>
      </c>
      <c r="G6" s="99">
        <f>$D6-vlookup(Summary!$C6,Summary!$C$2:$Q$103,3+counta($F$1:G$1),false)</f>
        <v>0.1</v>
      </c>
      <c r="H6" s="99">
        <f>$D6-vlookup(Summary!$C6,Summary!$C$2:$Q$103,3+counta($F$1:H$1),false)</f>
        <v>0</v>
      </c>
      <c r="I6" s="99">
        <f>$D6-vlookup(Summary!$C6,Summary!$C$2:$Q$103,3+counta($F$1:I$1),false)</f>
        <v>0.2</v>
      </c>
      <c r="J6" s="99">
        <f>$D6-vlookup(Summary!$C6,Summary!$C$2:$Q$103,3+counta($F$1:J$1),false)</f>
        <v>0.4</v>
      </c>
      <c r="K6" s="99">
        <f>$D6-vlookup(Summary!$C6,Summary!$C$2:$Q$103,3+counta($F$1:K$1),false)</f>
        <v>0.05</v>
      </c>
      <c r="L6" s="99">
        <f>$D6-vlookup(Summary!$C6,Summary!$C$2:$Q$103,3+counta($F$1:L$1),false)</f>
        <v>0</v>
      </c>
      <c r="M6" s="99">
        <f>$D6-vlookup(Summary!$C6,Summary!$C$2:$Q$103,3+counta($F$1:M$1),false)</f>
        <v>0</v>
      </c>
      <c r="N6" s="99">
        <f>$D6-vlookup(Summary!$C6,Summary!$C$2:$Q$103,3+counta($F$1:N$1),false)</f>
        <v>0</v>
      </c>
      <c r="O6" s="99">
        <f>$D6-vlookup(Summary!$C6,Summary!$C$2:$Q$103,3+counta($F$1:O$1),false)</f>
        <v>0.05</v>
      </c>
      <c r="P6" s="99">
        <f>$D6-vlookup(Summary!$C6,Summary!$C$2:$Q$103,3+counta($F$1:P$1),false)</f>
        <v>0.1</v>
      </c>
      <c r="Q6" s="99">
        <f>$D6-vlookup(Summary!$C6,Summary!$C$2:$Q$103,3+counta($F$1:Q$1),false)</f>
        <v>0.15</v>
      </c>
    </row>
    <row r="7" ht="15.75" customHeight="1">
      <c r="A7" s="15">
        <f>Main!A7</f>
        <v>6</v>
      </c>
      <c r="B7" s="15" t="str">
        <f>Main!B7</f>
        <v>Zali Steggal and Helen Haines will both retain their seats in Federal Parliament</v>
      </c>
      <c r="C7" s="15" t="str">
        <f>Main!C7</f>
        <v>Aus Politics</v>
      </c>
      <c r="D7" s="15">
        <v>0.5</v>
      </c>
      <c r="F7" s="99">
        <f>$D7-vlookup(Summary!$C7,Summary!$C$2:$Q$103,3+counta($F$1:F$1),false)</f>
        <v>0</v>
      </c>
      <c r="G7" s="99">
        <f>$D7-vlookup(Summary!$C7,Summary!$C$2:$Q$103,3+counta($F$1:G$1),false)</f>
        <v>-0.4</v>
      </c>
      <c r="H7" s="99">
        <f>$D7-vlookup(Summary!$C7,Summary!$C$2:$Q$103,3+counta($F$1:H$1),false)</f>
        <v>0</v>
      </c>
      <c r="I7" s="99">
        <f>$D7-vlookup(Summary!$C7,Summary!$C$2:$Q$103,3+counta($F$1:I$1),false)</f>
        <v>-0.2</v>
      </c>
      <c r="J7" s="99">
        <f>$D7-vlookup(Summary!$C7,Summary!$C$2:$Q$103,3+counta($F$1:J$1),false)</f>
        <v>-0.4</v>
      </c>
      <c r="K7" s="99">
        <f>$D7-vlookup(Summary!$C7,Summary!$C$2:$Q$103,3+counta($F$1:K$1),false)</f>
        <v>-0.45</v>
      </c>
      <c r="L7" s="99">
        <f>$D7-vlookup(Summary!$C7,Summary!$C$2:$Q$103,3+counta($F$1:L$1),false)</f>
        <v>0.1</v>
      </c>
      <c r="M7" s="99">
        <f>$D7-vlookup(Summary!$C7,Summary!$C$2:$Q$103,3+counta($F$1:M$1),false)</f>
        <v>0</v>
      </c>
      <c r="N7" s="99">
        <f>$D7-vlookup(Summary!$C7,Summary!$C$2:$Q$103,3+counta($F$1:N$1),false)</f>
        <v>-0.4</v>
      </c>
      <c r="O7" s="99">
        <f>$D7-vlookup(Summary!$C7,Summary!$C$2:$Q$103,3+counta($F$1:O$1),false)</f>
        <v>-0.35</v>
      </c>
      <c r="P7" s="99">
        <f>$D7-vlookup(Summary!$C7,Summary!$C$2:$Q$103,3+counta($F$1:P$1),false)</f>
        <v>-0.4</v>
      </c>
      <c r="Q7" s="99">
        <f>$D7-vlookup(Summary!$C7,Summary!$C$2:$Q$103,3+counta($F$1:Q$1),false)</f>
        <v>0</v>
      </c>
    </row>
    <row r="8" ht="15.75" customHeight="1">
      <c r="A8" s="15">
        <f>Main!A8</f>
        <v>7</v>
      </c>
      <c r="B8" s="15" t="str">
        <f>Main!B8</f>
        <v>Scott Morrison will lose leadership of the Liberal Party at least once</v>
      </c>
      <c r="C8" s="15" t="str">
        <f>Main!C8</f>
        <v>Aus Politics</v>
      </c>
      <c r="D8" s="15">
        <v>0.05</v>
      </c>
      <c r="F8" s="99">
        <f>$D8-vlookup(Summary!$C8,Summary!$C$2:$Q$103,3+counta($F$1:F$1),false)</f>
        <v>-0.75</v>
      </c>
      <c r="G8" s="99">
        <f>$D8-vlookup(Summary!$C8,Summary!$C$2:$Q$103,3+counta($F$1:G$1),false)</f>
        <v>-0.65</v>
      </c>
      <c r="H8" s="99">
        <f>$D8-vlookup(Summary!$C8,Summary!$C$2:$Q$103,3+counta($F$1:H$1),false)</f>
        <v>-0.1</v>
      </c>
      <c r="I8" s="99">
        <f>$D8-vlookup(Summary!$C8,Summary!$C$2:$Q$103,3+counta($F$1:I$1),false)</f>
        <v>-0.25</v>
      </c>
      <c r="J8" s="99">
        <f>$D8-vlookup(Summary!$C8,Summary!$C$2:$Q$103,3+counta($F$1:J$1),false)</f>
        <v>-0.55</v>
      </c>
      <c r="K8" s="99">
        <f>$D8-vlookup(Summary!$C8,Summary!$C$2:$Q$103,3+counta($F$1:K$1),false)</f>
        <v>-0.7</v>
      </c>
      <c r="L8" s="99">
        <f>$D8-vlookup(Summary!$C8,Summary!$C$2:$Q$103,3+counta($F$1:L$1),false)</f>
        <v>-0.45</v>
      </c>
      <c r="M8" s="99">
        <f>$D8-vlookup(Summary!$C8,Summary!$C$2:$Q$103,3+counta($F$1:M$1),false)</f>
        <v>0</v>
      </c>
      <c r="N8" s="99">
        <f>$D8-vlookup(Summary!$C8,Summary!$C$2:$Q$103,3+counta($F$1:N$1),false)</f>
        <v>-0.85</v>
      </c>
      <c r="O8" s="99">
        <f>$D8-vlookup(Summary!$C8,Summary!$C$2:$Q$103,3+counta($F$1:O$1),false)</f>
        <v>-0.3</v>
      </c>
      <c r="P8" s="99">
        <f>$D8-vlookup(Summary!$C8,Summary!$C$2:$Q$103,3+counta($F$1:P$1),false)</f>
        <v>-0.65</v>
      </c>
      <c r="Q8" s="99">
        <f>$D8-vlookup(Summary!$C8,Summary!$C$2:$Q$103,3+counta($F$1:Q$1),false)</f>
        <v>-0.85</v>
      </c>
    </row>
    <row r="9" ht="15.75" customHeight="1">
      <c r="A9" s="15">
        <f>Main!A9</f>
        <v>8</v>
      </c>
      <c r="B9" s="15" t="str">
        <f>Main!B9</f>
        <v>Anthony Albanese will be Prime Minister on at least one day</v>
      </c>
      <c r="C9" s="15" t="str">
        <f>Main!C9</f>
        <v>Aus Politics</v>
      </c>
      <c r="D9" s="15">
        <v>0.05</v>
      </c>
      <c r="F9" s="99">
        <f>$D9-vlookup(Summary!$C9,Summary!$C$2:$Q$103,3+counta($F$1:F$1),false)</f>
        <v>-0.55</v>
      </c>
      <c r="G9" s="99">
        <f>$D9-vlookup(Summary!$C9,Summary!$C$2:$Q$103,3+counta($F$1:G$1),false)</f>
        <v>-0.85</v>
      </c>
      <c r="H9" s="99">
        <f>$D9-vlookup(Summary!$C9,Summary!$C$2:$Q$103,3+counta($F$1:H$1),false)</f>
        <v>0</v>
      </c>
      <c r="I9" s="99">
        <f>$D9-vlookup(Summary!$C9,Summary!$C$2:$Q$103,3+counta($F$1:I$1),false)</f>
        <v>-0.25</v>
      </c>
      <c r="J9" s="99">
        <f>$D9-vlookup(Summary!$C9,Summary!$C$2:$Q$103,3+counta($F$1:J$1),false)</f>
        <v>-0.05</v>
      </c>
      <c r="K9" s="99">
        <f>$D9-vlookup(Summary!$C9,Summary!$C$2:$Q$103,3+counta($F$1:K$1),false)</f>
        <v>-0.7</v>
      </c>
      <c r="L9" s="99">
        <f>$D9-vlookup(Summary!$C9,Summary!$C$2:$Q$103,3+counta($F$1:L$1),false)</f>
        <v>-0.25</v>
      </c>
      <c r="M9" s="99">
        <f>$D9-vlookup(Summary!$C9,Summary!$C$2:$Q$103,3+counta($F$1:M$1),false)</f>
        <v>0</v>
      </c>
      <c r="N9" s="99">
        <f>$D9-vlookup(Summary!$C9,Summary!$C$2:$Q$103,3+counta($F$1:N$1),false)</f>
        <v>-0.85</v>
      </c>
      <c r="O9" s="99">
        <f>$D9-vlookup(Summary!$C9,Summary!$C$2:$Q$103,3+counta($F$1:O$1),false)</f>
        <v>-0.3</v>
      </c>
      <c r="P9" s="99">
        <f>$D9-vlookup(Summary!$C9,Summary!$C$2:$Q$103,3+counta($F$1:P$1),false)</f>
        <v>-0.75</v>
      </c>
      <c r="Q9" s="99">
        <f>$D9-vlookup(Summary!$C9,Summary!$C$2:$Q$103,3+counta($F$1:Q$1),false)</f>
        <v>-0.35</v>
      </c>
    </row>
    <row r="10" ht="15.75" customHeight="1">
      <c r="A10" s="15">
        <f>Main!A10</f>
        <v>9</v>
      </c>
      <c r="B10" s="15" t="str">
        <f>Main!B10</f>
        <v>A sitting MP will make allegations of possible voter fraud or election 'rigging' in the 2022 Australian federal election</v>
      </c>
      <c r="C10" s="15" t="str">
        <f>Main!C10</f>
        <v>Aus Politics</v>
      </c>
      <c r="D10" s="15">
        <v>0.3</v>
      </c>
      <c r="F10" s="99">
        <f>$D10-vlookup(Summary!$C10,Summary!$C$2:$Q$103,3+counta($F$1:F$1),false)</f>
        <v>-0.25</v>
      </c>
      <c r="G10" s="99">
        <f>$D10-vlookup(Summary!$C10,Summary!$C$2:$Q$103,3+counta($F$1:G$1),false)</f>
        <v>0</v>
      </c>
      <c r="H10" s="99">
        <f>$D10-vlookup(Summary!$C10,Summary!$C$2:$Q$103,3+counta($F$1:H$1),false)</f>
        <v>0</v>
      </c>
      <c r="I10" s="99">
        <f>$D10-vlookup(Summary!$C10,Summary!$C$2:$Q$103,3+counta($F$1:I$1),false)</f>
        <v>-0.1</v>
      </c>
      <c r="J10" s="99">
        <f>$D10-vlookup(Summary!$C10,Summary!$C$2:$Q$103,3+counta($F$1:J$1),false)</f>
        <v>-0.6</v>
      </c>
      <c r="K10" s="99">
        <f>$D10-vlookup(Summary!$C10,Summary!$C$2:$Q$103,3+counta($F$1:K$1),false)</f>
        <v>-0.05</v>
      </c>
      <c r="L10" s="99">
        <f>$D10-vlookup(Summary!$C10,Summary!$C$2:$Q$103,3+counta($F$1:L$1),false)</f>
        <v>-0.6</v>
      </c>
      <c r="M10" s="99">
        <f>$D10-vlookup(Summary!$C10,Summary!$C$2:$Q$103,3+counta($F$1:M$1),false)</f>
        <v>0</v>
      </c>
      <c r="N10" s="99">
        <f>$D10-vlookup(Summary!$C10,Summary!$C$2:$Q$103,3+counta($F$1:N$1),false)</f>
        <v>-0.4</v>
      </c>
      <c r="O10" s="99">
        <f>$D10-vlookup(Summary!$C10,Summary!$C$2:$Q$103,3+counta($F$1:O$1),false)</f>
        <v>-0.55</v>
      </c>
      <c r="P10" s="99">
        <f>$D10-vlookup(Summary!$C10,Summary!$C$2:$Q$103,3+counta($F$1:P$1),false)</f>
        <v>-0.1</v>
      </c>
      <c r="Q10" s="99">
        <f>$D10-vlookup(Summary!$C10,Summary!$C$2:$Q$103,3+counta($F$1:Q$1),false)</f>
        <v>-0.5</v>
      </c>
    </row>
    <row r="11" ht="15.75" customHeight="1">
      <c r="A11" s="15">
        <f>Main!A11</f>
        <v>10</v>
      </c>
      <c r="B11" s="15" t="str">
        <f>Main!B11</f>
        <v>The Australian Intelligence Community will release a statement contradicting a Government minister or MP during the 2022 election campaign</v>
      </c>
      <c r="C11" s="15" t="str">
        <f>Main!C11</f>
        <v>Aus Politics</v>
      </c>
      <c r="D11" s="15">
        <v>0.1</v>
      </c>
      <c r="F11" s="99">
        <f>$D11-vlookup(Summary!$C11,Summary!$C$2:$Q$103,3+counta($F$1:F$1),false)</f>
        <v>-0.3</v>
      </c>
      <c r="G11" s="99">
        <f>$D11-vlookup(Summary!$C11,Summary!$C$2:$Q$103,3+counta($F$1:G$1),false)</f>
        <v>-0.1</v>
      </c>
      <c r="H11" s="99">
        <f>$D11-vlookup(Summary!$C11,Summary!$C$2:$Q$103,3+counta($F$1:H$1),false)</f>
        <v>0</v>
      </c>
      <c r="I11" s="99">
        <f>$D11-vlookup(Summary!$C11,Summary!$C$2:$Q$103,3+counta($F$1:I$1),false)</f>
        <v>-0.1</v>
      </c>
      <c r="J11" s="99">
        <f>$D11-vlookup(Summary!$C11,Summary!$C$2:$Q$103,3+counta($F$1:J$1),false)</f>
        <v>0</v>
      </c>
      <c r="K11" s="99">
        <f>$D11-vlookup(Summary!$C11,Summary!$C$2:$Q$103,3+counta($F$1:K$1),false)</f>
        <v>-0.45</v>
      </c>
      <c r="L11" s="99">
        <f>$D11-vlookup(Summary!$C11,Summary!$C$2:$Q$103,3+counta($F$1:L$1),false)</f>
        <v>-0.05</v>
      </c>
      <c r="M11" s="99">
        <f>$D11-vlookup(Summary!$C11,Summary!$C$2:$Q$103,3+counta($F$1:M$1),false)</f>
        <v>0</v>
      </c>
      <c r="N11" s="99">
        <f>$D11-vlookup(Summary!$C11,Summary!$C$2:$Q$103,3+counta($F$1:N$1),false)</f>
        <v>-0.8</v>
      </c>
      <c r="O11" s="99">
        <f>$D11-vlookup(Summary!$C11,Summary!$C$2:$Q$103,3+counta($F$1:O$1),false)</f>
        <v>0.099</v>
      </c>
      <c r="P11" s="99">
        <f>$D11-vlookup(Summary!$C11,Summary!$C$2:$Q$103,3+counta($F$1:P$1),false)</f>
        <v>0</v>
      </c>
      <c r="Q11" s="99">
        <f>$D11-vlookup(Summary!$C11,Summary!$C$2:$Q$103,3+counta($F$1:Q$1),false)</f>
        <v>-0.65</v>
      </c>
    </row>
    <row r="12" ht="15.75" customHeight="1">
      <c r="A12" s="15">
        <f>Main!A12</f>
        <v>11</v>
      </c>
      <c r="B12" s="15" t="str">
        <f>Main!B12</f>
        <v>Scott Morrison will still be the Prime Minister of Australia</v>
      </c>
      <c r="C12" s="15" t="str">
        <f>Main!C12</f>
        <v>Aus Politics</v>
      </c>
      <c r="D12" s="15">
        <v>0.05</v>
      </c>
      <c r="F12" s="99">
        <f>$D12-vlookup(Summary!$C12,Summary!$C$2:$Q$103,3+counta($F$1:F$1),false)</f>
        <v>-0.35</v>
      </c>
      <c r="G12" s="99">
        <f>$D12-vlookup(Summary!$C12,Summary!$C$2:$Q$103,3+counta($F$1:G$1),false)</f>
        <v>-0.15</v>
      </c>
      <c r="H12" s="99">
        <f>$D12-vlookup(Summary!$C12,Summary!$C$2:$Q$103,3+counta($F$1:H$1),false)</f>
        <v>-0.15</v>
      </c>
      <c r="I12" s="99">
        <f>$D12-vlookup(Summary!$C12,Summary!$C$2:$Q$103,3+counta($F$1:I$1),false)</f>
        <v>-0.75</v>
      </c>
      <c r="J12" s="99">
        <f>$D12-vlookup(Summary!$C12,Summary!$C$2:$Q$103,3+counta($F$1:J$1),false)</f>
        <v>-0.45</v>
      </c>
      <c r="K12" s="99">
        <f>$D12-vlookup(Summary!$C12,Summary!$C$2:$Q$103,3+counta($F$1:K$1),false)</f>
        <v>-0.7</v>
      </c>
      <c r="L12" s="99">
        <f>$D12-vlookup(Summary!$C12,Summary!$C$2:$Q$103,3+counta($F$1:L$1),false)</f>
        <v>-0.65</v>
      </c>
      <c r="M12" s="99">
        <f>$D12-vlookup(Summary!$C12,Summary!$C$2:$Q$103,3+counta($F$1:M$1),false)</f>
        <v>0</v>
      </c>
      <c r="N12" s="99">
        <f>$D12-vlookup(Summary!$C12,Summary!$C$2:$Q$103,3+counta($F$1:N$1),false)</f>
        <v>-0.05</v>
      </c>
      <c r="O12" s="99">
        <f>$D12-vlookup(Summary!$C12,Summary!$C$2:$Q$103,3+counta($F$1:O$1),false)</f>
        <v>-0.6</v>
      </c>
      <c r="P12" s="99">
        <f>$D12-vlookup(Summary!$C12,Summary!$C$2:$Q$103,3+counta($F$1:P$1),false)</f>
        <v>-0.25</v>
      </c>
      <c r="Q12" s="99">
        <f>$D12-vlookup(Summary!$C12,Summary!$C$2:$Q$103,3+counta($F$1:Q$1),false)</f>
        <v>-0.05</v>
      </c>
    </row>
    <row r="13" ht="15.75" customHeight="1">
      <c r="A13" s="15">
        <f>Main!A13</f>
        <v>12</v>
      </c>
      <c r="B13" s="15" t="str">
        <f>Main!B13</f>
        <v>An Australian federal Minister will step down from their position due to direct involvement (proven or otherwise) in sexual misconduct at some point in the year.</v>
      </c>
      <c r="C13" s="15" t="str">
        <f>Main!C13</f>
        <v>Aus Politics</v>
      </c>
      <c r="D13" s="15">
        <v>0.1</v>
      </c>
      <c r="F13" s="99">
        <f>$D13-vlookup(Summary!$C13,Summary!$C$2:$Q$103,3+counta($F$1:F$1),false)</f>
        <v>-0.55</v>
      </c>
      <c r="G13" s="99">
        <f>$D13-vlookup(Summary!$C13,Summary!$C$2:$Q$103,3+counta($F$1:G$1),false)</f>
        <v>-0.3</v>
      </c>
      <c r="H13" s="99">
        <f>$D13-vlookup(Summary!$C13,Summary!$C$2:$Q$103,3+counta($F$1:H$1),false)</f>
        <v>0</v>
      </c>
      <c r="I13" s="99">
        <f>$D13-vlookup(Summary!$C13,Summary!$C$2:$Q$103,3+counta($F$1:I$1),false)</f>
        <v>-0.8</v>
      </c>
      <c r="J13" s="99">
        <f>$D13-vlookup(Summary!$C13,Summary!$C$2:$Q$103,3+counta($F$1:J$1),false)</f>
        <v>-0.8</v>
      </c>
      <c r="K13" s="99">
        <f>$D13-vlookup(Summary!$C13,Summary!$C$2:$Q$103,3+counta($F$1:K$1),false)</f>
        <v>-0.25</v>
      </c>
      <c r="L13" s="99">
        <f>$D13-vlookup(Summary!$C13,Summary!$C$2:$Q$103,3+counta($F$1:L$1),false)</f>
        <v>-0.1</v>
      </c>
      <c r="M13" s="99">
        <f>$D13-vlookup(Summary!$C13,Summary!$C$2:$Q$103,3+counta($F$1:M$1),false)</f>
        <v>0</v>
      </c>
      <c r="N13" s="99">
        <f>$D13-vlookup(Summary!$C13,Summary!$C$2:$Q$103,3+counta($F$1:N$1),false)</f>
        <v>-0.5</v>
      </c>
      <c r="O13" s="99">
        <f>$D13-vlookup(Summary!$C13,Summary!$C$2:$Q$103,3+counta($F$1:O$1),false)</f>
        <v>-0.05</v>
      </c>
      <c r="P13" s="99">
        <f>$D13-vlookup(Summary!$C13,Summary!$C$2:$Q$103,3+counta($F$1:P$1),false)</f>
        <v>-0.2</v>
      </c>
      <c r="Q13" s="99">
        <f>$D13-vlookup(Summary!$C13,Summary!$C$2:$Q$103,3+counta($F$1:Q$1),false)</f>
        <v>-0.5</v>
      </c>
    </row>
    <row r="14" ht="15.75" customHeight="1">
      <c r="A14" s="15">
        <f>Main!A14</f>
        <v>13</v>
      </c>
      <c r="B14" s="15" t="str">
        <f>Main!B14</f>
        <v>Friendlyjordies, or evidence he has brought to light, will feature in a court case or ICAC inquiry.</v>
      </c>
      <c r="C14" s="15" t="str">
        <f>Main!C14</f>
        <v>Aus Politics</v>
      </c>
      <c r="D14" s="15">
        <v>0.3</v>
      </c>
      <c r="F14" s="99">
        <f>$D14-vlookup(Summary!$C14,Summary!$C$2:$Q$103,3+counta($F$1:F$1),false)</f>
        <v>-0.25</v>
      </c>
      <c r="G14" s="99">
        <f>$D14-vlookup(Summary!$C14,Summary!$C$2:$Q$103,3+counta($F$1:G$1),false)</f>
        <v>-0.4</v>
      </c>
      <c r="H14" s="99">
        <f>$D14-vlookup(Summary!$C14,Summary!$C$2:$Q$103,3+counta($F$1:H$1),false)</f>
        <v>0</v>
      </c>
      <c r="I14" s="99">
        <f>$D14-vlookup(Summary!$C14,Summary!$C$2:$Q$103,3+counta($F$1:I$1),false)</f>
        <v>-0.3</v>
      </c>
      <c r="J14" s="99">
        <f>$D14-vlookup(Summary!$C14,Summary!$C$2:$Q$103,3+counta($F$1:J$1),false)</f>
        <v>-0.4</v>
      </c>
      <c r="K14" s="99">
        <f>$D14-vlookup(Summary!$C14,Summary!$C$2:$Q$103,3+counta($F$1:K$1),false)</f>
        <v>-0.35</v>
      </c>
      <c r="L14" s="99">
        <f>$D14-vlookup(Summary!$C14,Summary!$C$2:$Q$103,3+counta($F$1:L$1),false)</f>
        <v>-0.2</v>
      </c>
      <c r="M14" s="99">
        <f>$D14-vlookup(Summary!$C14,Summary!$C$2:$Q$103,3+counta($F$1:M$1),false)</f>
        <v>0</v>
      </c>
      <c r="N14" s="99">
        <f>$D14-vlookup(Summary!$C14,Summary!$C$2:$Q$103,3+counta($F$1:N$1),false)</f>
        <v>0.2</v>
      </c>
      <c r="O14" s="99">
        <f>$D14-vlookup(Summary!$C14,Summary!$C$2:$Q$103,3+counta($F$1:O$1),false)</f>
        <v>0.15</v>
      </c>
      <c r="P14" s="99">
        <f>$D14-vlookup(Summary!$C14,Summary!$C$2:$Q$103,3+counta($F$1:P$1),false)</f>
        <v>-0.2</v>
      </c>
      <c r="Q14" s="99">
        <f>$D14-vlookup(Summary!$C14,Summary!$C$2:$Q$103,3+counta($F$1:Q$1),false)</f>
        <v>-0.2</v>
      </c>
    </row>
    <row r="15" ht="15.75" customHeight="1">
      <c r="A15" s="15">
        <f>Main!A15</f>
        <v>14</v>
      </c>
      <c r="B15" s="15" t="str">
        <f>Main!B15</f>
        <v>At least one person commits suicide as an effect of the Royal Commission into Defence and Veteran Suicide, as reported in The Guardian</v>
      </c>
      <c r="C15" s="15" t="str">
        <f>Main!C15</f>
        <v>Aus Politics</v>
      </c>
      <c r="D15" s="15">
        <v>0.7</v>
      </c>
      <c r="F15" s="99">
        <f>$D15-vlookup(Summary!$C15,Summary!$C$2:$Q$103,3+counta($F$1:F$1),false)</f>
        <v>0.3</v>
      </c>
      <c r="G15" s="99">
        <f>$D15-vlookup(Summary!$C15,Summary!$C$2:$Q$103,3+counta($F$1:G$1),false)</f>
        <v>-0.1</v>
      </c>
      <c r="H15" s="99">
        <f>$D15-vlookup(Summary!$C15,Summary!$C$2:$Q$103,3+counta($F$1:H$1),false)</f>
        <v>0</v>
      </c>
      <c r="I15" s="99">
        <f>$D15-vlookup(Summary!$C15,Summary!$C$2:$Q$103,3+counta($F$1:I$1),false)</f>
        <v>0.3</v>
      </c>
      <c r="J15" s="99">
        <f>$D15-vlookup(Summary!$C15,Summary!$C$2:$Q$103,3+counta($F$1:J$1),false)</f>
        <v>0.4</v>
      </c>
      <c r="K15" s="99">
        <f>$D15-vlookup(Summary!$C15,Summary!$C$2:$Q$103,3+counta($F$1:K$1),false)</f>
        <v>-0.15</v>
      </c>
      <c r="L15" s="99">
        <f>$D15-vlookup(Summary!$C15,Summary!$C$2:$Q$103,3+counta($F$1:L$1),false)</f>
        <v>0.1</v>
      </c>
      <c r="M15" s="99">
        <f>$D15-vlookup(Summary!$C15,Summary!$C$2:$Q$103,3+counta($F$1:M$1),false)</f>
        <v>0</v>
      </c>
      <c r="N15" s="99">
        <f>$D15-vlookup(Summary!$C15,Summary!$C$2:$Q$103,3+counta($F$1:N$1),false)</f>
        <v>-0.2</v>
      </c>
      <c r="O15" s="99">
        <f>$D15-vlookup(Summary!$C15,Summary!$C$2:$Q$103,3+counta($F$1:O$1),false)</f>
        <v>0.55</v>
      </c>
      <c r="P15" s="99">
        <f>$D15-vlookup(Summary!$C15,Summary!$C$2:$Q$103,3+counta($F$1:P$1),false)</f>
        <v>0.2</v>
      </c>
      <c r="Q15" s="99">
        <f>$D15-vlookup(Summary!$C15,Summary!$C$2:$Q$103,3+counta($F$1:Q$1),false)</f>
        <v>0.3</v>
      </c>
    </row>
    <row r="16" ht="15.75" customHeight="1">
      <c r="A16" s="15">
        <f>Main!A16</f>
        <v>15</v>
      </c>
      <c r="B16" s="15" t="str">
        <f>Main!B16</f>
        <v>Taylor Swift will get married</v>
      </c>
      <c r="C16" s="15" t="str">
        <f>Main!C16</f>
        <v>Celebrities</v>
      </c>
      <c r="D16" s="15">
        <v>0.7</v>
      </c>
      <c r="F16" s="99">
        <f>$D16-vlookup(Summary!$C16,Summary!$C$2:$Q$103,3+counta($F$1:F$1),false)</f>
        <v>0.15</v>
      </c>
      <c r="G16" s="99">
        <f>$D16-vlookup(Summary!$C16,Summary!$C$2:$Q$103,3+counta($F$1:G$1),false)</f>
        <v>0.3</v>
      </c>
      <c r="H16" s="99">
        <f>$D16-vlookup(Summary!$C16,Summary!$C$2:$Q$103,3+counta($F$1:H$1),false)</f>
        <v>0</v>
      </c>
      <c r="I16" s="99">
        <f>$D16-vlookup(Summary!$C16,Summary!$C$2:$Q$103,3+counta($F$1:I$1),false)</f>
        <v>0.55</v>
      </c>
      <c r="J16" s="99">
        <f>$D16-vlookup(Summary!$C16,Summary!$C$2:$Q$103,3+counta($F$1:J$1),false)</f>
        <v>0.1</v>
      </c>
      <c r="K16" s="99">
        <f>$D16-vlookup(Summary!$C16,Summary!$C$2:$Q$103,3+counta($F$1:K$1),false)</f>
        <v>-0.1</v>
      </c>
      <c r="L16" s="99">
        <f>$D16-vlookup(Summary!$C16,Summary!$C$2:$Q$103,3+counta($F$1:L$1),false)</f>
        <v>0.5</v>
      </c>
      <c r="M16" s="99">
        <f>$D16-vlookup(Summary!$C16,Summary!$C$2:$Q$103,3+counta($F$1:M$1),false)</f>
        <v>0</v>
      </c>
      <c r="N16" s="99">
        <f>$D16-vlookup(Summary!$C16,Summary!$C$2:$Q$103,3+counta($F$1:N$1),false)</f>
        <v>-0.1</v>
      </c>
      <c r="O16" s="99">
        <f>$D16-vlookup(Summary!$C16,Summary!$C$2:$Q$103,3+counta($F$1:O$1),false)</f>
        <v>0.55</v>
      </c>
      <c r="P16" s="99">
        <f>$D16-vlookup(Summary!$C16,Summary!$C$2:$Q$103,3+counta($F$1:P$1),false)</f>
        <v>0.2</v>
      </c>
      <c r="Q16" s="99">
        <f>$D16-vlookup(Summary!$C16,Summary!$C$2:$Q$103,3+counta($F$1:Q$1),false)</f>
        <v>0.69</v>
      </c>
    </row>
    <row r="17" ht="15.75" customHeight="1">
      <c r="A17" s="15">
        <f>Main!A17</f>
        <v>16</v>
      </c>
      <c r="B17" s="15" t="str">
        <f>Main!B17</f>
        <v>Jane Campion will win the Oscar for Best Director</v>
      </c>
      <c r="C17" s="15" t="str">
        <f>Main!C17</f>
        <v>Celebrities</v>
      </c>
      <c r="D17" s="15">
        <v>0.2</v>
      </c>
      <c r="F17" s="99">
        <f>$D17-vlookup(Summary!$C17,Summary!$C$2:$Q$103,3+counta($F$1:F$1),false)</f>
        <v>-0.6</v>
      </c>
      <c r="G17" s="99">
        <f>$D17-vlookup(Summary!$C17,Summary!$C$2:$Q$103,3+counta($F$1:G$1),false)</f>
        <v>-0.4</v>
      </c>
      <c r="H17" s="99">
        <f>$D17-vlookup(Summary!$C17,Summary!$C$2:$Q$103,3+counta($F$1:H$1),false)</f>
        <v>0</v>
      </c>
      <c r="I17" s="99">
        <f>$D17-vlookup(Summary!$C17,Summary!$C$2:$Q$103,3+counta($F$1:I$1),false)</f>
        <v>-0.7</v>
      </c>
      <c r="J17" s="99">
        <f>$D17-vlookup(Summary!$C17,Summary!$C$2:$Q$103,3+counta($F$1:J$1),false)</f>
        <v>-0.7</v>
      </c>
      <c r="K17" s="99">
        <f>$D17-vlookup(Summary!$C17,Summary!$C$2:$Q$103,3+counta($F$1:K$1),false)</f>
        <v>-0.75</v>
      </c>
      <c r="L17" s="99">
        <f>$D17-vlookup(Summary!$C17,Summary!$C$2:$Q$103,3+counta($F$1:L$1),false)</f>
        <v>-0.5</v>
      </c>
      <c r="M17" s="99">
        <f>$D17-vlookup(Summary!$C17,Summary!$C$2:$Q$103,3+counta($F$1:M$1),false)</f>
        <v>0</v>
      </c>
      <c r="N17" s="99">
        <f>$D17-vlookup(Summary!$C17,Summary!$C$2:$Q$103,3+counta($F$1:N$1),false)</f>
        <v>0.1</v>
      </c>
      <c r="O17" s="99">
        <f>$D17-vlookup(Summary!$C17,Summary!$C$2:$Q$103,3+counta($F$1:O$1),false)</f>
        <v>-0.3</v>
      </c>
      <c r="P17" s="99">
        <f>$D17-vlookup(Summary!$C17,Summary!$C$2:$Q$103,3+counta($F$1:P$1),false)</f>
        <v>-0.3</v>
      </c>
      <c r="Q17" s="99">
        <f>$D17-vlookup(Summary!$C17,Summary!$C$2:$Q$103,3+counta($F$1:Q$1),false)</f>
        <v>-0.1</v>
      </c>
    </row>
    <row r="18" ht="15.75" customHeight="1">
      <c r="A18" s="15">
        <f>Main!A18</f>
        <v>17</v>
      </c>
      <c r="B18" s="15" t="str">
        <f>Main!B18</f>
        <v>Harry and Megan's animated series "Pearl" will be released and have over 50% on Rotten Tomatoes</v>
      </c>
      <c r="C18" s="15" t="str">
        <f>Main!C18</f>
        <v>Celebrities</v>
      </c>
      <c r="D18" s="15">
        <v>0.8</v>
      </c>
      <c r="F18" s="99">
        <f>$D18-vlookup(Summary!$C18,Summary!$C$2:$Q$103,3+counta($F$1:F$1),false)</f>
        <v>0.4</v>
      </c>
      <c r="G18" s="99">
        <f>$D18-vlookup(Summary!$C18,Summary!$C$2:$Q$103,3+counta($F$1:G$1),false)</f>
        <v>0.5</v>
      </c>
      <c r="H18" s="99">
        <f>$D18-vlookup(Summary!$C18,Summary!$C$2:$Q$103,3+counta($F$1:H$1),false)</f>
        <v>0</v>
      </c>
      <c r="I18" s="99">
        <f>$D18-vlookup(Summary!$C18,Summary!$C$2:$Q$103,3+counta($F$1:I$1),false)</f>
        <v>0.4</v>
      </c>
      <c r="J18" s="99">
        <f>$D18-vlookup(Summary!$C18,Summary!$C$2:$Q$103,3+counta($F$1:J$1),false)</f>
        <v>0.7</v>
      </c>
      <c r="K18" s="99">
        <f>$D18-vlookup(Summary!$C18,Summary!$C$2:$Q$103,3+counta($F$1:K$1),false)</f>
        <v>0</v>
      </c>
      <c r="L18" s="99">
        <f>$D18-vlookup(Summary!$C18,Summary!$C$2:$Q$103,3+counta($F$1:L$1),false)</f>
        <v>0.6</v>
      </c>
      <c r="M18" s="99">
        <f>$D18-vlookup(Summary!$C18,Summary!$C$2:$Q$103,3+counta($F$1:M$1),false)</f>
        <v>0</v>
      </c>
      <c r="N18" s="99">
        <f>$D18-vlookup(Summary!$C18,Summary!$C$2:$Q$103,3+counta($F$1:N$1),false)</f>
        <v>0</v>
      </c>
      <c r="O18" s="99">
        <f>$D18-vlookup(Summary!$C18,Summary!$C$2:$Q$103,3+counta($F$1:O$1),false)</f>
        <v>0.65</v>
      </c>
      <c r="P18" s="99">
        <f>$D18-vlookup(Summary!$C18,Summary!$C$2:$Q$103,3+counta($F$1:P$1),false)</f>
        <v>0.3</v>
      </c>
      <c r="Q18" s="99">
        <f>$D18-vlookup(Summary!$C18,Summary!$C$2:$Q$103,3+counta($F$1:Q$1),false)</f>
        <v>0.4</v>
      </c>
    </row>
    <row r="19" ht="15.75" customHeight="1">
      <c r="A19" s="15">
        <f>Main!A19</f>
        <v>18</v>
      </c>
      <c r="B19" s="15" t="str">
        <f>Main!B19</f>
        <v>Prince Andrew will enter or exit a courtroom wearing an oxygen mask and/or sitting in a wheelchair</v>
      </c>
      <c r="C19" s="15" t="str">
        <f>Main!C19</f>
        <v>Celebrities</v>
      </c>
      <c r="D19" s="15">
        <v>0.05</v>
      </c>
      <c r="F19" s="99">
        <f>$D19-vlookup(Summary!$C19,Summary!$C$2:$Q$103,3+counta($F$1:F$1),false)</f>
        <v>-0.25</v>
      </c>
      <c r="G19" s="99">
        <f>$D19-vlookup(Summary!$C19,Summary!$C$2:$Q$103,3+counta($F$1:G$1),false)</f>
        <v>-0.15</v>
      </c>
      <c r="H19" s="99">
        <f>$D19-vlookup(Summary!$C19,Summary!$C$2:$Q$103,3+counta($F$1:H$1),false)</f>
        <v>-0.65</v>
      </c>
      <c r="I19" s="99">
        <f>$D19-vlookup(Summary!$C19,Summary!$C$2:$Q$103,3+counta($F$1:I$1),false)</f>
        <v>-0.05</v>
      </c>
      <c r="J19" s="99">
        <f>$D19-vlookup(Summary!$C19,Summary!$C$2:$Q$103,3+counta($F$1:J$1),false)</f>
        <v>-0.35</v>
      </c>
      <c r="K19" s="99">
        <f>$D19-vlookup(Summary!$C19,Summary!$C$2:$Q$103,3+counta($F$1:K$1),false)</f>
        <v>-0.15</v>
      </c>
      <c r="L19" s="99">
        <f>$D19-vlookup(Summary!$C19,Summary!$C$2:$Q$103,3+counta($F$1:L$1),false)</f>
        <v>-0.05</v>
      </c>
      <c r="M19" s="99">
        <f>$D19-vlookup(Summary!$C19,Summary!$C$2:$Q$103,3+counta($F$1:M$1),false)</f>
        <v>0</v>
      </c>
      <c r="N19" s="99">
        <f>$D19-vlookup(Summary!$C19,Summary!$C$2:$Q$103,3+counta($F$1:N$1),false)</f>
        <v>-0.05</v>
      </c>
      <c r="O19" s="99">
        <f>$D19-vlookup(Summary!$C19,Summary!$C$2:$Q$103,3+counta($F$1:O$1),false)</f>
        <v>-0.1</v>
      </c>
      <c r="P19" s="99">
        <f>$D19-vlookup(Summary!$C19,Summary!$C$2:$Q$103,3+counta($F$1:P$1),false)</f>
        <v>-0.05</v>
      </c>
      <c r="Q19" s="99">
        <f>$D19-vlookup(Summary!$C19,Summary!$C$2:$Q$103,3+counta($F$1:Q$1),false)</f>
        <v>-0.15</v>
      </c>
    </row>
    <row r="20" ht="15.75" customHeight="1">
      <c r="A20" s="15">
        <f>Main!A20</f>
        <v>19</v>
      </c>
      <c r="B20" s="15" t="str">
        <f>Main!B20</f>
        <v>News Ltd will report on the emergence of a conspiracy theory relating to the Queen's death: that the palace is either secretly concealing her death or her continuing life</v>
      </c>
      <c r="C20" s="15" t="str">
        <f>Main!C20</f>
        <v>Celebrities</v>
      </c>
      <c r="D20" s="15">
        <v>0.8</v>
      </c>
      <c r="F20" s="99">
        <f>$D20-vlookup(Summary!$C20,Summary!$C$2:$Q$103,3+counta($F$1:F$1),false)</f>
        <v>0.55</v>
      </c>
      <c r="G20" s="99">
        <f>$D20-vlookup(Summary!$C20,Summary!$C$2:$Q$103,3+counta($F$1:G$1),false)</f>
        <v>0.4</v>
      </c>
      <c r="H20" s="99">
        <f>$D20-vlookup(Summary!$C20,Summary!$C$2:$Q$103,3+counta($F$1:H$1),false)</f>
        <v>0</v>
      </c>
      <c r="I20" s="99">
        <f>$D20-vlookup(Summary!$C20,Summary!$C$2:$Q$103,3+counta($F$1:I$1),false)</f>
        <v>0.75</v>
      </c>
      <c r="J20" s="99">
        <f>$D20-vlookup(Summary!$C20,Summary!$C$2:$Q$103,3+counta($F$1:J$1),false)</f>
        <v>0.3</v>
      </c>
      <c r="K20" s="99">
        <f>$D20-vlookup(Summary!$C20,Summary!$C$2:$Q$103,3+counta($F$1:K$1),false)</f>
        <v>-0.05</v>
      </c>
      <c r="L20" s="99">
        <f>$D20-vlookup(Summary!$C20,Summary!$C$2:$Q$103,3+counta($F$1:L$1),false)</f>
        <v>0.75</v>
      </c>
      <c r="M20" s="99">
        <f>$D20-vlookup(Summary!$C20,Summary!$C$2:$Q$103,3+counta($F$1:M$1),false)</f>
        <v>0</v>
      </c>
      <c r="N20" s="99">
        <f>$D20-vlookup(Summary!$C20,Summary!$C$2:$Q$103,3+counta($F$1:N$1),false)</f>
        <v>0.7</v>
      </c>
      <c r="O20" s="99">
        <f>$D20-vlookup(Summary!$C20,Summary!$C$2:$Q$103,3+counta($F$1:O$1),false)</f>
        <v>0.799</v>
      </c>
      <c r="P20" s="99">
        <f>$D20-vlookup(Summary!$C20,Summary!$C$2:$Q$103,3+counta($F$1:P$1),false)</f>
        <v>0.7</v>
      </c>
      <c r="Q20" s="99">
        <f>$D20-vlookup(Summary!$C20,Summary!$C$2:$Q$103,3+counta($F$1:Q$1),false)</f>
        <v>0.3</v>
      </c>
    </row>
    <row r="21" ht="15.75" customHeight="1">
      <c r="A21" s="15">
        <f>Main!A21</f>
        <v>20</v>
      </c>
      <c r="B21" s="15" t="str">
        <f>Main!B21</f>
        <v>Julian Assange will be located in Australia</v>
      </c>
      <c r="C21" s="15" t="str">
        <f>Main!C21</f>
        <v>Celebrities</v>
      </c>
      <c r="D21" s="15">
        <v>0.1</v>
      </c>
      <c r="F21" s="99">
        <f>$D21-vlookup(Summary!$C21,Summary!$C$2:$Q$103,3+counta($F$1:F$1),false)</f>
        <v>-0.1</v>
      </c>
      <c r="G21" s="99">
        <f>$D21-vlookup(Summary!$C21,Summary!$C$2:$Q$103,3+counta($F$1:G$1),false)</f>
        <v>-0.1</v>
      </c>
      <c r="H21" s="99">
        <f>$D21-vlookup(Summary!$C21,Summary!$C$2:$Q$103,3+counta($F$1:H$1),false)</f>
        <v>0</v>
      </c>
      <c r="I21" s="99">
        <f>$D21-vlookup(Summary!$C21,Summary!$C$2:$Q$103,3+counta($F$1:I$1),false)</f>
        <v>0.05</v>
      </c>
      <c r="J21" s="99">
        <f>$D21-vlookup(Summary!$C21,Summary!$C$2:$Q$103,3+counta($F$1:J$1),false)</f>
        <v>-0.2</v>
      </c>
      <c r="K21" s="99">
        <f>$D21-vlookup(Summary!$C21,Summary!$C$2:$Q$103,3+counta($F$1:K$1),false)</f>
        <v>-0.45</v>
      </c>
      <c r="L21" s="99">
        <f>$D21-vlookup(Summary!$C21,Summary!$C$2:$Q$103,3+counta($F$1:L$1),false)</f>
        <v>-0.1</v>
      </c>
      <c r="M21" s="99">
        <f>$D21-vlookup(Summary!$C21,Summary!$C$2:$Q$103,3+counta($F$1:M$1),false)</f>
        <v>0</v>
      </c>
      <c r="N21" s="99">
        <f>$D21-vlookup(Summary!$C21,Summary!$C$2:$Q$103,3+counta($F$1:N$1),false)</f>
        <v>-0.1</v>
      </c>
      <c r="O21" s="99">
        <f>$D21-vlookup(Summary!$C21,Summary!$C$2:$Q$103,3+counta($F$1:O$1),false)</f>
        <v>-0.05</v>
      </c>
      <c r="P21" s="99">
        <f>$D21-vlookup(Summary!$C21,Summary!$C$2:$Q$103,3+counta($F$1:P$1),false)</f>
        <v>0</v>
      </c>
      <c r="Q21" s="99">
        <f>$D21-vlookup(Summary!$C21,Summary!$C$2:$Q$103,3+counta($F$1:Q$1),false)</f>
        <v>-0.2</v>
      </c>
    </row>
    <row r="22" ht="15.75" customHeight="1">
      <c r="A22" s="15">
        <f>Main!A22</f>
        <v>21</v>
      </c>
      <c r="B22" s="15" t="str">
        <f>Main!B22</f>
        <v>An alleged sexual predator will recieve an Emmy or Oscar by mainstream media (Andrew’s system)</v>
      </c>
      <c r="C22" s="15" t="str">
        <f>Main!C22</f>
        <v>Celebrities</v>
      </c>
      <c r="D22" s="15">
        <v>0.3</v>
      </c>
      <c r="F22" s="99">
        <f>$D22-vlookup(Summary!$C22,Summary!$C$2:$Q$103,3+counta($F$1:F$1),false)</f>
        <v>-0.1</v>
      </c>
      <c r="G22" s="99">
        <f>$D22-vlookup(Summary!$C22,Summary!$C$2:$Q$103,3+counta($F$1:G$1),false)</f>
        <v>0</v>
      </c>
      <c r="H22" s="99">
        <f>$D22-vlookup(Summary!$C22,Summary!$C$2:$Q$103,3+counta($F$1:H$1),false)</f>
        <v>0</v>
      </c>
      <c r="I22" s="99">
        <f>$D22-vlookup(Summary!$C22,Summary!$C$2:$Q$103,3+counta($F$1:I$1),false)</f>
        <v>0.1</v>
      </c>
      <c r="J22" s="99">
        <f>$D22-vlookup(Summary!$C22,Summary!$C$2:$Q$103,3+counta($F$1:J$1),false)</f>
        <v>-0.3</v>
      </c>
      <c r="K22" s="99">
        <f>$D22-vlookup(Summary!$C22,Summary!$C$2:$Q$103,3+counta($F$1:K$1),false)</f>
        <v>-0.4</v>
      </c>
      <c r="L22" s="99">
        <f>$D22-vlookup(Summary!$C22,Summary!$C$2:$Q$103,3+counta($F$1:L$1),false)</f>
        <v>0.1</v>
      </c>
      <c r="M22" s="99">
        <f>$D22-vlookup(Summary!$C22,Summary!$C$2:$Q$103,3+counta($F$1:M$1),false)</f>
        <v>0</v>
      </c>
      <c r="N22" s="99">
        <f>$D22-vlookup(Summary!$C22,Summary!$C$2:$Q$103,3+counta($F$1:N$1),false)</f>
        <v>-0.5</v>
      </c>
      <c r="O22" s="99">
        <f>$D22-vlookup(Summary!$C22,Summary!$C$2:$Q$103,3+counta($F$1:O$1),false)</f>
        <v>-0.35</v>
      </c>
      <c r="P22" s="99">
        <f>$D22-vlookup(Summary!$C22,Summary!$C$2:$Q$103,3+counta($F$1:P$1),false)</f>
        <v>0.2</v>
      </c>
      <c r="Q22" s="99">
        <f>$D22-vlookup(Summary!$C22,Summary!$C$2:$Q$103,3+counta($F$1:Q$1),false)</f>
        <v>-0.3</v>
      </c>
    </row>
    <row r="23" ht="15.75" customHeight="1">
      <c r="A23" s="15">
        <f>Main!A23</f>
        <v>22</v>
      </c>
      <c r="B23" s="15" t="str">
        <f>Main!B23</f>
        <v>The Queen will die</v>
      </c>
      <c r="C23" s="15" t="str">
        <f>Main!C23</f>
        <v>Celebrities</v>
      </c>
      <c r="D23" s="15">
        <v>0.9</v>
      </c>
      <c r="F23" s="99">
        <f>$D23-vlookup(Summary!$C23,Summary!$C$2:$Q$103,3+counta($F$1:F$1),false)</f>
        <v>0.5</v>
      </c>
      <c r="G23" s="99">
        <f>$D23-vlookup(Summary!$C23,Summary!$C$2:$Q$103,3+counta($F$1:G$1),false)</f>
        <v>0.7</v>
      </c>
      <c r="H23" s="99">
        <f>$D23-vlookup(Summary!$C23,Summary!$C$2:$Q$103,3+counta($F$1:H$1),false)</f>
        <v>0</v>
      </c>
      <c r="I23" s="99">
        <f>$D23-vlookup(Summary!$C23,Summary!$C$2:$Q$103,3+counta($F$1:I$1),false)</f>
        <v>0.6</v>
      </c>
      <c r="J23" s="99">
        <f>$D23-vlookup(Summary!$C23,Summary!$C$2:$Q$103,3+counta($F$1:J$1),false)</f>
        <v>0.2</v>
      </c>
      <c r="K23" s="99">
        <f>$D23-vlookup(Summary!$C23,Summary!$C$2:$Q$103,3+counta($F$1:K$1),false)</f>
        <v>0.2</v>
      </c>
      <c r="L23" s="99">
        <f>$D23-vlookup(Summary!$C23,Summary!$C$2:$Q$103,3+counta($F$1:L$1),false)</f>
        <v>0.85</v>
      </c>
      <c r="M23" s="99">
        <f>$D23-vlookup(Summary!$C23,Summary!$C$2:$Q$103,3+counta($F$1:M$1),false)</f>
        <v>0</v>
      </c>
      <c r="N23" s="99">
        <f>$D23-vlookup(Summary!$C23,Summary!$C$2:$Q$103,3+counta($F$1:N$1),false)</f>
        <v>0</v>
      </c>
      <c r="O23" s="99">
        <f>$D23-vlookup(Summary!$C23,Summary!$C$2:$Q$103,3+counta($F$1:O$1),false)</f>
        <v>0.55</v>
      </c>
      <c r="P23" s="99">
        <f>$D23-vlookup(Summary!$C23,Summary!$C$2:$Q$103,3+counta($F$1:P$1),false)</f>
        <v>0.8</v>
      </c>
      <c r="Q23" s="99">
        <f>$D23-vlookup(Summary!$C23,Summary!$C$2:$Q$103,3+counta($F$1:Q$1),false)</f>
        <v>0.6</v>
      </c>
    </row>
    <row r="24" ht="15.75" customHeight="1">
      <c r="A24" s="15">
        <f>Main!A24</f>
        <v>23</v>
      </c>
      <c r="B24" s="15" t="str">
        <f>Main!B24</f>
        <v>Ghislaine Maxwell will successfully strike a plea deal and reduce her aggregate sentence to no greater than 10 years with parole no greater than 5 years.</v>
      </c>
      <c r="C24" s="15" t="str">
        <f>Main!C24</f>
        <v>Celebrities</v>
      </c>
      <c r="D24" s="15">
        <v>0.7</v>
      </c>
      <c r="F24" s="99">
        <f>$D24-vlookup(Summary!$C24,Summary!$C$2:$Q$103,3+counta($F$1:F$1),false)</f>
        <v>0.25</v>
      </c>
      <c r="G24" s="99">
        <f>$D24-vlookup(Summary!$C24,Summary!$C$2:$Q$103,3+counta($F$1:G$1),false)</f>
        <v>0</v>
      </c>
      <c r="H24" s="99">
        <f>$D24-vlookup(Summary!$C24,Summary!$C$2:$Q$103,3+counta($F$1:H$1),false)</f>
        <v>0</v>
      </c>
      <c r="I24" s="99">
        <f>$D24-vlookup(Summary!$C24,Summary!$C$2:$Q$103,3+counta($F$1:I$1),false)</f>
        <v>0.6</v>
      </c>
      <c r="J24" s="99">
        <f>$D24-vlookup(Summary!$C24,Summary!$C$2:$Q$103,3+counta($F$1:J$1),false)</f>
        <v>-0.2</v>
      </c>
      <c r="K24" s="99">
        <f>$D24-vlookup(Summary!$C24,Summary!$C$2:$Q$103,3+counta($F$1:K$1),false)</f>
        <v>0.05</v>
      </c>
      <c r="L24" s="99">
        <f>$D24-vlookup(Summary!$C24,Summary!$C$2:$Q$103,3+counta($F$1:L$1),false)</f>
        <v>0.5</v>
      </c>
      <c r="M24" s="99">
        <f>$D24-vlookup(Summary!$C24,Summary!$C$2:$Q$103,3+counta($F$1:M$1),false)</f>
        <v>0</v>
      </c>
      <c r="N24" s="99">
        <f>$D24-vlookup(Summary!$C24,Summary!$C$2:$Q$103,3+counta($F$1:N$1),false)</f>
        <v>0.6</v>
      </c>
      <c r="O24" s="99">
        <f>$D24-vlookup(Summary!$C24,Summary!$C$2:$Q$103,3+counta($F$1:O$1),false)</f>
        <v>0.05</v>
      </c>
      <c r="P24" s="99">
        <f>$D24-vlookup(Summary!$C24,Summary!$C$2:$Q$103,3+counta($F$1:P$1),false)</f>
        <v>0</v>
      </c>
      <c r="Q24" s="99">
        <f>$D24-vlookup(Summary!$C24,Summary!$C$2:$Q$103,3+counta($F$1:Q$1),false)</f>
        <v>0.2</v>
      </c>
    </row>
    <row r="25" ht="15.75" customHeight="1">
      <c r="A25" s="15">
        <f>Main!A25</f>
        <v>24</v>
      </c>
      <c r="B25" s="15" t="str">
        <f>Main!B25</f>
        <v>Formal criminal charges will be laid against Prince Andrew for sex offenses</v>
      </c>
      <c r="C25" s="15" t="str">
        <f>Main!C25</f>
        <v>Celebrities</v>
      </c>
      <c r="D25" s="15">
        <v>0.7</v>
      </c>
      <c r="F25" s="99">
        <f>$D25-vlookup(Summary!$C25,Summary!$C$2:$Q$103,3+counta($F$1:F$1),false)</f>
        <v>0.1</v>
      </c>
      <c r="G25" s="99">
        <f>$D25-vlookup(Summary!$C25,Summary!$C$2:$Q$103,3+counta($F$1:G$1),false)</f>
        <v>0.5</v>
      </c>
      <c r="H25" s="99">
        <f>$D25-vlookup(Summary!$C25,Summary!$C$2:$Q$103,3+counta($F$1:H$1),false)</f>
        <v>0</v>
      </c>
      <c r="I25" s="99">
        <f>$D25-vlookup(Summary!$C25,Summary!$C$2:$Q$103,3+counta($F$1:I$1),false)</f>
        <v>-0.2</v>
      </c>
      <c r="J25" s="99">
        <f>$D25-vlookup(Summary!$C25,Summary!$C$2:$Q$103,3+counta($F$1:J$1),false)</f>
        <v>0.6</v>
      </c>
      <c r="K25" s="99">
        <f>$D25-vlookup(Summary!$C25,Summary!$C$2:$Q$103,3+counta($F$1:K$1),false)</f>
        <v>0.05</v>
      </c>
      <c r="L25" s="99">
        <f>$D25-vlookup(Summary!$C25,Summary!$C$2:$Q$103,3+counta($F$1:L$1),false)</f>
        <v>0.55</v>
      </c>
      <c r="M25" s="99">
        <f>$D25-vlookup(Summary!$C25,Summary!$C$2:$Q$103,3+counta($F$1:M$1),false)</f>
        <v>0</v>
      </c>
      <c r="N25" s="99">
        <f>$D25-vlookup(Summary!$C25,Summary!$C$2:$Q$103,3+counta($F$1:N$1),false)</f>
        <v>0.5</v>
      </c>
      <c r="O25" s="99">
        <f>$D25-vlookup(Summary!$C25,Summary!$C$2:$Q$103,3+counta($F$1:O$1),false)</f>
        <v>0.55</v>
      </c>
      <c r="P25" s="99">
        <f>$D25-vlookup(Summary!$C25,Summary!$C$2:$Q$103,3+counta($F$1:P$1),false)</f>
        <v>0.2</v>
      </c>
      <c r="Q25" s="99">
        <f>$D25-vlookup(Summary!$C25,Summary!$C$2:$Q$103,3+counta($F$1:Q$1),false)</f>
        <v>0.2</v>
      </c>
    </row>
    <row r="26" ht="15.75" customHeight="1">
      <c r="A26" s="15">
        <f>Main!A26</f>
        <v>25</v>
      </c>
      <c r="B26" s="15" t="str">
        <f>Main!B26</f>
        <v>Elizabeth Holmes will be sentenced to no greater than 15 years imprisonment.</v>
      </c>
      <c r="C26" s="15" t="str">
        <f>Main!C26</f>
        <v>Celebrities</v>
      </c>
      <c r="D26" s="15">
        <v>0.8</v>
      </c>
      <c r="F26" s="99">
        <f>$D26-vlookup(Summary!$C26,Summary!$C$2:$Q$103,3+counta($F$1:F$1),false)</f>
        <v>0.2</v>
      </c>
      <c r="G26" s="99">
        <f>$D26-vlookup(Summary!$C26,Summary!$C$2:$Q$103,3+counta($F$1:G$1),false)</f>
        <v>-0.1</v>
      </c>
      <c r="H26" s="99">
        <f>$D26-vlookup(Summary!$C26,Summary!$C$2:$Q$103,3+counta($F$1:H$1),false)</f>
        <v>0</v>
      </c>
      <c r="I26" s="99">
        <f>$D26-vlookup(Summary!$C26,Summary!$C$2:$Q$103,3+counta($F$1:I$1),false)</f>
        <v>0.3</v>
      </c>
      <c r="J26" s="99">
        <f>$D26-vlookup(Summary!$C26,Summary!$C$2:$Q$103,3+counta($F$1:J$1),false)</f>
        <v>-0.1</v>
      </c>
      <c r="K26" s="99">
        <f>$D26-vlookup(Summary!$C26,Summary!$C$2:$Q$103,3+counta($F$1:K$1),false)</f>
        <v>0.1</v>
      </c>
      <c r="L26" s="99">
        <f>$D26-vlookup(Summary!$C26,Summary!$C$2:$Q$103,3+counta($F$1:L$1),false)</f>
        <v>0.1</v>
      </c>
      <c r="M26" s="99">
        <f>$D26-vlookup(Summary!$C26,Summary!$C$2:$Q$103,3+counta($F$1:M$1),false)</f>
        <v>0</v>
      </c>
      <c r="N26" s="99">
        <f>$D26-vlookup(Summary!$C26,Summary!$C$2:$Q$103,3+counta($F$1:N$1),false)</f>
        <v>-0.1</v>
      </c>
      <c r="O26" s="99">
        <f>$D26-vlookup(Summary!$C26,Summary!$C$2:$Q$103,3+counta($F$1:O$1),false)</f>
        <v>-0.05</v>
      </c>
      <c r="P26" s="99">
        <f>$D26-vlookup(Summary!$C26,Summary!$C$2:$Q$103,3+counta($F$1:P$1),false)</f>
        <v>0.3</v>
      </c>
      <c r="Q26" s="99">
        <f>$D26-vlookup(Summary!$C26,Summary!$C$2:$Q$103,3+counta($F$1:Q$1),false)</f>
        <v>0.1</v>
      </c>
    </row>
    <row r="27" ht="15.75" customHeight="1">
      <c r="A27" s="15">
        <f>Main!A27</f>
        <v>26</v>
      </c>
      <c r="B27" s="15" t="str">
        <f>Main!B27</f>
        <v>Meghan and Harry will separate</v>
      </c>
      <c r="C27" s="15" t="str">
        <f>Main!C27</f>
        <v>Celebrities</v>
      </c>
      <c r="D27" s="15">
        <v>0.2</v>
      </c>
      <c r="F27" s="99">
        <f>$D27-vlookup(Summary!$C27,Summary!$C$2:$Q$103,3+counta($F$1:F$1),false)</f>
        <v>0</v>
      </c>
      <c r="G27" s="99">
        <f>$D27-vlookup(Summary!$C27,Summary!$C$2:$Q$103,3+counta($F$1:G$1),false)</f>
        <v>0.1</v>
      </c>
      <c r="H27" s="99">
        <f>$D27-vlookup(Summary!$C27,Summary!$C$2:$Q$103,3+counta($F$1:H$1),false)</f>
        <v>0</v>
      </c>
      <c r="I27" s="99">
        <f>$D27-vlookup(Summary!$C27,Summary!$C$2:$Q$103,3+counta($F$1:I$1),false)</f>
        <v>0.1</v>
      </c>
      <c r="J27" s="99">
        <f>$D27-vlookup(Summary!$C27,Summary!$C$2:$Q$103,3+counta($F$1:J$1),false)</f>
        <v>-0.3</v>
      </c>
      <c r="K27" s="99">
        <f>$D27-vlookup(Summary!$C27,Summary!$C$2:$Q$103,3+counta($F$1:K$1),false)</f>
        <v>0</v>
      </c>
      <c r="L27" s="99">
        <f>$D27-vlookup(Summary!$C27,Summary!$C$2:$Q$103,3+counta($F$1:L$1),false)</f>
        <v>0.15</v>
      </c>
      <c r="M27" s="99">
        <f>$D27-vlookup(Summary!$C27,Summary!$C$2:$Q$103,3+counta($F$1:M$1),false)</f>
        <v>0</v>
      </c>
      <c r="N27" s="99">
        <f>$D27-vlookup(Summary!$C27,Summary!$C$2:$Q$103,3+counta($F$1:N$1),false)</f>
        <v>-0.6</v>
      </c>
      <c r="O27" s="99">
        <f>$D27-vlookup(Summary!$C27,Summary!$C$2:$Q$103,3+counta($F$1:O$1),false)</f>
        <v>0.05</v>
      </c>
      <c r="P27" s="99">
        <f>$D27-vlookup(Summary!$C27,Summary!$C$2:$Q$103,3+counta($F$1:P$1),false)</f>
        <v>0.1</v>
      </c>
      <c r="Q27" s="99">
        <f>$D27-vlookup(Summary!$C27,Summary!$C$2:$Q$103,3+counta($F$1:Q$1),false)</f>
        <v>-0.1</v>
      </c>
    </row>
    <row r="28" ht="15.75" customHeight="1">
      <c r="A28" s="15">
        <f>Main!A28</f>
        <v>27</v>
      </c>
      <c r="B28" s="15" t="str">
        <f>Main!B28</f>
        <v>Tom Holland and Zendaya will separate.</v>
      </c>
      <c r="C28" s="15" t="str">
        <f>Main!C28</f>
        <v>Celebrities</v>
      </c>
      <c r="D28" s="15">
        <v>0.2</v>
      </c>
      <c r="F28" s="99">
        <f>$D28-vlookup(Summary!$C28,Summary!$C$2:$Q$103,3+counta($F$1:F$1),false)</f>
        <v>-0.4</v>
      </c>
      <c r="G28" s="99">
        <f>$D28-vlookup(Summary!$C28,Summary!$C$2:$Q$103,3+counta($F$1:G$1),false)</f>
        <v>-0.4</v>
      </c>
      <c r="H28" s="99">
        <f>$D28-vlookup(Summary!$C28,Summary!$C$2:$Q$103,3+counta($F$1:H$1),false)</f>
        <v>0</v>
      </c>
      <c r="I28" s="99">
        <f>$D28-vlookup(Summary!$C28,Summary!$C$2:$Q$103,3+counta($F$1:I$1),false)</f>
        <v>-0.3</v>
      </c>
      <c r="J28" s="99">
        <f>$D28-vlookup(Summary!$C28,Summary!$C$2:$Q$103,3+counta($F$1:J$1),false)</f>
        <v>-0.2</v>
      </c>
      <c r="K28" s="99">
        <f>$D28-vlookup(Summary!$C28,Summary!$C$2:$Q$103,3+counta($F$1:K$1),false)</f>
        <v>-0.45</v>
      </c>
      <c r="L28" s="99">
        <f>$D28-vlookup(Summary!$C28,Summary!$C$2:$Q$103,3+counta($F$1:L$1),false)</f>
        <v>0</v>
      </c>
      <c r="M28" s="99">
        <f>$D28-vlookup(Summary!$C28,Summary!$C$2:$Q$103,3+counta($F$1:M$1),false)</f>
        <v>0</v>
      </c>
      <c r="N28" s="99">
        <f>$D28-vlookup(Summary!$C28,Summary!$C$2:$Q$103,3+counta($F$1:N$1),false)</f>
        <v>-0.7</v>
      </c>
      <c r="O28" s="99">
        <f>$D28-vlookup(Summary!$C28,Summary!$C$2:$Q$103,3+counta($F$1:O$1),false)</f>
        <v>-0.3</v>
      </c>
      <c r="P28" s="99">
        <f>$D28-vlookup(Summary!$C28,Summary!$C$2:$Q$103,3+counta($F$1:P$1),false)</f>
        <v>-0.3</v>
      </c>
      <c r="Q28" s="99">
        <f>$D28-vlookup(Summary!$C28,Summary!$C$2:$Q$103,3+counta($F$1:Q$1),false)</f>
        <v>-0.2</v>
      </c>
    </row>
    <row r="29" ht="15.75" customHeight="1">
      <c r="A29" s="15">
        <f>Main!A29</f>
        <v>28</v>
      </c>
      <c r="B29" s="15" t="str">
        <f>Main!B29</f>
        <v>Donald Trump endorses on social media a movement that is called White Lives Matter</v>
      </c>
      <c r="C29" s="15" t="str">
        <f>Main!C29</f>
        <v>Celebrities</v>
      </c>
      <c r="D29" s="15">
        <v>0.8</v>
      </c>
      <c r="F29" s="99">
        <f>$D29-vlookup(Summary!$C29,Summary!$C$2:$Q$103,3+counta($F$1:F$1),false)</f>
        <v>0.5</v>
      </c>
      <c r="G29" s="99">
        <f>$D29-vlookup(Summary!$C29,Summary!$C$2:$Q$103,3+counta($F$1:G$1),false)</f>
        <v>0.5</v>
      </c>
      <c r="H29" s="99">
        <f>$D29-vlookup(Summary!$C29,Summary!$C$2:$Q$103,3+counta($F$1:H$1),false)</f>
        <v>0</v>
      </c>
      <c r="I29" s="99">
        <f>$D29-vlookup(Summary!$C29,Summary!$C$2:$Q$103,3+counta($F$1:I$1),false)</f>
        <v>0.7</v>
      </c>
      <c r="J29" s="99">
        <f>$D29-vlookup(Summary!$C29,Summary!$C$2:$Q$103,3+counta($F$1:J$1),false)</f>
        <v>-0.1</v>
      </c>
      <c r="K29" s="99">
        <f>$D29-vlookup(Summary!$C29,Summary!$C$2:$Q$103,3+counta($F$1:K$1),false)</f>
        <v>0.35</v>
      </c>
      <c r="L29" s="99">
        <f>$D29-vlookup(Summary!$C29,Summary!$C$2:$Q$103,3+counta($F$1:L$1),false)</f>
        <v>0.799</v>
      </c>
      <c r="M29" s="99">
        <f>$D29-vlookup(Summary!$C29,Summary!$C$2:$Q$103,3+counta($F$1:M$1),false)</f>
        <v>0</v>
      </c>
      <c r="N29" s="99">
        <f>$D29-vlookup(Summary!$C29,Summary!$C$2:$Q$103,3+counta($F$1:N$1),false)</f>
        <v>-0.1</v>
      </c>
      <c r="O29" s="99">
        <f>$D29-vlookup(Summary!$C29,Summary!$C$2:$Q$103,3+counta($F$1:O$1),false)</f>
        <v>0.799</v>
      </c>
      <c r="P29" s="99">
        <f>$D29-vlookup(Summary!$C29,Summary!$C$2:$Q$103,3+counta($F$1:P$1),false)</f>
        <v>0.7</v>
      </c>
      <c r="Q29" s="99">
        <f>$D29-vlookup(Summary!$C29,Summary!$C$2:$Q$103,3+counta($F$1:Q$1),false)</f>
        <v>0.25</v>
      </c>
    </row>
    <row r="30" ht="15.75" customHeight="1">
      <c r="A30" s="15">
        <f>Main!A30</f>
        <v>29</v>
      </c>
      <c r="B30" s="15" t="str">
        <f>Main!B30</f>
        <v>Britney Spears returns under conservatorship</v>
      </c>
      <c r="C30" s="15" t="str">
        <f>Main!C30</f>
        <v>Celebrities</v>
      </c>
      <c r="D30" s="15">
        <v>0.05</v>
      </c>
      <c r="F30" s="99">
        <f>$D30-vlookup(Summary!$C30,Summary!$C$2:$Q$103,3+counta($F$1:F$1),false)</f>
        <v>-0.05</v>
      </c>
      <c r="G30" s="99">
        <f>$D30-vlookup(Summary!$C30,Summary!$C$2:$Q$103,3+counta($F$1:G$1),false)</f>
        <v>-0.05</v>
      </c>
      <c r="H30" s="99">
        <f>$D30-vlookup(Summary!$C30,Summary!$C$2:$Q$103,3+counta($F$1:H$1),false)</f>
        <v>0</v>
      </c>
      <c r="I30" s="99">
        <f>$D30-vlookup(Summary!$C30,Summary!$C$2:$Q$103,3+counta($F$1:I$1),false)</f>
        <v>0</v>
      </c>
      <c r="J30" s="99">
        <f>$D30-vlookup(Summary!$C30,Summary!$C$2:$Q$103,3+counta($F$1:J$1),false)</f>
        <v>-0.05</v>
      </c>
      <c r="K30" s="99">
        <f>$D30-vlookup(Summary!$C30,Summary!$C$2:$Q$103,3+counta($F$1:K$1),false)</f>
        <v>0.05</v>
      </c>
      <c r="L30" s="99">
        <f>$D30-vlookup(Summary!$C30,Summary!$C$2:$Q$103,3+counta($F$1:L$1),false)</f>
        <v>0</v>
      </c>
      <c r="M30" s="99">
        <f>$D30-vlookup(Summary!$C30,Summary!$C$2:$Q$103,3+counta($F$1:M$1),false)</f>
        <v>0</v>
      </c>
      <c r="N30" s="99">
        <f>$D30-vlookup(Summary!$C30,Summary!$C$2:$Q$103,3+counta($F$1:N$1),false)</f>
        <v>-0.05</v>
      </c>
      <c r="O30" s="99">
        <f>$D30-vlookup(Summary!$C30,Summary!$C$2:$Q$103,3+counta($F$1:O$1),false)</f>
        <v>0.049</v>
      </c>
      <c r="P30" s="99">
        <f>$D30-vlookup(Summary!$C30,Summary!$C$2:$Q$103,3+counta($F$1:P$1),false)</f>
        <v>-0.05</v>
      </c>
      <c r="Q30" s="99">
        <f>$D30-vlookup(Summary!$C30,Summary!$C$2:$Q$103,3+counta($F$1:Q$1),false)</f>
        <v>-0.45</v>
      </c>
    </row>
    <row r="31" ht="15.75" customHeight="1">
      <c r="A31" s="15">
        <f>Main!A31</f>
        <v>30</v>
      </c>
      <c r="B31" s="15" t="str">
        <f>Main!B31</f>
        <v>Taylor Swift and her partner separate, or announce they're expecting a child</v>
      </c>
      <c r="C31" s="15" t="str">
        <f>Main!C31</f>
        <v>Celebrities</v>
      </c>
      <c r="D31" s="15">
        <v>0.7</v>
      </c>
      <c r="F31" s="99">
        <f>$D31-vlookup(Summary!$C31,Summary!$C$2:$Q$103,3+counta($F$1:F$1),false)</f>
        <v>0.3</v>
      </c>
      <c r="G31" s="99">
        <f>$D31-vlookup(Summary!$C31,Summary!$C$2:$Q$103,3+counta($F$1:G$1),false)</f>
        <v>0.4</v>
      </c>
      <c r="H31" s="99">
        <f>$D31-vlookup(Summary!$C31,Summary!$C$2:$Q$103,3+counta($F$1:H$1),false)</f>
        <v>0</v>
      </c>
      <c r="I31" s="99">
        <f>$D31-vlookup(Summary!$C31,Summary!$C$2:$Q$103,3+counta($F$1:I$1),false)</f>
        <v>0.6</v>
      </c>
      <c r="J31" s="99">
        <f>$D31-vlookup(Summary!$C31,Summary!$C$2:$Q$103,3+counta($F$1:J$1),false)</f>
        <v>0</v>
      </c>
      <c r="K31" s="99">
        <f>$D31-vlookup(Summary!$C31,Summary!$C$2:$Q$103,3+counta($F$1:K$1),false)</f>
        <v>0.1</v>
      </c>
      <c r="L31" s="99">
        <f>$D31-vlookup(Summary!$C31,Summary!$C$2:$Q$103,3+counta($F$1:L$1),false)</f>
        <v>0.6</v>
      </c>
      <c r="M31" s="99">
        <f>$D31-vlookup(Summary!$C31,Summary!$C$2:$Q$103,3+counta($F$1:M$1),false)</f>
        <v>0</v>
      </c>
      <c r="N31" s="99">
        <f>$D31-vlookup(Summary!$C31,Summary!$C$2:$Q$103,3+counta($F$1:N$1),false)</f>
        <v>-0.2</v>
      </c>
      <c r="O31" s="99">
        <f>$D31-vlookup(Summary!$C31,Summary!$C$2:$Q$103,3+counta($F$1:O$1),false)</f>
        <v>0.55</v>
      </c>
      <c r="P31" s="99">
        <f>$D31-vlookup(Summary!$C31,Summary!$C$2:$Q$103,3+counta($F$1:P$1),false)</f>
        <v>0.2</v>
      </c>
      <c r="Q31" s="99">
        <f>$D31-vlookup(Summary!$C31,Summary!$C$2:$Q$103,3+counta($F$1:Q$1),false)</f>
        <v>0.5</v>
      </c>
    </row>
    <row r="32" ht="15.75" customHeight="1">
      <c r="A32" s="15">
        <f>Main!A32</f>
        <v>31</v>
      </c>
      <c r="B32" s="15" t="str">
        <f>Main!B32</f>
        <v>Aung San Suu Kyi dies or announces she has a terminal illness (terminal illness including cancer)</v>
      </c>
      <c r="C32" s="15" t="str">
        <f>Main!C32</f>
        <v>Celebrities</v>
      </c>
      <c r="D32" s="15">
        <v>0.5</v>
      </c>
      <c r="F32" s="99">
        <f>$D32-vlookup(Summary!$C32,Summary!$C$2:$Q$103,3+counta($F$1:F$1),false)</f>
        <v>0</v>
      </c>
      <c r="G32" s="99">
        <f>$D32-vlookup(Summary!$C32,Summary!$C$2:$Q$103,3+counta($F$1:G$1),false)</f>
        <v>0.1</v>
      </c>
      <c r="H32" s="99">
        <f>$D32-vlookup(Summary!$C32,Summary!$C$2:$Q$103,3+counta($F$1:H$1),false)</f>
        <v>0</v>
      </c>
      <c r="I32" s="99">
        <f>$D32-vlookup(Summary!$C32,Summary!$C$2:$Q$103,3+counta($F$1:I$1),false)</f>
        <v>0.3</v>
      </c>
      <c r="J32" s="99">
        <f>$D32-vlookup(Summary!$C32,Summary!$C$2:$Q$103,3+counta($F$1:J$1),false)</f>
        <v>0.2</v>
      </c>
      <c r="K32" s="99">
        <f>$D32-vlookup(Summary!$C32,Summary!$C$2:$Q$103,3+counta($F$1:K$1),false)</f>
        <v>0.05</v>
      </c>
      <c r="L32" s="99">
        <f>$D32-vlookup(Summary!$C32,Summary!$C$2:$Q$103,3+counta($F$1:L$1),false)</f>
        <v>0.3</v>
      </c>
      <c r="M32" s="99">
        <f>$D32-vlookup(Summary!$C32,Summary!$C$2:$Q$103,3+counta($F$1:M$1),false)</f>
        <v>0</v>
      </c>
      <c r="N32" s="99">
        <f>$D32-vlookup(Summary!$C32,Summary!$C$2:$Q$103,3+counta($F$1:N$1),false)</f>
        <v>0.4</v>
      </c>
      <c r="O32" s="99">
        <f>$D32-vlookup(Summary!$C32,Summary!$C$2:$Q$103,3+counta($F$1:O$1),false)</f>
        <v>0.15</v>
      </c>
      <c r="P32" s="99">
        <f>$D32-vlookup(Summary!$C32,Summary!$C$2:$Q$103,3+counta($F$1:P$1),false)</f>
        <v>0.4</v>
      </c>
      <c r="Q32" s="99">
        <f>$D32-vlookup(Summary!$C32,Summary!$C$2:$Q$103,3+counta($F$1:Q$1),false)</f>
        <v>0</v>
      </c>
    </row>
    <row r="33" ht="15.75" customHeight="1">
      <c r="A33" s="15">
        <f>Main!A33</f>
        <v>32</v>
      </c>
      <c r="B33" s="15" t="str">
        <f>Main!B33</f>
        <v>Henry Cavill marries</v>
      </c>
      <c r="C33" s="15" t="str">
        <f>Main!C33</f>
        <v>Celebrities</v>
      </c>
      <c r="D33" s="15">
        <v>0.1</v>
      </c>
      <c r="F33" s="99">
        <f>$D33-vlookup(Summary!$C33,Summary!$C$2:$Q$103,3+counta($F$1:F$1),false)</f>
        <v>-0.45</v>
      </c>
      <c r="G33" s="99">
        <f>$D33-vlookup(Summary!$C33,Summary!$C$2:$Q$103,3+counta($F$1:G$1),false)</f>
        <v>-0.5</v>
      </c>
      <c r="H33" s="99">
        <f>$D33-vlookup(Summary!$C33,Summary!$C$2:$Q$103,3+counta($F$1:H$1),false)</f>
        <v>0</v>
      </c>
      <c r="I33" s="99">
        <f>$D33-vlookup(Summary!$C33,Summary!$C$2:$Q$103,3+counta($F$1:I$1),false)</f>
        <v>-0.1</v>
      </c>
      <c r="J33" s="99">
        <f>$D33-vlookup(Summary!$C33,Summary!$C$2:$Q$103,3+counta($F$1:J$1),false)</f>
        <v>-0.3</v>
      </c>
      <c r="K33" s="99">
        <f>$D33-vlookup(Summary!$C33,Summary!$C$2:$Q$103,3+counta($F$1:K$1),false)</f>
        <v>-0.4</v>
      </c>
      <c r="L33" s="99">
        <f>$D33-vlookup(Summary!$C33,Summary!$C$2:$Q$103,3+counta($F$1:L$1),false)</f>
        <v>-0.1</v>
      </c>
      <c r="M33" s="99">
        <f>$D33-vlookup(Summary!$C33,Summary!$C$2:$Q$103,3+counta($F$1:M$1),false)</f>
        <v>0</v>
      </c>
      <c r="N33" s="99">
        <f>$D33-vlookup(Summary!$C33,Summary!$C$2:$Q$103,3+counta($F$1:N$1),false)</f>
        <v>-0.4</v>
      </c>
      <c r="O33" s="99">
        <f>$D33-vlookup(Summary!$C33,Summary!$C$2:$Q$103,3+counta($F$1:O$1),false)</f>
        <v>-0.05</v>
      </c>
      <c r="P33" s="99">
        <f>$D33-vlookup(Summary!$C33,Summary!$C$2:$Q$103,3+counta($F$1:P$1),false)</f>
        <v>-0.4</v>
      </c>
      <c r="Q33" s="99">
        <f>$D33-vlookup(Summary!$C33,Summary!$C$2:$Q$103,3+counta($F$1:Q$1),false)</f>
        <v>-0.3</v>
      </c>
    </row>
    <row r="34" ht="15.75" customHeight="1">
      <c r="A34" s="15">
        <f>Main!A34</f>
        <v>33</v>
      </c>
      <c r="B34" s="15" t="str">
        <f>Main!B34</f>
        <v>Daily COVID cases in Australia will reach 150,000 at least once</v>
      </c>
      <c r="C34" s="15" t="str">
        <f>Main!C34</f>
        <v>Covid</v>
      </c>
      <c r="D34" s="15">
        <v>0.01</v>
      </c>
      <c r="F34" s="99">
        <f>$D34-vlookup(Summary!$C34,Summary!$C$2:$Q$103,3+counta($F$1:F$1),false)</f>
        <v>-0.09</v>
      </c>
      <c r="G34" s="99">
        <f>$D34-vlookup(Summary!$C34,Summary!$C$2:$Q$103,3+counta($F$1:G$1),false)</f>
        <v>-0.19</v>
      </c>
      <c r="H34" s="99">
        <f>$D34-vlookup(Summary!$C34,Summary!$C$2:$Q$103,3+counta($F$1:H$1),false)</f>
        <v>0</v>
      </c>
      <c r="I34" s="99">
        <f>$D34-vlookup(Summary!$C34,Summary!$C$2:$Q$103,3+counta($F$1:I$1),false)</f>
        <v>-0.09</v>
      </c>
      <c r="J34" s="99">
        <f>$D34-vlookup(Summary!$C34,Summary!$C$2:$Q$103,3+counta($F$1:J$1),false)</f>
        <v>-0.89</v>
      </c>
      <c r="K34" s="99">
        <f>$D34-vlookup(Summary!$C34,Summary!$C$2:$Q$103,3+counta($F$1:K$1),false)</f>
        <v>-0.59</v>
      </c>
      <c r="L34" s="99">
        <f>$D34-vlookup(Summary!$C34,Summary!$C$2:$Q$103,3+counta($F$1:L$1),false)</f>
        <v>-0.04</v>
      </c>
      <c r="M34" s="99">
        <f>$D34-vlookup(Summary!$C34,Summary!$C$2:$Q$103,3+counta($F$1:M$1),false)</f>
        <v>0</v>
      </c>
      <c r="N34" s="99">
        <f>$D34-vlookup(Summary!$C34,Summary!$C$2:$Q$103,3+counta($F$1:N$1),false)</f>
        <v>-0.39</v>
      </c>
      <c r="O34" s="99">
        <f>$D34-vlookup(Summary!$C34,Summary!$C$2:$Q$103,3+counta($F$1:O$1),false)</f>
        <v>-0.14</v>
      </c>
      <c r="P34" s="99">
        <f>$D34-vlookup(Summary!$C34,Summary!$C$2:$Q$103,3+counta($F$1:P$1),false)</f>
        <v>-0.89</v>
      </c>
      <c r="Q34" s="99">
        <f>$D34-vlookup(Summary!$C34,Summary!$C$2:$Q$103,3+counta($F$1:Q$1),false)</f>
        <v>-0.89</v>
      </c>
    </row>
    <row r="35" ht="15.75" customHeight="1">
      <c r="A35" s="15">
        <f>Main!A35</f>
        <v>34</v>
      </c>
      <c r="B35" s="15" t="str">
        <f>Main!B35</f>
        <v>More deaths will be attributed to Omicron by the WHO than all other covid variants combined</v>
      </c>
      <c r="C35" s="15" t="str">
        <f>Main!C35</f>
        <v>Covid</v>
      </c>
      <c r="D35" s="15">
        <v>0.8</v>
      </c>
      <c r="F35" s="99">
        <f>$D35-vlookup(Summary!$C35,Summary!$C$2:$Q$103,3+counta($F$1:F$1),false)</f>
        <v>0.5</v>
      </c>
      <c r="G35" s="99">
        <f>$D35-vlookup(Summary!$C35,Summary!$C$2:$Q$103,3+counta($F$1:G$1),false)</f>
        <v>0.7</v>
      </c>
      <c r="H35" s="99">
        <f>$D35-vlookup(Summary!$C35,Summary!$C$2:$Q$103,3+counta($F$1:H$1),false)</f>
        <v>0</v>
      </c>
      <c r="I35" s="99">
        <f>$D35-vlookup(Summary!$C35,Summary!$C$2:$Q$103,3+counta($F$1:I$1),false)</f>
        <v>0.7</v>
      </c>
      <c r="J35" s="99">
        <f>$D35-vlookup(Summary!$C35,Summary!$C$2:$Q$103,3+counta($F$1:J$1),false)</f>
        <v>0.4</v>
      </c>
      <c r="K35" s="99">
        <f>$D35-vlookup(Summary!$C35,Summary!$C$2:$Q$103,3+counta($F$1:K$1),false)</f>
        <v>0.05</v>
      </c>
      <c r="L35" s="99">
        <f>$D35-vlookup(Summary!$C35,Summary!$C$2:$Q$103,3+counta($F$1:L$1),false)</f>
        <v>0.799</v>
      </c>
      <c r="M35" s="99">
        <f>$D35-vlookup(Summary!$C35,Summary!$C$2:$Q$103,3+counta($F$1:M$1),false)</f>
        <v>0</v>
      </c>
      <c r="N35" s="99">
        <f>$D35-vlookup(Summary!$C35,Summary!$C$2:$Q$103,3+counta($F$1:N$1),false)</f>
        <v>0.5</v>
      </c>
      <c r="O35" s="99">
        <f>$D35-vlookup(Summary!$C35,Summary!$C$2:$Q$103,3+counta($F$1:O$1),false)</f>
        <v>-0.05</v>
      </c>
      <c r="P35" s="99">
        <f>$D35-vlookup(Summary!$C35,Summary!$C$2:$Q$103,3+counta($F$1:P$1),false)</f>
        <v>0.3</v>
      </c>
      <c r="Q35" s="99">
        <f>$D35-vlookup(Summary!$C35,Summary!$C$2:$Q$103,3+counta($F$1:Q$1),false)</f>
        <v>0.1</v>
      </c>
    </row>
    <row r="36" ht="15.75" customHeight="1">
      <c r="A36" s="15">
        <f>Main!A36</f>
        <v>35</v>
      </c>
      <c r="B36" s="15" t="str">
        <f>Main!B36</f>
        <v>The average number of covid vaccinations per person amongst members of Xmas eve 2022 will be &gt; 3</v>
      </c>
      <c r="C36" s="15" t="str">
        <f>Main!C36</f>
        <v>Covid</v>
      </c>
      <c r="D36" s="15">
        <v>0.9</v>
      </c>
      <c r="F36" s="99">
        <f>$D36-vlookup(Summary!$C36,Summary!$C$2:$Q$103,3+counta($F$1:F$1),false)</f>
        <v>0.1</v>
      </c>
      <c r="G36" s="99">
        <f>$D36-vlookup(Summary!$C36,Summary!$C$2:$Q$103,3+counta($F$1:G$1),false)</f>
        <v>0</v>
      </c>
      <c r="H36" s="99">
        <f>$D36-vlookup(Summary!$C36,Summary!$C$2:$Q$103,3+counta($F$1:H$1),false)</f>
        <v>0</v>
      </c>
      <c r="I36" s="99">
        <f>$D36-vlookup(Summary!$C36,Summary!$C$2:$Q$103,3+counta($F$1:I$1),false)</f>
        <v>0.4</v>
      </c>
      <c r="J36" s="99">
        <f>$D36-vlookup(Summary!$C36,Summary!$C$2:$Q$103,3+counta($F$1:J$1),false)</f>
        <v>0.5</v>
      </c>
      <c r="K36" s="99">
        <f>$D36-vlookup(Summary!$C36,Summary!$C$2:$Q$103,3+counta($F$1:K$1),false)</f>
        <v>0.1</v>
      </c>
      <c r="L36" s="99">
        <f>$D36-vlookup(Summary!$C36,Summary!$C$2:$Q$103,3+counta($F$1:L$1),false)</f>
        <v>-0.099</v>
      </c>
      <c r="M36" s="99">
        <f>$D36-vlookup(Summary!$C36,Summary!$C$2:$Q$103,3+counta($F$1:M$1),false)</f>
        <v>0</v>
      </c>
      <c r="N36" s="99">
        <f>$D36-vlookup(Summary!$C36,Summary!$C$2:$Q$103,3+counta($F$1:N$1),false)</f>
        <v>0</v>
      </c>
      <c r="O36" s="99">
        <f>$D36-vlookup(Summary!$C36,Summary!$C$2:$Q$103,3+counta($F$1:O$1),false)</f>
        <v>0.05</v>
      </c>
      <c r="P36" s="99">
        <f>$D36-vlookup(Summary!$C36,Summary!$C$2:$Q$103,3+counta($F$1:P$1),false)</f>
        <v>0</v>
      </c>
      <c r="Q36" s="99">
        <f>$D36-vlookup(Summary!$C36,Summary!$C$2:$Q$103,3+counta($F$1:Q$1),false)</f>
        <v>0.5</v>
      </c>
    </row>
    <row r="37" ht="15.75" customHeight="1">
      <c r="A37" s="15">
        <f>Main!A37</f>
        <v>36</v>
      </c>
      <c r="B37" s="15" t="str">
        <f>Main!B37</f>
        <v>2 new variants of Covid will be invented/discovered during 2022</v>
      </c>
      <c r="C37" s="15" t="str">
        <f>Main!C37</f>
        <v>Covid</v>
      </c>
      <c r="D37" s="15">
        <v>0.8</v>
      </c>
      <c r="F37" s="99">
        <f>$D37-vlookup(Summary!$C37,Summary!$C$2:$Q$103,3+counta($F$1:F$1),false)</f>
        <v>0.5</v>
      </c>
      <c r="G37" s="99">
        <f>$D37-vlookup(Summary!$C37,Summary!$C$2:$Q$103,3+counta($F$1:G$1),false)</f>
        <v>0.5</v>
      </c>
      <c r="H37" s="99">
        <f>$D37-vlookup(Summary!$C37,Summary!$C$2:$Q$103,3+counta($F$1:H$1),false)</f>
        <v>0</v>
      </c>
      <c r="I37" s="99">
        <f>$D37-vlookup(Summary!$C37,Summary!$C$2:$Q$103,3+counta($F$1:I$1),false)</f>
        <v>0.5</v>
      </c>
      <c r="J37" s="99">
        <f>$D37-vlookup(Summary!$C37,Summary!$C$2:$Q$103,3+counta($F$1:J$1),false)</f>
        <v>-0.1</v>
      </c>
      <c r="K37" s="99">
        <f>$D37-vlookup(Summary!$C37,Summary!$C$2:$Q$103,3+counta($F$1:K$1),false)</f>
        <v>-0.05</v>
      </c>
      <c r="L37" s="99">
        <f>$D37-vlookup(Summary!$C37,Summary!$C$2:$Q$103,3+counta($F$1:L$1),false)</f>
        <v>0.799</v>
      </c>
      <c r="M37" s="99">
        <f>$D37-vlookup(Summary!$C37,Summary!$C$2:$Q$103,3+counta($F$1:M$1),false)</f>
        <v>0</v>
      </c>
      <c r="N37" s="99">
        <f>$D37-vlookup(Summary!$C37,Summary!$C$2:$Q$103,3+counta($F$1:N$1),false)</f>
        <v>-0.1</v>
      </c>
      <c r="O37" s="99">
        <f>$D37-vlookup(Summary!$C37,Summary!$C$2:$Q$103,3+counta($F$1:O$1),false)</f>
        <v>0.45</v>
      </c>
      <c r="P37" s="99">
        <f>$D37-vlookup(Summary!$C37,Summary!$C$2:$Q$103,3+counta($F$1:P$1),false)</f>
        <v>-0.1</v>
      </c>
      <c r="Q37" s="99">
        <f>$D37-vlookup(Summary!$C37,Summary!$C$2:$Q$103,3+counta($F$1:Q$1),false)</f>
        <v>0.4</v>
      </c>
    </row>
    <row r="38" ht="15.75" customHeight="1">
      <c r="A38" s="15">
        <f>Main!A38</f>
        <v>37</v>
      </c>
      <c r="B38" s="15" t="str">
        <f>Main!B38</f>
        <v>Tasmania will have experienced at least 10,000 new cases in 1 day</v>
      </c>
      <c r="C38" s="15" t="str">
        <f>Main!C38</f>
        <v>Covid</v>
      </c>
      <c r="D38" s="15">
        <v>0.02</v>
      </c>
      <c r="F38" s="99">
        <f>$D38-vlookup(Summary!$C38,Summary!$C$2:$Q$103,3+counta($F$1:F$1),false)</f>
        <v>-0.13</v>
      </c>
      <c r="G38" s="99">
        <f>$D38-vlookup(Summary!$C38,Summary!$C$2:$Q$103,3+counta($F$1:G$1),false)</f>
        <v>-0.08</v>
      </c>
      <c r="H38" s="99">
        <f>$D38-vlookup(Summary!$C38,Summary!$C$2:$Q$103,3+counta($F$1:H$1),false)</f>
        <v>-0.03</v>
      </c>
      <c r="I38" s="99">
        <f>$D38-vlookup(Summary!$C38,Summary!$C$2:$Q$103,3+counta($F$1:I$1),false)</f>
        <v>-0.08</v>
      </c>
      <c r="J38" s="99">
        <f>$D38-vlookup(Summary!$C38,Summary!$C$2:$Q$103,3+counta($F$1:J$1),false)</f>
        <v>-0.28</v>
      </c>
      <c r="K38" s="99">
        <f>$D38-vlookup(Summary!$C38,Summary!$C$2:$Q$103,3+counta($F$1:K$1),false)</f>
        <v>-0.43</v>
      </c>
      <c r="L38" s="99">
        <f>$D38-vlookup(Summary!$C38,Summary!$C$2:$Q$103,3+counta($F$1:L$1),false)</f>
        <v>0.019</v>
      </c>
      <c r="M38" s="99">
        <f>$D38-vlookup(Summary!$C38,Summary!$C$2:$Q$103,3+counta($F$1:M$1),false)</f>
        <v>0</v>
      </c>
      <c r="N38" s="99">
        <f>$D38-vlookup(Summary!$C38,Summary!$C$2:$Q$103,3+counta($F$1:N$1),false)</f>
        <v>-0.08</v>
      </c>
      <c r="O38" s="99">
        <f>$D38-vlookup(Summary!$C38,Summary!$C$2:$Q$103,3+counta($F$1:O$1),false)</f>
        <v>0.019</v>
      </c>
      <c r="P38" s="99">
        <f>$D38-vlookup(Summary!$C38,Summary!$C$2:$Q$103,3+counta($F$1:P$1),false)</f>
        <v>-0.48</v>
      </c>
      <c r="Q38" s="99">
        <f>$D38-vlookup(Summary!$C38,Summary!$C$2:$Q$103,3+counta($F$1:Q$1),false)</f>
        <v>-0.53</v>
      </c>
    </row>
    <row r="39" ht="15.75" customHeight="1">
      <c r="A39" s="15">
        <f>Main!A39</f>
        <v>38</v>
      </c>
      <c r="B39" s="15" t="str">
        <f>Main!B39</f>
        <v>WHO switches to another alphabet than the Greek alphabet for Covid variants</v>
      </c>
      <c r="C39" s="15" t="str">
        <f>Main!C39</f>
        <v>Covid</v>
      </c>
      <c r="D39" s="15">
        <v>0.2</v>
      </c>
      <c r="F39" s="99">
        <f>$D39-vlookup(Summary!$C39,Summary!$C$2:$Q$103,3+counta($F$1:F$1),false)</f>
        <v>-0.25</v>
      </c>
      <c r="G39" s="99">
        <f>$D39-vlookup(Summary!$C39,Summary!$C$2:$Q$103,3+counta($F$1:G$1),false)</f>
        <v>-0.6</v>
      </c>
      <c r="H39" s="99">
        <f>$D39-vlookup(Summary!$C39,Summary!$C$2:$Q$103,3+counta($F$1:H$1),false)</f>
        <v>0</v>
      </c>
      <c r="I39" s="99">
        <f>$D39-vlookup(Summary!$C39,Summary!$C$2:$Q$103,3+counta($F$1:I$1),false)</f>
        <v>0.1</v>
      </c>
      <c r="J39" s="99">
        <f>$D39-vlookup(Summary!$C39,Summary!$C$2:$Q$103,3+counta($F$1:J$1),false)</f>
        <v>-0.3</v>
      </c>
      <c r="K39" s="99">
        <f>$D39-vlookup(Summary!$C39,Summary!$C$2:$Q$103,3+counta($F$1:K$1),false)</f>
        <v>-0.7</v>
      </c>
      <c r="L39" s="99">
        <f>$D39-vlookup(Summary!$C39,Summary!$C$2:$Q$103,3+counta($F$1:L$1),false)</f>
        <v>-0.3</v>
      </c>
      <c r="M39" s="99">
        <f>$D39-vlookup(Summary!$C39,Summary!$C$2:$Q$103,3+counta($F$1:M$1),false)</f>
        <v>0</v>
      </c>
      <c r="N39" s="99">
        <f>$D39-vlookup(Summary!$C39,Summary!$C$2:$Q$103,3+counta($F$1:N$1),false)</f>
        <v>-0.7</v>
      </c>
      <c r="O39" s="99">
        <f>$D39-vlookup(Summary!$C39,Summary!$C$2:$Q$103,3+counta($F$1:O$1),false)</f>
        <v>0.05</v>
      </c>
      <c r="P39" s="99">
        <f>$D39-vlookup(Summary!$C39,Summary!$C$2:$Q$103,3+counta($F$1:P$1),false)</f>
        <v>0.1</v>
      </c>
      <c r="Q39" s="99">
        <f>$D39-vlookup(Summary!$C39,Summary!$C$2:$Q$103,3+counta($F$1:Q$1),false)</f>
        <v>-0.15</v>
      </c>
    </row>
    <row r="40" ht="15.75" customHeight="1">
      <c r="A40" s="15">
        <f>Main!A40</f>
        <v>39</v>
      </c>
      <c r="B40" s="15" t="str">
        <f>Main!B40</f>
        <v>Lachy and Jac's extension will be completed</v>
      </c>
      <c r="C40" s="15" t="str">
        <f>Main!C40</f>
        <v>Family</v>
      </c>
      <c r="D40" s="15">
        <v>0.0</v>
      </c>
      <c r="F40" s="99">
        <f>$D40-vlookup(Summary!$C40,Summary!$C$2:$Q$103,3+counta($F$1:F$1),false)</f>
        <v>-0.7</v>
      </c>
      <c r="G40" s="99">
        <f>$D40-vlookup(Summary!$C40,Summary!$C$2:$Q$103,3+counta($F$1:G$1),false)</f>
        <v>-0.8</v>
      </c>
      <c r="H40" s="99">
        <f>$D40-vlookup(Summary!$C40,Summary!$C$2:$Q$103,3+counta($F$1:H$1),false)</f>
        <v>-0.1</v>
      </c>
      <c r="I40" s="99">
        <f>$D40-vlookup(Summary!$C40,Summary!$C$2:$Q$103,3+counta($F$1:I$1),false)</f>
        <v>-0.5</v>
      </c>
      <c r="J40" s="99">
        <f>$D40-vlookup(Summary!$C40,Summary!$C$2:$Q$103,3+counta($F$1:J$1),false)</f>
        <v>-0.8</v>
      </c>
      <c r="K40" s="99">
        <f>$D40-vlookup(Summary!$C40,Summary!$C$2:$Q$103,3+counta($F$1:K$1),false)</f>
        <v>-0.4</v>
      </c>
      <c r="L40" s="99">
        <f>$D40-vlookup(Summary!$C40,Summary!$C$2:$Q$103,3+counta($F$1:L$1),false)</f>
        <v>-0.5</v>
      </c>
      <c r="M40" s="99">
        <f>$D40-vlookup(Summary!$C40,Summary!$C$2:$Q$103,3+counta($F$1:M$1),false)</f>
        <v>0</v>
      </c>
      <c r="N40" s="99">
        <f>$D40-vlookup(Summary!$C40,Summary!$C$2:$Q$103,3+counta($F$1:N$1),false)</f>
        <v>-0.9</v>
      </c>
      <c r="O40" s="99">
        <f>$D40-vlookup(Summary!$C40,Summary!$C$2:$Q$103,3+counta($F$1:O$1),false)</f>
        <v>-0.85</v>
      </c>
      <c r="P40" s="99">
        <f>$D40-vlookup(Summary!$C40,Summary!$C$2:$Q$103,3+counta($F$1:P$1),false)</f>
        <v>-0.5</v>
      </c>
      <c r="Q40" s="99">
        <f>$D40-vlookup(Summary!$C40,Summary!$C$2:$Q$103,3+counta($F$1:Q$1),false)</f>
        <v>-0.15</v>
      </c>
    </row>
    <row r="41" ht="15.75" customHeight="1">
      <c r="A41" s="15">
        <f>Main!A41</f>
        <v>40</v>
      </c>
      <c r="B41" s="15" t="str">
        <f>Main!B41</f>
        <v>Rohan will work for two different employers (not his own family members)</v>
      </c>
      <c r="C41" s="15" t="str">
        <f>Main!C41</f>
        <v>Family</v>
      </c>
      <c r="D41" s="15">
        <v>0.1</v>
      </c>
      <c r="F41" s="99">
        <f>$D41-vlookup(Summary!$C41,Summary!$C$2:$Q$103,3+counta($F$1:F$1),false)</f>
        <v>-0.3</v>
      </c>
      <c r="G41" s="99">
        <f>$D41-vlookup(Summary!$C41,Summary!$C$2:$Q$103,3+counta($F$1:G$1),false)</f>
        <v>-0.5</v>
      </c>
      <c r="H41" s="99">
        <f>$D41-vlookup(Summary!$C41,Summary!$C$2:$Q$103,3+counta($F$1:H$1),false)</f>
        <v>0</v>
      </c>
      <c r="I41" s="99">
        <f>$D41-vlookup(Summary!$C41,Summary!$C$2:$Q$103,3+counta($F$1:I$1),false)</f>
        <v>-0.2</v>
      </c>
      <c r="J41" s="99">
        <f>$D41-vlookup(Summary!$C41,Summary!$C$2:$Q$103,3+counta($F$1:J$1),false)</f>
        <v>-0.4</v>
      </c>
      <c r="K41" s="99">
        <f>$D41-vlookup(Summary!$C41,Summary!$C$2:$Q$103,3+counta($F$1:K$1),false)</f>
        <v>-0.2</v>
      </c>
      <c r="L41" s="99">
        <f>$D41-vlookup(Summary!$C41,Summary!$C$2:$Q$103,3+counta($F$1:L$1),false)</f>
        <v>-0.2</v>
      </c>
      <c r="M41" s="99">
        <f>$D41-vlookup(Summary!$C41,Summary!$C$2:$Q$103,3+counta($F$1:M$1),false)</f>
        <v>0</v>
      </c>
      <c r="N41" s="99">
        <f>$D41-vlookup(Summary!$C41,Summary!$C$2:$Q$103,3+counta($F$1:N$1),false)</f>
        <v>-0.5</v>
      </c>
      <c r="O41" s="99">
        <f>$D41-vlookup(Summary!$C41,Summary!$C$2:$Q$103,3+counta($F$1:O$1),false)</f>
        <v>-0.05</v>
      </c>
      <c r="P41" s="99">
        <f>$D41-vlookup(Summary!$C41,Summary!$C$2:$Q$103,3+counta($F$1:P$1),false)</f>
        <v>-0.4</v>
      </c>
      <c r="Q41" s="99">
        <f>$D41-vlookup(Summary!$C41,Summary!$C$2:$Q$103,3+counta($F$1:Q$1),false)</f>
        <v>-0.2</v>
      </c>
    </row>
    <row r="42" ht="15.75" customHeight="1">
      <c r="A42" s="15">
        <f>Main!A42</f>
        <v>41</v>
      </c>
      <c r="B42" s="15" t="str">
        <f>Main!B42</f>
        <v>Kate will swim the Broulee Bay to Breakers in March 2022 and improve her position from 9th in the 40s women’s age group</v>
      </c>
      <c r="C42" s="15" t="str">
        <f>Main!C42</f>
        <v>Family</v>
      </c>
      <c r="D42" s="15">
        <v>0.9</v>
      </c>
      <c r="F42" s="99">
        <f>$D42-vlookup(Summary!$C42,Summary!$C$2:$Q$103,3+counta($F$1:F$1),false)</f>
        <v>0.3</v>
      </c>
      <c r="G42" s="99">
        <f>$D42-vlookup(Summary!$C42,Summary!$C$2:$Q$103,3+counta($F$1:G$1),false)</f>
        <v>0.1</v>
      </c>
      <c r="H42" s="99">
        <f>$D42-vlookup(Summary!$C42,Summary!$C$2:$Q$103,3+counta($F$1:H$1),false)</f>
        <v>0</v>
      </c>
      <c r="I42" s="99">
        <f>$D42-vlookup(Summary!$C42,Summary!$C$2:$Q$103,3+counta($F$1:I$1),false)</f>
        <v>0.4</v>
      </c>
      <c r="J42" s="99">
        <f>$D42-vlookup(Summary!$C42,Summary!$C$2:$Q$103,3+counta($F$1:J$1),false)</f>
        <v>0</v>
      </c>
      <c r="K42" s="99">
        <f>$D42-vlookup(Summary!$C42,Summary!$C$2:$Q$103,3+counta($F$1:K$1),false)</f>
        <v>0.2</v>
      </c>
      <c r="L42" s="99">
        <f>$D42-vlookup(Summary!$C42,Summary!$C$2:$Q$103,3+counta($F$1:L$1),false)</f>
        <v>0.3</v>
      </c>
      <c r="M42" s="99">
        <f>$D42-vlookup(Summary!$C42,Summary!$C$2:$Q$103,3+counta($F$1:M$1),false)</f>
        <v>0</v>
      </c>
      <c r="N42" s="99">
        <f>$D42-vlookup(Summary!$C42,Summary!$C$2:$Q$103,3+counta($F$1:N$1),false)</f>
        <v>0.7</v>
      </c>
      <c r="O42" s="99">
        <f>$D42-vlookup(Summary!$C42,Summary!$C$2:$Q$103,3+counta($F$1:O$1),false)</f>
        <v>0.05</v>
      </c>
      <c r="P42" s="99">
        <f>$D42-vlookup(Summary!$C42,Summary!$C$2:$Q$103,3+counta($F$1:P$1),false)</f>
        <v>0</v>
      </c>
      <c r="Q42" s="99">
        <f>$D42-vlookup(Summary!$C42,Summary!$C$2:$Q$103,3+counta($F$1:Q$1),false)</f>
        <v>0.4</v>
      </c>
    </row>
    <row r="43" ht="15.75" customHeight="1">
      <c r="A43" s="15">
        <f>Main!A43</f>
        <v>42</v>
      </c>
      <c r="B43" s="15" t="str">
        <f>Main!B43</f>
        <v>Rohan will be at least 6ft tall</v>
      </c>
      <c r="C43" s="15" t="str">
        <f>Main!C43</f>
        <v>Family</v>
      </c>
      <c r="D43" s="15">
        <v>0.9</v>
      </c>
      <c r="F43" s="99">
        <f>$D43-vlookup(Summary!$C43,Summary!$C$2:$Q$103,3+counta($F$1:F$1),false)</f>
        <v>0.4</v>
      </c>
      <c r="G43" s="99">
        <f>$D43-vlookup(Summary!$C43,Summary!$C$2:$Q$103,3+counta($F$1:G$1),false)</f>
        <v>0</v>
      </c>
      <c r="H43" s="99">
        <f>$D43-vlookup(Summary!$C43,Summary!$C$2:$Q$103,3+counta($F$1:H$1),false)</f>
        <v>0</v>
      </c>
      <c r="I43" s="99">
        <f>$D43-vlookup(Summary!$C43,Summary!$C$2:$Q$103,3+counta($F$1:I$1),false)</f>
        <v>0.5</v>
      </c>
      <c r="J43" s="99">
        <f>$D43-vlookup(Summary!$C43,Summary!$C$2:$Q$103,3+counta($F$1:J$1),false)</f>
        <v>0</v>
      </c>
      <c r="K43" s="99">
        <f>$D43-vlookup(Summary!$C43,Summary!$C$2:$Q$103,3+counta($F$1:K$1),false)</f>
        <v>0.899</v>
      </c>
      <c r="L43" s="99">
        <f>$D43-vlookup(Summary!$C43,Summary!$C$2:$Q$103,3+counta($F$1:L$1),false)</f>
        <v>-0.09999</v>
      </c>
      <c r="M43" s="99">
        <f>$D43-vlookup(Summary!$C43,Summary!$C$2:$Q$103,3+counta($F$1:M$1),false)</f>
        <v>0</v>
      </c>
      <c r="N43" s="99">
        <f>$D43-vlookup(Summary!$C43,Summary!$C$2:$Q$103,3+counta($F$1:N$1),false)</f>
        <v>0</v>
      </c>
      <c r="O43" s="99">
        <f>$D43-vlookup(Summary!$C43,Summary!$C$2:$Q$103,3+counta($F$1:O$1),false)</f>
        <v>-0.099</v>
      </c>
      <c r="P43" s="99">
        <f>$D43-vlookup(Summary!$C43,Summary!$C$2:$Q$103,3+counta($F$1:P$1),false)</f>
        <v>0</v>
      </c>
      <c r="Q43" s="99">
        <f>$D43-vlookup(Summary!$C43,Summary!$C$2:$Q$103,3+counta($F$1:Q$1),false)</f>
        <v>-0.09</v>
      </c>
    </row>
    <row r="44" ht="15.75" customHeight="1">
      <c r="A44" s="15">
        <f>Main!A44</f>
        <v>43</v>
      </c>
      <c r="B44" s="15" t="str">
        <f>Main!B44</f>
        <v>A participant in the prediction game will get a dog or another dog </v>
      </c>
      <c r="C44" s="15" t="str">
        <f>Main!C44</f>
        <v>Family</v>
      </c>
      <c r="D44" s="15">
        <v>0.1</v>
      </c>
      <c r="F44" s="99">
        <f>$D44-vlookup(Summary!$C44,Summary!$C$2:$Q$103,3+counta($F$1:F$1),false)</f>
        <v>-0.4</v>
      </c>
      <c r="G44" s="99">
        <f>$D44-vlookup(Summary!$C44,Summary!$C$2:$Q$103,3+counta($F$1:G$1),false)</f>
        <v>-0.85</v>
      </c>
      <c r="H44" s="99">
        <f>$D44-vlookup(Summary!$C44,Summary!$C$2:$Q$103,3+counta($F$1:H$1),false)</f>
        <v>0</v>
      </c>
      <c r="I44" s="99">
        <f>$D44-vlookup(Summary!$C44,Summary!$C$2:$Q$103,3+counta($F$1:I$1),false)</f>
        <v>0</v>
      </c>
      <c r="J44" s="99">
        <f>$D44-vlookup(Summary!$C44,Summary!$C$2:$Q$103,3+counta($F$1:J$1),false)</f>
        <v>-0.8</v>
      </c>
      <c r="K44" s="99">
        <f>$D44-vlookup(Summary!$C44,Summary!$C$2:$Q$103,3+counta($F$1:K$1),false)</f>
        <v>-0.65</v>
      </c>
      <c r="L44" s="99">
        <f>$D44-vlookup(Summary!$C44,Summary!$C$2:$Q$103,3+counta($F$1:L$1),false)</f>
        <v>-0.1</v>
      </c>
      <c r="M44" s="99">
        <f>$D44-vlookup(Summary!$C44,Summary!$C$2:$Q$103,3+counta($F$1:M$1),false)</f>
        <v>0</v>
      </c>
      <c r="N44" s="99">
        <f>$D44-vlookup(Summary!$C44,Summary!$C$2:$Q$103,3+counta($F$1:N$1),false)</f>
        <v>0</v>
      </c>
      <c r="O44" s="99">
        <f>$D44-vlookup(Summary!$C44,Summary!$C$2:$Q$103,3+counta($F$1:O$1),false)</f>
        <v>0.099</v>
      </c>
      <c r="P44" s="99">
        <f>$D44-vlookup(Summary!$C44,Summary!$C$2:$Q$103,3+counta($F$1:P$1),false)</f>
        <v>-0.4</v>
      </c>
      <c r="Q44" s="99">
        <f>$D44-vlookup(Summary!$C44,Summary!$C$2:$Q$103,3+counta($F$1:Q$1),false)</f>
        <v>-0.15</v>
      </c>
    </row>
    <row r="45" ht="15.75" customHeight="1">
      <c r="A45" s="15">
        <f>Main!A45</f>
        <v>44</v>
      </c>
      <c r="B45" s="15" t="str">
        <f>Main!B45</f>
        <v>There will be a flow of water into the Lake Eyre basin in 2022</v>
      </c>
      <c r="C45" s="15" t="str">
        <f>Main!C45</f>
        <v>Natural world</v>
      </c>
      <c r="D45" s="15">
        <v>0.5</v>
      </c>
      <c r="F45" s="99">
        <f>$D45-vlookup(Summary!$C45,Summary!$C$2:$Q$103,3+counta($F$1:F$1),false)</f>
        <v>-0.25</v>
      </c>
      <c r="G45" s="99">
        <f>$D45-vlookup(Summary!$C45,Summary!$C$2:$Q$103,3+counta($F$1:G$1),false)</f>
        <v>-0.3</v>
      </c>
      <c r="H45" s="99">
        <f>$D45-vlookup(Summary!$C45,Summary!$C$2:$Q$103,3+counta($F$1:H$1),false)</f>
        <v>0</v>
      </c>
      <c r="I45" s="99">
        <f>$D45-vlookup(Summary!$C45,Summary!$C$2:$Q$103,3+counta($F$1:I$1),false)</f>
        <v>0</v>
      </c>
      <c r="J45" s="99">
        <f>$D45-vlookup(Summary!$C45,Summary!$C$2:$Q$103,3+counta($F$1:J$1),false)</f>
        <v>0.2</v>
      </c>
      <c r="K45" s="99">
        <f>$D45-vlookup(Summary!$C45,Summary!$C$2:$Q$103,3+counta($F$1:K$1),false)</f>
        <v>-0.2</v>
      </c>
      <c r="L45" s="99">
        <f>$D45-vlookup(Summary!$C45,Summary!$C$2:$Q$103,3+counta($F$1:L$1),false)</f>
        <v>-0.3</v>
      </c>
      <c r="M45" s="99">
        <f>$D45-vlookup(Summary!$C45,Summary!$C$2:$Q$103,3+counta($F$1:M$1),false)</f>
        <v>0</v>
      </c>
      <c r="N45" s="99">
        <f>$D45-vlookup(Summary!$C45,Summary!$C$2:$Q$103,3+counta($F$1:N$1),false)</f>
        <v>-0.1</v>
      </c>
      <c r="O45" s="99">
        <f>$D45-vlookup(Summary!$C45,Summary!$C$2:$Q$103,3+counta($F$1:O$1),false)</f>
        <v>-0.15</v>
      </c>
      <c r="P45" s="99">
        <f>$D45-vlookup(Summary!$C45,Summary!$C$2:$Q$103,3+counta($F$1:P$1),false)</f>
        <v>-0.4</v>
      </c>
      <c r="Q45" s="99">
        <f>$D45-vlookup(Summary!$C45,Summary!$C$2:$Q$103,3+counta($F$1:Q$1),false)</f>
        <v>0</v>
      </c>
    </row>
    <row r="46" ht="15.75" customHeight="1">
      <c r="A46" s="15">
        <f>Main!A46</f>
        <v>45</v>
      </c>
      <c r="B46" s="15" t="str">
        <f>Main!B46</f>
        <v>Water from the Paroo will spill into the Darling in 2022</v>
      </c>
      <c r="C46" s="15" t="str">
        <f>Main!C46</f>
        <v>Natural world</v>
      </c>
      <c r="D46" s="15">
        <v>0.5</v>
      </c>
      <c r="F46" s="99">
        <f>$D46-vlookup(Summary!$C46,Summary!$C$2:$Q$103,3+counta($F$1:F$1),false)</f>
        <v>0</v>
      </c>
      <c r="G46" s="99">
        <f>$D46-vlookup(Summary!$C46,Summary!$C$2:$Q$103,3+counta($F$1:G$1),false)</f>
        <v>-0.2</v>
      </c>
      <c r="H46" s="99">
        <f>$D46-vlookup(Summary!$C46,Summary!$C$2:$Q$103,3+counta($F$1:H$1),false)</f>
        <v>0</v>
      </c>
      <c r="I46" s="99">
        <f>$D46-vlookup(Summary!$C46,Summary!$C$2:$Q$103,3+counta($F$1:I$1),false)</f>
        <v>0</v>
      </c>
      <c r="J46" s="99">
        <f>$D46-vlookup(Summary!$C46,Summary!$C$2:$Q$103,3+counta($F$1:J$1),false)</f>
        <v>-0.1</v>
      </c>
      <c r="K46" s="99">
        <f>$D46-vlookup(Summary!$C46,Summary!$C$2:$Q$103,3+counta($F$1:K$1),false)</f>
        <v>-0.1</v>
      </c>
      <c r="L46" s="99">
        <f>$D46-vlookup(Summary!$C46,Summary!$C$2:$Q$103,3+counta($F$1:L$1),false)</f>
        <v>-0.3</v>
      </c>
      <c r="M46" s="99">
        <f>$D46-vlookup(Summary!$C46,Summary!$C$2:$Q$103,3+counta($F$1:M$1),false)</f>
        <v>0</v>
      </c>
      <c r="N46" s="99">
        <f>$D46-vlookup(Summary!$C46,Summary!$C$2:$Q$103,3+counta($F$1:N$1),false)</f>
        <v>-0.1</v>
      </c>
      <c r="O46" s="99">
        <f>$D46-vlookup(Summary!$C46,Summary!$C$2:$Q$103,3+counta($F$1:O$1),false)</f>
        <v>0</v>
      </c>
      <c r="P46" s="99">
        <f>$D46-vlookup(Summary!$C46,Summary!$C$2:$Q$103,3+counta($F$1:P$1),false)</f>
        <v>0.4</v>
      </c>
      <c r="Q46" s="99">
        <f>$D46-vlookup(Summary!$C46,Summary!$C$2:$Q$103,3+counta($F$1:Q$1),false)</f>
        <v>0</v>
      </c>
    </row>
    <row r="47" ht="15.75" customHeight="1">
      <c r="A47" s="15">
        <f>Main!A47</f>
        <v>46</v>
      </c>
      <c r="B47" s="15" t="str">
        <f>Main!B47</f>
        <v>In the Antarctic the Thwaites Glacier ice-shelf will collapse in 2022</v>
      </c>
      <c r="C47" s="15" t="str">
        <f>Main!C47</f>
        <v>Natural world</v>
      </c>
      <c r="D47" s="15">
        <v>0.7</v>
      </c>
      <c r="F47" s="99">
        <f>$D47-vlookup(Summary!$C47,Summary!$C$2:$Q$103,3+counta($F$1:F$1),false)</f>
        <v>0.2</v>
      </c>
      <c r="G47" s="99">
        <f>$D47-vlookup(Summary!$C47,Summary!$C$2:$Q$103,3+counta($F$1:G$1),false)</f>
        <v>0.45</v>
      </c>
      <c r="H47" s="99">
        <f>$D47-vlookup(Summary!$C47,Summary!$C$2:$Q$103,3+counta($F$1:H$1),false)</f>
        <v>0</v>
      </c>
      <c r="I47" s="99">
        <f>$D47-vlookup(Summary!$C47,Summary!$C$2:$Q$103,3+counta($F$1:I$1),false)</f>
        <v>0.2</v>
      </c>
      <c r="J47" s="99">
        <f>$D47-vlookup(Summary!$C47,Summary!$C$2:$Q$103,3+counta($F$1:J$1),false)</f>
        <v>0</v>
      </c>
      <c r="K47" s="99">
        <f>$D47-vlookup(Summary!$C47,Summary!$C$2:$Q$103,3+counta($F$1:K$1),false)</f>
        <v>0</v>
      </c>
      <c r="L47" s="99">
        <f>$D47-vlookup(Summary!$C47,Summary!$C$2:$Q$103,3+counta($F$1:L$1),false)</f>
        <v>0.6</v>
      </c>
      <c r="M47" s="99">
        <f>$D47-vlookup(Summary!$C47,Summary!$C$2:$Q$103,3+counta($F$1:M$1),false)</f>
        <v>0</v>
      </c>
      <c r="N47" s="99">
        <f>$D47-vlookup(Summary!$C47,Summary!$C$2:$Q$103,3+counta($F$1:N$1),false)</f>
        <v>0.5</v>
      </c>
      <c r="O47" s="99">
        <f>$D47-vlookup(Summary!$C47,Summary!$C$2:$Q$103,3+counta($F$1:O$1),false)</f>
        <v>0.35</v>
      </c>
      <c r="P47" s="99">
        <f>$D47-vlookup(Summary!$C47,Summary!$C$2:$Q$103,3+counta($F$1:P$1),false)</f>
        <v>0.2</v>
      </c>
      <c r="Q47" s="99">
        <f>$D47-vlookup(Summary!$C47,Summary!$C$2:$Q$103,3+counta($F$1:Q$1),false)</f>
        <v>0.2</v>
      </c>
    </row>
    <row r="48" ht="15.75" customHeight="1">
      <c r="A48" s="15">
        <f>Main!A48</f>
        <v>47</v>
      </c>
      <c r="B48" s="15" t="str">
        <f>Main!B48</f>
        <v>At least three quarters of the Great Barrier Reef will be bleached as a result of warming seas.</v>
      </c>
      <c r="C48" s="15" t="str">
        <f>Main!C48</f>
        <v>Natural world</v>
      </c>
      <c r="D48" s="15">
        <v>0.7</v>
      </c>
      <c r="F48" s="99">
        <f>$D48-vlookup(Summary!$C48,Summary!$C$2:$Q$103,3+counta($F$1:F$1),false)</f>
        <v>0.2</v>
      </c>
      <c r="G48" s="99">
        <f>$D48-vlookup(Summary!$C48,Summary!$C$2:$Q$103,3+counta($F$1:G$1),false)</f>
        <v>-0.1</v>
      </c>
      <c r="H48" s="99">
        <f>$D48-vlookup(Summary!$C48,Summary!$C$2:$Q$103,3+counta($F$1:H$1),false)</f>
        <v>0</v>
      </c>
      <c r="I48" s="99">
        <f>$D48-vlookup(Summary!$C48,Summary!$C$2:$Q$103,3+counta($F$1:I$1),false)</f>
        <v>0.2</v>
      </c>
      <c r="J48" s="99">
        <f>$D48-vlookup(Summary!$C48,Summary!$C$2:$Q$103,3+counta($F$1:J$1),false)</f>
        <v>-0.1</v>
      </c>
      <c r="K48" s="99">
        <f>$D48-vlookup(Summary!$C48,Summary!$C$2:$Q$103,3+counta($F$1:K$1),false)</f>
        <v>-0.15</v>
      </c>
      <c r="L48" s="99">
        <f>$D48-vlookup(Summary!$C48,Summary!$C$2:$Q$103,3+counta($F$1:L$1),false)</f>
        <v>0.2</v>
      </c>
      <c r="M48" s="99">
        <f>$D48-vlookup(Summary!$C48,Summary!$C$2:$Q$103,3+counta($F$1:M$1),false)</f>
        <v>0</v>
      </c>
      <c r="N48" s="99">
        <f>$D48-vlookup(Summary!$C48,Summary!$C$2:$Q$103,3+counta($F$1:N$1),false)</f>
        <v>0</v>
      </c>
      <c r="O48" s="99">
        <f>$D48-vlookup(Summary!$C48,Summary!$C$2:$Q$103,3+counta($F$1:O$1),false)</f>
        <v>0.35</v>
      </c>
      <c r="P48" s="99">
        <f>$D48-vlookup(Summary!$C48,Summary!$C$2:$Q$103,3+counta($F$1:P$1),false)</f>
        <v>0.2</v>
      </c>
      <c r="Q48" s="99">
        <f>$D48-vlookup(Summary!$C48,Summary!$C$2:$Q$103,3+counta($F$1:Q$1),false)</f>
        <v>0.3</v>
      </c>
    </row>
    <row r="49" ht="15.75" customHeight="1">
      <c r="A49" s="15">
        <f>Main!A49</f>
        <v>48</v>
      </c>
      <c r="B49" s="15" t="str">
        <f>Main!B49</f>
        <v>Sabine Hoffstader will release a Youtube video explaining that the nature of dark matter has been confirmed experimentally</v>
      </c>
      <c r="C49" s="15" t="str">
        <f>Main!C49</f>
        <v>Natural world</v>
      </c>
      <c r="D49" s="15">
        <v>0.1</v>
      </c>
      <c r="F49" s="99">
        <f>$D49-vlookup(Summary!$C49,Summary!$C$2:$Q$103,3+counta($F$1:F$1),false)</f>
        <v>-0.4</v>
      </c>
      <c r="G49" s="99">
        <f>$D49-vlookup(Summary!$C49,Summary!$C$2:$Q$103,3+counta($F$1:G$1),false)</f>
        <v>-0.15</v>
      </c>
      <c r="H49" s="99">
        <f>$D49-vlookup(Summary!$C49,Summary!$C$2:$Q$103,3+counta($F$1:H$1),false)</f>
        <v>0</v>
      </c>
      <c r="I49" s="99">
        <f>$D49-vlookup(Summary!$C49,Summary!$C$2:$Q$103,3+counta($F$1:I$1),false)</f>
        <v>-0.4</v>
      </c>
      <c r="J49" s="99">
        <f>$D49-vlookup(Summary!$C49,Summary!$C$2:$Q$103,3+counta($F$1:J$1),false)</f>
        <v>-0.4</v>
      </c>
      <c r="K49" s="99">
        <f>$D49-vlookup(Summary!$C49,Summary!$C$2:$Q$103,3+counta($F$1:K$1),false)</f>
        <v>-0.55</v>
      </c>
      <c r="L49" s="99">
        <f>$D49-vlookup(Summary!$C49,Summary!$C$2:$Q$103,3+counta($F$1:L$1),false)</f>
        <v>-0.5</v>
      </c>
      <c r="M49" s="99">
        <f>$D49-vlookup(Summary!$C49,Summary!$C$2:$Q$103,3+counta($F$1:M$1),false)</f>
        <v>0</v>
      </c>
      <c r="N49" s="99">
        <f>$D49-vlookup(Summary!$C49,Summary!$C$2:$Q$103,3+counta($F$1:N$1),false)</f>
        <v>-0.4</v>
      </c>
      <c r="O49" s="99">
        <f>$D49-vlookup(Summary!$C49,Summary!$C$2:$Q$103,3+counta($F$1:O$1),false)</f>
        <v>0.099</v>
      </c>
      <c r="P49" s="99">
        <f>$D49-vlookup(Summary!$C49,Summary!$C$2:$Q$103,3+counta($F$1:P$1),false)</f>
        <v>-0.4</v>
      </c>
      <c r="Q49" s="99">
        <f>$D49-vlookup(Summary!$C49,Summary!$C$2:$Q$103,3+counta($F$1:Q$1),false)</f>
        <v>-0.4</v>
      </c>
    </row>
    <row r="50" ht="15.75" customHeight="1">
      <c r="A50" s="15">
        <f>Main!A50</f>
        <v>49</v>
      </c>
      <c r="B50" s="15" t="str">
        <f>Main!B50</f>
        <v>2022 will be the hottest year on record globally (via NASA)</v>
      </c>
      <c r="C50" s="15" t="str">
        <f>Main!C50</f>
        <v>Natural world</v>
      </c>
      <c r="D50" s="15">
        <v>0.95</v>
      </c>
      <c r="F50" s="99">
        <f>$D50-vlookup(Summary!$C50,Summary!$C$2:$Q$103,3+counta($F$1:F$1),false)</f>
        <v>0.65</v>
      </c>
      <c r="G50" s="99">
        <f>$D50-vlookup(Summary!$C50,Summary!$C$2:$Q$103,3+counta($F$1:G$1),false)</f>
        <v>0.5</v>
      </c>
      <c r="H50" s="99">
        <f>$D50-vlookup(Summary!$C50,Summary!$C$2:$Q$103,3+counta($F$1:H$1),false)</f>
        <v>0</v>
      </c>
      <c r="I50" s="99">
        <f>$D50-vlookup(Summary!$C50,Summary!$C$2:$Q$103,3+counta($F$1:I$1),false)</f>
        <v>0.65</v>
      </c>
      <c r="J50" s="99">
        <f>$D50-vlookup(Summary!$C50,Summary!$C$2:$Q$103,3+counta($F$1:J$1),false)</f>
        <v>0.15</v>
      </c>
      <c r="K50" s="99">
        <f>$D50-vlookup(Summary!$C50,Summary!$C$2:$Q$103,3+counta($F$1:K$1),false)</f>
        <v>0.13</v>
      </c>
      <c r="L50" s="99">
        <f>$D50-vlookup(Summary!$C50,Summary!$C$2:$Q$103,3+counta($F$1:L$1),false)</f>
        <v>0.75</v>
      </c>
      <c r="M50" s="99">
        <f>$D50-vlookup(Summary!$C50,Summary!$C$2:$Q$103,3+counta($F$1:M$1),false)</f>
        <v>0</v>
      </c>
      <c r="N50" s="99">
        <f>$D50-vlookup(Summary!$C50,Summary!$C$2:$Q$103,3+counta($F$1:N$1),false)</f>
        <v>0.65</v>
      </c>
      <c r="O50" s="99">
        <f>$D50-vlookup(Summary!$C50,Summary!$C$2:$Q$103,3+counta($F$1:O$1),false)</f>
        <v>0.8</v>
      </c>
      <c r="P50" s="99">
        <f>$D50-vlookup(Summary!$C50,Summary!$C$2:$Q$103,3+counta($F$1:P$1),false)</f>
        <v>0.35</v>
      </c>
      <c r="Q50" s="99">
        <f>$D50-vlookup(Summary!$C50,Summary!$C$2:$Q$103,3+counta($F$1:Q$1),false)</f>
        <v>0.55</v>
      </c>
    </row>
    <row r="51" ht="15.75" customHeight="1">
      <c r="A51" s="15">
        <f>Main!A51</f>
        <v>50</v>
      </c>
      <c r="B51" s="15" t="str">
        <f>Main!B51</f>
        <v>A cultivated chilli will replace the Carolina Reaper as the world’s hottest, as measured in scoville units (GWR seems to be the source of this currently)</v>
      </c>
      <c r="C51" s="15" t="str">
        <f>Main!C51</f>
        <v>Natural world</v>
      </c>
      <c r="D51" s="15">
        <v>0.7</v>
      </c>
      <c r="F51" s="99">
        <f>$D51-vlookup(Summary!$C51,Summary!$C$2:$Q$103,3+counta($F$1:F$1),false)</f>
        <v>0.1</v>
      </c>
      <c r="G51" s="99">
        <f>$D51-vlookup(Summary!$C51,Summary!$C$2:$Q$103,3+counta($F$1:G$1),false)</f>
        <v>0.19</v>
      </c>
      <c r="H51" s="99">
        <f>$D51-vlookup(Summary!$C51,Summary!$C$2:$Q$103,3+counta($F$1:H$1),false)</f>
        <v>0</v>
      </c>
      <c r="I51" s="99">
        <f>$D51-vlookup(Summary!$C51,Summary!$C$2:$Q$103,3+counta($F$1:I$1),false)</f>
        <v>-0.1</v>
      </c>
      <c r="J51" s="99">
        <f>$D51-vlookup(Summary!$C51,Summary!$C$2:$Q$103,3+counta($F$1:J$1),false)</f>
        <v>0.5</v>
      </c>
      <c r="K51" s="99">
        <f>$D51-vlookup(Summary!$C51,Summary!$C$2:$Q$103,3+counta($F$1:K$1),false)</f>
        <v>-0.05</v>
      </c>
      <c r="L51" s="99">
        <f>$D51-vlookup(Summary!$C51,Summary!$C$2:$Q$103,3+counta($F$1:L$1),false)</f>
        <v>0.2</v>
      </c>
      <c r="M51" s="99">
        <f>$D51-vlookup(Summary!$C51,Summary!$C$2:$Q$103,3+counta($F$1:M$1),false)</f>
        <v>0</v>
      </c>
      <c r="N51" s="99">
        <f>$D51-vlookup(Summary!$C51,Summary!$C$2:$Q$103,3+counta($F$1:N$1),false)</f>
        <v>-0.1</v>
      </c>
      <c r="O51" s="99">
        <f>$D51-vlookup(Summary!$C51,Summary!$C$2:$Q$103,3+counta($F$1:O$1),false)</f>
        <v>0.05</v>
      </c>
      <c r="P51" s="99">
        <f>$D51-vlookup(Summary!$C51,Summary!$C$2:$Q$103,3+counta($F$1:P$1),false)</f>
        <v>0.2</v>
      </c>
      <c r="Q51" s="99">
        <f>$D51-vlookup(Summary!$C51,Summary!$C$2:$Q$103,3+counta($F$1:Q$1),false)</f>
        <v>-0.1</v>
      </c>
    </row>
    <row r="52" ht="15.75" customHeight="1">
      <c r="A52" s="15">
        <f>Main!A52</f>
        <v>51</v>
      </c>
      <c r="B52" s="15" t="str">
        <f>Main!B52</f>
        <v>Christchurch will experience an earthquake of at least 4 on the Richter scale</v>
      </c>
      <c r="C52" s="15" t="str">
        <f>Main!C52</f>
        <v>Natural world</v>
      </c>
      <c r="D52" s="15">
        <v>0.7</v>
      </c>
      <c r="F52" s="99">
        <f>$D52-vlookup(Summary!$C52,Summary!$C$2:$Q$103,3+counta($F$1:F$1),false)</f>
        <v>0.3</v>
      </c>
      <c r="G52" s="99">
        <f>$D52-vlookup(Summary!$C52,Summary!$C$2:$Q$103,3+counta($F$1:G$1),false)</f>
        <v>0.45</v>
      </c>
      <c r="H52" s="99">
        <f>$D52-vlookup(Summary!$C52,Summary!$C$2:$Q$103,3+counta($F$1:H$1),false)</f>
        <v>0</v>
      </c>
      <c r="I52" s="99">
        <f>$D52-vlookup(Summary!$C52,Summary!$C$2:$Q$103,3+counta($F$1:I$1),false)</f>
        <v>0</v>
      </c>
      <c r="J52" s="99">
        <f>$D52-vlookup(Summary!$C52,Summary!$C$2:$Q$103,3+counta($F$1:J$1),false)</f>
        <v>0.2</v>
      </c>
      <c r="K52" s="99">
        <f>$D52-vlookup(Summary!$C52,Summary!$C$2:$Q$103,3+counta($F$1:K$1),false)</f>
        <v>0.05</v>
      </c>
      <c r="L52" s="99">
        <f>$D52-vlookup(Summary!$C52,Summary!$C$2:$Q$103,3+counta($F$1:L$1),false)</f>
        <v>0.4</v>
      </c>
      <c r="M52" s="99">
        <f>$D52-vlookup(Summary!$C52,Summary!$C$2:$Q$103,3+counta($F$1:M$1),false)</f>
        <v>0</v>
      </c>
      <c r="N52" s="99">
        <f>$D52-vlookup(Summary!$C52,Summary!$C$2:$Q$103,3+counta($F$1:N$1),false)</f>
        <v>0.3</v>
      </c>
      <c r="O52" s="99">
        <f>$D52-vlookup(Summary!$C52,Summary!$C$2:$Q$103,3+counta($F$1:O$1),false)</f>
        <v>0.05</v>
      </c>
      <c r="P52" s="99">
        <f>$D52-vlookup(Summary!$C52,Summary!$C$2:$Q$103,3+counta($F$1:P$1),false)</f>
        <v>0.6</v>
      </c>
      <c r="Q52" s="99">
        <f>$D52-vlookup(Summary!$C52,Summary!$C$2:$Q$103,3+counta($F$1:Q$1),false)</f>
        <v>0.2</v>
      </c>
    </row>
    <row r="53" ht="15.75" customHeight="1">
      <c r="A53" s="15">
        <f>Main!A53</f>
        <v>52</v>
      </c>
      <c r="B53" s="15" t="str">
        <f>Main!B53</f>
        <v>Pope Francis will condemn the metaverse or warn of its potential damage</v>
      </c>
      <c r="C53" s="15" t="str">
        <f>Main!C53</f>
        <v>Society</v>
      </c>
      <c r="D53" s="15">
        <v>0.3</v>
      </c>
      <c r="F53" s="99">
        <f>$D53-vlookup(Summary!$C53,Summary!$C$2:$Q$103,3+counta($F$1:F$1),false)</f>
        <v>-0.3</v>
      </c>
      <c r="G53" s="99">
        <f>$D53-vlookup(Summary!$C53,Summary!$C$2:$Q$103,3+counta($F$1:G$1),false)</f>
        <v>0.1</v>
      </c>
      <c r="H53" s="99">
        <f>$D53-vlookup(Summary!$C53,Summary!$C$2:$Q$103,3+counta($F$1:H$1),false)</f>
        <v>0</v>
      </c>
      <c r="I53" s="99">
        <f>$D53-vlookup(Summary!$C53,Summary!$C$2:$Q$103,3+counta($F$1:I$1),false)</f>
        <v>-0.2</v>
      </c>
      <c r="J53" s="99">
        <f>$D53-vlookup(Summary!$C53,Summary!$C$2:$Q$103,3+counta($F$1:J$1),false)</f>
        <v>-0.6</v>
      </c>
      <c r="K53" s="99">
        <f>$D53-vlookup(Summary!$C53,Summary!$C$2:$Q$103,3+counta($F$1:K$1),false)</f>
        <v>-0.5</v>
      </c>
      <c r="L53" s="99">
        <f>$D53-vlookup(Summary!$C53,Summary!$C$2:$Q$103,3+counta($F$1:L$1),false)</f>
        <v>-0.2</v>
      </c>
      <c r="M53" s="99">
        <f>$D53-vlookup(Summary!$C53,Summary!$C$2:$Q$103,3+counta($F$1:M$1),false)</f>
        <v>0</v>
      </c>
      <c r="N53" s="99">
        <f>$D53-vlookup(Summary!$C53,Summary!$C$2:$Q$103,3+counta($F$1:N$1),false)</f>
        <v>0.2</v>
      </c>
      <c r="O53" s="99">
        <f>$D53-vlookup(Summary!$C53,Summary!$C$2:$Q$103,3+counta($F$1:O$1),false)</f>
        <v>-0.05</v>
      </c>
      <c r="P53" s="99">
        <f>$D53-vlookup(Summary!$C53,Summary!$C$2:$Q$103,3+counta($F$1:P$1),false)</f>
        <v>-0.2</v>
      </c>
      <c r="Q53" s="99">
        <f>$D53-vlookup(Summary!$C53,Summary!$C$2:$Q$103,3+counta($F$1:Q$1),false)</f>
        <v>0.1</v>
      </c>
    </row>
    <row r="54" ht="15.75" customHeight="1">
      <c r="A54" s="15">
        <f>Main!A54</f>
        <v>53</v>
      </c>
      <c r="B54" s="15" t="str">
        <f>Main!B54</f>
        <v>The 4th most popular baby name for girls in Australia will be Isla according to the NSW Government popular baby names site</v>
      </c>
      <c r="C54" s="15" t="str">
        <f>Main!C54</f>
        <v>Society</v>
      </c>
      <c r="D54" s="15">
        <v>0.5</v>
      </c>
      <c r="F54" s="99">
        <f>$D54-vlookup(Summary!$C54,Summary!$C$2:$Q$103,3+counta($F$1:F$1),false)</f>
        <v>0.15</v>
      </c>
      <c r="G54" s="99">
        <f>$D54-vlookup(Summary!$C54,Summary!$C$2:$Q$103,3+counta($F$1:G$1),false)</f>
        <v>0.1</v>
      </c>
      <c r="H54" s="99">
        <f>$D54-vlookup(Summary!$C54,Summary!$C$2:$Q$103,3+counta($F$1:H$1),false)</f>
        <v>0</v>
      </c>
      <c r="I54" s="99">
        <f>$D54-vlookup(Summary!$C54,Summary!$C$2:$Q$103,3+counta($F$1:I$1),false)</f>
        <v>0.4</v>
      </c>
      <c r="J54" s="99">
        <f>$D54-vlookup(Summary!$C54,Summary!$C$2:$Q$103,3+counta($F$1:J$1),false)</f>
        <v>-0.3</v>
      </c>
      <c r="K54" s="99">
        <f>$D54-vlookup(Summary!$C54,Summary!$C$2:$Q$103,3+counta($F$1:K$1),false)</f>
        <v>-0.4</v>
      </c>
      <c r="L54" s="99">
        <f>$D54-vlookup(Summary!$C54,Summary!$C$2:$Q$103,3+counta($F$1:L$1),false)</f>
        <v>0.3</v>
      </c>
      <c r="M54" s="99">
        <f>$D54-vlookup(Summary!$C54,Summary!$C$2:$Q$103,3+counta($F$1:M$1),false)</f>
        <v>0</v>
      </c>
      <c r="N54" s="99">
        <f>$D54-vlookup(Summary!$C54,Summary!$C$2:$Q$103,3+counta($F$1:N$1),false)</f>
        <v>-0.4</v>
      </c>
      <c r="O54" s="99">
        <f>$D54-vlookup(Summary!$C54,Summary!$C$2:$Q$103,3+counta($F$1:O$1),false)</f>
        <v>0.15</v>
      </c>
      <c r="P54" s="99">
        <f>$D54-vlookup(Summary!$C54,Summary!$C$2:$Q$103,3+counta($F$1:P$1),false)</f>
        <v>0.4</v>
      </c>
      <c r="Q54" s="99">
        <f>$D54-vlookup(Summary!$C54,Summary!$C$2:$Q$103,3+counta($F$1:Q$1),false)</f>
        <v>-0.3</v>
      </c>
    </row>
    <row r="55" ht="15.75" customHeight="1">
      <c r="A55" s="15">
        <f>Main!A55</f>
        <v>54</v>
      </c>
      <c r="B55" s="15" t="str">
        <f>Main!B55</f>
        <v>The 4th most popular baby name for boys in Australia will be Leo according to the NSW Government popular baby names site</v>
      </c>
      <c r="C55" s="15" t="str">
        <f>Main!C55</f>
        <v>Society</v>
      </c>
      <c r="D55" s="15">
        <v>0.5</v>
      </c>
      <c r="F55" s="99">
        <f>$D55-vlookup(Summary!$C55,Summary!$C$2:$Q$103,3+counta($F$1:F$1),false)</f>
        <v>0.15</v>
      </c>
      <c r="G55" s="99">
        <f>$D55-vlookup(Summary!$C55,Summary!$C$2:$Q$103,3+counta($F$1:G$1),false)</f>
        <v>0.1</v>
      </c>
      <c r="H55" s="99">
        <f>$D55-vlookup(Summary!$C55,Summary!$C$2:$Q$103,3+counta($F$1:H$1),false)</f>
        <v>0</v>
      </c>
      <c r="I55" s="99">
        <f>$D55-vlookup(Summary!$C55,Summary!$C$2:$Q$103,3+counta($F$1:I$1),false)</f>
        <v>0.4</v>
      </c>
      <c r="J55" s="99">
        <f>$D55-vlookup(Summary!$C55,Summary!$C$2:$Q$103,3+counta($F$1:J$1),false)</f>
        <v>-0.2</v>
      </c>
      <c r="K55" s="99">
        <f>$D55-vlookup(Summary!$C55,Summary!$C$2:$Q$103,3+counta($F$1:K$1),false)</f>
        <v>-0.4</v>
      </c>
      <c r="L55" s="99">
        <f>$D55-vlookup(Summary!$C55,Summary!$C$2:$Q$103,3+counta($F$1:L$1),false)</f>
        <v>0.3</v>
      </c>
      <c r="M55" s="99">
        <f>$D55-vlookup(Summary!$C55,Summary!$C$2:$Q$103,3+counta($F$1:M$1),false)</f>
        <v>0</v>
      </c>
      <c r="N55" s="99">
        <f>$D55-vlookup(Summary!$C55,Summary!$C$2:$Q$103,3+counta($F$1:N$1),false)</f>
        <v>0.3</v>
      </c>
      <c r="O55" s="99">
        <f>$D55-vlookup(Summary!$C55,Summary!$C$2:$Q$103,3+counta($F$1:O$1),false)</f>
        <v>0.15</v>
      </c>
      <c r="P55" s="99">
        <f>$D55-vlookup(Summary!$C55,Summary!$C$2:$Q$103,3+counta($F$1:P$1),false)</f>
        <v>0.4</v>
      </c>
      <c r="Q55" s="99">
        <f>$D55-vlookup(Summary!$C55,Summary!$C$2:$Q$103,3+counta($F$1:Q$1),false)</f>
        <v>0.3</v>
      </c>
    </row>
    <row r="56" ht="15.75" customHeight="1">
      <c r="A56" s="15">
        <f>Main!A56</f>
        <v>55</v>
      </c>
      <c r="B56" s="15" t="str">
        <f>Main!B56</f>
        <v>A statue in Australia will be removed because of negative associations with its history or colonial ties.</v>
      </c>
      <c r="C56" s="15" t="str">
        <f>Main!C56</f>
        <v>Society</v>
      </c>
      <c r="D56" s="15">
        <v>0.8</v>
      </c>
      <c r="F56" s="99">
        <f>$D56-vlookup(Summary!$C56,Summary!$C$2:$Q$103,3+counta($F$1:F$1),false)</f>
        <v>0.6</v>
      </c>
      <c r="G56" s="99">
        <f>$D56-vlookup(Summary!$C56,Summary!$C$2:$Q$103,3+counta($F$1:G$1),false)</f>
        <v>-0.1</v>
      </c>
      <c r="H56" s="99">
        <f>$D56-vlookup(Summary!$C56,Summary!$C$2:$Q$103,3+counta($F$1:H$1),false)</f>
        <v>0</v>
      </c>
      <c r="I56" s="99">
        <f>$D56-vlookup(Summary!$C56,Summary!$C$2:$Q$103,3+counta($F$1:I$1),false)</f>
        <v>0.6</v>
      </c>
      <c r="J56" s="99">
        <f>$D56-vlookup(Summary!$C56,Summary!$C$2:$Q$103,3+counta($F$1:J$1),false)</f>
        <v>0</v>
      </c>
      <c r="K56" s="99">
        <f>$D56-vlookup(Summary!$C56,Summary!$C$2:$Q$103,3+counta($F$1:K$1),false)</f>
        <v>0.2</v>
      </c>
      <c r="L56" s="99">
        <f>$D56-vlookup(Summary!$C56,Summary!$C$2:$Q$103,3+counta($F$1:L$1),false)</f>
        <v>0.4</v>
      </c>
      <c r="M56" s="99">
        <f>$D56-vlookup(Summary!$C56,Summary!$C$2:$Q$103,3+counta($F$1:M$1),false)</f>
        <v>0</v>
      </c>
      <c r="N56" s="99">
        <f>$D56-vlookup(Summary!$C56,Summary!$C$2:$Q$103,3+counta($F$1:N$1),false)</f>
        <v>0.7</v>
      </c>
      <c r="O56" s="99">
        <f>$D56-vlookup(Summary!$C56,Summary!$C$2:$Q$103,3+counta($F$1:O$1),false)</f>
        <v>0.65</v>
      </c>
      <c r="P56" s="99">
        <f>$D56-vlookup(Summary!$C56,Summary!$C$2:$Q$103,3+counta($F$1:P$1),false)</f>
        <v>0.1</v>
      </c>
      <c r="Q56" s="99">
        <f>$D56-vlookup(Summary!$C56,Summary!$C$2:$Q$103,3+counta($F$1:Q$1),false)</f>
        <v>0.2</v>
      </c>
    </row>
    <row r="57" ht="15.75" customHeight="1">
      <c r="A57" s="15">
        <f>Main!A57</f>
        <v>56</v>
      </c>
      <c r="B57" s="15" t="str">
        <f>Main!B57</f>
        <v>Dave Chapelle’s special ‘The Closer’ will be available to watch on Netflix (Aus or US)</v>
      </c>
      <c r="C57" s="15" t="str">
        <f>Main!C57</f>
        <v>Society</v>
      </c>
      <c r="D57" s="15">
        <v>0.5</v>
      </c>
      <c r="F57" s="99">
        <f>$D57-vlookup(Summary!$C57,Summary!$C$2:$Q$103,3+counta($F$1:F$1),false)</f>
        <v>-0.3</v>
      </c>
      <c r="G57" s="99">
        <f>$D57-vlookup(Summary!$C57,Summary!$C$2:$Q$103,3+counta($F$1:G$1),false)</f>
        <v>-0.1</v>
      </c>
      <c r="H57" s="99">
        <f>$D57-vlookup(Summary!$C57,Summary!$C$2:$Q$103,3+counta($F$1:H$1),false)</f>
        <v>0</v>
      </c>
      <c r="I57" s="99">
        <f>$D57-vlookup(Summary!$C57,Summary!$C$2:$Q$103,3+counta($F$1:I$1),false)</f>
        <v>-0.3</v>
      </c>
      <c r="J57" s="99">
        <f>$D57-vlookup(Summary!$C57,Summary!$C$2:$Q$103,3+counta($F$1:J$1),false)</f>
        <v>-0.1</v>
      </c>
      <c r="K57" s="99">
        <f>$D57-vlookup(Summary!$C57,Summary!$C$2:$Q$103,3+counta($F$1:K$1),false)</f>
        <v>0</v>
      </c>
      <c r="L57" s="99">
        <f>$D57-vlookup(Summary!$C57,Summary!$C$2:$Q$103,3+counta($F$1:L$1),false)</f>
        <v>-0.1</v>
      </c>
      <c r="M57" s="99">
        <f>$D57-vlookup(Summary!$C57,Summary!$C$2:$Q$103,3+counta($F$1:M$1),false)</f>
        <v>0</v>
      </c>
      <c r="N57" s="99">
        <f>$D57-vlookup(Summary!$C57,Summary!$C$2:$Q$103,3+counta($F$1:N$1),false)</f>
        <v>0.3</v>
      </c>
      <c r="O57" s="99">
        <f>$D57-vlookup(Summary!$C57,Summary!$C$2:$Q$103,3+counta($F$1:O$1),false)</f>
        <v>-0.499</v>
      </c>
      <c r="P57" s="99">
        <f>$D57-vlookup(Summary!$C57,Summary!$C$2:$Q$103,3+counta($F$1:P$1),false)</f>
        <v>0</v>
      </c>
      <c r="Q57" s="99">
        <f>$D57-vlookup(Summary!$C57,Summary!$C$2:$Q$103,3+counta($F$1:Q$1),false)</f>
        <v>0</v>
      </c>
    </row>
    <row r="58" ht="15.75" customHeight="1">
      <c r="A58" s="15">
        <f>Main!A58</f>
        <v>57</v>
      </c>
      <c r="B58" s="15" t="str">
        <f>Main!B58</f>
        <v>An actor in a Disney film or TV show will have their contract ‘cancelled’ due to social pressure related to a social media post or opinion they have expressed publicly.</v>
      </c>
      <c r="C58" s="15" t="str">
        <f>Main!C58</f>
        <v>Society</v>
      </c>
      <c r="D58" s="15">
        <v>0.6</v>
      </c>
      <c r="F58" s="99">
        <f>$D58-vlookup(Summary!$C58,Summary!$C$2:$Q$103,3+counta($F$1:F$1),false)</f>
        <v>-0.1</v>
      </c>
      <c r="G58" s="99">
        <f>$D58-vlookup(Summary!$C58,Summary!$C$2:$Q$103,3+counta($F$1:G$1),false)</f>
        <v>0.2</v>
      </c>
      <c r="H58" s="99">
        <f>$D58-vlookup(Summary!$C58,Summary!$C$2:$Q$103,3+counta($F$1:H$1),false)</f>
        <v>0</v>
      </c>
      <c r="I58" s="99">
        <f>$D58-vlookup(Summary!$C58,Summary!$C$2:$Q$103,3+counta($F$1:I$1),false)</f>
        <v>-0.2</v>
      </c>
      <c r="J58" s="99">
        <f>$D58-vlookup(Summary!$C58,Summary!$C$2:$Q$103,3+counta($F$1:J$1),false)</f>
        <v>-0.2</v>
      </c>
      <c r="K58" s="99">
        <f>$D58-vlookup(Summary!$C58,Summary!$C$2:$Q$103,3+counta($F$1:K$1),false)</f>
        <v>-0.1</v>
      </c>
      <c r="L58" s="99">
        <f>$D58-vlookup(Summary!$C58,Summary!$C$2:$Q$103,3+counta($F$1:L$1),false)</f>
        <v>0.1</v>
      </c>
      <c r="M58" s="99">
        <f>$D58-vlookup(Summary!$C58,Summary!$C$2:$Q$103,3+counta($F$1:M$1),false)</f>
        <v>0</v>
      </c>
      <c r="N58" s="99">
        <f>$D58-vlookup(Summary!$C58,Summary!$C$2:$Q$103,3+counta($F$1:N$1),false)</f>
        <v>-0.2</v>
      </c>
      <c r="O58" s="99">
        <f>$D58-vlookup(Summary!$C58,Summary!$C$2:$Q$103,3+counta($F$1:O$1),false)</f>
        <v>-0.05</v>
      </c>
      <c r="P58" s="99">
        <f>$D58-vlookup(Summary!$C58,Summary!$C$2:$Q$103,3+counta($F$1:P$1),false)</f>
        <v>0.1</v>
      </c>
      <c r="Q58" s="99">
        <f>$D58-vlookup(Summary!$C58,Summary!$C$2:$Q$103,3+counta($F$1:Q$1),false)</f>
        <v>0.2</v>
      </c>
    </row>
    <row r="59" ht="15.75" customHeight="1">
      <c r="A59" s="15">
        <f>Main!A59</f>
        <v>58</v>
      </c>
      <c r="B59" s="15" t="str">
        <f>Main!B59</f>
        <v>An Australian company or department will mandate the inclusion or visibility of preferred gender pronouns, whether through an HR directory or email signatures.</v>
      </c>
      <c r="C59" s="15" t="str">
        <f>Main!C59</f>
        <v>Society</v>
      </c>
      <c r="D59" s="15">
        <v>0.6</v>
      </c>
      <c r="F59" s="99">
        <f>$D59-vlookup(Summary!$C59,Summary!$C$2:$Q$103,3+counta($F$1:F$1),false)</f>
        <v>-0.05</v>
      </c>
      <c r="G59" s="99">
        <f>$D59-vlookup(Summary!$C59,Summary!$C$2:$Q$103,3+counta($F$1:G$1),false)</f>
        <v>-0.35</v>
      </c>
      <c r="H59" s="99">
        <f>$D59-vlookup(Summary!$C59,Summary!$C$2:$Q$103,3+counta($F$1:H$1),false)</f>
        <v>0</v>
      </c>
      <c r="I59" s="99">
        <f>$D59-vlookup(Summary!$C59,Summary!$C$2:$Q$103,3+counta($F$1:I$1),false)</f>
        <v>-0.2</v>
      </c>
      <c r="J59" s="99">
        <f>$D59-vlookup(Summary!$C59,Summary!$C$2:$Q$103,3+counta($F$1:J$1),false)</f>
        <v>0.1</v>
      </c>
      <c r="K59" s="99">
        <f>$D59-vlookup(Summary!$C59,Summary!$C$2:$Q$103,3+counta($F$1:K$1),false)</f>
        <v>-0.15</v>
      </c>
      <c r="L59" s="99">
        <f>$D59-vlookup(Summary!$C59,Summary!$C$2:$Q$103,3+counta($F$1:L$1),false)</f>
        <v>0.1</v>
      </c>
      <c r="M59" s="99">
        <f>$D59-vlookup(Summary!$C59,Summary!$C$2:$Q$103,3+counta($F$1:M$1),false)</f>
        <v>0</v>
      </c>
      <c r="N59" s="99">
        <f>$D59-vlookup(Summary!$C59,Summary!$C$2:$Q$103,3+counta($F$1:N$1),false)</f>
        <v>-0.2</v>
      </c>
      <c r="O59" s="99">
        <f>$D59-vlookup(Summary!$C59,Summary!$C$2:$Q$103,3+counta($F$1:O$1),false)</f>
        <v>0.25</v>
      </c>
      <c r="P59" s="99">
        <f>$D59-vlookup(Summary!$C59,Summary!$C$2:$Q$103,3+counta($F$1:P$1),false)</f>
        <v>0.1</v>
      </c>
      <c r="Q59" s="99">
        <f>$D59-vlookup(Summary!$C59,Summary!$C$2:$Q$103,3+counta($F$1:Q$1),false)</f>
        <v>0.2</v>
      </c>
    </row>
    <row r="60" ht="15.75" customHeight="1">
      <c r="A60" s="15">
        <f>Main!A60</f>
        <v>59</v>
      </c>
      <c r="B60" s="15" t="str">
        <f>Main!B60</f>
        <v>More than 30% of Australians will have been born overseas (currently 29.8%)</v>
      </c>
      <c r="C60" s="15" t="str">
        <f>Main!C60</f>
        <v>Society</v>
      </c>
      <c r="D60" s="15">
        <v>0.1</v>
      </c>
      <c r="F60" s="99">
        <f>$D60-vlookup(Summary!$C60,Summary!$C$2:$Q$103,3+counta($F$1:F$1),false)</f>
        <v>-0.1</v>
      </c>
      <c r="G60" s="99">
        <f>$D60-vlookup(Summary!$C60,Summary!$C$2:$Q$103,3+counta($F$1:G$1),false)</f>
        <v>-0.5</v>
      </c>
      <c r="H60" s="99">
        <f>$D60-vlookup(Summary!$C60,Summary!$C$2:$Q$103,3+counta($F$1:H$1),false)</f>
        <v>0</v>
      </c>
      <c r="I60" s="99">
        <f>$D60-vlookup(Summary!$C60,Summary!$C$2:$Q$103,3+counta($F$1:I$1),false)</f>
        <v>-0.5</v>
      </c>
      <c r="J60" s="99">
        <f>$D60-vlookup(Summary!$C60,Summary!$C$2:$Q$103,3+counta($F$1:J$1),false)</f>
        <v>-0.8</v>
      </c>
      <c r="K60" s="99">
        <f>$D60-vlookup(Summary!$C60,Summary!$C$2:$Q$103,3+counta($F$1:K$1),false)</f>
        <v>-0.8</v>
      </c>
      <c r="L60" s="99">
        <f>$D60-vlookup(Summary!$C60,Summary!$C$2:$Q$103,3+counta($F$1:L$1),false)</f>
        <v>-0.2</v>
      </c>
      <c r="M60" s="99">
        <f>$D60-vlookup(Summary!$C60,Summary!$C$2:$Q$103,3+counta($F$1:M$1),false)</f>
        <v>0</v>
      </c>
      <c r="N60" s="99">
        <f>$D60-vlookup(Summary!$C60,Summary!$C$2:$Q$103,3+counta($F$1:N$1),false)</f>
        <v>-0.1</v>
      </c>
      <c r="O60" s="99">
        <f>$D60-vlookup(Summary!$C60,Summary!$C$2:$Q$103,3+counta($F$1:O$1),false)</f>
        <v>-0.55</v>
      </c>
      <c r="P60" s="99">
        <f>$D60-vlookup(Summary!$C60,Summary!$C$2:$Q$103,3+counta($F$1:P$1),false)</f>
        <v>0</v>
      </c>
      <c r="Q60" s="99">
        <f>$D60-vlookup(Summary!$C60,Summary!$C$2:$Q$103,3+counta($F$1:Q$1),false)</f>
        <v>-0.45</v>
      </c>
    </row>
    <row r="61" ht="15.75" customHeight="1">
      <c r="A61" s="15">
        <f>Main!A61</f>
        <v>60</v>
      </c>
      <c r="B61" s="15" t="str">
        <f>Main!B61</f>
        <v>LGBTIQ+ will be the acronym in widespread usage throughout Australia, as determined by the definition from LGBTIQ+ Health Australia (the peak body org for health and research related to that community)</v>
      </c>
      <c r="C61" s="15" t="str">
        <f>Main!C61</f>
        <v>Society</v>
      </c>
      <c r="D61" s="15">
        <v>0.5</v>
      </c>
      <c r="F61" s="99">
        <f>$D61-vlookup(Summary!$C61,Summary!$C$2:$Q$103,3+counta($F$1:F$1),false)</f>
        <v>0.05</v>
      </c>
      <c r="G61" s="99">
        <f>$D61-vlookup(Summary!$C61,Summary!$C$2:$Q$103,3+counta($F$1:G$1),false)</f>
        <v>-0.2</v>
      </c>
      <c r="H61" s="99">
        <f>$D61-vlookup(Summary!$C61,Summary!$C$2:$Q$103,3+counta($F$1:H$1),false)</f>
        <v>0</v>
      </c>
      <c r="I61" s="99">
        <f>$D61-vlookup(Summary!$C61,Summary!$C$2:$Q$103,3+counta($F$1:I$1),false)</f>
        <v>-0.2</v>
      </c>
      <c r="J61" s="99">
        <f>$D61-vlookup(Summary!$C61,Summary!$C$2:$Q$103,3+counta($F$1:J$1),false)</f>
        <v>-0.2</v>
      </c>
      <c r="K61" s="99">
        <f>$D61-vlookup(Summary!$C61,Summary!$C$2:$Q$103,3+counta($F$1:K$1),false)</f>
        <v>-0.25</v>
      </c>
      <c r="L61" s="99">
        <f>$D61-vlookup(Summary!$C61,Summary!$C$2:$Q$103,3+counta($F$1:L$1),false)</f>
        <v>-0.4</v>
      </c>
      <c r="M61" s="99">
        <f>$D61-vlookup(Summary!$C61,Summary!$C$2:$Q$103,3+counta($F$1:M$1),false)</f>
        <v>0</v>
      </c>
      <c r="N61" s="99">
        <f>$D61-vlookup(Summary!$C61,Summary!$C$2:$Q$103,3+counta($F$1:N$1),false)</f>
        <v>0.3</v>
      </c>
      <c r="O61" s="99">
        <f>$D61-vlookup(Summary!$C61,Summary!$C$2:$Q$103,3+counta($F$1:O$1),false)</f>
        <v>-0.499</v>
      </c>
      <c r="P61" s="99">
        <f>$D61-vlookup(Summary!$C61,Summary!$C$2:$Q$103,3+counta($F$1:P$1),false)</f>
        <v>0</v>
      </c>
      <c r="Q61" s="99">
        <f>$D61-vlookup(Summary!$C61,Summary!$C$2:$Q$103,3+counta($F$1:Q$1),false)</f>
        <v>0.2</v>
      </c>
    </row>
    <row r="62" ht="15.75" customHeight="1">
      <c r="A62" s="15">
        <f>Main!A62</f>
        <v>61</v>
      </c>
      <c r="B62" s="15" t="str">
        <f>Main!B62</f>
        <v>The meat industry in Australia and/or the US will succeed in controlling the use of ‘meat terms’ (meat, beef etc.) for non-animal protein products</v>
      </c>
      <c r="C62" s="15" t="str">
        <f>Main!C62</f>
        <v>Society</v>
      </c>
      <c r="D62" s="15">
        <v>0.2</v>
      </c>
      <c r="F62" s="99">
        <f>$D62-vlookup(Summary!$C62,Summary!$C$2:$Q$103,3+counta($F$1:F$1),false)</f>
        <v>-0.15</v>
      </c>
      <c r="G62" s="99">
        <f>$D62-vlookup(Summary!$C62,Summary!$C$2:$Q$103,3+counta($F$1:G$1),false)</f>
        <v>-0.4</v>
      </c>
      <c r="H62" s="99">
        <f>$D62-vlookup(Summary!$C62,Summary!$C$2:$Q$103,3+counta($F$1:H$1),false)</f>
        <v>0</v>
      </c>
      <c r="I62" s="99">
        <f>$D62-vlookup(Summary!$C62,Summary!$C$2:$Q$103,3+counta($F$1:I$1),false)</f>
        <v>-0.4</v>
      </c>
      <c r="J62" s="99">
        <f>$D62-vlookup(Summary!$C62,Summary!$C$2:$Q$103,3+counta($F$1:J$1),false)</f>
        <v>-0.6</v>
      </c>
      <c r="K62" s="99">
        <f>$D62-vlookup(Summary!$C62,Summary!$C$2:$Q$103,3+counta($F$1:K$1),false)</f>
        <v>-0.54</v>
      </c>
      <c r="L62" s="99">
        <f>$D62-vlookup(Summary!$C62,Summary!$C$2:$Q$103,3+counta($F$1:L$1),false)</f>
        <v>0.1</v>
      </c>
      <c r="M62" s="99">
        <f>$D62-vlookup(Summary!$C62,Summary!$C$2:$Q$103,3+counta($F$1:M$1),false)</f>
        <v>0</v>
      </c>
      <c r="N62" s="99">
        <f>$D62-vlookup(Summary!$C62,Summary!$C$2:$Q$103,3+counta($F$1:N$1),false)</f>
        <v>0.1</v>
      </c>
      <c r="O62" s="99">
        <f>$D62-vlookup(Summary!$C62,Summary!$C$2:$Q$103,3+counta($F$1:O$1),false)</f>
        <v>-0.799</v>
      </c>
      <c r="P62" s="99">
        <f>$D62-vlookup(Summary!$C62,Summary!$C$2:$Q$103,3+counta($F$1:P$1),false)</f>
        <v>-0.6</v>
      </c>
      <c r="Q62" s="99">
        <f>$D62-vlookup(Summary!$C62,Summary!$C$2:$Q$103,3+counta($F$1:Q$1),false)</f>
        <v>-0.3</v>
      </c>
    </row>
    <row r="63" ht="15.75" customHeight="1">
      <c r="A63" s="15">
        <f>Main!A63</f>
        <v>62</v>
      </c>
      <c r="B63" s="15" t="str">
        <f>Main!B63</f>
        <v>The median house price in Canberra will be over $1,200,000 (currently $1,015,833)</v>
      </c>
      <c r="C63" s="15" t="str">
        <f>Main!C63</f>
        <v>Society</v>
      </c>
      <c r="D63" s="15">
        <v>0.2</v>
      </c>
      <c r="F63" s="99">
        <f>$D63-vlookup(Summary!$C63,Summary!$C$2:$Q$103,3+counta($F$1:F$1),false)</f>
        <v>-0.5</v>
      </c>
      <c r="G63" s="99">
        <f>$D63-vlookup(Summary!$C63,Summary!$C$2:$Q$103,3+counta($F$1:G$1),false)</f>
        <v>0</v>
      </c>
      <c r="H63" s="99">
        <f>$D63-vlookup(Summary!$C63,Summary!$C$2:$Q$103,3+counta($F$1:H$1),false)</f>
        <v>0</v>
      </c>
      <c r="I63" s="99">
        <f>$D63-vlookup(Summary!$C63,Summary!$C$2:$Q$103,3+counta($F$1:I$1),false)</f>
        <v>-0.6</v>
      </c>
      <c r="J63" s="99">
        <f>$D63-vlookup(Summary!$C63,Summary!$C$2:$Q$103,3+counta($F$1:J$1),false)</f>
        <v>-0.6</v>
      </c>
      <c r="K63" s="99">
        <f>$D63-vlookup(Summary!$C63,Summary!$C$2:$Q$103,3+counta($F$1:K$1),false)</f>
        <v>-0.6</v>
      </c>
      <c r="L63" s="99">
        <f>$D63-vlookup(Summary!$C63,Summary!$C$2:$Q$103,3+counta($F$1:L$1),false)</f>
        <v>-0.79999</v>
      </c>
      <c r="M63" s="99">
        <f>$D63-vlookup(Summary!$C63,Summary!$C$2:$Q$103,3+counta($F$1:M$1),false)</f>
        <v>0</v>
      </c>
      <c r="N63" s="99">
        <f>$D63-vlookup(Summary!$C63,Summary!$C$2:$Q$103,3+counta($F$1:N$1),false)</f>
        <v>-0.7</v>
      </c>
      <c r="O63" s="99">
        <f>$D63-vlookup(Summary!$C63,Summary!$C$2:$Q$103,3+counta($F$1:O$1),false)</f>
        <v>0.05</v>
      </c>
      <c r="P63" s="99">
        <f>$D63-vlookup(Summary!$C63,Summary!$C$2:$Q$103,3+counta($F$1:P$1),false)</f>
        <v>-0.4</v>
      </c>
      <c r="Q63" s="99">
        <f>$D63-vlookup(Summary!$C63,Summary!$C$2:$Q$103,3+counta($F$1:Q$1),false)</f>
        <v>-0.25</v>
      </c>
    </row>
    <row r="64" ht="15.75" customHeight="1">
      <c r="A64" s="15">
        <f>Main!A64</f>
        <v>63</v>
      </c>
      <c r="B64" s="15" t="str">
        <f>Main!B64</f>
        <v>An artist or band on the Rock and Roll Hall of Fame has a performance using digital avatar (source https://en.wikipedia.org/wiki/List_of_Rock_and_Roll_Hall_of_Fame_inductees)</v>
      </c>
      <c r="C64" s="15" t="str">
        <f>Main!C64</f>
        <v>Society</v>
      </c>
      <c r="D64" s="15">
        <v>0.7</v>
      </c>
      <c r="F64" s="99">
        <f>$D64-vlookup(Summary!$C64,Summary!$C$2:$Q$103,3+counta($F$1:F$1),false)</f>
        <v>0.3</v>
      </c>
      <c r="G64" s="99">
        <f>$D64-vlookup(Summary!$C64,Summary!$C$2:$Q$103,3+counta($F$1:G$1),false)</f>
        <v>0.1</v>
      </c>
      <c r="H64" s="99">
        <f>$D64-vlookup(Summary!$C64,Summary!$C$2:$Q$103,3+counta($F$1:H$1),false)</f>
        <v>0</v>
      </c>
      <c r="I64" s="99">
        <f>$D64-vlookup(Summary!$C64,Summary!$C$2:$Q$103,3+counta($F$1:I$1),false)</f>
        <v>0.4</v>
      </c>
      <c r="J64" s="99">
        <f>$D64-vlookup(Summary!$C64,Summary!$C$2:$Q$103,3+counta($F$1:J$1),false)</f>
        <v>0.2</v>
      </c>
      <c r="K64" s="99">
        <f>$D64-vlookup(Summary!$C64,Summary!$C$2:$Q$103,3+counta($F$1:K$1),false)</f>
        <v>0.1</v>
      </c>
      <c r="L64" s="99">
        <f>$D64-vlookup(Summary!$C64,Summary!$C$2:$Q$103,3+counta($F$1:L$1),false)</f>
        <v>0.1</v>
      </c>
      <c r="M64" s="99">
        <f>$D64-vlookup(Summary!$C64,Summary!$C$2:$Q$103,3+counta($F$1:M$1),false)</f>
        <v>0</v>
      </c>
      <c r="N64" s="99">
        <f>$D64-vlookup(Summary!$C64,Summary!$C$2:$Q$103,3+counta($F$1:N$1),false)</f>
        <v>0.5</v>
      </c>
      <c r="O64" s="99">
        <f>$D64-vlookup(Summary!$C64,Summary!$C$2:$Q$103,3+counta($F$1:O$1),false)</f>
        <v>0.55</v>
      </c>
      <c r="P64" s="99">
        <f>$D64-vlookup(Summary!$C64,Summary!$C$2:$Q$103,3+counta($F$1:P$1),false)</f>
        <v>0.6</v>
      </c>
      <c r="Q64" s="99">
        <f>$D64-vlookup(Summary!$C64,Summary!$C$2:$Q$103,3+counta($F$1:Q$1),false)</f>
        <v>0.2</v>
      </c>
    </row>
    <row r="65" ht="15.75" customHeight="1">
      <c r="A65" s="15">
        <f>Main!A65</f>
        <v>64</v>
      </c>
      <c r="B65" s="15" t="str">
        <f>Main!B65</f>
        <v>No Australian tennis player will win a senior Championship event at the Australian Open in 2022</v>
      </c>
      <c r="C65" s="15" t="str">
        <f>Main!C65</f>
        <v>Sport</v>
      </c>
      <c r="D65" s="15">
        <v>0.0</v>
      </c>
      <c r="F65" s="99">
        <f>$D65-vlookup(Summary!$C65,Summary!$C$2:$Q$103,3+counta($F$1:F$1),false)</f>
        <v>0</v>
      </c>
      <c r="G65" s="99">
        <f>$D65-vlookup(Summary!$C65,Summary!$C$2:$Q$103,3+counta($F$1:G$1),false)</f>
        <v>0</v>
      </c>
      <c r="H65" s="99">
        <f>$D65-vlookup(Summary!$C65,Summary!$C$2:$Q$103,3+counta($F$1:H$1),false)</f>
        <v>0</v>
      </c>
      <c r="I65" s="99">
        <f>$D65-vlookup(Summary!$C65,Summary!$C$2:$Q$103,3+counta($F$1:I$1),false)</f>
        <v>0</v>
      </c>
      <c r="J65" s="99">
        <f>$D65-vlookup(Summary!$C65,Summary!$C$2:$Q$103,3+counta($F$1:J$1),false)</f>
        <v>-0.6</v>
      </c>
      <c r="K65" s="99">
        <f>$D65-vlookup(Summary!$C65,Summary!$C$2:$Q$103,3+counta($F$1:K$1),false)</f>
        <v>0</v>
      </c>
      <c r="L65" s="99">
        <f>$D65-vlookup(Summary!$C65,Summary!$C$2:$Q$103,3+counta($F$1:L$1),false)</f>
        <v>0</v>
      </c>
      <c r="M65" s="99">
        <f>$D65-vlookup(Summary!$C65,Summary!$C$2:$Q$103,3+counta($F$1:M$1),false)</f>
        <v>0</v>
      </c>
      <c r="N65" s="99">
        <f>$D65-vlookup(Summary!$C65,Summary!$C$2:$Q$103,3+counta($F$1:N$1),false)</f>
        <v>-0.1</v>
      </c>
      <c r="O65" s="99">
        <f>$D65-vlookup(Summary!$C65,Summary!$C$2:$Q$103,3+counta($F$1:O$1),false)</f>
        <v>0</v>
      </c>
      <c r="P65" s="99">
        <f>$D65-vlookup(Summary!$C65,Summary!$C$2:$Q$103,3+counta($F$1:P$1),false)</f>
        <v>-0.5</v>
      </c>
      <c r="Q65" s="99">
        <f>$D65-vlookup(Summary!$C65,Summary!$C$2:$Q$103,3+counta($F$1:Q$1),false)</f>
        <v>-0.2</v>
      </c>
    </row>
    <row r="66" ht="15.75" customHeight="1">
      <c r="A66" s="15">
        <f>Main!A66</f>
        <v>65</v>
      </c>
      <c r="B66" s="15" t="str">
        <f>Main!B66</f>
        <v>Daniel Ricciardo will win the Australian GP in 2022.</v>
      </c>
      <c r="C66" s="15" t="str">
        <f>Main!C66</f>
        <v>Sport</v>
      </c>
      <c r="D66" s="15">
        <v>0.5</v>
      </c>
      <c r="F66" s="99">
        <f>$D66-vlookup(Summary!$C66,Summary!$C$2:$Q$103,3+counta($F$1:F$1),false)</f>
        <v>0</v>
      </c>
      <c r="G66" s="99">
        <f>$D66-vlookup(Summary!$C66,Summary!$C$2:$Q$103,3+counta($F$1:G$1),false)</f>
        <v>0.4</v>
      </c>
      <c r="H66" s="99">
        <f>$D66-vlookup(Summary!$C66,Summary!$C$2:$Q$103,3+counta($F$1:H$1),false)</f>
        <v>0</v>
      </c>
      <c r="I66" s="99">
        <f>$D66-vlookup(Summary!$C66,Summary!$C$2:$Q$103,3+counta($F$1:I$1),false)</f>
        <v>0</v>
      </c>
      <c r="J66" s="99">
        <f>$D66-vlookup(Summary!$C66,Summary!$C$2:$Q$103,3+counta($F$1:J$1),false)</f>
        <v>0.2</v>
      </c>
      <c r="K66" s="99">
        <f>$D66-vlookup(Summary!$C66,Summary!$C$2:$Q$103,3+counta($F$1:K$1),false)</f>
        <v>-0.1</v>
      </c>
      <c r="L66" s="99">
        <f>$D66-vlookup(Summary!$C66,Summary!$C$2:$Q$103,3+counta($F$1:L$1),false)</f>
        <v>0.3</v>
      </c>
      <c r="M66" s="99">
        <f>$D66-vlookup(Summary!$C66,Summary!$C$2:$Q$103,3+counta($F$1:M$1),false)</f>
        <v>0</v>
      </c>
      <c r="N66" s="99">
        <f>$D66-vlookup(Summary!$C66,Summary!$C$2:$Q$103,3+counta($F$1:N$1),false)</f>
        <v>0.4</v>
      </c>
      <c r="O66" s="99">
        <f>$D66-vlookup(Summary!$C66,Summary!$C$2:$Q$103,3+counta($F$1:O$1),false)</f>
        <v>0</v>
      </c>
      <c r="P66" s="99">
        <f>$D66-vlookup(Summary!$C66,Summary!$C$2:$Q$103,3+counta($F$1:P$1),false)</f>
        <v>0.4</v>
      </c>
      <c r="Q66" s="99">
        <f>$D66-vlookup(Summary!$C66,Summary!$C$2:$Q$103,3+counta($F$1:Q$1),false)</f>
        <v>0.4</v>
      </c>
    </row>
    <row r="67" ht="15.75" customHeight="1">
      <c r="A67" s="15">
        <f>Main!A67</f>
        <v>66</v>
      </c>
      <c r="B67" s="15" t="str">
        <f>Main!B67</f>
        <v>Collingwood will make it into the top 8 at the end of the footy season</v>
      </c>
      <c r="C67" s="15" t="str">
        <f>Main!C67</f>
        <v>Sport</v>
      </c>
      <c r="D67" s="15">
        <v>0.45</v>
      </c>
      <c r="F67" s="99">
        <f>$D67-vlookup(Summary!$C67,Summary!$C$2:$Q$103,3+counta($F$1:F$1),false)</f>
        <v>-0.05</v>
      </c>
      <c r="G67" s="99">
        <f>$D67-vlookup(Summary!$C67,Summary!$C$2:$Q$103,3+counta($F$1:G$1),false)</f>
        <v>0.35</v>
      </c>
      <c r="H67" s="99">
        <f>$D67-vlookup(Summary!$C67,Summary!$C$2:$Q$103,3+counta($F$1:H$1),false)</f>
        <v>0</v>
      </c>
      <c r="I67" s="99">
        <f>$D67-vlookup(Summary!$C67,Summary!$C$2:$Q$103,3+counta($F$1:I$1),false)</f>
        <v>-0.05</v>
      </c>
      <c r="J67" s="99">
        <f>$D67-vlookup(Summary!$C67,Summary!$C$2:$Q$103,3+counta($F$1:J$1),false)</f>
        <v>-0.15</v>
      </c>
      <c r="K67" s="99">
        <f>$D67-vlookup(Summary!$C67,Summary!$C$2:$Q$103,3+counta($F$1:K$1),false)</f>
        <v>-0.15</v>
      </c>
      <c r="L67" s="99">
        <f>$D67-vlookup(Summary!$C67,Summary!$C$2:$Q$103,3+counta($F$1:L$1),false)</f>
        <v>-0.05</v>
      </c>
      <c r="M67" s="99">
        <f>$D67-vlookup(Summary!$C67,Summary!$C$2:$Q$103,3+counta($F$1:M$1),false)</f>
        <v>0</v>
      </c>
      <c r="N67" s="99">
        <f>$D67-vlookup(Summary!$C67,Summary!$C$2:$Q$103,3+counta($F$1:N$1),false)</f>
        <v>-0.25</v>
      </c>
      <c r="O67" s="99">
        <f>$D67-vlookup(Summary!$C67,Summary!$C$2:$Q$103,3+counta($F$1:O$1),false)</f>
        <v>-0.05</v>
      </c>
      <c r="P67" s="99">
        <f>$D67-vlookup(Summary!$C67,Summary!$C$2:$Q$103,3+counta($F$1:P$1),false)</f>
        <v>0.35</v>
      </c>
      <c r="Q67" s="99">
        <f>$D67-vlookup(Summary!$C67,Summary!$C$2:$Q$103,3+counta($F$1:Q$1),false)</f>
        <v>-0.15</v>
      </c>
    </row>
    <row r="68" ht="15.75" customHeight="1">
      <c r="A68" s="15">
        <f>Main!A68</f>
        <v>67</v>
      </c>
      <c r="B68" s="15" t="str">
        <f>Main!B68</f>
        <v>Italy will defeat Portugal in their qualifying match and reach the finals of the Football World Cup</v>
      </c>
      <c r="C68" s="15" t="str">
        <f>Main!C68</f>
        <v>Sport</v>
      </c>
      <c r="D68" s="15">
        <v>0.7</v>
      </c>
      <c r="F68" s="99">
        <f>$D68-vlookup(Summary!$C68,Summary!$C$2:$Q$103,3+counta($F$1:F$1),false)</f>
        <v>0.2</v>
      </c>
      <c r="G68" s="99">
        <f>$D68-vlookup(Summary!$C68,Summary!$C$2:$Q$103,3+counta($F$1:G$1),false)</f>
        <v>0.1</v>
      </c>
      <c r="H68" s="99">
        <f>$D68-vlookup(Summary!$C68,Summary!$C$2:$Q$103,3+counta($F$1:H$1),false)</f>
        <v>0</v>
      </c>
      <c r="I68" s="99">
        <f>$D68-vlookup(Summary!$C68,Summary!$C$2:$Q$103,3+counta($F$1:I$1),false)</f>
        <v>0.2</v>
      </c>
      <c r="J68" s="99">
        <f>$D68-vlookup(Summary!$C68,Summary!$C$2:$Q$103,3+counta($F$1:J$1),false)</f>
        <v>0.2</v>
      </c>
      <c r="K68" s="99">
        <f>$D68-vlookup(Summary!$C68,Summary!$C$2:$Q$103,3+counta($F$1:K$1),false)</f>
        <v>-0.15</v>
      </c>
      <c r="L68" s="99">
        <f>$D68-vlookup(Summary!$C68,Summary!$C$2:$Q$103,3+counta($F$1:L$1),false)</f>
        <v>0.65</v>
      </c>
      <c r="M68" s="99">
        <f>$D68-vlookup(Summary!$C68,Summary!$C$2:$Q$103,3+counta($F$1:M$1),false)</f>
        <v>0</v>
      </c>
      <c r="N68" s="99">
        <f>$D68-vlookup(Summary!$C68,Summary!$C$2:$Q$103,3+counta($F$1:N$1),false)</f>
        <v>0.2</v>
      </c>
      <c r="O68" s="99">
        <f>$D68-vlookup(Summary!$C68,Summary!$C$2:$Q$103,3+counta($F$1:O$1),false)</f>
        <v>0.2</v>
      </c>
      <c r="P68" s="99">
        <f>$D68-vlookup(Summary!$C68,Summary!$C$2:$Q$103,3+counta($F$1:P$1),false)</f>
        <v>-0.2</v>
      </c>
      <c r="Q68" s="99">
        <f>$D68-vlookup(Summary!$C68,Summary!$C$2:$Q$103,3+counta($F$1:Q$1),false)</f>
        <v>-0.1</v>
      </c>
    </row>
    <row r="69" ht="15.75" customHeight="1">
      <c r="A69" s="15">
        <f>Main!A69</f>
        <v>68</v>
      </c>
      <c r="B69" s="15" t="str">
        <f>Main!B69</f>
        <v>Ash Barty will be world number 1 in the WRA rankings after the US Open</v>
      </c>
      <c r="C69" s="15" t="str">
        <f>Main!C69</f>
        <v>Sport</v>
      </c>
      <c r="D69" s="15">
        <v>0.8</v>
      </c>
      <c r="F69" s="99">
        <f>$D69-vlookup(Summary!$C69,Summary!$C$2:$Q$103,3+counta($F$1:F$1),false)</f>
        <v>0</v>
      </c>
      <c r="G69" s="99">
        <f>$D69-vlookup(Summary!$C69,Summary!$C$2:$Q$103,3+counta($F$1:G$1),false)</f>
        <v>-0.1</v>
      </c>
      <c r="H69" s="99">
        <f>$D69-vlookup(Summary!$C69,Summary!$C$2:$Q$103,3+counta($F$1:H$1),false)</f>
        <v>0</v>
      </c>
      <c r="I69" s="99">
        <f>$D69-vlookup(Summary!$C69,Summary!$C$2:$Q$103,3+counta($F$1:I$1),false)</f>
        <v>0</v>
      </c>
      <c r="J69" s="99">
        <f>$D69-vlookup(Summary!$C69,Summary!$C$2:$Q$103,3+counta($F$1:J$1),false)</f>
        <v>0</v>
      </c>
      <c r="K69" s="99">
        <f>$D69-vlookup(Summary!$C69,Summary!$C$2:$Q$103,3+counta($F$1:K$1),false)</f>
        <v>-0.18</v>
      </c>
      <c r="L69" s="99">
        <f>$D69-vlookup(Summary!$C69,Summary!$C$2:$Q$103,3+counta($F$1:L$1),false)</f>
        <v>-0.199</v>
      </c>
      <c r="M69" s="99">
        <f>$D69-vlookup(Summary!$C69,Summary!$C$2:$Q$103,3+counta($F$1:M$1),false)</f>
        <v>0</v>
      </c>
      <c r="N69" s="99">
        <f>$D69-vlookup(Summary!$C69,Summary!$C$2:$Q$103,3+counta($F$1:N$1),false)</f>
        <v>-0.1</v>
      </c>
      <c r="O69" s="99">
        <f>$D69-vlookup(Summary!$C69,Summary!$C$2:$Q$103,3+counta($F$1:O$1),false)</f>
        <v>0.3</v>
      </c>
      <c r="P69" s="99">
        <f>$D69-vlookup(Summary!$C69,Summary!$C$2:$Q$103,3+counta($F$1:P$1),false)</f>
        <v>-0.1</v>
      </c>
      <c r="Q69" s="99">
        <f>$D69-vlookup(Summary!$C69,Summary!$C$2:$Q$103,3+counta($F$1:Q$1),false)</f>
        <v>0.25</v>
      </c>
    </row>
    <row r="70" ht="15.75" customHeight="1">
      <c r="A70" s="15">
        <f>Main!A70</f>
        <v>69</v>
      </c>
      <c r="B70" s="15" t="str">
        <f>Main!B70</f>
        <v>Neither Roger Federer nor Serena Williams will win a Grand Slam tennis tournament</v>
      </c>
      <c r="C70" s="15" t="str">
        <f>Main!C70</f>
        <v>Sport</v>
      </c>
      <c r="D70" s="15">
        <v>0.95</v>
      </c>
      <c r="F70" s="99">
        <f>$D70-vlookup(Summary!$C70,Summary!$C$2:$Q$103,3+counta($F$1:F$1),false)</f>
        <v>0.3</v>
      </c>
      <c r="G70" s="99">
        <f>$D70-vlookup(Summary!$C70,Summary!$C$2:$Q$103,3+counta($F$1:G$1),false)</f>
        <v>0.15</v>
      </c>
      <c r="H70" s="99">
        <f>$D70-vlookup(Summary!$C70,Summary!$C$2:$Q$103,3+counta($F$1:H$1),false)</f>
        <v>0</v>
      </c>
      <c r="I70" s="99">
        <f>$D70-vlookup(Summary!$C70,Summary!$C$2:$Q$103,3+counta($F$1:I$1),false)</f>
        <v>0.55</v>
      </c>
      <c r="J70" s="99">
        <f>$D70-vlookup(Summary!$C70,Summary!$C$2:$Q$103,3+counta($F$1:J$1),false)</f>
        <v>0.15</v>
      </c>
      <c r="K70" s="99">
        <f>$D70-vlookup(Summary!$C70,Summary!$C$2:$Q$103,3+counta($F$1:K$1),false)</f>
        <v>0.05</v>
      </c>
      <c r="L70" s="99">
        <f>$D70-vlookup(Summary!$C70,Summary!$C$2:$Q$103,3+counta($F$1:L$1),false)</f>
        <v>-0.049</v>
      </c>
      <c r="M70" s="99">
        <f>$D70-vlookup(Summary!$C70,Summary!$C$2:$Q$103,3+counta($F$1:M$1),false)</f>
        <v>0</v>
      </c>
      <c r="N70" s="99">
        <f>$D70-vlookup(Summary!$C70,Summary!$C$2:$Q$103,3+counta($F$1:N$1),false)</f>
        <v>0.15</v>
      </c>
      <c r="O70" s="99">
        <f>$D70-vlookup(Summary!$C70,Summary!$C$2:$Q$103,3+counta($F$1:O$1),false)</f>
        <v>0.1</v>
      </c>
      <c r="P70" s="99">
        <f>$D70-vlookup(Summary!$C70,Summary!$C$2:$Q$103,3+counta($F$1:P$1),false)</f>
        <v>0.85</v>
      </c>
      <c r="Q70" s="99">
        <f>$D70-vlookup(Summary!$C70,Summary!$C$2:$Q$103,3+counta($F$1:Q$1),false)</f>
        <v>0.45</v>
      </c>
    </row>
    <row r="71" ht="15.75" customHeight="1">
      <c r="A71" s="15">
        <f>Main!A71</f>
        <v>70</v>
      </c>
      <c r="B71" s="15" t="str">
        <f>Main!B71</f>
        <v>The Football World Cup will not go ahead on the scheduled dates in Qatar</v>
      </c>
      <c r="C71" s="15" t="str">
        <f>Main!C71</f>
        <v>Sport</v>
      </c>
      <c r="D71" s="15">
        <v>0.1</v>
      </c>
      <c r="F71" s="99">
        <f>$D71-vlookup(Summary!$C71,Summary!$C$2:$Q$103,3+counta($F$1:F$1),false)</f>
        <v>-0.3</v>
      </c>
      <c r="G71" s="99">
        <f>$D71-vlookup(Summary!$C71,Summary!$C$2:$Q$103,3+counta($F$1:G$1),false)</f>
        <v>-0.15</v>
      </c>
      <c r="H71" s="99">
        <f>$D71-vlookup(Summary!$C71,Summary!$C$2:$Q$103,3+counta($F$1:H$1),false)</f>
        <v>0</v>
      </c>
      <c r="I71" s="99">
        <f>$D71-vlookup(Summary!$C71,Summary!$C$2:$Q$103,3+counta($F$1:I$1),false)</f>
        <v>-0.4</v>
      </c>
      <c r="J71" s="99">
        <f>$D71-vlookup(Summary!$C71,Summary!$C$2:$Q$103,3+counta($F$1:J$1),false)</f>
        <v>-0.4</v>
      </c>
      <c r="K71" s="99">
        <f>$D71-vlookup(Summary!$C71,Summary!$C$2:$Q$103,3+counta($F$1:K$1),false)</f>
        <v>-0.2</v>
      </c>
      <c r="L71" s="99">
        <f>$D71-vlookup(Summary!$C71,Summary!$C$2:$Q$103,3+counta($F$1:L$1),false)</f>
        <v>-0.45</v>
      </c>
      <c r="M71" s="99">
        <f>$D71-vlookup(Summary!$C71,Summary!$C$2:$Q$103,3+counta($F$1:M$1),false)</f>
        <v>0</v>
      </c>
      <c r="N71" s="99">
        <f>$D71-vlookup(Summary!$C71,Summary!$C$2:$Q$103,3+counta($F$1:N$1),false)</f>
        <v>0</v>
      </c>
      <c r="O71" s="99">
        <f>$D71-vlookup(Summary!$C71,Summary!$C$2:$Q$103,3+counta($F$1:O$1),false)</f>
        <v>-0.55</v>
      </c>
      <c r="P71" s="99">
        <f>$D71-vlookup(Summary!$C71,Summary!$C$2:$Q$103,3+counta($F$1:P$1),false)</f>
        <v>-0.8</v>
      </c>
      <c r="Q71" s="99">
        <f>$D71-vlookup(Summary!$C71,Summary!$C$2:$Q$103,3+counta($F$1:Q$1),false)</f>
        <v>-0.1</v>
      </c>
    </row>
    <row r="72" ht="15.75" customHeight="1">
      <c r="A72" s="15">
        <f>Main!A72</f>
        <v>71</v>
      </c>
      <c r="B72" s="15" t="str">
        <f>Main!B72</f>
        <v>Lewis hamilton will win the 2022 world championship in Formula 1</v>
      </c>
      <c r="C72" s="15" t="str">
        <f>Main!C72</f>
        <v>Sport</v>
      </c>
      <c r="D72" s="15">
        <v>0.6</v>
      </c>
      <c r="F72" s="99">
        <f>$D72-vlookup(Summary!$C72,Summary!$C$2:$Q$103,3+counta($F$1:F$1),false)</f>
        <v>0</v>
      </c>
      <c r="G72" s="99">
        <f>$D72-vlookup(Summary!$C72,Summary!$C$2:$Q$103,3+counta($F$1:G$1),false)</f>
        <v>0.4</v>
      </c>
      <c r="H72" s="99">
        <f>$D72-vlookup(Summary!$C72,Summary!$C$2:$Q$103,3+counta($F$1:H$1),false)</f>
        <v>0</v>
      </c>
      <c r="I72" s="99">
        <f>$D72-vlookup(Summary!$C72,Summary!$C$2:$Q$103,3+counta($F$1:I$1),false)</f>
        <v>0.1</v>
      </c>
      <c r="J72" s="99">
        <f>$D72-vlookup(Summary!$C72,Summary!$C$2:$Q$103,3+counta($F$1:J$1),false)</f>
        <v>-0.2</v>
      </c>
      <c r="K72" s="99">
        <f>$D72-vlookup(Summary!$C72,Summary!$C$2:$Q$103,3+counta($F$1:K$1),false)</f>
        <v>-0.2</v>
      </c>
      <c r="L72" s="99">
        <f>$D72-vlookup(Summary!$C72,Summary!$C$2:$Q$103,3+counta($F$1:L$1),false)</f>
        <v>0</v>
      </c>
      <c r="M72" s="99">
        <f>$D72-vlookup(Summary!$C72,Summary!$C$2:$Q$103,3+counta($F$1:M$1),false)</f>
        <v>0</v>
      </c>
      <c r="N72" s="99">
        <f>$D72-vlookup(Summary!$C72,Summary!$C$2:$Q$103,3+counta($F$1:N$1),false)</f>
        <v>-0.2</v>
      </c>
      <c r="O72" s="99">
        <f>$D72-vlookup(Summary!$C72,Summary!$C$2:$Q$103,3+counta($F$1:O$1),false)</f>
        <v>0.25</v>
      </c>
      <c r="P72" s="99">
        <f>$D72-vlookup(Summary!$C72,Summary!$C$2:$Q$103,3+counta($F$1:P$1),false)</f>
        <v>-0.3</v>
      </c>
      <c r="Q72" s="99">
        <f>$D72-vlookup(Summary!$C72,Summary!$C$2:$Q$103,3+counta($F$1:Q$1),false)</f>
        <v>-0.05</v>
      </c>
    </row>
    <row r="73" ht="15.75" customHeight="1">
      <c r="A73" s="15">
        <f>Main!A73</f>
        <v>72</v>
      </c>
      <c r="B73" s="15" t="str">
        <f>Main!B73</f>
        <v>The Haas F1 team will score 0 points in the 2022 season</v>
      </c>
      <c r="C73" s="15" t="str">
        <f>Main!C73</f>
        <v>Sport</v>
      </c>
      <c r="D73" s="15">
        <v>0.5</v>
      </c>
      <c r="F73" s="99">
        <f>$D73-vlookup(Summary!$C73,Summary!$C$2:$Q$103,3+counta($F$1:F$1),false)</f>
        <v>0</v>
      </c>
      <c r="G73" s="99">
        <f>$D73-vlookup(Summary!$C73,Summary!$C$2:$Q$103,3+counta($F$1:G$1),false)</f>
        <v>-0.2</v>
      </c>
      <c r="H73" s="99">
        <f>$D73-vlookup(Summary!$C73,Summary!$C$2:$Q$103,3+counta($F$1:H$1),false)</f>
        <v>0</v>
      </c>
      <c r="I73" s="99">
        <f>$D73-vlookup(Summary!$C73,Summary!$C$2:$Q$103,3+counta($F$1:I$1),false)</f>
        <v>0</v>
      </c>
      <c r="J73" s="99">
        <f>$D73-vlookup(Summary!$C73,Summary!$C$2:$Q$103,3+counta($F$1:J$1),false)</f>
        <v>0.2</v>
      </c>
      <c r="K73" s="99">
        <f>$D73-vlookup(Summary!$C73,Summary!$C$2:$Q$103,3+counta($F$1:K$1),false)</f>
        <v>0</v>
      </c>
      <c r="L73" s="99">
        <f>$D73-vlookup(Summary!$C73,Summary!$C$2:$Q$103,3+counta($F$1:L$1),false)</f>
        <v>0</v>
      </c>
      <c r="M73" s="99">
        <f>$D73-vlookup(Summary!$C73,Summary!$C$2:$Q$103,3+counta($F$1:M$1),false)</f>
        <v>0</v>
      </c>
      <c r="N73" s="99">
        <f>$D73-vlookup(Summary!$C73,Summary!$C$2:$Q$103,3+counta($F$1:N$1),false)</f>
        <v>0</v>
      </c>
      <c r="O73" s="99">
        <f>$D73-vlookup(Summary!$C73,Summary!$C$2:$Q$103,3+counta($F$1:O$1),false)</f>
        <v>-0.15</v>
      </c>
      <c r="P73" s="99">
        <f>$D73-vlookup(Summary!$C73,Summary!$C$2:$Q$103,3+counta($F$1:P$1),false)</f>
        <v>0.4</v>
      </c>
      <c r="Q73" s="99">
        <f>$D73-vlookup(Summary!$C73,Summary!$C$2:$Q$103,3+counta($F$1:Q$1),false)</f>
        <v>-0.1</v>
      </c>
    </row>
    <row r="74" ht="15.75" customHeight="1">
      <c r="A74" s="15">
        <f>Main!A74</f>
        <v>73</v>
      </c>
      <c r="B74" s="15" t="str">
        <f>Main!B74</f>
        <v>ULA's vulcan centaur will launch succesfully (places a payload into orbit)</v>
      </c>
      <c r="C74" s="15" t="str">
        <f>Main!C74</f>
        <v>Technology</v>
      </c>
      <c r="D74" s="15">
        <v>0.7</v>
      </c>
      <c r="F74" s="99">
        <f>$D74-vlookup(Summary!$C74,Summary!$C$2:$Q$103,3+counta($F$1:F$1),false)</f>
        <v>0.1</v>
      </c>
      <c r="G74" s="99">
        <f>$D74-vlookup(Summary!$C74,Summary!$C$2:$Q$103,3+counta($F$1:G$1),false)</f>
        <v>0</v>
      </c>
      <c r="H74" s="99">
        <f>$D74-vlookup(Summary!$C74,Summary!$C$2:$Q$103,3+counta($F$1:H$1),false)</f>
        <v>0</v>
      </c>
      <c r="I74" s="99">
        <f>$D74-vlookup(Summary!$C74,Summary!$C$2:$Q$103,3+counta($F$1:I$1),false)</f>
        <v>0.1</v>
      </c>
      <c r="J74" s="99">
        <f>$D74-vlookup(Summary!$C74,Summary!$C$2:$Q$103,3+counta($F$1:J$1),false)</f>
        <v>0.1</v>
      </c>
      <c r="K74" s="99">
        <f>$D74-vlookup(Summary!$C74,Summary!$C$2:$Q$103,3+counta($F$1:K$1),false)</f>
        <v>0.1</v>
      </c>
      <c r="L74" s="99">
        <f>$D74-vlookup(Summary!$C74,Summary!$C$2:$Q$103,3+counta($F$1:L$1),false)</f>
        <v>0.5</v>
      </c>
      <c r="M74" s="99">
        <f>$D74-vlookup(Summary!$C74,Summary!$C$2:$Q$103,3+counta($F$1:M$1),false)</f>
        <v>0</v>
      </c>
      <c r="N74" s="99">
        <f>$D74-vlookup(Summary!$C74,Summary!$C$2:$Q$103,3+counta($F$1:N$1),false)</f>
        <v>0.3</v>
      </c>
      <c r="O74" s="99">
        <f>$D74-vlookup(Summary!$C74,Summary!$C$2:$Q$103,3+counta($F$1:O$1),false)</f>
        <v>-0.15</v>
      </c>
      <c r="P74" s="99">
        <f>$D74-vlookup(Summary!$C74,Summary!$C$2:$Q$103,3+counta($F$1:P$1),false)</f>
        <v>0.2</v>
      </c>
      <c r="Q74" s="99">
        <f>$D74-vlookup(Summary!$C74,Summary!$C$2:$Q$103,3+counta($F$1:Q$1),false)</f>
        <v>0.2</v>
      </c>
    </row>
    <row r="75" ht="15.75" customHeight="1">
      <c r="A75" s="15">
        <f>Main!A75</f>
        <v>74</v>
      </c>
      <c r="B75" s="15" t="str">
        <f>Main!B75</f>
        <v>NASA will declare its Artemis 1 mission a success</v>
      </c>
      <c r="C75" s="15" t="str">
        <f>Main!C75</f>
        <v>Technology</v>
      </c>
      <c r="D75" s="15">
        <v>0.7</v>
      </c>
      <c r="F75" s="99">
        <f>$D75-vlookup(Summary!$C75,Summary!$C$2:$Q$103,3+counta($F$1:F$1),false)</f>
        <v>0</v>
      </c>
      <c r="G75" s="99">
        <f>$D75-vlookup(Summary!$C75,Summary!$C$2:$Q$103,3+counta($F$1:G$1),false)</f>
        <v>-0.1</v>
      </c>
      <c r="H75" s="99">
        <f>$D75-vlookup(Summary!$C75,Summary!$C$2:$Q$103,3+counta($F$1:H$1),false)</f>
        <v>0</v>
      </c>
      <c r="I75" s="99">
        <f>$D75-vlookup(Summary!$C75,Summary!$C$2:$Q$103,3+counta($F$1:I$1),false)</f>
        <v>0</v>
      </c>
      <c r="J75" s="99">
        <f>$D75-vlookup(Summary!$C75,Summary!$C$2:$Q$103,3+counta($F$1:J$1),false)</f>
        <v>0</v>
      </c>
      <c r="K75" s="99">
        <f>$D75-vlookup(Summary!$C75,Summary!$C$2:$Q$103,3+counta($F$1:K$1),false)</f>
        <v>-0.1</v>
      </c>
      <c r="L75" s="99">
        <f>$D75-vlookup(Summary!$C75,Summary!$C$2:$Q$103,3+counta($F$1:L$1),false)</f>
        <v>0.1</v>
      </c>
      <c r="M75" s="99">
        <f>$D75-vlookup(Summary!$C75,Summary!$C$2:$Q$103,3+counta($F$1:M$1),false)</f>
        <v>0</v>
      </c>
      <c r="N75" s="99">
        <f>$D75-vlookup(Summary!$C75,Summary!$C$2:$Q$103,3+counta($F$1:N$1),false)</f>
        <v>0.2</v>
      </c>
      <c r="O75" s="99">
        <f>$D75-vlookup(Summary!$C75,Summary!$C$2:$Q$103,3+counta($F$1:O$1),false)</f>
        <v>0.05</v>
      </c>
      <c r="P75" s="99">
        <f>$D75-vlookup(Summary!$C75,Summary!$C$2:$Q$103,3+counta($F$1:P$1),false)</f>
        <v>0.2</v>
      </c>
      <c r="Q75" s="99">
        <f>$D75-vlookup(Summary!$C75,Summary!$C$2:$Q$103,3+counta($F$1:Q$1),false)</f>
        <v>0</v>
      </c>
    </row>
    <row r="76" ht="15.75" customHeight="1">
      <c r="A76" s="15">
        <f>Main!A76</f>
        <v>75</v>
      </c>
      <c r="B76" s="15" t="str">
        <f>Main!B76</f>
        <v>Starship/Superheavy will place Starship into a (partial) orbital trajectory</v>
      </c>
      <c r="C76" s="15" t="str">
        <f>Main!C76</f>
        <v>Technology</v>
      </c>
      <c r="D76" s="15">
        <v>0.6</v>
      </c>
      <c r="F76" s="99">
        <f>$D76-vlookup(Summary!$C76,Summary!$C$2:$Q$103,3+counta($F$1:F$1),false)</f>
        <v>-0.05</v>
      </c>
      <c r="G76" s="99">
        <f>$D76-vlookup(Summary!$C76,Summary!$C$2:$Q$103,3+counta($F$1:G$1),false)</f>
        <v>0</v>
      </c>
      <c r="H76" s="99">
        <f>$D76-vlookup(Summary!$C76,Summary!$C$2:$Q$103,3+counta($F$1:H$1),false)</f>
        <v>0</v>
      </c>
      <c r="I76" s="99">
        <f>$D76-vlookup(Summary!$C76,Summary!$C$2:$Q$103,3+counta($F$1:I$1),false)</f>
        <v>-0.05</v>
      </c>
      <c r="J76" s="99">
        <f>$D76-vlookup(Summary!$C76,Summary!$C$2:$Q$103,3+counta($F$1:J$1),false)</f>
        <v>-0.1</v>
      </c>
      <c r="K76" s="99">
        <f>$D76-vlookup(Summary!$C76,Summary!$C$2:$Q$103,3+counta($F$1:K$1),false)</f>
        <v>0.1</v>
      </c>
      <c r="L76" s="99">
        <f>$D76-vlookup(Summary!$C76,Summary!$C$2:$Q$103,3+counta($F$1:L$1),false)</f>
        <v>0.1</v>
      </c>
      <c r="M76" s="99">
        <f>$D76-vlookup(Summary!$C76,Summary!$C$2:$Q$103,3+counta($F$1:M$1),false)</f>
        <v>0</v>
      </c>
      <c r="N76" s="99">
        <f>$D76-vlookup(Summary!$C76,Summary!$C$2:$Q$103,3+counta($F$1:N$1),false)</f>
        <v>0.1</v>
      </c>
      <c r="O76" s="99">
        <f>$D76-vlookup(Summary!$C76,Summary!$C$2:$Q$103,3+counta($F$1:O$1),false)</f>
        <v>-0.25</v>
      </c>
      <c r="P76" s="99">
        <f>$D76-vlookup(Summary!$C76,Summary!$C$2:$Q$103,3+counta($F$1:P$1),false)</f>
        <v>0.1</v>
      </c>
      <c r="Q76" s="99">
        <f>$D76-vlookup(Summary!$C76,Summary!$C$2:$Q$103,3+counta($F$1:Q$1),false)</f>
        <v>0.1</v>
      </c>
    </row>
    <row r="77" ht="15.75" customHeight="1">
      <c r="A77" s="15">
        <f>Main!A77</f>
        <v>76</v>
      </c>
      <c r="B77" s="15" t="str">
        <f>Main!B77</f>
        <v>James Webb telescope will deploy at L2 and 1 image from its Near-Infrared Camera (NIRCam) will be available on the internet for viewing by the public</v>
      </c>
      <c r="C77" s="15" t="str">
        <f>Main!C77</f>
        <v>Technology</v>
      </c>
      <c r="D77" s="15">
        <v>0.9</v>
      </c>
      <c r="F77" s="99">
        <f>$D77-vlookup(Summary!$C77,Summary!$C$2:$Q$103,3+counta($F$1:F$1),false)</f>
        <v>0.2</v>
      </c>
      <c r="G77" s="99">
        <f>$D77-vlookup(Summary!$C77,Summary!$C$2:$Q$103,3+counta($F$1:G$1),false)</f>
        <v>0.1</v>
      </c>
      <c r="H77" s="99">
        <f>$D77-vlookup(Summary!$C77,Summary!$C$2:$Q$103,3+counta($F$1:H$1),false)</f>
        <v>0</v>
      </c>
      <c r="I77" s="99">
        <f>$D77-vlookup(Summary!$C77,Summary!$C$2:$Q$103,3+counta($F$1:I$1),false)</f>
        <v>0.2</v>
      </c>
      <c r="J77" s="99">
        <f>$D77-vlookup(Summary!$C77,Summary!$C$2:$Q$103,3+counta($F$1:J$1),false)</f>
        <v>0.1</v>
      </c>
      <c r="K77" s="99">
        <f>$D77-vlookup(Summary!$C77,Summary!$C$2:$Q$103,3+counta($F$1:K$1),false)</f>
        <v>0.25</v>
      </c>
      <c r="L77" s="99">
        <f>$D77-vlookup(Summary!$C77,Summary!$C$2:$Q$103,3+counta($F$1:L$1),false)</f>
        <v>0.2</v>
      </c>
      <c r="M77" s="99">
        <f>$D77-vlookup(Summary!$C77,Summary!$C$2:$Q$103,3+counta($F$1:M$1),false)</f>
        <v>0</v>
      </c>
      <c r="N77" s="99">
        <f>$D77-vlookup(Summary!$C77,Summary!$C$2:$Q$103,3+counta($F$1:N$1),false)</f>
        <v>0.4</v>
      </c>
      <c r="O77" s="99">
        <f>$D77-vlookup(Summary!$C77,Summary!$C$2:$Q$103,3+counta($F$1:O$1),false)</f>
        <v>-0.099</v>
      </c>
      <c r="P77" s="99">
        <f>$D77-vlookup(Summary!$C77,Summary!$C$2:$Q$103,3+counta($F$1:P$1),false)</f>
        <v>0</v>
      </c>
      <c r="Q77" s="99">
        <f>$D77-vlookup(Summary!$C77,Summary!$C$2:$Q$103,3+counta($F$1:Q$1),false)</f>
        <v>0.4</v>
      </c>
    </row>
    <row r="78" ht="15.75" customHeight="1">
      <c r="A78" s="15">
        <f>Main!A78</f>
        <v>77</v>
      </c>
      <c r="B78" s="15" t="str">
        <f>Main!B78</f>
        <v>Facebook connect 2022 (or its 'meta' equivalent) will be hosted in virtual reality / a ('the'?) metaverse</v>
      </c>
      <c r="C78" s="15" t="str">
        <f>Main!C78</f>
        <v>Technology</v>
      </c>
      <c r="D78" s="15">
        <v>0.9</v>
      </c>
      <c r="F78" s="99">
        <f>$D78-vlookup(Summary!$C78,Summary!$C$2:$Q$103,3+counta($F$1:F$1),false)</f>
        <v>0.6</v>
      </c>
      <c r="G78" s="99">
        <f>$D78-vlookup(Summary!$C78,Summary!$C$2:$Q$103,3+counta($F$1:G$1),false)</f>
        <v>0.3</v>
      </c>
      <c r="H78" s="99">
        <f>$D78-vlookup(Summary!$C78,Summary!$C$2:$Q$103,3+counta($F$1:H$1),false)</f>
        <v>0</v>
      </c>
      <c r="I78" s="99">
        <f>$D78-vlookup(Summary!$C78,Summary!$C$2:$Q$103,3+counta($F$1:I$1),false)</f>
        <v>0.8</v>
      </c>
      <c r="J78" s="99">
        <f>$D78-vlookup(Summary!$C78,Summary!$C$2:$Q$103,3+counta($F$1:J$1),false)</f>
        <v>0</v>
      </c>
      <c r="K78" s="99">
        <f>$D78-vlookup(Summary!$C78,Summary!$C$2:$Q$103,3+counta($F$1:K$1),false)</f>
        <v>0.4</v>
      </c>
      <c r="L78" s="99">
        <f>$D78-vlookup(Summary!$C78,Summary!$C$2:$Q$103,3+counta($F$1:L$1),false)</f>
        <v>0.4</v>
      </c>
      <c r="M78" s="99">
        <f>$D78-vlookup(Summary!$C78,Summary!$C$2:$Q$103,3+counta($F$1:M$1),false)</f>
        <v>0</v>
      </c>
      <c r="N78" s="99">
        <f>$D78-vlookup(Summary!$C78,Summary!$C$2:$Q$103,3+counta($F$1:N$1),false)</f>
        <v>0.7</v>
      </c>
      <c r="O78" s="99">
        <f>$D78-vlookup(Summary!$C78,Summary!$C$2:$Q$103,3+counta($F$1:O$1),false)</f>
        <v>0.55</v>
      </c>
      <c r="P78" s="99">
        <f>$D78-vlookup(Summary!$C78,Summary!$C$2:$Q$103,3+counta($F$1:P$1),false)</f>
        <v>0.4</v>
      </c>
      <c r="Q78" s="99">
        <f>$D78-vlookup(Summary!$C78,Summary!$C$2:$Q$103,3+counta($F$1:Q$1),false)</f>
        <v>0.2</v>
      </c>
    </row>
    <row r="79" ht="15.75" customHeight="1">
      <c r="A79" s="15">
        <f>Main!A79</f>
        <v>78</v>
      </c>
      <c r="B79" s="15" t="str">
        <f>Main!B79</f>
        <v>Apple will announce mixed reality glasses</v>
      </c>
      <c r="C79" s="15" t="str">
        <f>Main!C79</f>
        <v>Technology</v>
      </c>
      <c r="D79" s="15">
        <v>0.2</v>
      </c>
      <c r="F79" s="99">
        <f>$D79-vlookup(Summary!$C79,Summary!$C$2:$Q$103,3+counta($F$1:F$1),false)</f>
        <v>-0.05</v>
      </c>
      <c r="G79" s="99">
        <f>$D79-vlookup(Summary!$C79,Summary!$C$2:$Q$103,3+counta($F$1:G$1),false)</f>
        <v>-0.2</v>
      </c>
      <c r="H79" s="99">
        <f>$D79-vlookup(Summary!$C79,Summary!$C$2:$Q$103,3+counta($F$1:H$1),false)</f>
        <v>0</v>
      </c>
      <c r="I79" s="99">
        <f>$D79-vlookup(Summary!$C79,Summary!$C$2:$Q$103,3+counta($F$1:I$1),false)</f>
        <v>0.1</v>
      </c>
      <c r="J79" s="99">
        <f>$D79-vlookup(Summary!$C79,Summary!$C$2:$Q$103,3+counta($F$1:J$1),false)</f>
        <v>-0.7</v>
      </c>
      <c r="K79" s="99">
        <f>$D79-vlookup(Summary!$C79,Summary!$C$2:$Q$103,3+counta($F$1:K$1),false)</f>
        <v>-0.475</v>
      </c>
      <c r="L79" s="99">
        <f>$D79-vlookup(Summary!$C79,Summary!$C$2:$Q$103,3+counta($F$1:L$1),false)</f>
        <v>-0.25</v>
      </c>
      <c r="M79" s="99">
        <f>$D79-vlookup(Summary!$C79,Summary!$C$2:$Q$103,3+counta($F$1:M$1),false)</f>
        <v>0</v>
      </c>
      <c r="N79" s="99">
        <f>$D79-vlookup(Summary!$C79,Summary!$C$2:$Q$103,3+counta($F$1:N$1),false)</f>
        <v>-0.5</v>
      </c>
      <c r="O79" s="99">
        <f>$D79-vlookup(Summary!$C79,Summary!$C$2:$Q$103,3+counta($F$1:O$1),false)</f>
        <v>-0.15</v>
      </c>
      <c r="P79" s="99">
        <f>$D79-vlookup(Summary!$C79,Summary!$C$2:$Q$103,3+counta($F$1:P$1),false)</f>
        <v>0.1</v>
      </c>
      <c r="Q79" s="99">
        <f>$D79-vlookup(Summary!$C79,Summary!$C$2:$Q$103,3+counta($F$1:Q$1),false)</f>
        <v>-0.6</v>
      </c>
    </row>
    <row r="80" ht="15.75" customHeight="1">
      <c r="A80" s="15">
        <f>Main!A80</f>
        <v>79</v>
      </c>
      <c r="B80" s="15" t="str">
        <f>Main!B80</f>
        <v> In-app purchases of Kindle books will be possible in the Kindle iphone app</v>
      </c>
      <c r="C80" s="15" t="str">
        <f>Main!C80</f>
        <v>Technology</v>
      </c>
      <c r="D80" s="15">
        <v>0.2</v>
      </c>
      <c r="F80" s="99">
        <f>$D80-vlookup(Summary!$C80,Summary!$C$2:$Q$103,3+counta($F$1:F$1),false)</f>
        <v>-0.3</v>
      </c>
      <c r="G80" s="99">
        <f>$D80-vlookup(Summary!$C80,Summary!$C$2:$Q$103,3+counta($F$1:G$1),false)</f>
        <v>-0.35</v>
      </c>
      <c r="H80" s="99">
        <f>$D80-vlookup(Summary!$C80,Summary!$C$2:$Q$103,3+counta($F$1:H$1),false)</f>
        <v>0</v>
      </c>
      <c r="I80" s="99">
        <f>$D80-vlookup(Summary!$C80,Summary!$C$2:$Q$103,3+counta($F$1:I$1),false)</f>
        <v>-0.3</v>
      </c>
      <c r="J80" s="99">
        <f>$D80-vlookup(Summary!$C80,Summary!$C$2:$Q$103,3+counta($F$1:J$1),false)</f>
        <v>-0.7</v>
      </c>
      <c r="K80" s="99">
        <f>$D80-vlookup(Summary!$C80,Summary!$C$2:$Q$103,3+counta($F$1:K$1),false)</f>
        <v>-0.65</v>
      </c>
      <c r="L80" s="99">
        <f>$D80-vlookup(Summary!$C80,Summary!$C$2:$Q$103,3+counta($F$1:L$1),false)</f>
        <v>0</v>
      </c>
      <c r="M80" s="99">
        <f>$D80-vlookup(Summary!$C80,Summary!$C$2:$Q$103,3+counta($F$1:M$1),false)</f>
        <v>0</v>
      </c>
      <c r="N80" s="99">
        <f>$D80-vlookup(Summary!$C80,Summary!$C$2:$Q$103,3+counta($F$1:N$1),false)</f>
        <v>-0.6</v>
      </c>
      <c r="O80" s="99">
        <f>$D80-vlookup(Summary!$C80,Summary!$C$2:$Q$103,3+counta($F$1:O$1),false)</f>
        <v>0.05</v>
      </c>
      <c r="P80" s="99">
        <f>$D80-vlookup(Summary!$C80,Summary!$C$2:$Q$103,3+counta($F$1:P$1),false)</f>
        <v>-0.3</v>
      </c>
      <c r="Q80" s="99">
        <f>$D80-vlookup(Summary!$C80,Summary!$C$2:$Q$103,3+counta($F$1:Q$1),false)</f>
        <v>-0.3</v>
      </c>
    </row>
    <row r="81" ht="15.75" customHeight="1">
      <c r="A81" s="15">
        <f>Main!A81</f>
        <v>80</v>
      </c>
      <c r="B81" s="15" t="str">
        <f>Main!B81</f>
        <v>It will be possible for at least one of the prediction participants to have food delivered by drone to their place of residence as a mainstream service, without it being part of a specific trial.</v>
      </c>
      <c r="C81" s="15" t="str">
        <f>Main!C81</f>
        <v>Technology</v>
      </c>
      <c r="D81" s="15">
        <v>0.1</v>
      </c>
      <c r="F81" s="99">
        <f>$D81-vlookup(Summary!$C81,Summary!$C$2:$Q$103,3+counta($F$1:F$1),false)</f>
        <v>-0.1</v>
      </c>
      <c r="G81" s="99">
        <f>$D81-vlookup(Summary!$C81,Summary!$C$2:$Q$103,3+counta($F$1:G$1),false)</f>
        <v>-0.2</v>
      </c>
      <c r="H81" s="99">
        <f>$D81-vlookup(Summary!$C81,Summary!$C$2:$Q$103,3+counta($F$1:H$1),false)</f>
        <v>0</v>
      </c>
      <c r="I81" s="99">
        <f>$D81-vlookup(Summary!$C81,Summary!$C$2:$Q$103,3+counta($F$1:I$1),false)</f>
        <v>0</v>
      </c>
      <c r="J81" s="99">
        <f>$D81-vlookup(Summary!$C81,Summary!$C$2:$Q$103,3+counta($F$1:J$1),false)</f>
        <v>-0.3</v>
      </c>
      <c r="K81" s="99">
        <f>$D81-vlookup(Summary!$C81,Summary!$C$2:$Q$103,3+counta($F$1:K$1),false)</f>
        <v>-0.55</v>
      </c>
      <c r="L81" s="99">
        <f>$D81-vlookup(Summary!$C81,Summary!$C$2:$Q$103,3+counta($F$1:L$1),false)</f>
        <v>-0.4</v>
      </c>
      <c r="M81" s="99">
        <f>$D81-vlookup(Summary!$C81,Summary!$C$2:$Q$103,3+counta($F$1:M$1),false)</f>
        <v>0</v>
      </c>
      <c r="N81" s="99">
        <f>$D81-vlookup(Summary!$C81,Summary!$C$2:$Q$103,3+counta($F$1:N$1),false)</f>
        <v>-0.6</v>
      </c>
      <c r="O81" s="99">
        <f>$D81-vlookup(Summary!$C81,Summary!$C$2:$Q$103,3+counta($F$1:O$1),false)</f>
        <v>-0.55</v>
      </c>
      <c r="P81" s="99">
        <f>$D81-vlookup(Summary!$C81,Summary!$C$2:$Q$103,3+counta($F$1:P$1),false)</f>
        <v>-0.8</v>
      </c>
      <c r="Q81" s="99">
        <f>$D81-vlookup(Summary!$C81,Summary!$C$2:$Q$103,3+counta($F$1:Q$1),false)</f>
        <v>-0.55</v>
      </c>
    </row>
    <row r="82" ht="15.75" customHeight="1">
      <c r="A82" s="15">
        <f>Main!A82</f>
        <v>81</v>
      </c>
      <c r="B82" s="15" t="str">
        <f>Main!B82</f>
        <v>TMTG, the company that owns Trump’s “TRUTH Social” platform, will have a market cap of over $20 billion USD. (Twitter is around 35b)</v>
      </c>
      <c r="C82" s="15" t="str">
        <f>Main!C82</f>
        <v>Technology</v>
      </c>
      <c r="D82" s="15">
        <v>0.2</v>
      </c>
      <c r="F82" s="99">
        <f>$D82-vlookup(Summary!$C82,Summary!$C$2:$Q$103,3+counta($F$1:F$1),false)</f>
        <v>-0.7</v>
      </c>
      <c r="G82" s="99">
        <f>$D82-vlookup(Summary!$C82,Summary!$C$2:$Q$103,3+counta($F$1:G$1),false)</f>
        <v>-0.79</v>
      </c>
      <c r="H82" s="99">
        <f>$D82-vlookup(Summary!$C82,Summary!$C$2:$Q$103,3+counta($F$1:H$1),false)</f>
        <v>0</v>
      </c>
      <c r="I82" s="99">
        <f>$D82-vlookup(Summary!$C82,Summary!$C$2:$Q$103,3+counta($F$1:I$1),false)</f>
        <v>-0.7</v>
      </c>
      <c r="J82" s="99">
        <f>$D82-vlookup(Summary!$C82,Summary!$C$2:$Q$103,3+counta($F$1:J$1),false)</f>
        <v>-0.1</v>
      </c>
      <c r="K82" s="99">
        <f>$D82-vlookup(Summary!$C82,Summary!$C$2:$Q$103,3+counta($F$1:K$1),false)</f>
        <v>-0.6</v>
      </c>
      <c r="L82" s="99">
        <f>$D82-vlookup(Summary!$C82,Summary!$C$2:$Q$103,3+counta($F$1:L$1),false)</f>
        <v>0</v>
      </c>
      <c r="M82" s="99">
        <f>$D82-vlookup(Summary!$C82,Summary!$C$2:$Q$103,3+counta($F$1:M$1),false)</f>
        <v>0</v>
      </c>
      <c r="N82" s="99">
        <f>$D82-vlookup(Summary!$C82,Summary!$C$2:$Q$103,3+counta($F$1:N$1),false)</f>
        <v>0.1</v>
      </c>
      <c r="O82" s="99">
        <f>$D82-vlookup(Summary!$C82,Summary!$C$2:$Q$103,3+counta($F$1:O$1),false)</f>
        <v>0.05</v>
      </c>
      <c r="P82" s="99">
        <f>$D82-vlookup(Summary!$C82,Summary!$C$2:$Q$103,3+counta($F$1:P$1),false)</f>
        <v>-0.3</v>
      </c>
      <c r="Q82" s="99">
        <f>$D82-vlookup(Summary!$C82,Summary!$C$2:$Q$103,3+counta($F$1:Q$1),false)</f>
        <v>-0.1</v>
      </c>
    </row>
    <row r="83" ht="15.75" customHeight="1">
      <c r="A83" s="15">
        <f>Main!A83</f>
        <v>82</v>
      </c>
      <c r="B83" s="15" t="str">
        <f>Main!B83</f>
        <v>It will not be financially viable to mine ethereum using commercial GPUs.</v>
      </c>
      <c r="C83" s="15" t="str">
        <f>Main!C83</f>
        <v>Technology</v>
      </c>
      <c r="D83" s="15">
        <v>0.9</v>
      </c>
      <c r="F83" s="99">
        <f>$D83-vlookup(Summary!$C83,Summary!$C$2:$Q$103,3+counta($F$1:F$1),false)</f>
        <v>0.25</v>
      </c>
      <c r="G83" s="99">
        <f>$D83-vlookup(Summary!$C83,Summary!$C$2:$Q$103,3+counta($F$1:G$1),false)</f>
        <v>0.1</v>
      </c>
      <c r="H83" s="99">
        <f>$D83-vlookup(Summary!$C83,Summary!$C$2:$Q$103,3+counta($F$1:H$1),false)</f>
        <v>0</v>
      </c>
      <c r="I83" s="99">
        <f>$D83-vlookup(Summary!$C83,Summary!$C$2:$Q$103,3+counta($F$1:I$1),false)</f>
        <v>0.4</v>
      </c>
      <c r="J83" s="99">
        <f>$D83-vlookup(Summary!$C83,Summary!$C$2:$Q$103,3+counta($F$1:J$1),false)</f>
        <v>0.4</v>
      </c>
      <c r="K83" s="99">
        <f>$D83-vlookup(Summary!$C83,Summary!$C$2:$Q$103,3+counta($F$1:K$1),false)</f>
        <v>0.4</v>
      </c>
      <c r="L83" s="99">
        <f>$D83-vlookup(Summary!$C83,Summary!$C$2:$Q$103,3+counta($F$1:L$1),false)</f>
        <v>0.45</v>
      </c>
      <c r="M83" s="99">
        <f>$D83-vlookup(Summary!$C83,Summary!$C$2:$Q$103,3+counta($F$1:M$1),false)</f>
        <v>0</v>
      </c>
      <c r="N83" s="99">
        <f>$D83-vlookup(Summary!$C83,Summary!$C$2:$Q$103,3+counta($F$1:N$1),false)</f>
        <v>0.1</v>
      </c>
      <c r="O83" s="99">
        <f>$D83-vlookup(Summary!$C83,Summary!$C$2:$Q$103,3+counta($F$1:O$1),false)</f>
        <v>0.05</v>
      </c>
      <c r="P83" s="99">
        <f>$D83-vlookup(Summary!$C83,Summary!$C$2:$Q$103,3+counta($F$1:P$1),false)</f>
        <v>0.4</v>
      </c>
      <c r="Q83" s="99">
        <f>$D83-vlookup(Summary!$C83,Summary!$C$2:$Q$103,3+counta($F$1:Q$1),false)</f>
        <v>0.3</v>
      </c>
    </row>
    <row r="84" ht="15.75" customHeight="1">
      <c r="A84" s="15">
        <f>Main!A84</f>
        <v>83</v>
      </c>
      <c r="B84" s="15" t="str">
        <f>Main!B84</f>
        <v>China will have more than 800 satellites in orbit (currently around 500)</v>
      </c>
      <c r="C84" s="15" t="str">
        <f>Main!C84</f>
        <v>Technology</v>
      </c>
      <c r="D84" s="15">
        <v>0.05</v>
      </c>
      <c r="F84" s="99">
        <f>$D84-vlookup(Summary!$C84,Summary!$C$2:$Q$103,3+counta($F$1:F$1),false)</f>
        <v>-0.35</v>
      </c>
      <c r="G84" s="99">
        <f>$D84-vlookup(Summary!$C84,Summary!$C$2:$Q$103,3+counta($F$1:G$1),false)</f>
        <v>-0.6</v>
      </c>
      <c r="H84" s="99">
        <f>$D84-vlookup(Summary!$C84,Summary!$C$2:$Q$103,3+counta($F$1:H$1),false)</f>
        <v>0</v>
      </c>
      <c r="I84" s="99">
        <f>$D84-vlookup(Summary!$C84,Summary!$C$2:$Q$103,3+counta($F$1:I$1),false)</f>
        <v>-0.15</v>
      </c>
      <c r="J84" s="99">
        <f>$D84-vlookup(Summary!$C84,Summary!$C$2:$Q$103,3+counta($F$1:J$1),false)</f>
        <v>-0.65</v>
      </c>
      <c r="K84" s="99">
        <f>$D84-vlookup(Summary!$C84,Summary!$C$2:$Q$103,3+counta($F$1:K$1),false)</f>
        <v>-0.8</v>
      </c>
      <c r="L84" s="99">
        <f>$D84-vlookup(Summary!$C84,Summary!$C$2:$Q$103,3+counta($F$1:L$1),false)</f>
        <v>0.049</v>
      </c>
      <c r="M84" s="99">
        <f>$D84-vlookup(Summary!$C84,Summary!$C$2:$Q$103,3+counta($F$1:M$1),false)</f>
        <v>0</v>
      </c>
      <c r="N84" s="99">
        <f>$D84-vlookup(Summary!$C84,Summary!$C$2:$Q$103,3+counta($F$1:N$1),false)</f>
        <v>-0.05</v>
      </c>
      <c r="O84" s="99">
        <f>$D84-vlookup(Summary!$C84,Summary!$C$2:$Q$103,3+counta($F$1:O$1),false)</f>
        <v>0.049</v>
      </c>
      <c r="P84" s="99">
        <f>$D84-vlookup(Summary!$C84,Summary!$C$2:$Q$103,3+counta($F$1:P$1),false)</f>
        <v>-0.45</v>
      </c>
      <c r="Q84" s="99">
        <f>$D84-vlookup(Summary!$C84,Summary!$C$2:$Q$103,3+counta($F$1:Q$1),false)</f>
        <v>-0.6</v>
      </c>
    </row>
    <row r="85" ht="15.75" customHeight="1">
      <c r="A85" s="15">
        <f>Main!A85</f>
        <v>84</v>
      </c>
      <c r="B85" s="15" t="str">
        <f>Main!B85</f>
        <v>Australia will be in the top 40 countries for broadband speed (as tracked in wiki page)</v>
      </c>
      <c r="C85" s="15" t="str">
        <f>Main!C85</f>
        <v>Technology</v>
      </c>
      <c r="D85" s="15">
        <v>0.05</v>
      </c>
      <c r="F85" s="99">
        <f>$D85-vlookup(Summary!$C85,Summary!$C$2:$Q$103,3+counta($F$1:F$1),false)</f>
        <v>-0.15</v>
      </c>
      <c r="G85" s="99">
        <f>$D85-vlookup(Summary!$C85,Summary!$C$2:$Q$103,3+counta($F$1:G$1),false)</f>
        <v>-0.85</v>
      </c>
      <c r="H85" s="99">
        <f>$D85-vlookup(Summary!$C85,Summary!$C$2:$Q$103,3+counta($F$1:H$1),false)</f>
        <v>0</v>
      </c>
      <c r="I85" s="99">
        <f>$D85-vlookup(Summary!$C85,Summary!$C$2:$Q$103,3+counta($F$1:I$1),false)</f>
        <v>-0.25</v>
      </c>
      <c r="J85" s="99">
        <f>$D85-vlookup(Summary!$C85,Summary!$C$2:$Q$103,3+counta($F$1:J$1),false)</f>
        <v>-0.15</v>
      </c>
      <c r="K85" s="99">
        <f>$D85-vlookup(Summary!$C85,Summary!$C$2:$Q$103,3+counta($F$1:K$1),false)</f>
        <v>-0.65</v>
      </c>
      <c r="L85" s="99">
        <f>$D85-vlookup(Summary!$C85,Summary!$C$2:$Q$103,3+counta($F$1:L$1),false)</f>
        <v>0</v>
      </c>
      <c r="M85" s="99">
        <f>$D85-vlookup(Summary!$C85,Summary!$C$2:$Q$103,3+counta($F$1:M$1),false)</f>
        <v>0</v>
      </c>
      <c r="N85" s="99">
        <f>$D85-vlookup(Summary!$C85,Summary!$C$2:$Q$103,3+counta($F$1:N$1),false)</f>
        <v>-0.65</v>
      </c>
      <c r="O85" s="99">
        <f>$D85-vlookup(Summary!$C85,Summary!$C$2:$Q$103,3+counta($F$1:O$1),false)</f>
        <v>-0.1</v>
      </c>
      <c r="P85" s="99">
        <f>$D85-vlookup(Summary!$C85,Summary!$C$2:$Q$103,3+counta($F$1:P$1),false)</f>
        <v>-0.75</v>
      </c>
      <c r="Q85" s="99">
        <f>$D85-vlookup(Summary!$C85,Summary!$C$2:$Q$103,3+counta($F$1:Q$1),false)</f>
        <v>-0.65</v>
      </c>
    </row>
    <row r="86" ht="15.75" customHeight="1">
      <c r="A86" s="15">
        <f>Main!A86</f>
        <v>85</v>
      </c>
      <c r="B86" s="15" t="str">
        <f>Main!B86</f>
        <v>India will produce more total CO2 emissions than the US</v>
      </c>
      <c r="C86" s="15" t="str">
        <f>Main!C86</f>
        <v>Technology</v>
      </c>
      <c r="D86" s="15">
        <v>0.1</v>
      </c>
      <c r="F86" s="99">
        <f>$D86-vlookup(Summary!$C86,Summary!$C$2:$Q$103,3+counta($F$1:F$1),false)</f>
        <v>-0.2</v>
      </c>
      <c r="G86" s="99">
        <f>$D86-vlookup(Summary!$C86,Summary!$C$2:$Q$103,3+counta($F$1:G$1),false)</f>
        <v>-0.1</v>
      </c>
      <c r="H86" s="99">
        <f>$D86-vlookup(Summary!$C86,Summary!$C$2:$Q$103,3+counta($F$1:H$1),false)</f>
        <v>0</v>
      </c>
      <c r="I86" s="99">
        <f>$D86-vlookup(Summary!$C86,Summary!$C$2:$Q$103,3+counta($F$1:I$1),false)</f>
        <v>0</v>
      </c>
      <c r="J86" s="99">
        <f>$D86-vlookup(Summary!$C86,Summary!$C$2:$Q$103,3+counta($F$1:J$1),false)</f>
        <v>-0.4</v>
      </c>
      <c r="K86" s="99">
        <f>$D86-vlookup(Summary!$C86,Summary!$C$2:$Q$103,3+counta($F$1:K$1),false)</f>
        <v>-0.7</v>
      </c>
      <c r="L86" s="99">
        <f>$D86-vlookup(Summary!$C86,Summary!$C$2:$Q$103,3+counta($F$1:L$1),false)</f>
        <v>0.099</v>
      </c>
      <c r="M86" s="99">
        <f>$D86-vlookup(Summary!$C86,Summary!$C$2:$Q$103,3+counta($F$1:M$1),false)</f>
        <v>0</v>
      </c>
      <c r="N86" s="99">
        <f>$D86-vlookup(Summary!$C86,Summary!$C$2:$Q$103,3+counta($F$1:N$1),false)</f>
        <v>-0.7</v>
      </c>
      <c r="O86" s="99">
        <f>$D86-vlookup(Summary!$C86,Summary!$C$2:$Q$103,3+counta($F$1:O$1),false)</f>
        <v>-0.25</v>
      </c>
      <c r="P86" s="99">
        <f>$D86-vlookup(Summary!$C86,Summary!$C$2:$Q$103,3+counta($F$1:P$1),false)</f>
        <v>-0.7</v>
      </c>
      <c r="Q86" s="99">
        <f>$D86-vlookup(Summary!$C86,Summary!$C$2:$Q$103,3+counta($F$1:Q$1),false)</f>
        <v>-0.5</v>
      </c>
    </row>
    <row r="87" ht="15.75" customHeight="1">
      <c r="A87" s="15">
        <f>Main!A87</f>
        <v>86</v>
      </c>
      <c r="B87" s="15" t="str">
        <f>Main!B87</f>
        <v>The number of electric vehicles under $50K (excl on road costs) grows 67% or more in Australia, as listed on carsguide.com.au. Currently there are three cars: Hyundai Ioniq, Nissan Leaf and MG ZS EV</v>
      </c>
      <c r="C87" s="15" t="str">
        <f>Main!C87</f>
        <v>Technology</v>
      </c>
      <c r="D87" s="15">
        <v>0.7</v>
      </c>
      <c r="F87" s="99">
        <f>$D87-vlookup(Summary!$C87,Summary!$C$2:$Q$103,3+counta($F$1:F$1),false)</f>
        <v>0.3</v>
      </c>
      <c r="G87" s="99">
        <f>$D87-vlookup(Summary!$C87,Summary!$C$2:$Q$103,3+counta($F$1:G$1),false)</f>
        <v>-0.1</v>
      </c>
      <c r="H87" s="99">
        <f>$D87-vlookup(Summary!$C87,Summary!$C$2:$Q$103,3+counta($F$1:H$1),false)</f>
        <v>0</v>
      </c>
      <c r="I87" s="99">
        <f>$D87-vlookup(Summary!$C87,Summary!$C$2:$Q$103,3+counta($F$1:I$1),false)</f>
        <v>0.5</v>
      </c>
      <c r="J87" s="99">
        <f>$D87-vlookup(Summary!$C87,Summary!$C$2:$Q$103,3+counta($F$1:J$1),false)</f>
        <v>0.4</v>
      </c>
      <c r="K87" s="99">
        <f>$D87-vlookup(Summary!$C87,Summary!$C$2:$Q$103,3+counta($F$1:K$1),false)</f>
        <v>0.05</v>
      </c>
      <c r="L87" s="99">
        <f>$D87-vlookup(Summary!$C87,Summary!$C$2:$Q$103,3+counta($F$1:L$1),false)</f>
        <v>0.15</v>
      </c>
      <c r="M87" s="99">
        <f>$D87-vlookup(Summary!$C87,Summary!$C$2:$Q$103,3+counta($F$1:M$1),false)</f>
        <v>0</v>
      </c>
      <c r="N87" s="99">
        <f>$D87-vlookup(Summary!$C87,Summary!$C$2:$Q$103,3+counta($F$1:N$1),false)</f>
        <v>-0.2</v>
      </c>
      <c r="O87" s="99">
        <f>$D87-vlookup(Summary!$C87,Summary!$C$2:$Q$103,3+counta($F$1:O$1),false)</f>
        <v>0.35</v>
      </c>
      <c r="P87" s="99">
        <f>$D87-vlookup(Summary!$C87,Summary!$C$2:$Q$103,3+counta($F$1:P$1),false)</f>
        <v>0</v>
      </c>
      <c r="Q87" s="99">
        <f>$D87-vlookup(Summary!$C87,Summary!$C$2:$Q$103,3+counta($F$1:Q$1),false)</f>
        <v>0.35</v>
      </c>
    </row>
    <row r="88" ht="15.75" customHeight="1">
      <c r="A88" s="15">
        <f>Main!A88</f>
        <v>87</v>
      </c>
      <c r="B88" s="15" t="str">
        <f>Main!B88</f>
        <v>Boris Johnson will be replaced as Prime Minister by the Tory Party</v>
      </c>
      <c r="C88" s="15" t="str">
        <f>Main!C88</f>
        <v>World Politics</v>
      </c>
      <c r="D88" s="15">
        <v>0.3</v>
      </c>
      <c r="F88" s="99">
        <f>$D88-vlookup(Summary!$C88,Summary!$C$2:$Q$103,3+counta($F$1:F$1),false)</f>
        <v>-0.55</v>
      </c>
      <c r="G88" s="99">
        <f>$D88-vlookup(Summary!$C88,Summary!$C$2:$Q$103,3+counta($F$1:G$1),false)</f>
        <v>-0.5</v>
      </c>
      <c r="H88" s="99">
        <f>$D88-vlookup(Summary!$C88,Summary!$C$2:$Q$103,3+counta($F$1:H$1),false)</f>
        <v>0</v>
      </c>
      <c r="I88" s="99">
        <f>$D88-vlookup(Summary!$C88,Summary!$C$2:$Q$103,3+counta($F$1:I$1),false)</f>
        <v>-0.5</v>
      </c>
      <c r="J88" s="99">
        <f>$D88-vlookup(Summary!$C88,Summary!$C$2:$Q$103,3+counta($F$1:J$1),false)</f>
        <v>-0.1</v>
      </c>
      <c r="K88" s="99">
        <f>$D88-vlookup(Summary!$C88,Summary!$C$2:$Q$103,3+counta($F$1:K$1),false)</f>
        <v>-0.55</v>
      </c>
      <c r="L88" s="99">
        <f>$D88-vlookup(Summary!$C88,Summary!$C$2:$Q$103,3+counta($F$1:L$1),false)</f>
        <v>0.2</v>
      </c>
      <c r="M88" s="99">
        <f>$D88-vlookup(Summary!$C88,Summary!$C$2:$Q$103,3+counta($F$1:M$1),false)</f>
        <v>0</v>
      </c>
      <c r="N88" s="99">
        <f>$D88-vlookup(Summary!$C88,Summary!$C$2:$Q$103,3+counta($F$1:N$1),false)</f>
        <v>-0.6</v>
      </c>
      <c r="O88" s="99">
        <f>$D88-vlookup(Summary!$C88,Summary!$C$2:$Q$103,3+counta($F$1:O$1),false)</f>
        <v>-0.35</v>
      </c>
      <c r="P88" s="99">
        <f>$D88-vlookup(Summary!$C88,Summary!$C$2:$Q$103,3+counta($F$1:P$1),false)</f>
        <v>-0.6</v>
      </c>
      <c r="Q88" s="99">
        <f>$D88-vlookup(Summary!$C88,Summary!$C$2:$Q$103,3+counta($F$1:Q$1),false)</f>
        <v>-0.2</v>
      </c>
    </row>
    <row r="89" ht="15.75" customHeight="1">
      <c r="A89" s="15">
        <f>Main!A89</f>
        <v>88</v>
      </c>
      <c r="B89" s="15" t="str">
        <f>Main!B89</f>
        <v>Boris Johnson will be the Prime Minister of the UK</v>
      </c>
      <c r="C89" s="15" t="str">
        <f>Main!C89</f>
        <v>World Politics</v>
      </c>
      <c r="D89" s="15">
        <v>0.7</v>
      </c>
      <c r="F89" s="99">
        <f>$D89-vlookup(Summary!$C89,Summary!$C$2:$Q$103,3+counta($F$1:F$1),false)</f>
        <v>0.55</v>
      </c>
      <c r="G89" s="99">
        <f>$D89-vlookup(Summary!$C89,Summary!$C$2:$Q$103,3+counta($F$1:G$1),false)</f>
        <v>0.5</v>
      </c>
      <c r="H89" s="99">
        <f>$D89-vlookup(Summary!$C89,Summary!$C$2:$Q$103,3+counta($F$1:H$1),false)</f>
        <v>0</v>
      </c>
      <c r="I89" s="99">
        <f>$D89-vlookup(Summary!$C89,Summary!$C$2:$Q$103,3+counta($F$1:I$1),false)</f>
        <v>0.5</v>
      </c>
      <c r="J89" s="99">
        <f>$D89-vlookup(Summary!$C89,Summary!$C$2:$Q$103,3+counta($F$1:J$1),false)</f>
        <v>0.1</v>
      </c>
      <c r="K89" s="99">
        <f>$D89-vlookup(Summary!$C89,Summary!$C$2:$Q$103,3+counta($F$1:K$1),false)</f>
        <v>0.45</v>
      </c>
      <c r="L89" s="99">
        <f>$D89-vlookup(Summary!$C89,Summary!$C$2:$Q$103,3+counta($F$1:L$1),false)</f>
        <v>-0.15</v>
      </c>
      <c r="M89" s="99">
        <f>$D89-vlookup(Summary!$C89,Summary!$C$2:$Q$103,3+counta($F$1:M$1),false)</f>
        <v>0</v>
      </c>
      <c r="N89" s="99">
        <f>$D89-vlookup(Summary!$C89,Summary!$C$2:$Q$103,3+counta($F$1:N$1),false)</f>
        <v>0.5</v>
      </c>
      <c r="O89" s="99">
        <f>$D89-vlookup(Summary!$C89,Summary!$C$2:$Q$103,3+counta($F$1:O$1),false)</f>
        <v>0.35</v>
      </c>
      <c r="P89" s="99">
        <f>$D89-vlookup(Summary!$C89,Summary!$C$2:$Q$103,3+counta($F$1:P$1),false)</f>
        <v>0.6</v>
      </c>
      <c r="Q89" s="99">
        <f>$D89-vlookup(Summary!$C89,Summary!$C$2:$Q$103,3+counta($F$1:Q$1),false)</f>
        <v>0.3</v>
      </c>
    </row>
    <row r="90" ht="15.75" customHeight="1">
      <c r="A90" s="15">
        <f>Main!A90</f>
        <v>89</v>
      </c>
      <c r="B90" s="15" t="str">
        <f>Main!B90</f>
        <v>At least some American states will resort to proclaimed and violent civil war rather that accept democratic elections</v>
      </c>
      <c r="C90" s="15" t="str">
        <f>Main!C90</f>
        <v>World Politics</v>
      </c>
      <c r="D90" s="15">
        <v>0.1</v>
      </c>
      <c r="F90" s="99">
        <f>$D90-vlookup(Summary!$C90,Summary!$C$2:$Q$103,3+counta($F$1:F$1),false)</f>
        <v>-0.2</v>
      </c>
      <c r="G90" s="99">
        <f>$D90-vlookup(Summary!$C90,Summary!$C$2:$Q$103,3+counta($F$1:G$1),false)</f>
        <v>0</v>
      </c>
      <c r="H90" s="99">
        <f>$D90-vlookup(Summary!$C90,Summary!$C$2:$Q$103,3+counta($F$1:H$1),false)</f>
        <v>0</v>
      </c>
      <c r="I90" s="99">
        <f>$D90-vlookup(Summary!$C90,Summary!$C$2:$Q$103,3+counta($F$1:I$1),false)</f>
        <v>0</v>
      </c>
      <c r="J90" s="99">
        <f>$D90-vlookup(Summary!$C90,Summary!$C$2:$Q$103,3+counta($F$1:J$1),false)</f>
        <v>-0.6</v>
      </c>
      <c r="K90" s="99">
        <f>$D90-vlookup(Summary!$C90,Summary!$C$2:$Q$103,3+counta($F$1:K$1),false)</f>
        <v>-0.1</v>
      </c>
      <c r="L90" s="99">
        <f>$D90-vlookup(Summary!$C90,Summary!$C$2:$Q$103,3+counta($F$1:L$1),false)</f>
        <v>0.05</v>
      </c>
      <c r="M90" s="99">
        <f>$D90-vlookup(Summary!$C90,Summary!$C$2:$Q$103,3+counta($F$1:M$1),false)</f>
        <v>0</v>
      </c>
      <c r="N90" s="99">
        <f>$D90-vlookup(Summary!$C90,Summary!$C$2:$Q$103,3+counta($F$1:N$1),false)</f>
        <v>0</v>
      </c>
      <c r="O90" s="99">
        <f>$D90-vlookup(Summary!$C90,Summary!$C$2:$Q$103,3+counta($F$1:O$1),false)</f>
        <v>0.099</v>
      </c>
      <c r="P90" s="99">
        <f>$D90-vlookup(Summary!$C90,Summary!$C$2:$Q$103,3+counta($F$1:P$1),false)</f>
        <v>0</v>
      </c>
      <c r="Q90" s="99">
        <f>$D90-vlookup(Summary!$C90,Summary!$C$2:$Q$103,3+counta($F$1:Q$1),false)</f>
        <v>-0.15</v>
      </c>
    </row>
    <row r="91" ht="15.75" customHeight="1">
      <c r="A91" s="15">
        <f>Main!A91</f>
        <v>90</v>
      </c>
      <c r="B91" s="15" t="str">
        <f>Main!B91</f>
        <v>Democrats will lose control of the US House of Representatives at the midterm elections</v>
      </c>
      <c r="C91" s="15" t="str">
        <f>Main!C91</f>
        <v>World Politics</v>
      </c>
      <c r="D91" s="15">
        <v>0.7</v>
      </c>
      <c r="F91" s="99">
        <f>$D91-vlookup(Summary!$C91,Summary!$C$2:$Q$103,3+counta($F$1:F$1),false)</f>
        <v>-0.1</v>
      </c>
      <c r="G91" s="99">
        <f>$D91-vlookup(Summary!$C91,Summary!$C$2:$Q$103,3+counta($F$1:G$1),false)</f>
        <v>-0.2</v>
      </c>
      <c r="H91" s="99">
        <f>$D91-vlookup(Summary!$C91,Summary!$C$2:$Q$103,3+counta($F$1:H$1),false)</f>
        <v>0</v>
      </c>
      <c r="I91" s="99">
        <f>$D91-vlookup(Summary!$C91,Summary!$C$2:$Q$103,3+counta($F$1:I$1),false)</f>
        <v>0.1</v>
      </c>
      <c r="J91" s="99">
        <f>$D91-vlookup(Summary!$C91,Summary!$C$2:$Q$103,3+counta($F$1:J$1),false)</f>
        <v>-0.2</v>
      </c>
      <c r="K91" s="99">
        <f>$D91-vlookup(Summary!$C91,Summary!$C$2:$Q$103,3+counta($F$1:K$1),false)</f>
        <v>0</v>
      </c>
      <c r="L91" s="99">
        <f>$D91-vlookup(Summary!$C91,Summary!$C$2:$Q$103,3+counta($F$1:L$1),false)</f>
        <v>0</v>
      </c>
      <c r="M91" s="99">
        <f>$D91-vlookup(Summary!$C91,Summary!$C$2:$Q$103,3+counta($F$1:M$1),false)</f>
        <v>0</v>
      </c>
      <c r="N91" s="99">
        <f>$D91-vlookup(Summary!$C91,Summary!$C$2:$Q$103,3+counta($F$1:N$1),false)</f>
        <v>-0.1</v>
      </c>
      <c r="O91" s="99">
        <f>$D91-vlookup(Summary!$C91,Summary!$C$2:$Q$103,3+counta($F$1:O$1),false)</f>
        <v>-0.299</v>
      </c>
      <c r="P91" s="99">
        <f>$D91-vlookup(Summary!$C91,Summary!$C$2:$Q$103,3+counta($F$1:P$1),false)</f>
        <v>0.6</v>
      </c>
      <c r="Q91" s="99">
        <f>$D91-vlookup(Summary!$C91,Summary!$C$2:$Q$103,3+counta($F$1:Q$1),false)</f>
        <v>0.3</v>
      </c>
    </row>
    <row r="92" ht="15.75" customHeight="1">
      <c r="A92" s="15">
        <f>Main!A92</f>
        <v>91</v>
      </c>
      <c r="B92" s="15" t="str">
        <f>Main!B92</f>
        <v>Democrats will not have control of the US Senate after the midterm election</v>
      </c>
      <c r="C92" s="15" t="str">
        <f>Main!C92</f>
        <v>World Politics</v>
      </c>
      <c r="D92" s="15">
        <v>0.7</v>
      </c>
      <c r="F92" s="99">
        <f>$D92-vlookup(Summary!$C92,Summary!$C$2:$Q$103,3+counta($F$1:F$1),false)</f>
        <v>-0.1</v>
      </c>
      <c r="G92" s="99">
        <f>$D92-vlookup(Summary!$C92,Summary!$C$2:$Q$103,3+counta($F$1:G$1),false)</f>
        <v>-0.2</v>
      </c>
      <c r="H92" s="99">
        <f>$D92-vlookup(Summary!$C92,Summary!$C$2:$Q$103,3+counta($F$1:H$1),false)</f>
        <v>0</v>
      </c>
      <c r="I92" s="99">
        <f>$D92-vlookup(Summary!$C92,Summary!$C$2:$Q$103,3+counta($F$1:I$1),false)</f>
        <v>0.1</v>
      </c>
      <c r="J92" s="99">
        <f>$D92-vlookup(Summary!$C92,Summary!$C$2:$Q$103,3+counta($F$1:J$1),false)</f>
        <v>-0.2</v>
      </c>
      <c r="K92" s="99">
        <f>$D92-vlookup(Summary!$C92,Summary!$C$2:$Q$103,3+counta($F$1:K$1),false)</f>
        <v>-0.1</v>
      </c>
      <c r="L92" s="99">
        <f>$D92-vlookup(Summary!$C92,Summary!$C$2:$Q$103,3+counta($F$1:L$1),false)</f>
        <v>-0.1</v>
      </c>
      <c r="M92" s="99">
        <f>$D92-vlookup(Summary!$C92,Summary!$C$2:$Q$103,3+counta($F$1:M$1),false)</f>
        <v>0</v>
      </c>
      <c r="N92" s="99">
        <f>$D92-vlookup(Summary!$C92,Summary!$C$2:$Q$103,3+counta($F$1:N$1),false)</f>
        <v>-0.1</v>
      </c>
      <c r="O92" s="99">
        <f>$D92-vlookup(Summary!$C92,Summary!$C$2:$Q$103,3+counta($F$1:O$1),false)</f>
        <v>-0.299</v>
      </c>
      <c r="P92" s="99">
        <f>$D92-vlookup(Summary!$C92,Summary!$C$2:$Q$103,3+counta($F$1:P$1),false)</f>
        <v>0.6</v>
      </c>
      <c r="Q92" s="99">
        <f>$D92-vlookup(Summary!$C92,Summary!$C$2:$Q$103,3+counta($F$1:Q$1),false)</f>
        <v>0.5</v>
      </c>
    </row>
    <row r="93" ht="15.75" customHeight="1">
      <c r="A93" s="15">
        <f>Main!A93</f>
        <v>92</v>
      </c>
      <c r="B93" s="15" t="str">
        <f>Main!B93</f>
        <v>Donald Trump will recieve at least 1 vote in the selection of the Speaker of the US house of Representatives (Congress)</v>
      </c>
      <c r="C93" s="15" t="str">
        <f>Main!C93</f>
        <v>World Politics</v>
      </c>
      <c r="D93" s="15">
        <v>0.7</v>
      </c>
      <c r="F93" s="99">
        <f>$D93-vlookup(Summary!$C93,Summary!$C$2:$Q$103,3+counta($F$1:F$1),false)</f>
        <v>0.4</v>
      </c>
      <c r="G93" s="99">
        <f>$D93-vlookup(Summary!$C93,Summary!$C$2:$Q$103,3+counta($F$1:G$1),false)</f>
        <v>0.4</v>
      </c>
      <c r="H93" s="99">
        <f>$D93-vlookup(Summary!$C93,Summary!$C$2:$Q$103,3+counta($F$1:H$1),false)</f>
        <v>0</v>
      </c>
      <c r="I93" s="99">
        <f>$D93-vlookup(Summary!$C93,Summary!$C$2:$Q$103,3+counta($F$1:I$1),false)</f>
        <v>0.6</v>
      </c>
      <c r="J93" s="99">
        <f>$D93-vlookup(Summary!$C93,Summary!$C$2:$Q$103,3+counta($F$1:J$1),false)</f>
        <v>-0.2</v>
      </c>
      <c r="K93" s="99">
        <f>$D93-vlookup(Summary!$C93,Summary!$C$2:$Q$103,3+counta($F$1:K$1),false)</f>
        <v>0.35</v>
      </c>
      <c r="L93" s="99">
        <f>$D93-vlookup(Summary!$C93,Summary!$C$2:$Q$103,3+counta($F$1:L$1),false)</f>
        <v>0</v>
      </c>
      <c r="M93" s="99">
        <f>$D93-vlookup(Summary!$C93,Summary!$C$2:$Q$103,3+counta($F$1:M$1),false)</f>
        <v>0</v>
      </c>
      <c r="N93" s="99">
        <f>$D93-vlookup(Summary!$C93,Summary!$C$2:$Q$103,3+counta($F$1:N$1),false)</f>
        <v>-0.2</v>
      </c>
      <c r="O93" s="99">
        <f>$D93-vlookup(Summary!$C93,Summary!$C$2:$Q$103,3+counta($F$1:O$1),false)</f>
        <v>0.05</v>
      </c>
      <c r="P93" s="99">
        <f>$D93-vlookup(Summary!$C93,Summary!$C$2:$Q$103,3+counta($F$1:P$1),false)</f>
        <v>0.6</v>
      </c>
      <c r="Q93" s="99">
        <f>$D93-vlookup(Summary!$C93,Summary!$C$2:$Q$103,3+counta($F$1:Q$1),false)</f>
        <v>0.2</v>
      </c>
    </row>
    <row r="94" ht="15.75" customHeight="1">
      <c r="A94" s="15">
        <f>Main!A94</f>
        <v>93</v>
      </c>
      <c r="B94" s="15" t="str">
        <f>Main!B94</f>
        <v>Donald Trump will release a book in 2022</v>
      </c>
      <c r="C94" s="15" t="str">
        <f>Main!C94</f>
        <v>World Politics</v>
      </c>
      <c r="D94" s="15">
        <v>0.8</v>
      </c>
      <c r="F94" s="99">
        <f>$D94-vlookup(Summary!$C94,Summary!$C$2:$Q$103,3+counta($F$1:F$1),false)</f>
        <v>0.25</v>
      </c>
      <c r="G94" s="99">
        <f>$D94-vlookup(Summary!$C94,Summary!$C$2:$Q$103,3+counta($F$1:G$1),false)</f>
        <v>0.1</v>
      </c>
      <c r="H94" s="99">
        <f>$D94-vlookup(Summary!$C94,Summary!$C$2:$Q$103,3+counta($F$1:H$1),false)</f>
        <v>0</v>
      </c>
      <c r="I94" s="99">
        <f>$D94-vlookup(Summary!$C94,Summary!$C$2:$Q$103,3+counta($F$1:I$1),false)</f>
        <v>0.6</v>
      </c>
      <c r="J94" s="99">
        <f>$D94-vlookup(Summary!$C94,Summary!$C$2:$Q$103,3+counta($F$1:J$1),false)</f>
        <v>-0.1</v>
      </c>
      <c r="K94" s="99">
        <f>$D94-vlookup(Summary!$C94,Summary!$C$2:$Q$103,3+counta($F$1:K$1),false)</f>
        <v>0</v>
      </c>
      <c r="L94" s="99">
        <f>$D94-vlookup(Summary!$C94,Summary!$C$2:$Q$103,3+counta($F$1:L$1),false)</f>
        <v>0.25</v>
      </c>
      <c r="M94" s="99">
        <f>$D94-vlookup(Summary!$C94,Summary!$C$2:$Q$103,3+counta($F$1:M$1),false)</f>
        <v>0</v>
      </c>
      <c r="N94" s="99">
        <f>$D94-vlookup(Summary!$C94,Summary!$C$2:$Q$103,3+counta($F$1:N$1),false)</f>
        <v>-0.1</v>
      </c>
      <c r="O94" s="99">
        <f>$D94-vlookup(Summary!$C94,Summary!$C$2:$Q$103,3+counta($F$1:O$1),false)</f>
        <v>0.65</v>
      </c>
      <c r="P94" s="99">
        <f>$D94-vlookup(Summary!$C94,Summary!$C$2:$Q$103,3+counta($F$1:P$1),false)</f>
        <v>0.3</v>
      </c>
      <c r="Q94" s="99">
        <f>$D94-vlookup(Summary!$C94,Summary!$C$2:$Q$103,3+counta($F$1:Q$1),false)</f>
        <v>0.25</v>
      </c>
    </row>
    <row r="95" ht="15.75" customHeight="1">
      <c r="A95" s="15">
        <f>Main!A95</f>
        <v>94</v>
      </c>
      <c r="B95" s="15" t="str">
        <f>Main!B95</f>
        <v>Trump will announce he will contest the Republican presidential candidacy and launch an NFT</v>
      </c>
      <c r="C95" s="15" t="str">
        <f>Main!C95</f>
        <v>World Politics</v>
      </c>
      <c r="D95" s="15">
        <v>0.7</v>
      </c>
      <c r="F95" s="99">
        <f>$D95-vlookup(Summary!$C95,Summary!$C$2:$Q$103,3+counta($F$1:F$1),false)</f>
        <v>0.4</v>
      </c>
      <c r="G95" s="99">
        <f>$D95-vlookup(Summary!$C95,Summary!$C$2:$Q$103,3+counta($F$1:G$1),false)</f>
        <v>0.3</v>
      </c>
      <c r="H95" s="99">
        <f>$D95-vlookup(Summary!$C95,Summary!$C$2:$Q$103,3+counta($F$1:H$1),false)</f>
        <v>0</v>
      </c>
      <c r="I95" s="99">
        <f>$D95-vlookup(Summary!$C95,Summary!$C$2:$Q$103,3+counta($F$1:I$1),false)</f>
        <v>0.65</v>
      </c>
      <c r="J95" s="99">
        <f>$D95-vlookup(Summary!$C95,Summary!$C$2:$Q$103,3+counta($F$1:J$1),false)</f>
        <v>0.1</v>
      </c>
      <c r="K95" s="99">
        <f>$D95-vlookup(Summary!$C95,Summary!$C$2:$Q$103,3+counta($F$1:K$1),false)</f>
        <v>-0.2</v>
      </c>
      <c r="L95" s="99">
        <f>$D95-vlookup(Summary!$C95,Summary!$C$2:$Q$103,3+counta($F$1:L$1),false)</f>
        <v>0.2</v>
      </c>
      <c r="M95" s="99">
        <f>$D95-vlookup(Summary!$C95,Summary!$C$2:$Q$103,3+counta($F$1:M$1),false)</f>
        <v>0</v>
      </c>
      <c r="N95" s="99">
        <f>$D95-vlookup(Summary!$C95,Summary!$C$2:$Q$103,3+counta($F$1:N$1),false)</f>
        <v>0.5</v>
      </c>
      <c r="O95" s="99">
        <f>$D95-vlookup(Summary!$C95,Summary!$C$2:$Q$103,3+counta($F$1:O$1),false)</f>
        <v>0.699</v>
      </c>
      <c r="P95" s="99">
        <f>$D95-vlookup(Summary!$C95,Summary!$C$2:$Q$103,3+counta($F$1:P$1),false)</f>
        <v>0.2</v>
      </c>
      <c r="Q95" s="99">
        <f>$D95-vlookup(Summary!$C95,Summary!$C$2:$Q$103,3+counta($F$1:Q$1),false)</f>
        <v>0.6</v>
      </c>
    </row>
    <row r="96" ht="15.75" customHeight="1">
      <c r="A96" s="15">
        <f>Main!A96</f>
        <v>95</v>
      </c>
      <c r="B96" s="15" t="str">
        <f>Main!B96</f>
        <v>China will invade Taiwan</v>
      </c>
      <c r="C96" s="15" t="str">
        <f>Main!C96</f>
        <v>World Politics</v>
      </c>
      <c r="D96" s="15">
        <v>0.7</v>
      </c>
      <c r="F96" s="99">
        <f>$D96-vlookup(Summary!$C96,Summary!$C$2:$Q$103,3+counta($F$1:F$1),false)</f>
        <v>0.35</v>
      </c>
      <c r="G96" s="99">
        <f>$D96-vlookup(Summary!$C96,Summary!$C$2:$Q$103,3+counta($F$1:G$1),false)</f>
        <v>0.5</v>
      </c>
      <c r="H96" s="99">
        <f>$D96-vlookup(Summary!$C96,Summary!$C$2:$Q$103,3+counta($F$1:H$1),false)</f>
        <v>0</v>
      </c>
      <c r="I96" s="99">
        <f>$D96-vlookup(Summary!$C96,Summary!$C$2:$Q$103,3+counta($F$1:I$1),false)</f>
        <v>0.1</v>
      </c>
      <c r="J96" s="99">
        <f>$D96-vlookup(Summary!$C96,Summary!$C$2:$Q$103,3+counta($F$1:J$1),false)</f>
        <v>0</v>
      </c>
      <c r="K96" s="99">
        <f>$D96-vlookup(Summary!$C96,Summary!$C$2:$Q$103,3+counta($F$1:K$1),false)</f>
        <v>0.3</v>
      </c>
      <c r="L96" s="99">
        <f>$D96-vlookup(Summary!$C96,Summary!$C$2:$Q$103,3+counta($F$1:L$1),false)</f>
        <v>0.65</v>
      </c>
      <c r="M96" s="99">
        <f>$D96-vlookup(Summary!$C96,Summary!$C$2:$Q$103,3+counta($F$1:M$1),false)</f>
        <v>0</v>
      </c>
      <c r="N96" s="99">
        <f>$D96-vlookup(Summary!$C96,Summary!$C$2:$Q$103,3+counta($F$1:N$1),false)</f>
        <v>0.5</v>
      </c>
      <c r="O96" s="99">
        <f>$D96-vlookup(Summary!$C96,Summary!$C$2:$Q$103,3+counta($F$1:O$1),false)</f>
        <v>0.699</v>
      </c>
      <c r="P96" s="99">
        <f>$D96-vlookup(Summary!$C96,Summary!$C$2:$Q$103,3+counta($F$1:P$1),false)</f>
        <v>0.6</v>
      </c>
      <c r="Q96" s="99">
        <f>$D96-vlookup(Summary!$C96,Summary!$C$2:$Q$103,3+counta($F$1:Q$1),false)</f>
        <v>0.2</v>
      </c>
    </row>
    <row r="97" ht="15.75" customHeight="1">
      <c r="A97" s="15">
        <f>Main!A97</f>
        <v>96</v>
      </c>
      <c r="B97" s="15" t="str">
        <f>Main!B97</f>
        <v>A nuclear weapon will be detonated for any purpose (including a test) somewhere on earth or in space</v>
      </c>
      <c r="C97" s="15" t="str">
        <f>Main!C97</f>
        <v>World Politics</v>
      </c>
      <c r="D97" s="15">
        <v>0.1</v>
      </c>
      <c r="F97" s="99">
        <f>$D97-vlookup(Summary!$C97,Summary!$C$2:$Q$103,3+counta($F$1:F$1),false)</f>
        <v>0</v>
      </c>
      <c r="G97" s="99">
        <f>$D97-vlookup(Summary!$C97,Summary!$C$2:$Q$103,3+counta($F$1:G$1),false)</f>
        <v>-0.3</v>
      </c>
      <c r="H97" s="99">
        <f>$D97-vlookup(Summary!$C97,Summary!$C$2:$Q$103,3+counta($F$1:H$1),false)</f>
        <v>0</v>
      </c>
      <c r="I97" s="99">
        <f>$D97-vlookup(Summary!$C97,Summary!$C$2:$Q$103,3+counta($F$1:I$1),false)</f>
        <v>-0.1</v>
      </c>
      <c r="J97" s="99">
        <f>$D97-vlookup(Summary!$C97,Summary!$C$2:$Q$103,3+counta($F$1:J$1),false)</f>
        <v>-0.7</v>
      </c>
      <c r="K97" s="99">
        <f>$D97-vlookup(Summary!$C97,Summary!$C$2:$Q$103,3+counta($F$1:K$1),false)</f>
        <v>-0.6</v>
      </c>
      <c r="L97" s="99">
        <f>$D97-vlookup(Summary!$C97,Summary!$C$2:$Q$103,3+counta($F$1:L$1),false)</f>
        <v>-0.2</v>
      </c>
      <c r="M97" s="99">
        <f>$D97-vlookup(Summary!$C97,Summary!$C$2:$Q$103,3+counta($F$1:M$1),false)</f>
        <v>0</v>
      </c>
      <c r="N97" s="99">
        <f>$D97-vlookup(Summary!$C97,Summary!$C$2:$Q$103,3+counta($F$1:N$1),false)</f>
        <v>0</v>
      </c>
      <c r="O97" s="99">
        <f>$D97-vlookup(Summary!$C97,Summary!$C$2:$Q$103,3+counta($F$1:O$1),false)</f>
        <v>-0.05</v>
      </c>
      <c r="P97" s="99">
        <f>$D97-vlookup(Summary!$C97,Summary!$C$2:$Q$103,3+counta($F$1:P$1),false)</f>
        <v>-0.4</v>
      </c>
      <c r="Q97" s="99">
        <f>$D97-vlookup(Summary!$C97,Summary!$C$2:$Q$103,3+counta($F$1:Q$1),false)</f>
        <v>-0.5</v>
      </c>
    </row>
    <row r="98" ht="15.75" customHeight="1">
      <c r="A98" s="15">
        <f>Main!A98</f>
        <v>97</v>
      </c>
      <c r="B98" s="15" t="str">
        <f>Main!B98</f>
        <v>Iran will announce it has produced a nuclear weapon</v>
      </c>
      <c r="C98" s="15" t="str">
        <f>Main!C98</f>
        <v>World Politics</v>
      </c>
      <c r="D98" s="15">
        <v>0.1</v>
      </c>
      <c r="F98" s="99">
        <f>$D98-vlookup(Summary!$C98,Summary!$C$2:$Q$103,3+counta($F$1:F$1),false)</f>
        <v>-0.35</v>
      </c>
      <c r="G98" s="99">
        <f>$D98-vlookup(Summary!$C98,Summary!$C$2:$Q$103,3+counta($F$1:G$1),false)</f>
        <v>-0.2</v>
      </c>
      <c r="H98" s="99">
        <f>$D98-vlookup(Summary!$C98,Summary!$C$2:$Q$103,3+counta($F$1:H$1),false)</f>
        <v>0</v>
      </c>
      <c r="I98" s="99">
        <f>$D98-vlookup(Summary!$C98,Summary!$C$2:$Q$103,3+counta($F$1:I$1),false)</f>
        <v>-0.1</v>
      </c>
      <c r="J98" s="99">
        <f>$D98-vlookup(Summary!$C98,Summary!$C$2:$Q$103,3+counta($F$1:J$1),false)</f>
        <v>-0.5</v>
      </c>
      <c r="K98" s="99">
        <f>$D98-vlookup(Summary!$C98,Summary!$C$2:$Q$103,3+counta($F$1:K$1),false)</f>
        <v>-0.6</v>
      </c>
      <c r="L98" s="99">
        <f>$D98-vlookup(Summary!$C98,Summary!$C$2:$Q$103,3+counta($F$1:L$1),false)</f>
        <v>-0.2</v>
      </c>
      <c r="M98" s="99">
        <f>$D98-vlookup(Summary!$C98,Summary!$C$2:$Q$103,3+counta($F$1:M$1),false)</f>
        <v>0</v>
      </c>
      <c r="N98" s="99">
        <f>$D98-vlookup(Summary!$C98,Summary!$C$2:$Q$103,3+counta($F$1:N$1),false)</f>
        <v>0</v>
      </c>
      <c r="O98" s="99">
        <f>$D98-vlookup(Summary!$C98,Summary!$C$2:$Q$103,3+counta($F$1:O$1),false)</f>
        <v>-0.05</v>
      </c>
      <c r="P98" s="99">
        <f>$D98-vlookup(Summary!$C98,Summary!$C$2:$Q$103,3+counta($F$1:P$1),false)</f>
        <v>-0.4</v>
      </c>
      <c r="Q98" s="99">
        <f>$D98-vlookup(Summary!$C98,Summary!$C$2:$Q$103,3+counta($F$1:Q$1),false)</f>
        <v>-0.5</v>
      </c>
    </row>
    <row r="99" ht="15.75" customHeight="1">
      <c r="A99" s="15">
        <f>Main!A99</f>
        <v>98</v>
      </c>
      <c r="B99" s="15" t="str">
        <f>Main!B99</f>
        <v>One or more of the G12 member countries will have diplomatically recognised Taiwan</v>
      </c>
      <c r="C99" s="15" t="str">
        <f>Main!C99</f>
        <v>World Politics</v>
      </c>
      <c r="D99" s="15">
        <v>0.1</v>
      </c>
      <c r="F99" s="99">
        <f>$D99-vlookup(Summary!$C99,Summary!$C$2:$Q$103,3+counta($F$1:F$1),false)</f>
        <v>-0.05</v>
      </c>
      <c r="G99" s="99">
        <f>$D99-vlookup(Summary!$C99,Summary!$C$2:$Q$103,3+counta($F$1:G$1),false)</f>
        <v>-0.1</v>
      </c>
      <c r="H99" s="99">
        <f>$D99-vlookup(Summary!$C99,Summary!$C$2:$Q$103,3+counta($F$1:H$1),false)</f>
        <v>0</v>
      </c>
      <c r="I99" s="99">
        <f>$D99-vlookup(Summary!$C99,Summary!$C$2:$Q$103,3+counta($F$1:I$1),false)</f>
        <v>-0.1</v>
      </c>
      <c r="J99" s="99">
        <f>$D99-vlookup(Summary!$C99,Summary!$C$2:$Q$103,3+counta($F$1:J$1),false)</f>
        <v>-0.3</v>
      </c>
      <c r="K99" s="99">
        <f>$D99-vlookup(Summary!$C99,Summary!$C$2:$Q$103,3+counta($F$1:K$1),false)</f>
        <v>-0.65</v>
      </c>
      <c r="L99" s="99">
        <f>$D99-vlookup(Summary!$C99,Summary!$C$2:$Q$103,3+counta($F$1:L$1),false)</f>
        <v>-0.2</v>
      </c>
      <c r="M99" s="99">
        <f>$D99-vlookup(Summary!$C99,Summary!$C$2:$Q$103,3+counta($F$1:M$1),false)</f>
        <v>0</v>
      </c>
      <c r="N99" s="99">
        <f>$D99-vlookup(Summary!$C99,Summary!$C$2:$Q$103,3+counta($F$1:N$1),false)</f>
        <v>-0.5</v>
      </c>
      <c r="O99" s="99">
        <f>$D99-vlookup(Summary!$C99,Summary!$C$2:$Q$103,3+counta($F$1:O$1),false)</f>
        <v>-0.05</v>
      </c>
      <c r="P99" s="99">
        <f>$D99-vlookup(Summary!$C99,Summary!$C$2:$Q$103,3+counta($F$1:P$1),false)</f>
        <v>-0.4</v>
      </c>
      <c r="Q99" s="99">
        <f>$D99-vlookup(Summary!$C99,Summary!$C$2:$Q$103,3+counta($F$1:Q$1),false)</f>
        <v>-0.5</v>
      </c>
    </row>
    <row r="100" ht="15.75" customHeight="1">
      <c r="A100" s="15">
        <f>Main!A100</f>
        <v>99</v>
      </c>
      <c r="B100" s="15" t="str">
        <f>Main!B100</f>
        <v>Russia will have invaded Ukraine (as reported by CNN, BBC, Guardian or NYT)</v>
      </c>
      <c r="C100" s="15" t="str">
        <f>Main!C100</f>
        <v>World Politics</v>
      </c>
      <c r="D100" s="15">
        <v>0.95</v>
      </c>
      <c r="F100" s="99">
        <f>$D100-vlookup(Summary!$C100,Summary!$C$2:$Q$103,3+counta($F$1:F$1),false)</f>
        <v>0.35</v>
      </c>
      <c r="G100" s="99">
        <f>$D100-vlookup(Summary!$C100,Summary!$C$2:$Q$103,3+counta($F$1:G$1),false)</f>
        <v>0.55</v>
      </c>
      <c r="H100" s="99">
        <f>$D100-vlookup(Summary!$C100,Summary!$C$2:$Q$103,3+counta($F$1:H$1),false)</f>
        <v>0</v>
      </c>
      <c r="I100" s="99">
        <f>$D100-vlookup(Summary!$C100,Summary!$C$2:$Q$103,3+counta($F$1:I$1),false)</f>
        <v>0.15</v>
      </c>
      <c r="J100" s="99">
        <f>$D100-vlookup(Summary!$C100,Summary!$C$2:$Q$103,3+counta($F$1:J$1),false)</f>
        <v>0.15</v>
      </c>
      <c r="K100" s="99">
        <f>$D100-vlookup(Summary!$C100,Summary!$C$2:$Q$103,3+counta($F$1:K$1),false)</f>
        <v>0.25</v>
      </c>
      <c r="L100" s="99">
        <f>$D100-vlookup(Summary!$C100,Summary!$C$2:$Q$103,3+counta($F$1:L$1),false)</f>
        <v>0.15</v>
      </c>
      <c r="M100" s="99">
        <f>$D100-vlookup(Summary!$C100,Summary!$C$2:$Q$103,3+counta($F$1:M$1),false)</f>
        <v>0</v>
      </c>
      <c r="N100" s="99">
        <f>$D100-vlookup(Summary!$C100,Summary!$C$2:$Q$103,3+counta($F$1:N$1),false)</f>
        <v>0.25</v>
      </c>
      <c r="O100" s="99">
        <f>$D100-vlookup(Summary!$C100,Summary!$C$2:$Q$103,3+counta($F$1:O$1),false)</f>
        <v>0.3</v>
      </c>
      <c r="P100" s="99">
        <f>$D100-vlookup(Summary!$C100,Summary!$C$2:$Q$103,3+counta($F$1:P$1),false)</f>
        <v>0.85</v>
      </c>
      <c r="Q100" s="99">
        <f>$D100-vlookup(Summary!$C100,Summary!$C$2:$Q$103,3+counta($F$1:Q$1),false)</f>
        <v>0.35</v>
      </c>
    </row>
    <row r="101" ht="15.75" customHeight="1">
      <c r="A101" s="15">
        <f>Main!A101</f>
        <v>100</v>
      </c>
      <c r="B101" s="15" t="str">
        <f>Main!B101</f>
        <v>The US will have gone to battle with China or Russia ( nuclear battle acceptable) agreed upon by at least half the people attending 2022 predictions</v>
      </c>
      <c r="C101" s="15" t="str">
        <f>Main!C101</f>
        <v>World Politics</v>
      </c>
      <c r="D101" s="15">
        <v>0.1</v>
      </c>
      <c r="F101" s="99">
        <f>$D101-vlookup(Summary!$C101,Summary!$C$2:$Q$103,3+counta($F$1:F$1),false)</f>
        <v>-0.2</v>
      </c>
      <c r="G101" s="99">
        <f>$D101-vlookup(Summary!$C101,Summary!$C$2:$Q$103,3+counta($F$1:G$1),false)</f>
        <v>0</v>
      </c>
      <c r="H101" s="99">
        <f>$D101-vlookup(Summary!$C101,Summary!$C$2:$Q$103,3+counta($F$1:H$1),false)</f>
        <v>0</v>
      </c>
      <c r="I101" s="99">
        <f>$D101-vlookup(Summary!$C101,Summary!$C$2:$Q$103,3+counta($F$1:I$1),false)</f>
        <v>0</v>
      </c>
      <c r="J101" s="99">
        <f>$D101-vlookup(Summary!$C101,Summary!$C$2:$Q$103,3+counta($F$1:J$1),false)</f>
        <v>-0.4</v>
      </c>
      <c r="K101" s="99">
        <f>$D101-vlookup(Summary!$C101,Summary!$C$2:$Q$103,3+counta($F$1:K$1),false)</f>
        <v>-0.5</v>
      </c>
      <c r="L101" s="99">
        <f>$D101-vlookup(Summary!$C101,Summary!$C$2:$Q$103,3+counta($F$1:L$1),false)</f>
        <v>0</v>
      </c>
      <c r="M101" s="99">
        <f>$D101-vlookup(Summary!$C101,Summary!$C$2:$Q$103,3+counta($F$1:M$1),false)</f>
        <v>0</v>
      </c>
      <c r="N101" s="99">
        <f>$D101-vlookup(Summary!$C101,Summary!$C$2:$Q$103,3+counta($F$1:N$1),false)</f>
        <v>-0.1</v>
      </c>
      <c r="O101" s="99">
        <f>$D101-vlookup(Summary!$C101,Summary!$C$2:$Q$103,3+counta($F$1:O$1),false)</f>
        <v>0.099</v>
      </c>
      <c r="P101" s="99">
        <f>$D101-vlookup(Summary!$C101,Summary!$C$2:$Q$103,3+counta($F$1:P$1),false)</f>
        <v>0</v>
      </c>
      <c r="Q101" s="99">
        <f>$D101-vlookup(Summary!$C101,Summary!$C$2:$Q$103,3+counta($F$1:Q$1),false)</f>
        <v>-0.1</v>
      </c>
    </row>
    <row r="102" ht="15.75" customHeight="1">
      <c r="A102" s="15">
        <f>Main!A102</f>
        <v>101</v>
      </c>
      <c r="B102" s="15" t="str">
        <f>Main!B102</f>
        <v>There is an assassination attempt on Xi Jinping as reported in The Guardian</v>
      </c>
      <c r="C102" s="15" t="str">
        <f>Main!C102</f>
        <v>World Politics</v>
      </c>
      <c r="D102" s="15">
        <v>0.05</v>
      </c>
      <c r="F102" s="99">
        <f>$D102-vlookup(Summary!$C102,Summary!$C$2:$Q$103,3+counta($F$1:F$1),false)</f>
        <v>-0.1</v>
      </c>
      <c r="G102" s="99">
        <f>$D102-vlookup(Summary!$C102,Summary!$C$2:$Q$103,3+counta($F$1:G$1),false)</f>
        <v>-0.35</v>
      </c>
      <c r="H102" s="99">
        <f>$D102-vlookup(Summary!$C102,Summary!$C$2:$Q$103,3+counta($F$1:H$1),false)</f>
        <v>0</v>
      </c>
      <c r="I102" s="99">
        <f>$D102-vlookup(Summary!$C102,Summary!$C$2:$Q$103,3+counta($F$1:I$1),false)</f>
        <v>-0.05</v>
      </c>
      <c r="J102" s="99">
        <f>$D102-vlookup(Summary!$C102,Summary!$C$2:$Q$103,3+counta($F$1:J$1),false)</f>
        <v>-0.25</v>
      </c>
      <c r="K102" s="99">
        <f>$D102-vlookup(Summary!$C102,Summary!$C$2:$Q$103,3+counta($F$1:K$1),false)</f>
        <v>-0.3</v>
      </c>
      <c r="L102" s="99">
        <f>$D102-vlookup(Summary!$C102,Summary!$C$2:$Q$103,3+counta($F$1:L$1),false)</f>
        <v>-0.45</v>
      </c>
      <c r="M102" s="99">
        <f>$D102-vlookup(Summary!$C102,Summary!$C$2:$Q$103,3+counta($F$1:M$1),false)</f>
        <v>0</v>
      </c>
      <c r="N102" s="99">
        <f>$D102-vlookup(Summary!$C102,Summary!$C$2:$Q$103,3+counta($F$1:N$1),false)</f>
        <v>-0.05</v>
      </c>
      <c r="O102" s="99">
        <f>$D102-vlookup(Summary!$C102,Summary!$C$2:$Q$103,3+counta($F$1:O$1),false)</f>
        <v>0.049</v>
      </c>
      <c r="P102" s="99">
        <f>$D102-vlookup(Summary!$C102,Summary!$C$2:$Q$103,3+counta($F$1:P$1),false)</f>
        <v>-0.05</v>
      </c>
      <c r="Q102" s="99">
        <f>$D102-vlookup(Summary!$C102,Summary!$C$2:$Q$103,3+counta($F$1:Q$1),false)</f>
        <v>-0.4</v>
      </c>
    </row>
    <row r="103" ht="15.75" customHeight="1">
      <c r="A103" s="15">
        <f>Main!A103</f>
        <v>102</v>
      </c>
      <c r="B103" s="15" t="str">
        <f>Main!B103</f>
        <v>Bolsanaro wins the next Brazilian elections</v>
      </c>
      <c r="C103" s="15" t="str">
        <f>Main!C103</f>
        <v>World Politics</v>
      </c>
      <c r="D103" s="15">
        <v>0.4</v>
      </c>
      <c r="F103" s="99">
        <f>$D103-vlookup(Summary!$C103,Summary!$C$2:$Q$103,3+counta($F$1:F$1),false)</f>
        <v>0</v>
      </c>
      <c r="G103" s="99">
        <f>$D103-vlookup(Summary!$C103,Summary!$C$2:$Q$103,3+counta($F$1:G$1),false)</f>
        <v>0.1</v>
      </c>
      <c r="H103" s="99">
        <f>$D103-vlookup(Summary!$C103,Summary!$C$2:$Q$103,3+counta($F$1:H$1),false)</f>
        <v>0</v>
      </c>
      <c r="I103" s="99">
        <f>$D103-vlookup(Summary!$C103,Summary!$C$2:$Q$103,3+counta($F$1:I$1),false)</f>
        <v>0</v>
      </c>
      <c r="J103" s="99">
        <f>$D103-vlookup(Summary!$C103,Summary!$C$2:$Q$103,3+counta($F$1:J$1),false)</f>
        <v>-0.4</v>
      </c>
      <c r="K103" s="99">
        <f>$D103-vlookup(Summary!$C103,Summary!$C$2:$Q$103,3+counta($F$1:K$1),false)</f>
        <v>-0.35</v>
      </c>
      <c r="L103" s="99">
        <f>$D103-vlookup(Summary!$C103,Summary!$C$2:$Q$103,3+counta($F$1:L$1),false)</f>
        <v>0.1</v>
      </c>
      <c r="M103" s="99">
        <f>$D103-vlookup(Summary!$C103,Summary!$C$2:$Q$103,3+counta($F$1:M$1),false)</f>
        <v>0</v>
      </c>
      <c r="N103" s="99">
        <f>$D103-vlookup(Summary!$C103,Summary!$C$2:$Q$103,3+counta($F$1:N$1),false)</f>
        <v>0.2</v>
      </c>
      <c r="O103" s="99">
        <f>$D103-vlookup(Summary!$C103,Summary!$C$2:$Q$103,3+counta($F$1:O$1),false)</f>
        <v>-0.25</v>
      </c>
      <c r="P103" s="99">
        <f>$D103-vlookup(Summary!$C103,Summary!$C$2:$Q$103,3+counta($F$1:P$1),false)</f>
        <v>0.3</v>
      </c>
      <c r="Q103" s="99">
        <f>$D103-vlookup(Summary!$C103,Summary!$C$2:$Q$103,3+counta($F$1:Q$1),false)</f>
        <v>-0.2</v>
      </c>
    </row>
    <row r="104" ht="15.75" customHeight="1">
      <c r="A104" s="15" t="str">
        <f>Main!A104</f>
        <v/>
      </c>
      <c r="B104" s="15" t="str">
        <f>Main!B104</f>
        <v/>
      </c>
      <c r="C104" s="15" t="str">
        <f>Main!C104</f>
        <v/>
      </c>
      <c r="E104" s="104" t="s">
        <v>197</v>
      </c>
      <c r="F104" s="102">
        <f t="shared" ref="F104:Q104" si="1">countif(F$2:F$103,"&gt;=0.5")+countif(F$2:F$103,"&lt;=-0.5")</f>
        <v>19</v>
      </c>
      <c r="G104" s="101">
        <f t="shared" si="1"/>
        <v>23</v>
      </c>
      <c r="H104" s="101">
        <f t="shared" si="1"/>
        <v>1</v>
      </c>
      <c r="I104" s="101">
        <f t="shared" si="1"/>
        <v>28</v>
      </c>
      <c r="J104" s="101">
        <f t="shared" si="1"/>
        <v>24</v>
      </c>
      <c r="K104" s="101">
        <f t="shared" si="1"/>
        <v>27</v>
      </c>
      <c r="L104" s="101">
        <f t="shared" si="1"/>
        <v>22</v>
      </c>
      <c r="M104" s="101">
        <f t="shared" si="1"/>
        <v>0</v>
      </c>
      <c r="N104" s="103">
        <f t="shared" si="1"/>
        <v>33</v>
      </c>
      <c r="O104" s="101">
        <f t="shared" si="1"/>
        <v>22</v>
      </c>
      <c r="P104" s="101">
        <f t="shared" si="1"/>
        <v>24</v>
      </c>
      <c r="Q104" s="101">
        <f t="shared" si="1"/>
        <v>22</v>
      </c>
    </row>
    <row r="105" ht="15.75" customHeight="1">
      <c r="A105" s="15" t="str">
        <f>Main!A105</f>
        <v/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14:B1000">
    <cfRule type="notContainsBlanks" dxfId="2" priority="1">
      <formula>LEN(TRIM(B114))&gt;0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119.25"/>
    <col customWidth="1" min="3" max="3" width="12.63"/>
    <col customWidth="1" min="4" max="4" width="19.75"/>
    <col customWidth="1" min="5" max="5" width="19.88"/>
    <col customWidth="1" min="6" max="7" width="12.63"/>
  </cols>
  <sheetData>
    <row r="1" ht="15.75" customHeight="1">
      <c r="A1" s="92" t="s">
        <v>4</v>
      </c>
      <c r="B1" s="92" t="s">
        <v>6</v>
      </c>
      <c r="C1" s="92" t="s">
        <v>5</v>
      </c>
      <c r="D1" s="92" t="s">
        <v>194</v>
      </c>
      <c r="E1" s="92" t="s">
        <v>195</v>
      </c>
      <c r="F1" s="8" t="s">
        <v>9</v>
      </c>
      <c r="G1" s="10" t="s">
        <v>21</v>
      </c>
      <c r="H1" s="8" t="s">
        <v>11</v>
      </c>
      <c r="I1" s="10" t="s">
        <v>12</v>
      </c>
      <c r="J1" s="8" t="s">
        <v>13</v>
      </c>
      <c r="K1" s="98" t="s">
        <v>196</v>
      </c>
      <c r="L1" s="8" t="s">
        <v>15</v>
      </c>
      <c r="M1" s="10" t="s">
        <v>16</v>
      </c>
      <c r="N1" s="8" t="s">
        <v>17</v>
      </c>
      <c r="O1" s="10" t="s">
        <v>18</v>
      </c>
      <c r="P1" s="8" t="s">
        <v>19</v>
      </c>
      <c r="Q1" s="10" t="s">
        <v>20</v>
      </c>
    </row>
    <row r="2" ht="15.75" customHeight="1">
      <c r="A2" s="15">
        <f>Main!A2</f>
        <v>1</v>
      </c>
      <c r="B2" s="15" t="str">
        <f>Main!B2</f>
        <v>That there will be a hung parliament at the next election and Labor will take office</v>
      </c>
      <c r="C2" s="15" t="str">
        <f>Main!C2</f>
        <v>Aus Politics</v>
      </c>
      <c r="D2" s="15">
        <v>0.8</v>
      </c>
      <c r="F2" s="99">
        <f>$D2-vlookup(Summary!$C2,Summary!$C$2:$Q$103,3+counta($F$1:F$1),false)</f>
        <v>0.4</v>
      </c>
      <c r="G2" s="99">
        <f>$D2-vlookup(Summary!$C2,Summary!$C$2:$Q$103,3+counta($F$1:G$1),false)</f>
        <v>0.1</v>
      </c>
      <c r="H2" s="99">
        <f>$D2-vlookup(Summary!$C2,Summary!$C$2:$Q$103,3+counta($F$1:H$1),false)</f>
        <v>0.7</v>
      </c>
      <c r="I2" s="99">
        <f>$D2-vlookup(Summary!$C2,Summary!$C$2:$Q$103,3+counta($F$1:I$1),false)</f>
        <v>0.6</v>
      </c>
      <c r="J2" s="99">
        <f>$D2-vlookup(Summary!$C2,Summary!$C$2:$Q$103,3+counta($F$1:J$1),false)</f>
        <v>0.3</v>
      </c>
      <c r="K2" s="99">
        <f>$D2-vlookup(Summary!$C2,Summary!$C$2:$Q$103,3+counta($F$1:K$1),false)</f>
        <v>0.15</v>
      </c>
      <c r="L2" s="99">
        <f>$D2-vlookup(Summary!$C2,Summary!$C$2:$Q$103,3+counta($F$1:L$1),false)</f>
        <v>0.6</v>
      </c>
      <c r="M2" s="99">
        <f>$D2-vlookup(Summary!$C2,Summary!$C$2:$Q$103,3+counta($F$1:M$1),false)</f>
        <v>0.7</v>
      </c>
      <c r="N2" s="99">
        <f>$D2-vlookup(Summary!$C2,Summary!$C$2:$Q$103,3+counta($F$1:N$1),false)</f>
        <v>0</v>
      </c>
      <c r="O2" s="99">
        <f>$D2-vlookup(Summary!$C2,Summary!$C$2:$Q$103,3+counta($F$1:O$1),false)</f>
        <v>0.45</v>
      </c>
      <c r="P2" s="99">
        <f>$D2-vlookup(Summary!$C2,Summary!$C$2:$Q$103,3+counta($F$1:P$1),false)</f>
        <v>0.7</v>
      </c>
      <c r="Q2" s="99">
        <f>$D2-vlookup(Summary!$C2,Summary!$C$2:$Q$103,3+counta($F$1:Q$1),false)</f>
        <v>0.35</v>
      </c>
    </row>
    <row r="3" ht="15.75" customHeight="1">
      <c r="A3" s="15">
        <f>Main!A3</f>
        <v>2</v>
      </c>
      <c r="B3" s="15" t="str">
        <f>Main!B3</f>
        <v>Dan Andrews will become leader of the Australian Labor Party</v>
      </c>
      <c r="C3" s="15" t="str">
        <f>Main!C3</f>
        <v>Aus Politics</v>
      </c>
      <c r="D3" s="15">
        <v>0.1</v>
      </c>
      <c r="F3" s="99">
        <f>$D3-vlookup(Summary!$C3,Summary!$C$2:$Q$103,3+counta($F$1:F$1),false)</f>
        <v>-0.1</v>
      </c>
      <c r="G3" s="99">
        <f>$D3-vlookup(Summary!$C3,Summary!$C$2:$Q$103,3+counta($F$1:G$1),false)</f>
        <v>0</v>
      </c>
      <c r="H3" s="99">
        <f>$D3-vlookup(Summary!$C3,Summary!$C$2:$Q$103,3+counta($F$1:H$1),false)</f>
        <v>0.05</v>
      </c>
      <c r="I3" s="99">
        <f>$D3-vlookup(Summary!$C3,Summary!$C$2:$Q$103,3+counta($F$1:I$1),false)</f>
        <v>-0.1</v>
      </c>
      <c r="J3" s="99">
        <f>$D3-vlookup(Summary!$C3,Summary!$C$2:$Q$103,3+counta($F$1:J$1),false)</f>
        <v>0</v>
      </c>
      <c r="K3" s="99">
        <f>$D3-vlookup(Summary!$C3,Summary!$C$2:$Q$103,3+counta($F$1:K$1),false)</f>
        <v>0.1</v>
      </c>
      <c r="L3" s="99">
        <f>$D3-vlookup(Summary!$C3,Summary!$C$2:$Q$103,3+counta($F$1:L$1),false)</f>
        <v>0.099</v>
      </c>
      <c r="M3" s="99">
        <f>$D3-vlookup(Summary!$C3,Summary!$C$2:$Q$103,3+counta($F$1:M$1),false)</f>
        <v>0.05</v>
      </c>
      <c r="N3" s="99">
        <f>$D3-vlookup(Summary!$C3,Summary!$C$2:$Q$103,3+counta($F$1:N$1),false)</f>
        <v>0</v>
      </c>
      <c r="O3" s="99">
        <f>$D3-vlookup(Summary!$C3,Summary!$C$2:$Q$103,3+counta($F$1:O$1),false)</f>
        <v>0.099</v>
      </c>
      <c r="P3" s="99">
        <f>$D3-vlookup(Summary!$C3,Summary!$C$2:$Q$103,3+counta($F$1:P$1),false)</f>
        <v>0</v>
      </c>
      <c r="Q3" s="99">
        <f>$D3-vlookup(Summary!$C3,Summary!$C$2:$Q$103,3+counta($F$1:Q$1),false)</f>
        <v>0.09</v>
      </c>
    </row>
    <row r="4" ht="15.75" customHeight="1">
      <c r="A4" s="15">
        <f>Main!A4</f>
        <v>3</v>
      </c>
      <c r="B4" s="15" t="str">
        <f>Main!B4</f>
        <v>The Greens will get more than 9 senators in the next federal election</v>
      </c>
      <c r="C4" s="15" t="str">
        <f>Main!C4</f>
        <v>Aus Politics</v>
      </c>
      <c r="D4" s="15">
        <v>0.1</v>
      </c>
      <c r="F4" s="99">
        <f>$D4-vlookup(Summary!$C4,Summary!$C$2:$Q$103,3+counta($F$1:F$1),false)</f>
        <v>-0.5</v>
      </c>
      <c r="G4" s="99">
        <f>$D4-vlookup(Summary!$C4,Summary!$C$2:$Q$103,3+counta($F$1:G$1),false)</f>
        <v>-0.2</v>
      </c>
      <c r="H4" s="99">
        <f>$D4-vlookup(Summary!$C4,Summary!$C$2:$Q$103,3+counta($F$1:H$1),false)</f>
        <v>0</v>
      </c>
      <c r="I4" s="99">
        <f>$D4-vlookup(Summary!$C4,Summary!$C$2:$Q$103,3+counta($F$1:I$1),false)</f>
        <v>-0.5</v>
      </c>
      <c r="J4" s="99">
        <f>$D4-vlookup(Summary!$C4,Summary!$C$2:$Q$103,3+counta($F$1:J$1),false)</f>
        <v>-0.6</v>
      </c>
      <c r="K4" s="99">
        <f>$D4-vlookup(Summary!$C4,Summary!$C$2:$Q$103,3+counta($F$1:K$1),false)</f>
        <v>-0.5</v>
      </c>
      <c r="L4" s="99">
        <f>$D4-vlookup(Summary!$C4,Summary!$C$2:$Q$103,3+counta($F$1:L$1),false)</f>
        <v>-0.6</v>
      </c>
      <c r="M4" s="99">
        <f>$D4-vlookup(Summary!$C4,Summary!$C$2:$Q$103,3+counta($F$1:M$1),false)</f>
        <v>0</v>
      </c>
      <c r="N4" s="99">
        <f>$D4-vlookup(Summary!$C4,Summary!$C$2:$Q$103,3+counta($F$1:N$1),false)</f>
        <v>0</v>
      </c>
      <c r="O4" s="99">
        <f>$D4-vlookup(Summary!$C4,Summary!$C$2:$Q$103,3+counta($F$1:O$1),false)</f>
        <v>-0.4</v>
      </c>
      <c r="P4" s="99">
        <f>$D4-vlookup(Summary!$C4,Summary!$C$2:$Q$103,3+counta($F$1:P$1),false)</f>
        <v>-0.4</v>
      </c>
      <c r="Q4" s="99">
        <f>$D4-vlookup(Summary!$C4,Summary!$C$2:$Q$103,3+counta($F$1:Q$1),false)</f>
        <v>-0.45</v>
      </c>
    </row>
    <row r="5" ht="15.75" customHeight="1">
      <c r="A5" s="15">
        <f>Main!A5</f>
        <v>4</v>
      </c>
      <c r="B5" s="15" t="str">
        <f>Main!B5</f>
        <v>The House of Reps will include 5 independents by the end of the federal election</v>
      </c>
      <c r="C5" s="15" t="str">
        <f>Main!C5</f>
        <v>Aus Politics</v>
      </c>
      <c r="D5" s="15">
        <v>0.9</v>
      </c>
      <c r="F5" s="99">
        <f>$D5-vlookup(Summary!$C5,Summary!$C$2:$Q$103,3+counta($F$1:F$1),false)</f>
        <v>0.2</v>
      </c>
      <c r="G5" s="99">
        <f>$D5-vlookup(Summary!$C5,Summary!$C$2:$Q$103,3+counta($F$1:G$1),false)</f>
        <v>0.6</v>
      </c>
      <c r="H5" s="99">
        <f>$D5-vlookup(Summary!$C5,Summary!$C$2:$Q$103,3+counta($F$1:H$1),false)</f>
        <v>0.8</v>
      </c>
      <c r="I5" s="99">
        <f>$D5-vlookup(Summary!$C5,Summary!$C$2:$Q$103,3+counta($F$1:I$1),false)</f>
        <v>0.2</v>
      </c>
      <c r="J5" s="99">
        <f>$D5-vlookup(Summary!$C5,Summary!$C$2:$Q$103,3+counta($F$1:J$1),false)</f>
        <v>0</v>
      </c>
      <c r="K5" s="99">
        <f>$D5-vlookup(Summary!$C5,Summary!$C$2:$Q$103,3+counta($F$1:K$1),false)</f>
        <v>0.15</v>
      </c>
      <c r="L5" s="99">
        <f>$D5-vlookup(Summary!$C5,Summary!$C$2:$Q$103,3+counta($F$1:L$1),false)</f>
        <v>0.899</v>
      </c>
      <c r="M5" s="99">
        <f>$D5-vlookup(Summary!$C5,Summary!$C$2:$Q$103,3+counta($F$1:M$1),false)</f>
        <v>0.8</v>
      </c>
      <c r="N5" s="99">
        <f>$D5-vlookup(Summary!$C5,Summary!$C$2:$Q$103,3+counta($F$1:N$1),false)</f>
        <v>0</v>
      </c>
      <c r="O5" s="99">
        <f>$D5-vlookup(Summary!$C5,Summary!$C$2:$Q$103,3+counta($F$1:O$1),false)</f>
        <v>0.4</v>
      </c>
      <c r="P5" s="99">
        <f>$D5-vlookup(Summary!$C5,Summary!$C$2:$Q$103,3+counta($F$1:P$1),false)</f>
        <v>0.1</v>
      </c>
      <c r="Q5" s="99">
        <f>$D5-vlookup(Summary!$C5,Summary!$C$2:$Q$103,3+counta($F$1:Q$1),false)</f>
        <v>0.2</v>
      </c>
    </row>
    <row r="6" ht="15.75" customHeight="1">
      <c r="A6" s="15">
        <f>Main!A6</f>
        <v>5</v>
      </c>
      <c r="B6" s="15" t="str">
        <f>Main!B6</f>
        <v>The Australian Labor Party will not pledge to reverse the uni fee structure introduced in 2020</v>
      </c>
      <c r="C6" s="15" t="str">
        <f>Main!C6</f>
        <v>Aus Politics</v>
      </c>
      <c r="D6" s="15">
        <v>0.9</v>
      </c>
      <c r="F6" s="99">
        <f>$D6-vlookup(Summary!$C6,Summary!$C$2:$Q$103,3+counta($F$1:F$1),false)</f>
        <v>0.3</v>
      </c>
      <c r="G6" s="99">
        <f>$D6-vlookup(Summary!$C6,Summary!$C$2:$Q$103,3+counta($F$1:G$1),false)</f>
        <v>0.1</v>
      </c>
      <c r="H6" s="99">
        <f>$D6-vlookup(Summary!$C6,Summary!$C$2:$Q$103,3+counta($F$1:H$1),false)</f>
        <v>0</v>
      </c>
      <c r="I6" s="99">
        <f>$D6-vlookup(Summary!$C6,Summary!$C$2:$Q$103,3+counta($F$1:I$1),false)</f>
        <v>0.2</v>
      </c>
      <c r="J6" s="99">
        <f>$D6-vlookup(Summary!$C6,Summary!$C$2:$Q$103,3+counta($F$1:J$1),false)</f>
        <v>0.4</v>
      </c>
      <c r="K6" s="99">
        <f>$D6-vlookup(Summary!$C6,Summary!$C$2:$Q$103,3+counta($F$1:K$1),false)</f>
        <v>0.05</v>
      </c>
      <c r="L6" s="99">
        <f>$D6-vlookup(Summary!$C6,Summary!$C$2:$Q$103,3+counta($F$1:L$1),false)</f>
        <v>0</v>
      </c>
      <c r="M6" s="99">
        <f>$D6-vlookup(Summary!$C6,Summary!$C$2:$Q$103,3+counta($F$1:M$1),false)</f>
        <v>0</v>
      </c>
      <c r="N6" s="99">
        <f>$D6-vlookup(Summary!$C6,Summary!$C$2:$Q$103,3+counta($F$1:N$1),false)</f>
        <v>0</v>
      </c>
      <c r="O6" s="99">
        <f>$D6-vlookup(Summary!$C6,Summary!$C$2:$Q$103,3+counta($F$1:O$1),false)</f>
        <v>0.05</v>
      </c>
      <c r="P6" s="99">
        <f>$D6-vlookup(Summary!$C6,Summary!$C$2:$Q$103,3+counta($F$1:P$1),false)</f>
        <v>0.1</v>
      </c>
      <c r="Q6" s="99">
        <f>$D6-vlookup(Summary!$C6,Summary!$C$2:$Q$103,3+counta($F$1:Q$1),false)</f>
        <v>0.15</v>
      </c>
    </row>
    <row r="7" ht="15.75" customHeight="1">
      <c r="A7" s="15">
        <f>Main!A7</f>
        <v>6</v>
      </c>
      <c r="B7" s="15" t="str">
        <f>Main!B7</f>
        <v>Zali Steggal and Helen Haines will both retain their seats in Federal Parliament</v>
      </c>
      <c r="C7" s="15" t="str">
        <f>Main!C7</f>
        <v>Aus Politics</v>
      </c>
      <c r="D7" s="15">
        <v>0.9</v>
      </c>
      <c r="F7" s="99">
        <f>$D7-vlookup(Summary!$C7,Summary!$C$2:$Q$103,3+counta($F$1:F$1),false)</f>
        <v>0.4</v>
      </c>
      <c r="G7" s="99">
        <f>$D7-vlookup(Summary!$C7,Summary!$C$2:$Q$103,3+counta($F$1:G$1),false)</f>
        <v>0</v>
      </c>
      <c r="H7" s="99">
        <f>$D7-vlookup(Summary!$C7,Summary!$C$2:$Q$103,3+counta($F$1:H$1),false)</f>
        <v>0.4</v>
      </c>
      <c r="I7" s="99">
        <f>$D7-vlookup(Summary!$C7,Summary!$C$2:$Q$103,3+counta($F$1:I$1),false)</f>
        <v>0.2</v>
      </c>
      <c r="J7" s="99">
        <f>$D7-vlookup(Summary!$C7,Summary!$C$2:$Q$103,3+counta($F$1:J$1),false)</f>
        <v>0</v>
      </c>
      <c r="K7" s="99">
        <f>$D7-vlookup(Summary!$C7,Summary!$C$2:$Q$103,3+counta($F$1:K$1),false)</f>
        <v>-0.05</v>
      </c>
      <c r="L7" s="99">
        <f>$D7-vlookup(Summary!$C7,Summary!$C$2:$Q$103,3+counta($F$1:L$1),false)</f>
        <v>0.5</v>
      </c>
      <c r="M7" s="99">
        <f>$D7-vlookup(Summary!$C7,Summary!$C$2:$Q$103,3+counta($F$1:M$1),false)</f>
        <v>0.4</v>
      </c>
      <c r="N7" s="99">
        <f>$D7-vlookup(Summary!$C7,Summary!$C$2:$Q$103,3+counta($F$1:N$1),false)</f>
        <v>0</v>
      </c>
      <c r="O7" s="99">
        <f>$D7-vlookup(Summary!$C7,Summary!$C$2:$Q$103,3+counta($F$1:O$1),false)</f>
        <v>0.05</v>
      </c>
      <c r="P7" s="99">
        <f>$D7-vlookup(Summary!$C7,Summary!$C$2:$Q$103,3+counta($F$1:P$1),false)</f>
        <v>0</v>
      </c>
      <c r="Q7" s="99">
        <f>$D7-vlookup(Summary!$C7,Summary!$C$2:$Q$103,3+counta($F$1:Q$1),false)</f>
        <v>0.4</v>
      </c>
    </row>
    <row r="8" ht="15.75" customHeight="1">
      <c r="A8" s="15">
        <f>Main!A8</f>
        <v>7</v>
      </c>
      <c r="B8" s="15" t="str">
        <f>Main!B8</f>
        <v>Scott Morrison will lose leadership of the Liberal Party at least once</v>
      </c>
      <c r="C8" s="15" t="str">
        <f>Main!C8</f>
        <v>Aus Politics</v>
      </c>
      <c r="D8" s="15">
        <v>0.9</v>
      </c>
      <c r="F8" s="99">
        <f>$D8-vlookup(Summary!$C8,Summary!$C$2:$Q$103,3+counta($F$1:F$1),false)</f>
        <v>0.1</v>
      </c>
      <c r="G8" s="99">
        <f>$D8-vlookup(Summary!$C8,Summary!$C$2:$Q$103,3+counta($F$1:G$1),false)</f>
        <v>0.2</v>
      </c>
      <c r="H8" s="99">
        <f>$D8-vlookup(Summary!$C8,Summary!$C$2:$Q$103,3+counta($F$1:H$1),false)</f>
        <v>0.75</v>
      </c>
      <c r="I8" s="99">
        <f>$D8-vlookup(Summary!$C8,Summary!$C$2:$Q$103,3+counta($F$1:I$1),false)</f>
        <v>0.6</v>
      </c>
      <c r="J8" s="99">
        <f>$D8-vlookup(Summary!$C8,Summary!$C$2:$Q$103,3+counta($F$1:J$1),false)</f>
        <v>0.3</v>
      </c>
      <c r="K8" s="99">
        <f>$D8-vlookup(Summary!$C8,Summary!$C$2:$Q$103,3+counta($F$1:K$1),false)</f>
        <v>0.15</v>
      </c>
      <c r="L8" s="99">
        <f>$D8-vlookup(Summary!$C8,Summary!$C$2:$Q$103,3+counta($F$1:L$1),false)</f>
        <v>0.4</v>
      </c>
      <c r="M8" s="99">
        <f>$D8-vlookup(Summary!$C8,Summary!$C$2:$Q$103,3+counta($F$1:M$1),false)</f>
        <v>0.85</v>
      </c>
      <c r="N8" s="99">
        <f>$D8-vlookup(Summary!$C8,Summary!$C$2:$Q$103,3+counta($F$1:N$1),false)</f>
        <v>0</v>
      </c>
      <c r="O8" s="99">
        <f>$D8-vlookup(Summary!$C8,Summary!$C$2:$Q$103,3+counta($F$1:O$1),false)</f>
        <v>0.55</v>
      </c>
      <c r="P8" s="99">
        <f>$D8-vlookup(Summary!$C8,Summary!$C$2:$Q$103,3+counta($F$1:P$1),false)</f>
        <v>0.2</v>
      </c>
      <c r="Q8" s="99">
        <f>$D8-vlookup(Summary!$C8,Summary!$C$2:$Q$103,3+counta($F$1:Q$1),false)</f>
        <v>0</v>
      </c>
    </row>
    <row r="9" ht="15.75" customHeight="1">
      <c r="A9" s="15">
        <f>Main!A9</f>
        <v>8</v>
      </c>
      <c r="B9" s="15" t="str">
        <f>Main!B9</f>
        <v>Anthony Albanese will be Prime Minister on at least one day</v>
      </c>
      <c r="C9" s="15" t="str">
        <f>Main!C9</f>
        <v>Aus Politics</v>
      </c>
      <c r="D9" s="15">
        <v>0.9</v>
      </c>
      <c r="F9" s="99">
        <f>$D9-vlookup(Summary!$C9,Summary!$C$2:$Q$103,3+counta($F$1:F$1),false)</f>
        <v>0.3</v>
      </c>
      <c r="G9" s="99">
        <f>$D9-vlookup(Summary!$C9,Summary!$C$2:$Q$103,3+counta($F$1:G$1),false)</f>
        <v>0</v>
      </c>
      <c r="H9" s="99">
        <f>$D9-vlookup(Summary!$C9,Summary!$C$2:$Q$103,3+counta($F$1:H$1),false)</f>
        <v>0.85</v>
      </c>
      <c r="I9" s="99">
        <f>$D9-vlookup(Summary!$C9,Summary!$C$2:$Q$103,3+counta($F$1:I$1),false)</f>
        <v>0.6</v>
      </c>
      <c r="J9" s="99">
        <f>$D9-vlookup(Summary!$C9,Summary!$C$2:$Q$103,3+counta($F$1:J$1),false)</f>
        <v>0.8</v>
      </c>
      <c r="K9" s="99">
        <f>$D9-vlookup(Summary!$C9,Summary!$C$2:$Q$103,3+counta($F$1:K$1),false)</f>
        <v>0.15</v>
      </c>
      <c r="L9" s="99">
        <f>$D9-vlookup(Summary!$C9,Summary!$C$2:$Q$103,3+counta($F$1:L$1),false)</f>
        <v>0.6</v>
      </c>
      <c r="M9" s="99">
        <f>$D9-vlookup(Summary!$C9,Summary!$C$2:$Q$103,3+counta($F$1:M$1),false)</f>
        <v>0.85</v>
      </c>
      <c r="N9" s="99">
        <f>$D9-vlookup(Summary!$C9,Summary!$C$2:$Q$103,3+counta($F$1:N$1),false)</f>
        <v>0</v>
      </c>
      <c r="O9" s="99">
        <f>$D9-vlookup(Summary!$C9,Summary!$C$2:$Q$103,3+counta($F$1:O$1),false)</f>
        <v>0.55</v>
      </c>
      <c r="P9" s="99">
        <f>$D9-vlookup(Summary!$C9,Summary!$C$2:$Q$103,3+counta($F$1:P$1),false)</f>
        <v>0.1</v>
      </c>
      <c r="Q9" s="99">
        <f>$D9-vlookup(Summary!$C9,Summary!$C$2:$Q$103,3+counta($F$1:Q$1),false)</f>
        <v>0.5</v>
      </c>
    </row>
    <row r="10" ht="15.75" customHeight="1">
      <c r="A10" s="15">
        <f>Main!A10</f>
        <v>9</v>
      </c>
      <c r="B10" s="15" t="str">
        <f>Main!B10</f>
        <v>A sitting MP will make allegations of possible voter fraud or election 'rigging' in the 2022 Australian federal election</v>
      </c>
      <c r="C10" s="15" t="str">
        <f>Main!C10</f>
        <v>Aus Politics</v>
      </c>
      <c r="D10" s="15">
        <v>0.7</v>
      </c>
      <c r="F10" s="99">
        <f>$D10-vlookup(Summary!$C10,Summary!$C$2:$Q$103,3+counta($F$1:F$1),false)</f>
        <v>0.15</v>
      </c>
      <c r="G10" s="99">
        <f>$D10-vlookup(Summary!$C10,Summary!$C$2:$Q$103,3+counta($F$1:G$1),false)</f>
        <v>0.4</v>
      </c>
      <c r="H10" s="99">
        <f>$D10-vlookup(Summary!$C10,Summary!$C$2:$Q$103,3+counta($F$1:H$1),false)</f>
        <v>0.4</v>
      </c>
      <c r="I10" s="99">
        <f>$D10-vlookup(Summary!$C10,Summary!$C$2:$Q$103,3+counta($F$1:I$1),false)</f>
        <v>0.3</v>
      </c>
      <c r="J10" s="99">
        <f>$D10-vlookup(Summary!$C10,Summary!$C$2:$Q$103,3+counta($F$1:J$1),false)</f>
        <v>-0.2</v>
      </c>
      <c r="K10" s="99">
        <f>$D10-vlookup(Summary!$C10,Summary!$C$2:$Q$103,3+counta($F$1:K$1),false)</f>
        <v>0.35</v>
      </c>
      <c r="L10" s="99">
        <f>$D10-vlookup(Summary!$C10,Summary!$C$2:$Q$103,3+counta($F$1:L$1),false)</f>
        <v>-0.2</v>
      </c>
      <c r="M10" s="99">
        <f>$D10-vlookup(Summary!$C10,Summary!$C$2:$Q$103,3+counta($F$1:M$1),false)</f>
        <v>0.4</v>
      </c>
      <c r="N10" s="99">
        <f>$D10-vlookup(Summary!$C10,Summary!$C$2:$Q$103,3+counta($F$1:N$1),false)</f>
        <v>0</v>
      </c>
      <c r="O10" s="99">
        <f>$D10-vlookup(Summary!$C10,Summary!$C$2:$Q$103,3+counta($F$1:O$1),false)</f>
        <v>-0.15</v>
      </c>
      <c r="P10" s="99">
        <f>$D10-vlookup(Summary!$C10,Summary!$C$2:$Q$103,3+counta($F$1:P$1),false)</f>
        <v>0.3</v>
      </c>
      <c r="Q10" s="99">
        <f>$D10-vlookup(Summary!$C10,Summary!$C$2:$Q$103,3+counta($F$1:Q$1),false)</f>
        <v>-0.1</v>
      </c>
    </row>
    <row r="11" ht="15.75" customHeight="1">
      <c r="A11" s="15">
        <f>Main!A11</f>
        <v>10</v>
      </c>
      <c r="B11" s="15" t="str">
        <f>Main!B11</f>
        <v>The Australian Intelligence Community will release a statement contradicting a Government minister or MP during the 2022 election campaign</v>
      </c>
      <c r="C11" s="15" t="str">
        <f>Main!C11</f>
        <v>Aus Politics</v>
      </c>
      <c r="D11" s="15">
        <v>0.9</v>
      </c>
      <c r="F11" s="99">
        <f>$D11-vlookup(Summary!$C11,Summary!$C$2:$Q$103,3+counta($F$1:F$1),false)</f>
        <v>0.5</v>
      </c>
      <c r="G11" s="99">
        <f>$D11-vlookup(Summary!$C11,Summary!$C$2:$Q$103,3+counta($F$1:G$1),false)</f>
        <v>0.7</v>
      </c>
      <c r="H11" s="99">
        <f>$D11-vlookup(Summary!$C11,Summary!$C$2:$Q$103,3+counta($F$1:H$1),false)</f>
        <v>0.8</v>
      </c>
      <c r="I11" s="99">
        <f>$D11-vlookup(Summary!$C11,Summary!$C$2:$Q$103,3+counta($F$1:I$1),false)</f>
        <v>0.7</v>
      </c>
      <c r="J11" s="99">
        <f>$D11-vlookup(Summary!$C11,Summary!$C$2:$Q$103,3+counta($F$1:J$1),false)</f>
        <v>0.8</v>
      </c>
      <c r="K11" s="99">
        <f>$D11-vlookup(Summary!$C11,Summary!$C$2:$Q$103,3+counta($F$1:K$1),false)</f>
        <v>0.35</v>
      </c>
      <c r="L11" s="99">
        <f>$D11-vlookup(Summary!$C11,Summary!$C$2:$Q$103,3+counta($F$1:L$1),false)</f>
        <v>0.75</v>
      </c>
      <c r="M11" s="99">
        <f>$D11-vlookup(Summary!$C11,Summary!$C$2:$Q$103,3+counta($F$1:M$1),false)</f>
        <v>0.8</v>
      </c>
      <c r="N11" s="99">
        <f>$D11-vlookup(Summary!$C11,Summary!$C$2:$Q$103,3+counta($F$1:N$1),false)</f>
        <v>0</v>
      </c>
      <c r="O11" s="99">
        <f>$D11-vlookup(Summary!$C11,Summary!$C$2:$Q$103,3+counta($F$1:O$1),false)</f>
        <v>0.899</v>
      </c>
      <c r="P11" s="99">
        <f>$D11-vlookup(Summary!$C11,Summary!$C$2:$Q$103,3+counta($F$1:P$1),false)</f>
        <v>0.8</v>
      </c>
      <c r="Q11" s="99">
        <f>$D11-vlookup(Summary!$C11,Summary!$C$2:$Q$103,3+counta($F$1:Q$1),false)</f>
        <v>0.15</v>
      </c>
    </row>
    <row r="12" ht="15.75" customHeight="1">
      <c r="A12" s="15">
        <f>Main!A12</f>
        <v>11</v>
      </c>
      <c r="B12" s="15" t="str">
        <f>Main!B12</f>
        <v>Scott Morrison will still be the Prime Minister of Australia</v>
      </c>
      <c r="C12" s="15" t="str">
        <f>Main!C12</f>
        <v>Aus Politics</v>
      </c>
      <c r="D12" s="15">
        <v>0.1</v>
      </c>
      <c r="F12" s="99">
        <f>$D12-vlookup(Summary!$C12,Summary!$C$2:$Q$103,3+counta($F$1:F$1),false)</f>
        <v>-0.3</v>
      </c>
      <c r="G12" s="99">
        <f>$D12-vlookup(Summary!$C12,Summary!$C$2:$Q$103,3+counta($F$1:G$1),false)</f>
        <v>-0.1</v>
      </c>
      <c r="H12" s="99">
        <f>$D12-vlookup(Summary!$C12,Summary!$C$2:$Q$103,3+counta($F$1:H$1),false)</f>
        <v>-0.1</v>
      </c>
      <c r="I12" s="99">
        <f>$D12-vlookup(Summary!$C12,Summary!$C$2:$Q$103,3+counta($F$1:I$1),false)</f>
        <v>-0.7</v>
      </c>
      <c r="J12" s="99">
        <f>$D12-vlookup(Summary!$C12,Summary!$C$2:$Q$103,3+counta($F$1:J$1),false)</f>
        <v>-0.4</v>
      </c>
      <c r="K12" s="99">
        <f>$D12-vlookup(Summary!$C12,Summary!$C$2:$Q$103,3+counta($F$1:K$1),false)</f>
        <v>-0.65</v>
      </c>
      <c r="L12" s="99">
        <f>$D12-vlookup(Summary!$C12,Summary!$C$2:$Q$103,3+counta($F$1:L$1),false)</f>
        <v>-0.6</v>
      </c>
      <c r="M12" s="99">
        <f>$D12-vlookup(Summary!$C12,Summary!$C$2:$Q$103,3+counta($F$1:M$1),false)</f>
        <v>0.05</v>
      </c>
      <c r="N12" s="99">
        <f>$D12-vlookup(Summary!$C12,Summary!$C$2:$Q$103,3+counta($F$1:N$1),false)</f>
        <v>0</v>
      </c>
      <c r="O12" s="99">
        <f>$D12-vlookup(Summary!$C12,Summary!$C$2:$Q$103,3+counta($F$1:O$1),false)</f>
        <v>-0.55</v>
      </c>
      <c r="P12" s="99">
        <f>$D12-vlookup(Summary!$C12,Summary!$C$2:$Q$103,3+counta($F$1:P$1),false)</f>
        <v>-0.2</v>
      </c>
      <c r="Q12" s="99">
        <f>$D12-vlookup(Summary!$C12,Summary!$C$2:$Q$103,3+counta($F$1:Q$1),false)</f>
        <v>0</v>
      </c>
    </row>
    <row r="13" ht="15.75" customHeight="1">
      <c r="A13" s="15">
        <f>Main!A13</f>
        <v>12</v>
      </c>
      <c r="B13" s="15" t="str">
        <f>Main!B13</f>
        <v>An Australian federal Minister will step down from their position due to direct involvement (proven or otherwise) in sexual misconduct at some point in the year.</v>
      </c>
      <c r="C13" s="15" t="str">
        <f>Main!C13</f>
        <v>Aus Politics</v>
      </c>
      <c r="D13" s="15">
        <v>0.6</v>
      </c>
      <c r="F13" s="99">
        <f>$D13-vlookup(Summary!$C13,Summary!$C$2:$Q$103,3+counta($F$1:F$1),false)</f>
        <v>-0.05</v>
      </c>
      <c r="G13" s="99">
        <f>$D13-vlookup(Summary!$C13,Summary!$C$2:$Q$103,3+counta($F$1:G$1),false)</f>
        <v>0.2</v>
      </c>
      <c r="H13" s="99">
        <f>$D13-vlookup(Summary!$C13,Summary!$C$2:$Q$103,3+counta($F$1:H$1),false)</f>
        <v>0.5</v>
      </c>
      <c r="I13" s="99">
        <f>$D13-vlookup(Summary!$C13,Summary!$C$2:$Q$103,3+counta($F$1:I$1),false)</f>
        <v>-0.3</v>
      </c>
      <c r="J13" s="99">
        <f>$D13-vlookup(Summary!$C13,Summary!$C$2:$Q$103,3+counta($F$1:J$1),false)</f>
        <v>-0.3</v>
      </c>
      <c r="K13" s="99">
        <f>$D13-vlookup(Summary!$C13,Summary!$C$2:$Q$103,3+counta($F$1:K$1),false)</f>
        <v>0.25</v>
      </c>
      <c r="L13" s="99">
        <f>$D13-vlookup(Summary!$C13,Summary!$C$2:$Q$103,3+counta($F$1:L$1),false)</f>
        <v>0.4</v>
      </c>
      <c r="M13" s="99">
        <f>$D13-vlookup(Summary!$C13,Summary!$C$2:$Q$103,3+counta($F$1:M$1),false)</f>
        <v>0.5</v>
      </c>
      <c r="N13" s="99">
        <f>$D13-vlookup(Summary!$C13,Summary!$C$2:$Q$103,3+counta($F$1:N$1),false)</f>
        <v>0</v>
      </c>
      <c r="O13" s="99">
        <f>$D13-vlookup(Summary!$C13,Summary!$C$2:$Q$103,3+counta($F$1:O$1),false)</f>
        <v>0.45</v>
      </c>
      <c r="P13" s="99">
        <f>$D13-vlookup(Summary!$C13,Summary!$C$2:$Q$103,3+counta($F$1:P$1),false)</f>
        <v>0.3</v>
      </c>
      <c r="Q13" s="99">
        <f>$D13-vlookup(Summary!$C13,Summary!$C$2:$Q$103,3+counta($F$1:Q$1),false)</f>
        <v>0</v>
      </c>
    </row>
    <row r="14" ht="15.75" customHeight="1">
      <c r="A14" s="15">
        <f>Main!A14</f>
        <v>13</v>
      </c>
      <c r="B14" s="15" t="str">
        <f>Main!B14</f>
        <v>Friendlyjordies, or evidence he has brought to light, will feature in a court case or ICAC inquiry.</v>
      </c>
      <c r="C14" s="15" t="str">
        <f>Main!C14</f>
        <v>Aus Politics</v>
      </c>
      <c r="D14" s="15">
        <v>0.1</v>
      </c>
      <c r="F14" s="99">
        <f>$D14-vlookup(Summary!$C14,Summary!$C$2:$Q$103,3+counta($F$1:F$1),false)</f>
        <v>-0.45</v>
      </c>
      <c r="G14" s="99">
        <f>$D14-vlookup(Summary!$C14,Summary!$C$2:$Q$103,3+counta($F$1:G$1),false)</f>
        <v>-0.6</v>
      </c>
      <c r="H14" s="99">
        <f>$D14-vlookup(Summary!$C14,Summary!$C$2:$Q$103,3+counta($F$1:H$1),false)</f>
        <v>-0.2</v>
      </c>
      <c r="I14" s="99">
        <f>$D14-vlookup(Summary!$C14,Summary!$C$2:$Q$103,3+counta($F$1:I$1),false)</f>
        <v>-0.5</v>
      </c>
      <c r="J14" s="99">
        <f>$D14-vlookup(Summary!$C14,Summary!$C$2:$Q$103,3+counta($F$1:J$1),false)</f>
        <v>-0.6</v>
      </c>
      <c r="K14" s="99">
        <f>$D14-vlookup(Summary!$C14,Summary!$C$2:$Q$103,3+counta($F$1:K$1),false)</f>
        <v>-0.55</v>
      </c>
      <c r="L14" s="99">
        <f>$D14-vlookup(Summary!$C14,Summary!$C$2:$Q$103,3+counta($F$1:L$1),false)</f>
        <v>-0.4</v>
      </c>
      <c r="M14" s="99">
        <f>$D14-vlookup(Summary!$C14,Summary!$C$2:$Q$103,3+counta($F$1:M$1),false)</f>
        <v>-0.2</v>
      </c>
      <c r="N14" s="99">
        <f>$D14-vlookup(Summary!$C14,Summary!$C$2:$Q$103,3+counta($F$1:N$1),false)</f>
        <v>0</v>
      </c>
      <c r="O14" s="99">
        <f>$D14-vlookup(Summary!$C14,Summary!$C$2:$Q$103,3+counta($F$1:O$1),false)</f>
        <v>-0.05</v>
      </c>
      <c r="P14" s="99">
        <f>$D14-vlookup(Summary!$C14,Summary!$C$2:$Q$103,3+counta($F$1:P$1),false)</f>
        <v>-0.4</v>
      </c>
      <c r="Q14" s="99">
        <f>$D14-vlookup(Summary!$C14,Summary!$C$2:$Q$103,3+counta($F$1:Q$1),false)</f>
        <v>-0.4</v>
      </c>
    </row>
    <row r="15" ht="15.75" customHeight="1">
      <c r="A15" s="15">
        <f>Main!A15</f>
        <v>14</v>
      </c>
      <c r="B15" s="15" t="str">
        <f>Main!B15</f>
        <v>At least one person commits suicide as an effect of the Royal Commission into Defence and Veteran Suicide, as reported in The Guardian</v>
      </c>
      <c r="C15" s="15" t="str">
        <f>Main!C15</f>
        <v>Aus Politics</v>
      </c>
      <c r="D15" s="15">
        <v>0.9</v>
      </c>
      <c r="F15" s="99">
        <f>$D15-vlookup(Summary!$C15,Summary!$C$2:$Q$103,3+counta($F$1:F$1),false)</f>
        <v>0.5</v>
      </c>
      <c r="G15" s="99">
        <f>$D15-vlookup(Summary!$C15,Summary!$C$2:$Q$103,3+counta($F$1:G$1),false)</f>
        <v>0.1</v>
      </c>
      <c r="H15" s="99">
        <f>$D15-vlookup(Summary!$C15,Summary!$C$2:$Q$103,3+counta($F$1:H$1),false)</f>
        <v>0.2</v>
      </c>
      <c r="I15" s="99">
        <f>$D15-vlookup(Summary!$C15,Summary!$C$2:$Q$103,3+counta($F$1:I$1),false)</f>
        <v>0.5</v>
      </c>
      <c r="J15" s="99">
        <f>$D15-vlookup(Summary!$C15,Summary!$C$2:$Q$103,3+counta($F$1:J$1),false)</f>
        <v>0.6</v>
      </c>
      <c r="K15" s="99">
        <f>$D15-vlookup(Summary!$C15,Summary!$C$2:$Q$103,3+counta($F$1:K$1),false)</f>
        <v>0.05</v>
      </c>
      <c r="L15" s="99">
        <f>$D15-vlookup(Summary!$C15,Summary!$C$2:$Q$103,3+counta($F$1:L$1),false)</f>
        <v>0.3</v>
      </c>
      <c r="M15" s="99">
        <f>$D15-vlookup(Summary!$C15,Summary!$C$2:$Q$103,3+counta($F$1:M$1),false)</f>
        <v>0.2</v>
      </c>
      <c r="N15" s="99">
        <f>$D15-vlookup(Summary!$C15,Summary!$C$2:$Q$103,3+counta($F$1:N$1),false)</f>
        <v>0</v>
      </c>
      <c r="O15" s="99">
        <f>$D15-vlookup(Summary!$C15,Summary!$C$2:$Q$103,3+counta($F$1:O$1),false)</f>
        <v>0.75</v>
      </c>
      <c r="P15" s="99">
        <f>$D15-vlookup(Summary!$C15,Summary!$C$2:$Q$103,3+counta($F$1:P$1),false)</f>
        <v>0.4</v>
      </c>
      <c r="Q15" s="99">
        <f>$D15-vlookup(Summary!$C15,Summary!$C$2:$Q$103,3+counta($F$1:Q$1),false)</f>
        <v>0.5</v>
      </c>
    </row>
    <row r="16" ht="15.75" customHeight="1">
      <c r="A16" s="15">
        <f>Main!A16</f>
        <v>15</v>
      </c>
      <c r="B16" s="15" t="str">
        <f>Main!B16</f>
        <v>Taylor Swift will get married</v>
      </c>
      <c r="C16" s="15" t="str">
        <f>Main!C16</f>
        <v>Celebrities</v>
      </c>
      <c r="D16" s="15">
        <v>0.8</v>
      </c>
      <c r="F16" s="99">
        <f>$D16-vlookup(Summary!$C16,Summary!$C$2:$Q$103,3+counta($F$1:F$1),false)</f>
        <v>0.25</v>
      </c>
      <c r="G16" s="99">
        <f>$D16-vlookup(Summary!$C16,Summary!$C$2:$Q$103,3+counta($F$1:G$1),false)</f>
        <v>0.4</v>
      </c>
      <c r="H16" s="99">
        <f>$D16-vlookup(Summary!$C16,Summary!$C$2:$Q$103,3+counta($F$1:H$1),false)</f>
        <v>0.1</v>
      </c>
      <c r="I16" s="99">
        <f>$D16-vlookup(Summary!$C16,Summary!$C$2:$Q$103,3+counta($F$1:I$1),false)</f>
        <v>0.65</v>
      </c>
      <c r="J16" s="99">
        <f>$D16-vlookup(Summary!$C16,Summary!$C$2:$Q$103,3+counta($F$1:J$1),false)</f>
        <v>0.2</v>
      </c>
      <c r="K16" s="99">
        <f>$D16-vlookup(Summary!$C16,Summary!$C$2:$Q$103,3+counta($F$1:K$1),false)</f>
        <v>0</v>
      </c>
      <c r="L16" s="99">
        <f>$D16-vlookup(Summary!$C16,Summary!$C$2:$Q$103,3+counta($F$1:L$1),false)</f>
        <v>0.6</v>
      </c>
      <c r="M16" s="99">
        <f>$D16-vlookup(Summary!$C16,Summary!$C$2:$Q$103,3+counta($F$1:M$1),false)</f>
        <v>0.1</v>
      </c>
      <c r="N16" s="99">
        <f>$D16-vlookup(Summary!$C16,Summary!$C$2:$Q$103,3+counta($F$1:N$1),false)</f>
        <v>0</v>
      </c>
      <c r="O16" s="99">
        <f>$D16-vlookup(Summary!$C16,Summary!$C$2:$Q$103,3+counta($F$1:O$1),false)</f>
        <v>0.65</v>
      </c>
      <c r="P16" s="99">
        <f>$D16-vlookup(Summary!$C16,Summary!$C$2:$Q$103,3+counta($F$1:P$1),false)</f>
        <v>0.3</v>
      </c>
      <c r="Q16" s="99">
        <f>$D16-vlookup(Summary!$C16,Summary!$C$2:$Q$103,3+counta($F$1:Q$1),false)</f>
        <v>0.79</v>
      </c>
    </row>
    <row r="17" ht="15.75" customHeight="1">
      <c r="A17" s="15">
        <f>Main!A17</f>
        <v>16</v>
      </c>
      <c r="B17" s="15" t="str">
        <f>Main!B17</f>
        <v>Jane Campion will win the Oscar for Best Director</v>
      </c>
      <c r="C17" s="15" t="str">
        <f>Main!C17</f>
        <v>Celebrities</v>
      </c>
      <c r="D17" s="15">
        <v>0.1</v>
      </c>
      <c r="F17" s="99">
        <f>$D17-vlookup(Summary!$C17,Summary!$C$2:$Q$103,3+counta($F$1:F$1),false)</f>
        <v>-0.7</v>
      </c>
      <c r="G17" s="99">
        <f>$D17-vlookup(Summary!$C17,Summary!$C$2:$Q$103,3+counta($F$1:G$1),false)</f>
        <v>-0.5</v>
      </c>
      <c r="H17" s="99">
        <f>$D17-vlookup(Summary!$C17,Summary!$C$2:$Q$103,3+counta($F$1:H$1),false)</f>
        <v>-0.1</v>
      </c>
      <c r="I17" s="99">
        <f>$D17-vlookup(Summary!$C17,Summary!$C$2:$Q$103,3+counta($F$1:I$1),false)</f>
        <v>-0.8</v>
      </c>
      <c r="J17" s="99">
        <f>$D17-vlookup(Summary!$C17,Summary!$C$2:$Q$103,3+counta($F$1:J$1),false)</f>
        <v>-0.8</v>
      </c>
      <c r="K17" s="99">
        <f>$D17-vlookup(Summary!$C17,Summary!$C$2:$Q$103,3+counta($F$1:K$1),false)</f>
        <v>-0.85</v>
      </c>
      <c r="L17" s="99">
        <f>$D17-vlookup(Summary!$C17,Summary!$C$2:$Q$103,3+counta($F$1:L$1),false)</f>
        <v>-0.6</v>
      </c>
      <c r="M17" s="99">
        <f>$D17-vlookup(Summary!$C17,Summary!$C$2:$Q$103,3+counta($F$1:M$1),false)</f>
        <v>-0.1</v>
      </c>
      <c r="N17" s="99">
        <f>$D17-vlookup(Summary!$C17,Summary!$C$2:$Q$103,3+counta($F$1:N$1),false)</f>
        <v>0</v>
      </c>
      <c r="O17" s="99">
        <f>$D17-vlookup(Summary!$C17,Summary!$C$2:$Q$103,3+counta($F$1:O$1),false)</f>
        <v>-0.4</v>
      </c>
      <c r="P17" s="99">
        <f>$D17-vlookup(Summary!$C17,Summary!$C$2:$Q$103,3+counta($F$1:P$1),false)</f>
        <v>-0.4</v>
      </c>
      <c r="Q17" s="99">
        <f>$D17-vlookup(Summary!$C17,Summary!$C$2:$Q$103,3+counta($F$1:Q$1),false)</f>
        <v>-0.2</v>
      </c>
    </row>
    <row r="18" ht="15.75" customHeight="1">
      <c r="A18" s="15">
        <f>Main!A18</f>
        <v>17</v>
      </c>
      <c r="B18" s="15" t="str">
        <f>Main!B18</f>
        <v>Harry and Megan's animated series "Pearl" will be released and have over 50% on Rotten Tomatoes</v>
      </c>
      <c r="C18" s="15" t="str">
        <f>Main!C18</f>
        <v>Celebrities</v>
      </c>
      <c r="D18" s="15">
        <v>0.8</v>
      </c>
      <c r="F18" s="99">
        <f>$D18-vlookup(Summary!$C18,Summary!$C$2:$Q$103,3+counta($F$1:F$1),false)</f>
        <v>0.4</v>
      </c>
      <c r="G18" s="99">
        <f>$D18-vlookup(Summary!$C18,Summary!$C$2:$Q$103,3+counta($F$1:G$1),false)</f>
        <v>0.5</v>
      </c>
      <c r="H18" s="99">
        <f>$D18-vlookup(Summary!$C18,Summary!$C$2:$Q$103,3+counta($F$1:H$1),false)</f>
        <v>0</v>
      </c>
      <c r="I18" s="99">
        <f>$D18-vlookup(Summary!$C18,Summary!$C$2:$Q$103,3+counta($F$1:I$1),false)</f>
        <v>0.4</v>
      </c>
      <c r="J18" s="99">
        <f>$D18-vlookup(Summary!$C18,Summary!$C$2:$Q$103,3+counta($F$1:J$1),false)</f>
        <v>0.7</v>
      </c>
      <c r="K18" s="99">
        <f>$D18-vlookup(Summary!$C18,Summary!$C$2:$Q$103,3+counta($F$1:K$1),false)</f>
        <v>0</v>
      </c>
      <c r="L18" s="99">
        <f>$D18-vlookup(Summary!$C18,Summary!$C$2:$Q$103,3+counta($F$1:L$1),false)</f>
        <v>0.6</v>
      </c>
      <c r="M18" s="99">
        <f>$D18-vlookup(Summary!$C18,Summary!$C$2:$Q$103,3+counta($F$1:M$1),false)</f>
        <v>0</v>
      </c>
      <c r="N18" s="99">
        <f>$D18-vlookup(Summary!$C18,Summary!$C$2:$Q$103,3+counta($F$1:N$1),false)</f>
        <v>0</v>
      </c>
      <c r="O18" s="99">
        <f>$D18-vlookup(Summary!$C18,Summary!$C$2:$Q$103,3+counta($F$1:O$1),false)</f>
        <v>0.65</v>
      </c>
      <c r="P18" s="99">
        <f>$D18-vlookup(Summary!$C18,Summary!$C$2:$Q$103,3+counta($F$1:P$1),false)</f>
        <v>0.3</v>
      </c>
      <c r="Q18" s="99">
        <f>$D18-vlookup(Summary!$C18,Summary!$C$2:$Q$103,3+counta($F$1:Q$1),false)</f>
        <v>0.4</v>
      </c>
    </row>
    <row r="19" ht="15.75" customHeight="1">
      <c r="A19" s="15">
        <f>Main!A19</f>
        <v>18</v>
      </c>
      <c r="B19" s="15" t="str">
        <f>Main!B19</f>
        <v>Prince Andrew will enter or exit a courtroom wearing an oxygen mask and/or sitting in a wheelchair</v>
      </c>
      <c r="C19" s="15" t="str">
        <f>Main!C19</f>
        <v>Celebrities</v>
      </c>
      <c r="D19" s="15">
        <v>0.1</v>
      </c>
      <c r="F19" s="99">
        <f>$D19-vlookup(Summary!$C19,Summary!$C$2:$Q$103,3+counta($F$1:F$1),false)</f>
        <v>-0.2</v>
      </c>
      <c r="G19" s="99">
        <f>$D19-vlookup(Summary!$C19,Summary!$C$2:$Q$103,3+counta($F$1:G$1),false)</f>
        <v>-0.1</v>
      </c>
      <c r="H19" s="99">
        <f>$D19-vlookup(Summary!$C19,Summary!$C$2:$Q$103,3+counta($F$1:H$1),false)</f>
        <v>-0.6</v>
      </c>
      <c r="I19" s="99">
        <f>$D19-vlookup(Summary!$C19,Summary!$C$2:$Q$103,3+counta($F$1:I$1),false)</f>
        <v>0</v>
      </c>
      <c r="J19" s="99">
        <f>$D19-vlookup(Summary!$C19,Summary!$C$2:$Q$103,3+counta($F$1:J$1),false)</f>
        <v>-0.3</v>
      </c>
      <c r="K19" s="99">
        <f>$D19-vlookup(Summary!$C19,Summary!$C$2:$Q$103,3+counta($F$1:K$1),false)</f>
        <v>-0.1</v>
      </c>
      <c r="L19" s="99">
        <f>$D19-vlookup(Summary!$C19,Summary!$C$2:$Q$103,3+counta($F$1:L$1),false)</f>
        <v>0</v>
      </c>
      <c r="M19" s="99">
        <f>$D19-vlookup(Summary!$C19,Summary!$C$2:$Q$103,3+counta($F$1:M$1),false)</f>
        <v>0.05</v>
      </c>
      <c r="N19" s="99">
        <f>$D19-vlookup(Summary!$C19,Summary!$C$2:$Q$103,3+counta($F$1:N$1),false)</f>
        <v>0</v>
      </c>
      <c r="O19" s="99">
        <f>$D19-vlookup(Summary!$C19,Summary!$C$2:$Q$103,3+counta($F$1:O$1),false)</f>
        <v>-0.05</v>
      </c>
      <c r="P19" s="99">
        <f>$D19-vlookup(Summary!$C19,Summary!$C$2:$Q$103,3+counta($F$1:P$1),false)</f>
        <v>0</v>
      </c>
      <c r="Q19" s="99">
        <f>$D19-vlookup(Summary!$C19,Summary!$C$2:$Q$103,3+counta($F$1:Q$1),false)</f>
        <v>-0.1</v>
      </c>
    </row>
    <row r="20" ht="15.75" customHeight="1">
      <c r="A20" s="15">
        <f>Main!A20</f>
        <v>19</v>
      </c>
      <c r="B20" s="15" t="str">
        <f>Main!B20</f>
        <v>News Ltd will report on the emergence of a conspiracy theory relating to the Queen's death: that the palace is either secretly concealing her death or her continuing life</v>
      </c>
      <c r="C20" s="15" t="str">
        <f>Main!C20</f>
        <v>Celebrities</v>
      </c>
      <c r="D20" s="15">
        <v>0.1</v>
      </c>
      <c r="F20" s="99">
        <f>$D20-vlookup(Summary!$C20,Summary!$C$2:$Q$103,3+counta($F$1:F$1),false)</f>
        <v>-0.15</v>
      </c>
      <c r="G20" s="99">
        <f>$D20-vlookup(Summary!$C20,Summary!$C$2:$Q$103,3+counta($F$1:G$1),false)</f>
        <v>-0.3</v>
      </c>
      <c r="H20" s="99">
        <f>$D20-vlookup(Summary!$C20,Summary!$C$2:$Q$103,3+counta($F$1:H$1),false)</f>
        <v>-0.7</v>
      </c>
      <c r="I20" s="99">
        <f>$D20-vlookup(Summary!$C20,Summary!$C$2:$Q$103,3+counta($F$1:I$1),false)</f>
        <v>0.05</v>
      </c>
      <c r="J20" s="99">
        <f>$D20-vlookup(Summary!$C20,Summary!$C$2:$Q$103,3+counta($F$1:J$1),false)</f>
        <v>-0.4</v>
      </c>
      <c r="K20" s="99">
        <f>$D20-vlookup(Summary!$C20,Summary!$C$2:$Q$103,3+counta($F$1:K$1),false)</f>
        <v>-0.75</v>
      </c>
      <c r="L20" s="99">
        <f>$D20-vlookup(Summary!$C20,Summary!$C$2:$Q$103,3+counta($F$1:L$1),false)</f>
        <v>0.05</v>
      </c>
      <c r="M20" s="99">
        <f>$D20-vlookup(Summary!$C20,Summary!$C$2:$Q$103,3+counta($F$1:M$1),false)</f>
        <v>-0.7</v>
      </c>
      <c r="N20" s="99">
        <f>$D20-vlookup(Summary!$C20,Summary!$C$2:$Q$103,3+counta($F$1:N$1),false)</f>
        <v>0</v>
      </c>
      <c r="O20" s="99">
        <f>$D20-vlookup(Summary!$C20,Summary!$C$2:$Q$103,3+counta($F$1:O$1),false)</f>
        <v>0.099</v>
      </c>
      <c r="P20" s="99">
        <f>$D20-vlookup(Summary!$C20,Summary!$C$2:$Q$103,3+counta($F$1:P$1),false)</f>
        <v>0</v>
      </c>
      <c r="Q20" s="99">
        <f>$D20-vlookup(Summary!$C20,Summary!$C$2:$Q$103,3+counta($F$1:Q$1),false)</f>
        <v>-0.4</v>
      </c>
    </row>
    <row r="21" ht="15.75" customHeight="1">
      <c r="A21" s="15">
        <f>Main!A21</f>
        <v>20</v>
      </c>
      <c r="B21" s="15" t="str">
        <f>Main!B21</f>
        <v>Julian Assange will be located in Australia</v>
      </c>
      <c r="C21" s="15" t="str">
        <f>Main!C21</f>
        <v>Celebrities</v>
      </c>
      <c r="D21" s="15">
        <v>0.2</v>
      </c>
      <c r="F21" s="99">
        <f>$D21-vlookup(Summary!$C21,Summary!$C$2:$Q$103,3+counta($F$1:F$1),false)</f>
        <v>0</v>
      </c>
      <c r="G21" s="99">
        <f>$D21-vlookup(Summary!$C21,Summary!$C$2:$Q$103,3+counta($F$1:G$1),false)</f>
        <v>0</v>
      </c>
      <c r="H21" s="99">
        <f>$D21-vlookup(Summary!$C21,Summary!$C$2:$Q$103,3+counta($F$1:H$1),false)</f>
        <v>0.1</v>
      </c>
      <c r="I21" s="99">
        <f>$D21-vlookup(Summary!$C21,Summary!$C$2:$Q$103,3+counta($F$1:I$1),false)</f>
        <v>0.15</v>
      </c>
      <c r="J21" s="99">
        <f>$D21-vlookup(Summary!$C21,Summary!$C$2:$Q$103,3+counta($F$1:J$1),false)</f>
        <v>-0.1</v>
      </c>
      <c r="K21" s="99">
        <f>$D21-vlookup(Summary!$C21,Summary!$C$2:$Q$103,3+counta($F$1:K$1),false)</f>
        <v>-0.35</v>
      </c>
      <c r="L21" s="99">
        <f>$D21-vlookup(Summary!$C21,Summary!$C$2:$Q$103,3+counta($F$1:L$1),false)</f>
        <v>0</v>
      </c>
      <c r="M21" s="99">
        <f>$D21-vlookup(Summary!$C21,Summary!$C$2:$Q$103,3+counta($F$1:M$1),false)</f>
        <v>0.1</v>
      </c>
      <c r="N21" s="99">
        <f>$D21-vlookup(Summary!$C21,Summary!$C$2:$Q$103,3+counta($F$1:N$1),false)</f>
        <v>0</v>
      </c>
      <c r="O21" s="99">
        <f>$D21-vlookup(Summary!$C21,Summary!$C$2:$Q$103,3+counta($F$1:O$1),false)</f>
        <v>0.05</v>
      </c>
      <c r="P21" s="99">
        <f>$D21-vlookup(Summary!$C21,Summary!$C$2:$Q$103,3+counta($F$1:P$1),false)</f>
        <v>0.1</v>
      </c>
      <c r="Q21" s="99">
        <f>$D21-vlookup(Summary!$C21,Summary!$C$2:$Q$103,3+counta($F$1:Q$1),false)</f>
        <v>-0.1</v>
      </c>
    </row>
    <row r="22" ht="15.75" customHeight="1">
      <c r="A22" s="15">
        <f>Main!A22</f>
        <v>21</v>
      </c>
      <c r="B22" s="15" t="str">
        <f>Main!B22</f>
        <v>An alleged sexual predator will recieve an Emmy or Oscar by mainstream media (Andrew’s system)</v>
      </c>
      <c r="C22" s="15" t="str">
        <f>Main!C22</f>
        <v>Celebrities</v>
      </c>
      <c r="D22" s="15">
        <v>0.8</v>
      </c>
      <c r="F22" s="99">
        <f>$D22-vlookup(Summary!$C22,Summary!$C$2:$Q$103,3+counta($F$1:F$1),false)</f>
        <v>0.4</v>
      </c>
      <c r="G22" s="99">
        <f>$D22-vlookup(Summary!$C22,Summary!$C$2:$Q$103,3+counta($F$1:G$1),false)</f>
        <v>0.5</v>
      </c>
      <c r="H22" s="99">
        <f>$D22-vlookup(Summary!$C22,Summary!$C$2:$Q$103,3+counta($F$1:H$1),false)</f>
        <v>0.5</v>
      </c>
      <c r="I22" s="99">
        <f>$D22-vlookup(Summary!$C22,Summary!$C$2:$Q$103,3+counta($F$1:I$1),false)</f>
        <v>0.6</v>
      </c>
      <c r="J22" s="99">
        <f>$D22-vlookup(Summary!$C22,Summary!$C$2:$Q$103,3+counta($F$1:J$1),false)</f>
        <v>0.2</v>
      </c>
      <c r="K22" s="99">
        <f>$D22-vlookup(Summary!$C22,Summary!$C$2:$Q$103,3+counta($F$1:K$1),false)</f>
        <v>0.1</v>
      </c>
      <c r="L22" s="99">
        <f>$D22-vlookup(Summary!$C22,Summary!$C$2:$Q$103,3+counta($F$1:L$1),false)</f>
        <v>0.6</v>
      </c>
      <c r="M22" s="99">
        <f>$D22-vlookup(Summary!$C22,Summary!$C$2:$Q$103,3+counta($F$1:M$1),false)</f>
        <v>0.5</v>
      </c>
      <c r="N22" s="99">
        <f>$D22-vlookup(Summary!$C22,Summary!$C$2:$Q$103,3+counta($F$1:N$1),false)</f>
        <v>0</v>
      </c>
      <c r="O22" s="99">
        <f>$D22-vlookup(Summary!$C22,Summary!$C$2:$Q$103,3+counta($F$1:O$1),false)</f>
        <v>0.15</v>
      </c>
      <c r="P22" s="99">
        <f>$D22-vlookup(Summary!$C22,Summary!$C$2:$Q$103,3+counta($F$1:P$1),false)</f>
        <v>0.7</v>
      </c>
      <c r="Q22" s="99">
        <f>$D22-vlookup(Summary!$C22,Summary!$C$2:$Q$103,3+counta($F$1:Q$1),false)</f>
        <v>0.2</v>
      </c>
    </row>
    <row r="23" ht="15.75" customHeight="1">
      <c r="A23" s="15">
        <f>Main!A23</f>
        <v>22</v>
      </c>
      <c r="B23" s="15" t="str">
        <f>Main!B23</f>
        <v>The Queen will die</v>
      </c>
      <c r="C23" s="15" t="str">
        <f>Main!C23</f>
        <v>Celebrities</v>
      </c>
      <c r="D23" s="15">
        <v>0.9</v>
      </c>
      <c r="F23" s="99">
        <f>$D23-vlookup(Summary!$C23,Summary!$C$2:$Q$103,3+counta($F$1:F$1),false)</f>
        <v>0.5</v>
      </c>
      <c r="G23" s="99">
        <f>$D23-vlookup(Summary!$C23,Summary!$C$2:$Q$103,3+counta($F$1:G$1),false)</f>
        <v>0.7</v>
      </c>
      <c r="H23" s="99">
        <f>$D23-vlookup(Summary!$C23,Summary!$C$2:$Q$103,3+counta($F$1:H$1),false)</f>
        <v>0</v>
      </c>
      <c r="I23" s="99">
        <f>$D23-vlookup(Summary!$C23,Summary!$C$2:$Q$103,3+counta($F$1:I$1),false)</f>
        <v>0.6</v>
      </c>
      <c r="J23" s="99">
        <f>$D23-vlookup(Summary!$C23,Summary!$C$2:$Q$103,3+counta($F$1:J$1),false)</f>
        <v>0.2</v>
      </c>
      <c r="K23" s="99">
        <f>$D23-vlookup(Summary!$C23,Summary!$C$2:$Q$103,3+counta($F$1:K$1),false)</f>
        <v>0.2</v>
      </c>
      <c r="L23" s="99">
        <f>$D23-vlookup(Summary!$C23,Summary!$C$2:$Q$103,3+counta($F$1:L$1),false)</f>
        <v>0.85</v>
      </c>
      <c r="M23" s="99">
        <f>$D23-vlookup(Summary!$C23,Summary!$C$2:$Q$103,3+counta($F$1:M$1),false)</f>
        <v>0</v>
      </c>
      <c r="N23" s="99">
        <f>$D23-vlookup(Summary!$C23,Summary!$C$2:$Q$103,3+counta($F$1:N$1),false)</f>
        <v>0</v>
      </c>
      <c r="O23" s="99">
        <f>$D23-vlookup(Summary!$C23,Summary!$C$2:$Q$103,3+counta($F$1:O$1),false)</f>
        <v>0.55</v>
      </c>
      <c r="P23" s="99">
        <f>$D23-vlookup(Summary!$C23,Summary!$C$2:$Q$103,3+counta($F$1:P$1),false)</f>
        <v>0.8</v>
      </c>
      <c r="Q23" s="99">
        <f>$D23-vlookup(Summary!$C23,Summary!$C$2:$Q$103,3+counta($F$1:Q$1),false)</f>
        <v>0.6</v>
      </c>
    </row>
    <row r="24" ht="15.75" customHeight="1">
      <c r="A24" s="15">
        <f>Main!A24</f>
        <v>23</v>
      </c>
      <c r="B24" s="15" t="str">
        <f>Main!B24</f>
        <v>Ghislaine Maxwell will successfully strike a plea deal and reduce her aggregate sentence to no greater than 10 years with parole no greater than 5 years.</v>
      </c>
      <c r="C24" s="15" t="str">
        <f>Main!C24</f>
        <v>Celebrities</v>
      </c>
      <c r="D24" s="15">
        <v>0.1</v>
      </c>
      <c r="F24" s="99">
        <f>$D24-vlookup(Summary!$C24,Summary!$C$2:$Q$103,3+counta($F$1:F$1),false)</f>
        <v>-0.35</v>
      </c>
      <c r="G24" s="99">
        <f>$D24-vlookup(Summary!$C24,Summary!$C$2:$Q$103,3+counta($F$1:G$1),false)</f>
        <v>-0.6</v>
      </c>
      <c r="H24" s="99">
        <f>$D24-vlookup(Summary!$C24,Summary!$C$2:$Q$103,3+counta($F$1:H$1),false)</f>
        <v>-0.6</v>
      </c>
      <c r="I24" s="99">
        <f>$D24-vlookup(Summary!$C24,Summary!$C$2:$Q$103,3+counta($F$1:I$1),false)</f>
        <v>0</v>
      </c>
      <c r="J24" s="99">
        <f>$D24-vlookup(Summary!$C24,Summary!$C$2:$Q$103,3+counta($F$1:J$1),false)</f>
        <v>-0.8</v>
      </c>
      <c r="K24" s="99">
        <f>$D24-vlookup(Summary!$C24,Summary!$C$2:$Q$103,3+counta($F$1:K$1),false)</f>
        <v>-0.55</v>
      </c>
      <c r="L24" s="99">
        <f>$D24-vlookup(Summary!$C24,Summary!$C$2:$Q$103,3+counta($F$1:L$1),false)</f>
        <v>-0.1</v>
      </c>
      <c r="M24" s="99">
        <f>$D24-vlookup(Summary!$C24,Summary!$C$2:$Q$103,3+counta($F$1:M$1),false)</f>
        <v>-0.6</v>
      </c>
      <c r="N24" s="99">
        <f>$D24-vlookup(Summary!$C24,Summary!$C$2:$Q$103,3+counta($F$1:N$1),false)</f>
        <v>0</v>
      </c>
      <c r="O24" s="99">
        <f>$D24-vlookup(Summary!$C24,Summary!$C$2:$Q$103,3+counta($F$1:O$1),false)</f>
        <v>-0.55</v>
      </c>
      <c r="P24" s="99">
        <f>$D24-vlookup(Summary!$C24,Summary!$C$2:$Q$103,3+counta($F$1:P$1),false)</f>
        <v>-0.6</v>
      </c>
      <c r="Q24" s="99">
        <f>$D24-vlookup(Summary!$C24,Summary!$C$2:$Q$103,3+counta($F$1:Q$1),false)</f>
        <v>-0.4</v>
      </c>
    </row>
    <row r="25" ht="15.75" customHeight="1">
      <c r="A25" s="15">
        <f>Main!A25</f>
        <v>24</v>
      </c>
      <c r="B25" s="15" t="str">
        <f>Main!B25</f>
        <v>Formal criminal charges will be laid against Prince Andrew for sex offenses</v>
      </c>
      <c r="C25" s="15" t="str">
        <f>Main!C25</f>
        <v>Celebrities</v>
      </c>
      <c r="D25" s="15">
        <v>0.2</v>
      </c>
      <c r="F25" s="99">
        <f>$D25-vlookup(Summary!$C25,Summary!$C$2:$Q$103,3+counta($F$1:F$1),false)</f>
        <v>-0.4</v>
      </c>
      <c r="G25" s="99">
        <f>$D25-vlookup(Summary!$C25,Summary!$C$2:$Q$103,3+counta($F$1:G$1),false)</f>
        <v>0</v>
      </c>
      <c r="H25" s="99">
        <f>$D25-vlookup(Summary!$C25,Summary!$C$2:$Q$103,3+counta($F$1:H$1),false)</f>
        <v>-0.5</v>
      </c>
      <c r="I25" s="99">
        <f>$D25-vlookup(Summary!$C25,Summary!$C$2:$Q$103,3+counta($F$1:I$1),false)</f>
        <v>-0.7</v>
      </c>
      <c r="J25" s="99">
        <f>$D25-vlookup(Summary!$C25,Summary!$C$2:$Q$103,3+counta($F$1:J$1),false)</f>
        <v>0.1</v>
      </c>
      <c r="K25" s="99">
        <f>$D25-vlookup(Summary!$C25,Summary!$C$2:$Q$103,3+counta($F$1:K$1),false)</f>
        <v>-0.45</v>
      </c>
      <c r="L25" s="99">
        <f>$D25-vlookup(Summary!$C25,Summary!$C$2:$Q$103,3+counta($F$1:L$1),false)</f>
        <v>0.05</v>
      </c>
      <c r="M25" s="99">
        <f>$D25-vlookup(Summary!$C25,Summary!$C$2:$Q$103,3+counta($F$1:M$1),false)</f>
        <v>-0.5</v>
      </c>
      <c r="N25" s="99">
        <f>$D25-vlookup(Summary!$C25,Summary!$C$2:$Q$103,3+counta($F$1:N$1),false)</f>
        <v>0</v>
      </c>
      <c r="O25" s="99">
        <f>$D25-vlookup(Summary!$C25,Summary!$C$2:$Q$103,3+counta($F$1:O$1),false)</f>
        <v>0.05</v>
      </c>
      <c r="P25" s="99">
        <f>$D25-vlookup(Summary!$C25,Summary!$C$2:$Q$103,3+counta($F$1:P$1),false)</f>
        <v>-0.3</v>
      </c>
      <c r="Q25" s="99">
        <f>$D25-vlookup(Summary!$C25,Summary!$C$2:$Q$103,3+counta($F$1:Q$1),false)</f>
        <v>-0.3</v>
      </c>
    </row>
    <row r="26" ht="15.75" customHeight="1">
      <c r="A26" s="15">
        <f>Main!A26</f>
        <v>25</v>
      </c>
      <c r="B26" s="15" t="str">
        <f>Main!B26</f>
        <v>Elizabeth Holmes will be sentenced to no greater than 15 years imprisonment.</v>
      </c>
      <c r="C26" s="15" t="str">
        <f>Main!C26</f>
        <v>Celebrities</v>
      </c>
      <c r="D26" s="15">
        <v>0.9</v>
      </c>
      <c r="F26" s="99">
        <f>$D26-vlookup(Summary!$C26,Summary!$C$2:$Q$103,3+counta($F$1:F$1),false)</f>
        <v>0.3</v>
      </c>
      <c r="G26" s="99">
        <f>$D26-vlookup(Summary!$C26,Summary!$C$2:$Q$103,3+counta($F$1:G$1),false)</f>
        <v>0</v>
      </c>
      <c r="H26" s="99">
        <f>$D26-vlookup(Summary!$C26,Summary!$C$2:$Q$103,3+counta($F$1:H$1),false)</f>
        <v>0.1</v>
      </c>
      <c r="I26" s="99">
        <f>$D26-vlookup(Summary!$C26,Summary!$C$2:$Q$103,3+counta($F$1:I$1),false)</f>
        <v>0.4</v>
      </c>
      <c r="J26" s="99">
        <f>$D26-vlookup(Summary!$C26,Summary!$C$2:$Q$103,3+counta($F$1:J$1),false)</f>
        <v>0</v>
      </c>
      <c r="K26" s="99">
        <f>$D26-vlookup(Summary!$C26,Summary!$C$2:$Q$103,3+counta($F$1:K$1),false)</f>
        <v>0.2</v>
      </c>
      <c r="L26" s="99">
        <f>$D26-vlookup(Summary!$C26,Summary!$C$2:$Q$103,3+counta($F$1:L$1),false)</f>
        <v>0.2</v>
      </c>
      <c r="M26" s="99">
        <f>$D26-vlookup(Summary!$C26,Summary!$C$2:$Q$103,3+counta($F$1:M$1),false)</f>
        <v>0.1</v>
      </c>
      <c r="N26" s="99">
        <f>$D26-vlookup(Summary!$C26,Summary!$C$2:$Q$103,3+counta($F$1:N$1),false)</f>
        <v>0</v>
      </c>
      <c r="O26" s="99">
        <f>$D26-vlookup(Summary!$C26,Summary!$C$2:$Q$103,3+counta($F$1:O$1),false)</f>
        <v>0.05</v>
      </c>
      <c r="P26" s="99">
        <f>$D26-vlookup(Summary!$C26,Summary!$C$2:$Q$103,3+counta($F$1:P$1),false)</f>
        <v>0.4</v>
      </c>
      <c r="Q26" s="99">
        <f>$D26-vlookup(Summary!$C26,Summary!$C$2:$Q$103,3+counta($F$1:Q$1),false)</f>
        <v>0.2</v>
      </c>
    </row>
    <row r="27" ht="15.75" customHeight="1">
      <c r="A27" s="15">
        <f>Main!A27</f>
        <v>26</v>
      </c>
      <c r="B27" s="15" t="str">
        <f>Main!B27</f>
        <v>Meghan and Harry will separate</v>
      </c>
      <c r="C27" s="15" t="str">
        <f>Main!C27</f>
        <v>Celebrities</v>
      </c>
      <c r="D27" s="15">
        <v>0.8</v>
      </c>
      <c r="F27" s="99">
        <f>$D27-vlookup(Summary!$C27,Summary!$C$2:$Q$103,3+counta($F$1:F$1),false)</f>
        <v>0.6</v>
      </c>
      <c r="G27" s="99">
        <f>$D27-vlookup(Summary!$C27,Summary!$C$2:$Q$103,3+counta($F$1:G$1),false)</f>
        <v>0.7</v>
      </c>
      <c r="H27" s="99">
        <f>$D27-vlookup(Summary!$C27,Summary!$C$2:$Q$103,3+counta($F$1:H$1),false)</f>
        <v>0.6</v>
      </c>
      <c r="I27" s="99">
        <f>$D27-vlookup(Summary!$C27,Summary!$C$2:$Q$103,3+counta($F$1:I$1),false)</f>
        <v>0.7</v>
      </c>
      <c r="J27" s="99">
        <f>$D27-vlookup(Summary!$C27,Summary!$C$2:$Q$103,3+counta($F$1:J$1),false)</f>
        <v>0.3</v>
      </c>
      <c r="K27" s="99">
        <f>$D27-vlookup(Summary!$C27,Summary!$C$2:$Q$103,3+counta($F$1:K$1),false)</f>
        <v>0.6</v>
      </c>
      <c r="L27" s="99">
        <f>$D27-vlookup(Summary!$C27,Summary!$C$2:$Q$103,3+counta($F$1:L$1),false)</f>
        <v>0.75</v>
      </c>
      <c r="M27" s="99">
        <f>$D27-vlookup(Summary!$C27,Summary!$C$2:$Q$103,3+counta($F$1:M$1),false)</f>
        <v>0.6</v>
      </c>
      <c r="N27" s="99">
        <f>$D27-vlookup(Summary!$C27,Summary!$C$2:$Q$103,3+counta($F$1:N$1),false)</f>
        <v>0</v>
      </c>
      <c r="O27" s="99">
        <f>$D27-vlookup(Summary!$C27,Summary!$C$2:$Q$103,3+counta($F$1:O$1),false)</f>
        <v>0.65</v>
      </c>
      <c r="P27" s="99">
        <f>$D27-vlookup(Summary!$C27,Summary!$C$2:$Q$103,3+counta($F$1:P$1),false)</f>
        <v>0.7</v>
      </c>
      <c r="Q27" s="99">
        <f>$D27-vlookup(Summary!$C27,Summary!$C$2:$Q$103,3+counta($F$1:Q$1),false)</f>
        <v>0.5</v>
      </c>
    </row>
    <row r="28" ht="15.75" customHeight="1">
      <c r="A28" s="15">
        <f>Main!A28</f>
        <v>27</v>
      </c>
      <c r="B28" s="15" t="str">
        <f>Main!B28</f>
        <v>Tom Holland and Zendaya will separate.</v>
      </c>
      <c r="C28" s="15" t="str">
        <f>Main!C28</f>
        <v>Celebrities</v>
      </c>
      <c r="D28" s="15">
        <v>0.9</v>
      </c>
      <c r="F28" s="99">
        <f>$D28-vlookup(Summary!$C28,Summary!$C$2:$Q$103,3+counta($F$1:F$1),false)</f>
        <v>0.3</v>
      </c>
      <c r="G28" s="99">
        <f>$D28-vlookup(Summary!$C28,Summary!$C$2:$Q$103,3+counta($F$1:G$1),false)</f>
        <v>0.3</v>
      </c>
      <c r="H28" s="99">
        <f>$D28-vlookup(Summary!$C28,Summary!$C$2:$Q$103,3+counta($F$1:H$1),false)</f>
        <v>0.7</v>
      </c>
      <c r="I28" s="99">
        <f>$D28-vlookup(Summary!$C28,Summary!$C$2:$Q$103,3+counta($F$1:I$1),false)</f>
        <v>0.4</v>
      </c>
      <c r="J28" s="99">
        <f>$D28-vlookup(Summary!$C28,Summary!$C$2:$Q$103,3+counta($F$1:J$1),false)</f>
        <v>0.5</v>
      </c>
      <c r="K28" s="99">
        <f>$D28-vlookup(Summary!$C28,Summary!$C$2:$Q$103,3+counta($F$1:K$1),false)</f>
        <v>0.25</v>
      </c>
      <c r="L28" s="99">
        <f>$D28-vlookup(Summary!$C28,Summary!$C$2:$Q$103,3+counta($F$1:L$1),false)</f>
        <v>0.7</v>
      </c>
      <c r="M28" s="99">
        <f>$D28-vlookup(Summary!$C28,Summary!$C$2:$Q$103,3+counta($F$1:M$1),false)</f>
        <v>0.7</v>
      </c>
      <c r="N28" s="99">
        <f>$D28-vlookup(Summary!$C28,Summary!$C$2:$Q$103,3+counta($F$1:N$1),false)</f>
        <v>0</v>
      </c>
      <c r="O28" s="99">
        <f>$D28-vlookup(Summary!$C28,Summary!$C$2:$Q$103,3+counta($F$1:O$1),false)</f>
        <v>0.4</v>
      </c>
      <c r="P28" s="99">
        <f>$D28-vlookup(Summary!$C28,Summary!$C$2:$Q$103,3+counta($F$1:P$1),false)</f>
        <v>0.4</v>
      </c>
      <c r="Q28" s="99">
        <f>$D28-vlookup(Summary!$C28,Summary!$C$2:$Q$103,3+counta($F$1:Q$1),false)</f>
        <v>0.5</v>
      </c>
    </row>
    <row r="29" ht="15.75" customHeight="1">
      <c r="A29" s="15">
        <f>Main!A29</f>
        <v>28</v>
      </c>
      <c r="B29" s="15" t="str">
        <f>Main!B29</f>
        <v>Donald Trump endorses on social media a movement that is called White Lives Matter</v>
      </c>
      <c r="C29" s="15" t="str">
        <f>Main!C29</f>
        <v>Celebrities</v>
      </c>
      <c r="D29" s="15">
        <v>0.9</v>
      </c>
      <c r="F29" s="99">
        <f>$D29-vlookup(Summary!$C29,Summary!$C$2:$Q$103,3+counta($F$1:F$1),false)</f>
        <v>0.6</v>
      </c>
      <c r="G29" s="99">
        <f>$D29-vlookup(Summary!$C29,Summary!$C$2:$Q$103,3+counta($F$1:G$1),false)</f>
        <v>0.6</v>
      </c>
      <c r="H29" s="99">
        <f>$D29-vlookup(Summary!$C29,Summary!$C$2:$Q$103,3+counta($F$1:H$1),false)</f>
        <v>0.1</v>
      </c>
      <c r="I29" s="99">
        <f>$D29-vlookup(Summary!$C29,Summary!$C$2:$Q$103,3+counta($F$1:I$1),false)</f>
        <v>0.8</v>
      </c>
      <c r="J29" s="99">
        <f>$D29-vlookup(Summary!$C29,Summary!$C$2:$Q$103,3+counta($F$1:J$1),false)</f>
        <v>0</v>
      </c>
      <c r="K29" s="99">
        <f>$D29-vlookup(Summary!$C29,Summary!$C$2:$Q$103,3+counta($F$1:K$1),false)</f>
        <v>0.45</v>
      </c>
      <c r="L29" s="99">
        <f>$D29-vlookup(Summary!$C29,Summary!$C$2:$Q$103,3+counta($F$1:L$1),false)</f>
        <v>0.899</v>
      </c>
      <c r="M29" s="99">
        <f>$D29-vlookup(Summary!$C29,Summary!$C$2:$Q$103,3+counta($F$1:M$1),false)</f>
        <v>0.1</v>
      </c>
      <c r="N29" s="99">
        <f>$D29-vlookup(Summary!$C29,Summary!$C$2:$Q$103,3+counta($F$1:N$1),false)</f>
        <v>0</v>
      </c>
      <c r="O29" s="99">
        <f>$D29-vlookup(Summary!$C29,Summary!$C$2:$Q$103,3+counta($F$1:O$1),false)</f>
        <v>0.899</v>
      </c>
      <c r="P29" s="99">
        <f>$D29-vlookup(Summary!$C29,Summary!$C$2:$Q$103,3+counta($F$1:P$1),false)</f>
        <v>0.8</v>
      </c>
      <c r="Q29" s="99">
        <f>$D29-vlookup(Summary!$C29,Summary!$C$2:$Q$103,3+counta($F$1:Q$1),false)</f>
        <v>0.35</v>
      </c>
    </row>
    <row r="30" ht="15.75" customHeight="1">
      <c r="A30" s="15">
        <f>Main!A30</f>
        <v>29</v>
      </c>
      <c r="B30" s="15" t="str">
        <f>Main!B30</f>
        <v>Britney Spears returns under conservatorship</v>
      </c>
      <c r="C30" s="15" t="str">
        <f>Main!C30</f>
        <v>Celebrities</v>
      </c>
      <c r="D30" s="15">
        <v>0.1</v>
      </c>
      <c r="F30" s="99">
        <f>$D30-vlookup(Summary!$C30,Summary!$C$2:$Q$103,3+counta($F$1:F$1),false)</f>
        <v>0</v>
      </c>
      <c r="G30" s="99">
        <f>$D30-vlookup(Summary!$C30,Summary!$C$2:$Q$103,3+counta($F$1:G$1),false)</f>
        <v>0</v>
      </c>
      <c r="H30" s="99">
        <f>$D30-vlookup(Summary!$C30,Summary!$C$2:$Q$103,3+counta($F$1:H$1),false)</f>
        <v>0.05</v>
      </c>
      <c r="I30" s="99">
        <f>$D30-vlookup(Summary!$C30,Summary!$C$2:$Q$103,3+counta($F$1:I$1),false)</f>
        <v>0.05</v>
      </c>
      <c r="J30" s="99">
        <f>$D30-vlookup(Summary!$C30,Summary!$C$2:$Q$103,3+counta($F$1:J$1),false)</f>
        <v>0</v>
      </c>
      <c r="K30" s="99">
        <f>$D30-vlookup(Summary!$C30,Summary!$C$2:$Q$103,3+counta($F$1:K$1),false)</f>
        <v>0.1</v>
      </c>
      <c r="L30" s="99">
        <f>$D30-vlookup(Summary!$C30,Summary!$C$2:$Q$103,3+counta($F$1:L$1),false)</f>
        <v>0.05</v>
      </c>
      <c r="M30" s="99">
        <f>$D30-vlookup(Summary!$C30,Summary!$C$2:$Q$103,3+counta($F$1:M$1),false)</f>
        <v>0.05</v>
      </c>
      <c r="N30" s="99">
        <f>$D30-vlookup(Summary!$C30,Summary!$C$2:$Q$103,3+counta($F$1:N$1),false)</f>
        <v>0</v>
      </c>
      <c r="O30" s="99">
        <f>$D30-vlookup(Summary!$C30,Summary!$C$2:$Q$103,3+counta($F$1:O$1),false)</f>
        <v>0.099</v>
      </c>
      <c r="P30" s="99">
        <f>$D30-vlookup(Summary!$C30,Summary!$C$2:$Q$103,3+counta($F$1:P$1),false)</f>
        <v>0</v>
      </c>
      <c r="Q30" s="99">
        <f>$D30-vlookup(Summary!$C30,Summary!$C$2:$Q$103,3+counta($F$1:Q$1),false)</f>
        <v>-0.4</v>
      </c>
    </row>
    <row r="31" ht="15.75" customHeight="1">
      <c r="A31" s="15">
        <f>Main!A31</f>
        <v>30</v>
      </c>
      <c r="B31" s="15" t="str">
        <f>Main!B31</f>
        <v>Taylor Swift and her partner separate, or announce they're expecting a child</v>
      </c>
      <c r="C31" s="15" t="str">
        <f>Main!C31</f>
        <v>Celebrities</v>
      </c>
      <c r="D31" s="15">
        <v>0.9</v>
      </c>
      <c r="F31" s="99">
        <f>$D31-vlookup(Summary!$C31,Summary!$C$2:$Q$103,3+counta($F$1:F$1),false)</f>
        <v>0.5</v>
      </c>
      <c r="G31" s="99">
        <f>$D31-vlookup(Summary!$C31,Summary!$C$2:$Q$103,3+counta($F$1:G$1),false)</f>
        <v>0.6</v>
      </c>
      <c r="H31" s="99">
        <f>$D31-vlookup(Summary!$C31,Summary!$C$2:$Q$103,3+counta($F$1:H$1),false)</f>
        <v>0.2</v>
      </c>
      <c r="I31" s="99">
        <f>$D31-vlookup(Summary!$C31,Summary!$C$2:$Q$103,3+counta($F$1:I$1),false)</f>
        <v>0.8</v>
      </c>
      <c r="J31" s="99">
        <f>$D31-vlookup(Summary!$C31,Summary!$C$2:$Q$103,3+counta($F$1:J$1),false)</f>
        <v>0.2</v>
      </c>
      <c r="K31" s="99">
        <f>$D31-vlookup(Summary!$C31,Summary!$C$2:$Q$103,3+counta($F$1:K$1),false)</f>
        <v>0.3</v>
      </c>
      <c r="L31" s="99">
        <f>$D31-vlookup(Summary!$C31,Summary!$C$2:$Q$103,3+counta($F$1:L$1),false)</f>
        <v>0.8</v>
      </c>
      <c r="M31" s="99">
        <f>$D31-vlookup(Summary!$C31,Summary!$C$2:$Q$103,3+counta($F$1:M$1),false)</f>
        <v>0.2</v>
      </c>
      <c r="N31" s="99">
        <f>$D31-vlookup(Summary!$C31,Summary!$C$2:$Q$103,3+counta($F$1:N$1),false)</f>
        <v>0</v>
      </c>
      <c r="O31" s="99">
        <f>$D31-vlookup(Summary!$C31,Summary!$C$2:$Q$103,3+counta($F$1:O$1),false)</f>
        <v>0.75</v>
      </c>
      <c r="P31" s="99">
        <f>$D31-vlookup(Summary!$C31,Summary!$C$2:$Q$103,3+counta($F$1:P$1),false)</f>
        <v>0.4</v>
      </c>
      <c r="Q31" s="99">
        <f>$D31-vlookup(Summary!$C31,Summary!$C$2:$Q$103,3+counta($F$1:Q$1),false)</f>
        <v>0.7</v>
      </c>
    </row>
    <row r="32" ht="15.75" customHeight="1">
      <c r="A32" s="15">
        <f>Main!A32</f>
        <v>31</v>
      </c>
      <c r="B32" s="15" t="str">
        <f>Main!B32</f>
        <v>Aung San Suu Kyi dies or announces she has a terminal illness (terminal illness including cancer)</v>
      </c>
      <c r="C32" s="15" t="str">
        <f>Main!C32</f>
        <v>Celebrities</v>
      </c>
      <c r="D32" s="15">
        <v>0.1</v>
      </c>
      <c r="F32" s="99">
        <f>$D32-vlookup(Summary!$C32,Summary!$C$2:$Q$103,3+counta($F$1:F$1),false)</f>
        <v>-0.4</v>
      </c>
      <c r="G32" s="99">
        <f>$D32-vlookup(Summary!$C32,Summary!$C$2:$Q$103,3+counta($F$1:G$1),false)</f>
        <v>-0.3</v>
      </c>
      <c r="H32" s="99">
        <f>$D32-vlookup(Summary!$C32,Summary!$C$2:$Q$103,3+counta($F$1:H$1),false)</f>
        <v>-0.4</v>
      </c>
      <c r="I32" s="99">
        <f>$D32-vlookup(Summary!$C32,Summary!$C$2:$Q$103,3+counta($F$1:I$1),false)</f>
        <v>-0.1</v>
      </c>
      <c r="J32" s="99">
        <f>$D32-vlookup(Summary!$C32,Summary!$C$2:$Q$103,3+counta($F$1:J$1),false)</f>
        <v>-0.2</v>
      </c>
      <c r="K32" s="99">
        <f>$D32-vlookup(Summary!$C32,Summary!$C$2:$Q$103,3+counta($F$1:K$1),false)</f>
        <v>-0.35</v>
      </c>
      <c r="L32" s="99">
        <f>$D32-vlookup(Summary!$C32,Summary!$C$2:$Q$103,3+counta($F$1:L$1),false)</f>
        <v>-0.1</v>
      </c>
      <c r="M32" s="99">
        <f>$D32-vlookup(Summary!$C32,Summary!$C$2:$Q$103,3+counta($F$1:M$1),false)</f>
        <v>-0.4</v>
      </c>
      <c r="N32" s="99">
        <f>$D32-vlookup(Summary!$C32,Summary!$C$2:$Q$103,3+counta($F$1:N$1),false)</f>
        <v>0</v>
      </c>
      <c r="O32" s="99">
        <f>$D32-vlookup(Summary!$C32,Summary!$C$2:$Q$103,3+counta($F$1:O$1),false)</f>
        <v>-0.25</v>
      </c>
      <c r="P32" s="99">
        <f>$D32-vlookup(Summary!$C32,Summary!$C$2:$Q$103,3+counta($F$1:P$1),false)</f>
        <v>0</v>
      </c>
      <c r="Q32" s="99">
        <f>$D32-vlookup(Summary!$C32,Summary!$C$2:$Q$103,3+counta($F$1:Q$1),false)</f>
        <v>-0.4</v>
      </c>
    </row>
    <row r="33" ht="15.75" customHeight="1">
      <c r="A33" s="15">
        <f>Main!A33</f>
        <v>32</v>
      </c>
      <c r="B33" s="15" t="str">
        <f>Main!B33</f>
        <v>Henry Cavill marries</v>
      </c>
      <c r="C33" s="15" t="str">
        <f>Main!C33</f>
        <v>Celebrities</v>
      </c>
      <c r="D33" s="15">
        <v>0.5</v>
      </c>
      <c r="F33" s="99">
        <f>$D33-vlookup(Summary!$C33,Summary!$C$2:$Q$103,3+counta($F$1:F$1),false)</f>
        <v>-0.05</v>
      </c>
      <c r="G33" s="99">
        <f>$D33-vlookup(Summary!$C33,Summary!$C$2:$Q$103,3+counta($F$1:G$1),false)</f>
        <v>-0.1</v>
      </c>
      <c r="H33" s="99">
        <f>$D33-vlookup(Summary!$C33,Summary!$C$2:$Q$103,3+counta($F$1:H$1),false)</f>
        <v>0.4</v>
      </c>
      <c r="I33" s="99">
        <f>$D33-vlookup(Summary!$C33,Summary!$C$2:$Q$103,3+counta($F$1:I$1),false)</f>
        <v>0.3</v>
      </c>
      <c r="J33" s="99">
        <f>$D33-vlookup(Summary!$C33,Summary!$C$2:$Q$103,3+counta($F$1:J$1),false)</f>
        <v>0.1</v>
      </c>
      <c r="K33" s="99">
        <f>$D33-vlookup(Summary!$C33,Summary!$C$2:$Q$103,3+counta($F$1:K$1),false)</f>
        <v>0</v>
      </c>
      <c r="L33" s="99">
        <f>$D33-vlookup(Summary!$C33,Summary!$C$2:$Q$103,3+counta($F$1:L$1),false)</f>
        <v>0.3</v>
      </c>
      <c r="M33" s="99">
        <f>$D33-vlookup(Summary!$C33,Summary!$C$2:$Q$103,3+counta($F$1:M$1),false)</f>
        <v>0.4</v>
      </c>
      <c r="N33" s="99">
        <f>$D33-vlookup(Summary!$C33,Summary!$C$2:$Q$103,3+counta($F$1:N$1),false)</f>
        <v>0</v>
      </c>
      <c r="O33" s="99">
        <f>$D33-vlookup(Summary!$C33,Summary!$C$2:$Q$103,3+counta($F$1:O$1),false)</f>
        <v>0.35</v>
      </c>
      <c r="P33" s="99">
        <f>$D33-vlookup(Summary!$C33,Summary!$C$2:$Q$103,3+counta($F$1:P$1),false)</f>
        <v>0</v>
      </c>
      <c r="Q33" s="99">
        <f>$D33-vlookup(Summary!$C33,Summary!$C$2:$Q$103,3+counta($F$1:Q$1),false)</f>
        <v>0.1</v>
      </c>
    </row>
    <row r="34" ht="15.75" customHeight="1">
      <c r="A34" s="15">
        <f>Main!A34</f>
        <v>33</v>
      </c>
      <c r="B34" s="15" t="str">
        <f>Main!B34</f>
        <v>Daily COVID cases in Australia will reach 150,000 at least once</v>
      </c>
      <c r="C34" s="15" t="str">
        <f>Main!C34</f>
        <v>Covid</v>
      </c>
      <c r="D34" s="15">
        <v>0.4</v>
      </c>
      <c r="F34" s="99">
        <f>$D34-vlookup(Summary!$C34,Summary!$C$2:$Q$103,3+counta($F$1:F$1),false)</f>
        <v>0.3</v>
      </c>
      <c r="G34" s="99">
        <f>$D34-vlookup(Summary!$C34,Summary!$C$2:$Q$103,3+counta($F$1:G$1),false)</f>
        <v>0.2</v>
      </c>
      <c r="H34" s="99">
        <f>$D34-vlookup(Summary!$C34,Summary!$C$2:$Q$103,3+counta($F$1:H$1),false)</f>
        <v>0.39</v>
      </c>
      <c r="I34" s="99">
        <f>$D34-vlookup(Summary!$C34,Summary!$C$2:$Q$103,3+counta($F$1:I$1),false)</f>
        <v>0.3</v>
      </c>
      <c r="J34" s="99">
        <f>$D34-vlookup(Summary!$C34,Summary!$C$2:$Q$103,3+counta($F$1:J$1),false)</f>
        <v>-0.5</v>
      </c>
      <c r="K34" s="99">
        <f>$D34-vlookup(Summary!$C34,Summary!$C$2:$Q$103,3+counta($F$1:K$1),false)</f>
        <v>-0.2</v>
      </c>
      <c r="L34" s="99">
        <f>$D34-vlookup(Summary!$C34,Summary!$C$2:$Q$103,3+counta($F$1:L$1),false)</f>
        <v>0.35</v>
      </c>
      <c r="M34" s="99">
        <f>$D34-vlookup(Summary!$C34,Summary!$C$2:$Q$103,3+counta($F$1:M$1),false)</f>
        <v>0.39</v>
      </c>
      <c r="N34" s="99">
        <f>$D34-vlookup(Summary!$C34,Summary!$C$2:$Q$103,3+counta($F$1:N$1),false)</f>
        <v>0</v>
      </c>
      <c r="O34" s="99">
        <f>$D34-vlookup(Summary!$C34,Summary!$C$2:$Q$103,3+counta($F$1:O$1),false)</f>
        <v>0.25</v>
      </c>
      <c r="P34" s="99">
        <f>$D34-vlookup(Summary!$C34,Summary!$C$2:$Q$103,3+counta($F$1:P$1),false)</f>
        <v>-0.5</v>
      </c>
      <c r="Q34" s="99">
        <f>$D34-vlookup(Summary!$C34,Summary!$C$2:$Q$103,3+counta($F$1:Q$1),false)</f>
        <v>-0.5</v>
      </c>
    </row>
    <row r="35" ht="15.75" customHeight="1">
      <c r="A35" s="15">
        <f>Main!A35</f>
        <v>34</v>
      </c>
      <c r="B35" s="15" t="str">
        <f>Main!B35</f>
        <v>More deaths will be attributed to Omicron by the WHO than all other covid variants combined</v>
      </c>
      <c r="C35" s="15" t="str">
        <f>Main!C35</f>
        <v>Covid</v>
      </c>
      <c r="D35" s="15">
        <v>0.3</v>
      </c>
      <c r="F35" s="99">
        <f>$D35-vlookup(Summary!$C35,Summary!$C$2:$Q$103,3+counta($F$1:F$1),false)</f>
        <v>0</v>
      </c>
      <c r="G35" s="99">
        <f>$D35-vlookup(Summary!$C35,Summary!$C$2:$Q$103,3+counta($F$1:G$1),false)</f>
        <v>0.2</v>
      </c>
      <c r="H35" s="99">
        <f>$D35-vlookup(Summary!$C35,Summary!$C$2:$Q$103,3+counta($F$1:H$1),false)</f>
        <v>-0.5</v>
      </c>
      <c r="I35" s="99">
        <f>$D35-vlookup(Summary!$C35,Summary!$C$2:$Q$103,3+counta($F$1:I$1),false)</f>
        <v>0.2</v>
      </c>
      <c r="J35" s="99">
        <f>$D35-vlookup(Summary!$C35,Summary!$C$2:$Q$103,3+counta($F$1:J$1),false)</f>
        <v>-0.1</v>
      </c>
      <c r="K35" s="99">
        <f>$D35-vlookup(Summary!$C35,Summary!$C$2:$Q$103,3+counta($F$1:K$1),false)</f>
        <v>-0.45</v>
      </c>
      <c r="L35" s="99">
        <f>$D35-vlookup(Summary!$C35,Summary!$C$2:$Q$103,3+counta($F$1:L$1),false)</f>
        <v>0.299</v>
      </c>
      <c r="M35" s="99">
        <f>$D35-vlookup(Summary!$C35,Summary!$C$2:$Q$103,3+counta($F$1:M$1),false)</f>
        <v>-0.5</v>
      </c>
      <c r="N35" s="99">
        <f>$D35-vlookup(Summary!$C35,Summary!$C$2:$Q$103,3+counta($F$1:N$1),false)</f>
        <v>0</v>
      </c>
      <c r="O35" s="99">
        <f>$D35-vlookup(Summary!$C35,Summary!$C$2:$Q$103,3+counta($F$1:O$1),false)</f>
        <v>-0.55</v>
      </c>
      <c r="P35" s="99">
        <f>$D35-vlookup(Summary!$C35,Summary!$C$2:$Q$103,3+counta($F$1:P$1),false)</f>
        <v>-0.2</v>
      </c>
      <c r="Q35" s="99">
        <f>$D35-vlookup(Summary!$C35,Summary!$C$2:$Q$103,3+counta($F$1:Q$1),false)</f>
        <v>-0.4</v>
      </c>
    </row>
    <row r="36" ht="15.75" customHeight="1">
      <c r="A36" s="15">
        <f>Main!A36</f>
        <v>35</v>
      </c>
      <c r="B36" s="15" t="str">
        <f>Main!B36</f>
        <v>The average number of covid vaccinations per person amongst members of Xmas eve 2022 will be &gt; 3</v>
      </c>
      <c r="C36" s="15" t="str">
        <f>Main!C36</f>
        <v>Covid</v>
      </c>
      <c r="D36" s="15">
        <v>0.9</v>
      </c>
      <c r="F36" s="99">
        <f>$D36-vlookup(Summary!$C36,Summary!$C$2:$Q$103,3+counta($F$1:F$1),false)</f>
        <v>0.1</v>
      </c>
      <c r="G36" s="99">
        <f>$D36-vlookup(Summary!$C36,Summary!$C$2:$Q$103,3+counta($F$1:G$1),false)</f>
        <v>0</v>
      </c>
      <c r="H36" s="99">
        <f>$D36-vlookup(Summary!$C36,Summary!$C$2:$Q$103,3+counta($F$1:H$1),false)</f>
        <v>0</v>
      </c>
      <c r="I36" s="99">
        <f>$D36-vlookup(Summary!$C36,Summary!$C$2:$Q$103,3+counta($F$1:I$1),false)</f>
        <v>0.4</v>
      </c>
      <c r="J36" s="99">
        <f>$D36-vlookup(Summary!$C36,Summary!$C$2:$Q$103,3+counta($F$1:J$1),false)</f>
        <v>0.5</v>
      </c>
      <c r="K36" s="99">
        <f>$D36-vlookup(Summary!$C36,Summary!$C$2:$Q$103,3+counta($F$1:K$1),false)</f>
        <v>0.1</v>
      </c>
      <c r="L36" s="99">
        <f>$D36-vlookup(Summary!$C36,Summary!$C$2:$Q$103,3+counta($F$1:L$1),false)</f>
        <v>-0.099</v>
      </c>
      <c r="M36" s="99">
        <f>$D36-vlookup(Summary!$C36,Summary!$C$2:$Q$103,3+counta($F$1:M$1),false)</f>
        <v>0</v>
      </c>
      <c r="N36" s="99">
        <f>$D36-vlookup(Summary!$C36,Summary!$C$2:$Q$103,3+counta($F$1:N$1),false)</f>
        <v>0</v>
      </c>
      <c r="O36" s="99">
        <f>$D36-vlookup(Summary!$C36,Summary!$C$2:$Q$103,3+counta($F$1:O$1),false)</f>
        <v>0.05</v>
      </c>
      <c r="P36" s="99">
        <f>$D36-vlookup(Summary!$C36,Summary!$C$2:$Q$103,3+counta($F$1:P$1),false)</f>
        <v>0</v>
      </c>
      <c r="Q36" s="99">
        <f>$D36-vlookup(Summary!$C36,Summary!$C$2:$Q$103,3+counta($F$1:Q$1),false)</f>
        <v>0.5</v>
      </c>
    </row>
    <row r="37" ht="15.75" customHeight="1">
      <c r="A37" s="15">
        <f>Main!A37</f>
        <v>36</v>
      </c>
      <c r="B37" s="15" t="str">
        <f>Main!B37</f>
        <v>2 new variants of Covid will be invented/discovered during 2022</v>
      </c>
      <c r="C37" s="15" t="str">
        <f>Main!C37</f>
        <v>Covid</v>
      </c>
      <c r="D37" s="15">
        <v>0.9</v>
      </c>
      <c r="F37" s="99">
        <f>$D37-vlookup(Summary!$C37,Summary!$C$2:$Q$103,3+counta($F$1:F$1),false)</f>
        <v>0.6</v>
      </c>
      <c r="G37" s="99">
        <f>$D37-vlookup(Summary!$C37,Summary!$C$2:$Q$103,3+counta($F$1:G$1),false)</f>
        <v>0.6</v>
      </c>
      <c r="H37" s="99">
        <f>$D37-vlookup(Summary!$C37,Summary!$C$2:$Q$103,3+counta($F$1:H$1),false)</f>
        <v>0.1</v>
      </c>
      <c r="I37" s="99">
        <f>$D37-vlookup(Summary!$C37,Summary!$C$2:$Q$103,3+counta($F$1:I$1),false)</f>
        <v>0.6</v>
      </c>
      <c r="J37" s="99">
        <f>$D37-vlookup(Summary!$C37,Summary!$C$2:$Q$103,3+counta($F$1:J$1),false)</f>
        <v>0</v>
      </c>
      <c r="K37" s="99">
        <f>$D37-vlookup(Summary!$C37,Summary!$C$2:$Q$103,3+counta($F$1:K$1),false)</f>
        <v>0.05</v>
      </c>
      <c r="L37" s="99">
        <f>$D37-vlookup(Summary!$C37,Summary!$C$2:$Q$103,3+counta($F$1:L$1),false)</f>
        <v>0.899</v>
      </c>
      <c r="M37" s="99">
        <f>$D37-vlookup(Summary!$C37,Summary!$C$2:$Q$103,3+counta($F$1:M$1),false)</f>
        <v>0.1</v>
      </c>
      <c r="N37" s="99">
        <f>$D37-vlookup(Summary!$C37,Summary!$C$2:$Q$103,3+counta($F$1:N$1),false)</f>
        <v>0</v>
      </c>
      <c r="O37" s="99">
        <f>$D37-vlookup(Summary!$C37,Summary!$C$2:$Q$103,3+counta($F$1:O$1),false)</f>
        <v>0.55</v>
      </c>
      <c r="P37" s="99">
        <f>$D37-vlookup(Summary!$C37,Summary!$C$2:$Q$103,3+counta($F$1:P$1),false)</f>
        <v>0</v>
      </c>
      <c r="Q37" s="99">
        <f>$D37-vlookup(Summary!$C37,Summary!$C$2:$Q$103,3+counta($F$1:Q$1),false)</f>
        <v>0.5</v>
      </c>
    </row>
    <row r="38" ht="15.75" customHeight="1">
      <c r="A38" s="15">
        <f>Main!A38</f>
        <v>37</v>
      </c>
      <c r="B38" s="15" t="str">
        <f>Main!B38</f>
        <v>Tasmania will have experienced at least 10,000 new cases in 1 day</v>
      </c>
      <c r="C38" s="15" t="str">
        <f>Main!C38</f>
        <v>Covid</v>
      </c>
      <c r="D38" s="15">
        <v>0.1</v>
      </c>
      <c r="F38" s="99">
        <f>$D38-vlookup(Summary!$C38,Summary!$C$2:$Q$103,3+counta($F$1:F$1),false)</f>
        <v>-0.05</v>
      </c>
      <c r="G38" s="99">
        <f>$D38-vlookup(Summary!$C38,Summary!$C$2:$Q$103,3+counta($F$1:G$1),false)</f>
        <v>0</v>
      </c>
      <c r="H38" s="99">
        <f>$D38-vlookup(Summary!$C38,Summary!$C$2:$Q$103,3+counta($F$1:H$1),false)</f>
        <v>0.05</v>
      </c>
      <c r="I38" s="99">
        <f>$D38-vlookup(Summary!$C38,Summary!$C$2:$Q$103,3+counta($F$1:I$1),false)</f>
        <v>0</v>
      </c>
      <c r="J38" s="99">
        <f>$D38-vlookup(Summary!$C38,Summary!$C$2:$Q$103,3+counta($F$1:J$1),false)</f>
        <v>-0.2</v>
      </c>
      <c r="K38" s="99">
        <f>$D38-vlookup(Summary!$C38,Summary!$C$2:$Q$103,3+counta($F$1:K$1),false)</f>
        <v>-0.35</v>
      </c>
      <c r="L38" s="99">
        <f>$D38-vlookup(Summary!$C38,Summary!$C$2:$Q$103,3+counta($F$1:L$1),false)</f>
        <v>0.099</v>
      </c>
      <c r="M38" s="99">
        <f>$D38-vlookup(Summary!$C38,Summary!$C$2:$Q$103,3+counta($F$1:M$1),false)</f>
        <v>0.08</v>
      </c>
      <c r="N38" s="99">
        <f>$D38-vlookup(Summary!$C38,Summary!$C$2:$Q$103,3+counta($F$1:N$1),false)</f>
        <v>0</v>
      </c>
      <c r="O38" s="99">
        <f>$D38-vlookup(Summary!$C38,Summary!$C$2:$Q$103,3+counta($F$1:O$1),false)</f>
        <v>0.099</v>
      </c>
      <c r="P38" s="99">
        <f>$D38-vlookup(Summary!$C38,Summary!$C$2:$Q$103,3+counta($F$1:P$1),false)</f>
        <v>-0.4</v>
      </c>
      <c r="Q38" s="99">
        <f>$D38-vlookup(Summary!$C38,Summary!$C$2:$Q$103,3+counta($F$1:Q$1),false)</f>
        <v>-0.45</v>
      </c>
    </row>
    <row r="39" ht="15.75" customHeight="1">
      <c r="A39" s="15">
        <f>Main!A39</f>
        <v>38</v>
      </c>
      <c r="B39" s="15" t="str">
        <f>Main!B39</f>
        <v>WHO switches to another alphabet than the Greek alphabet for Covid variants</v>
      </c>
      <c r="C39" s="15" t="str">
        <f>Main!C39</f>
        <v>Covid</v>
      </c>
      <c r="D39" s="15">
        <v>0.9</v>
      </c>
      <c r="F39" s="99">
        <f>$D39-vlookup(Summary!$C39,Summary!$C$2:$Q$103,3+counta($F$1:F$1),false)</f>
        <v>0.45</v>
      </c>
      <c r="G39" s="99">
        <f>$D39-vlookup(Summary!$C39,Summary!$C$2:$Q$103,3+counta($F$1:G$1),false)</f>
        <v>0.1</v>
      </c>
      <c r="H39" s="99">
        <f>$D39-vlookup(Summary!$C39,Summary!$C$2:$Q$103,3+counta($F$1:H$1),false)</f>
        <v>0.7</v>
      </c>
      <c r="I39" s="99">
        <f>$D39-vlookup(Summary!$C39,Summary!$C$2:$Q$103,3+counta($F$1:I$1),false)</f>
        <v>0.8</v>
      </c>
      <c r="J39" s="99">
        <f>$D39-vlookup(Summary!$C39,Summary!$C$2:$Q$103,3+counta($F$1:J$1),false)</f>
        <v>0.4</v>
      </c>
      <c r="K39" s="99">
        <f>$D39-vlookup(Summary!$C39,Summary!$C$2:$Q$103,3+counta($F$1:K$1),false)</f>
        <v>0</v>
      </c>
      <c r="L39" s="99">
        <f>$D39-vlookup(Summary!$C39,Summary!$C$2:$Q$103,3+counta($F$1:L$1),false)</f>
        <v>0.4</v>
      </c>
      <c r="M39" s="99">
        <f>$D39-vlookup(Summary!$C39,Summary!$C$2:$Q$103,3+counta($F$1:M$1),false)</f>
        <v>0.7</v>
      </c>
      <c r="N39" s="99">
        <f>$D39-vlookup(Summary!$C39,Summary!$C$2:$Q$103,3+counta($F$1:N$1),false)</f>
        <v>0</v>
      </c>
      <c r="O39" s="99">
        <f>$D39-vlookup(Summary!$C39,Summary!$C$2:$Q$103,3+counta($F$1:O$1),false)</f>
        <v>0.75</v>
      </c>
      <c r="P39" s="99">
        <f>$D39-vlookup(Summary!$C39,Summary!$C$2:$Q$103,3+counta($F$1:P$1),false)</f>
        <v>0.8</v>
      </c>
      <c r="Q39" s="99">
        <f>$D39-vlookup(Summary!$C39,Summary!$C$2:$Q$103,3+counta($F$1:Q$1),false)</f>
        <v>0.55</v>
      </c>
    </row>
    <row r="40" ht="15.75" customHeight="1">
      <c r="A40" s="15">
        <f>Main!A40</f>
        <v>39</v>
      </c>
      <c r="B40" s="15" t="str">
        <f>Main!B40</f>
        <v>Lachy and Jac's extension will be completed</v>
      </c>
      <c r="C40" s="15" t="str">
        <f>Main!C40</f>
        <v>Family</v>
      </c>
      <c r="D40" s="15">
        <v>0.9</v>
      </c>
      <c r="F40" s="99">
        <f>$D40-vlookup(Summary!$C40,Summary!$C$2:$Q$103,3+counta($F$1:F$1),false)</f>
        <v>0.2</v>
      </c>
      <c r="G40" s="99">
        <f>$D40-vlookup(Summary!$C40,Summary!$C$2:$Q$103,3+counta($F$1:G$1),false)</f>
        <v>0.1</v>
      </c>
      <c r="H40" s="99">
        <f>$D40-vlookup(Summary!$C40,Summary!$C$2:$Q$103,3+counta($F$1:H$1),false)</f>
        <v>0.8</v>
      </c>
      <c r="I40" s="99">
        <f>$D40-vlookup(Summary!$C40,Summary!$C$2:$Q$103,3+counta($F$1:I$1),false)</f>
        <v>0.4</v>
      </c>
      <c r="J40" s="99">
        <f>$D40-vlookup(Summary!$C40,Summary!$C$2:$Q$103,3+counta($F$1:J$1),false)</f>
        <v>0.1</v>
      </c>
      <c r="K40" s="99">
        <f>$D40-vlookup(Summary!$C40,Summary!$C$2:$Q$103,3+counta($F$1:K$1),false)</f>
        <v>0.5</v>
      </c>
      <c r="L40" s="99">
        <f>$D40-vlookup(Summary!$C40,Summary!$C$2:$Q$103,3+counta($F$1:L$1),false)</f>
        <v>0.4</v>
      </c>
      <c r="M40" s="99">
        <f>$D40-vlookup(Summary!$C40,Summary!$C$2:$Q$103,3+counta($F$1:M$1),false)</f>
        <v>0.9</v>
      </c>
      <c r="N40" s="99">
        <f>$D40-vlookup(Summary!$C40,Summary!$C$2:$Q$103,3+counta($F$1:N$1),false)</f>
        <v>0</v>
      </c>
      <c r="O40" s="99">
        <f>$D40-vlookup(Summary!$C40,Summary!$C$2:$Q$103,3+counta($F$1:O$1),false)</f>
        <v>0.05</v>
      </c>
      <c r="P40" s="99">
        <f>$D40-vlookup(Summary!$C40,Summary!$C$2:$Q$103,3+counta($F$1:P$1),false)</f>
        <v>0.4</v>
      </c>
      <c r="Q40" s="99">
        <f>$D40-vlookup(Summary!$C40,Summary!$C$2:$Q$103,3+counta($F$1:Q$1),false)</f>
        <v>0.75</v>
      </c>
    </row>
    <row r="41" ht="15.75" customHeight="1">
      <c r="A41" s="15">
        <f>Main!A41</f>
        <v>40</v>
      </c>
      <c r="B41" s="15" t="str">
        <f>Main!B41</f>
        <v>Rohan will work for two different employers (not his own family members)</v>
      </c>
      <c r="C41" s="15" t="str">
        <f>Main!C41</f>
        <v>Family</v>
      </c>
      <c r="D41" s="15">
        <v>0.6</v>
      </c>
      <c r="F41" s="99">
        <f>$D41-vlookup(Summary!$C41,Summary!$C$2:$Q$103,3+counta($F$1:F$1),false)</f>
        <v>0.2</v>
      </c>
      <c r="G41" s="99">
        <f>$D41-vlookup(Summary!$C41,Summary!$C$2:$Q$103,3+counta($F$1:G$1),false)</f>
        <v>0</v>
      </c>
      <c r="H41" s="99">
        <f>$D41-vlookup(Summary!$C41,Summary!$C$2:$Q$103,3+counta($F$1:H$1),false)</f>
        <v>0.5</v>
      </c>
      <c r="I41" s="99">
        <f>$D41-vlookup(Summary!$C41,Summary!$C$2:$Q$103,3+counta($F$1:I$1),false)</f>
        <v>0.3</v>
      </c>
      <c r="J41" s="99">
        <f>$D41-vlookup(Summary!$C41,Summary!$C$2:$Q$103,3+counta($F$1:J$1),false)</f>
        <v>0.1</v>
      </c>
      <c r="K41" s="99">
        <f>$D41-vlookup(Summary!$C41,Summary!$C$2:$Q$103,3+counta($F$1:K$1),false)</f>
        <v>0.3</v>
      </c>
      <c r="L41" s="99">
        <f>$D41-vlookup(Summary!$C41,Summary!$C$2:$Q$103,3+counta($F$1:L$1),false)</f>
        <v>0.3</v>
      </c>
      <c r="M41" s="99">
        <f>$D41-vlookup(Summary!$C41,Summary!$C$2:$Q$103,3+counta($F$1:M$1),false)</f>
        <v>0.5</v>
      </c>
      <c r="N41" s="99">
        <f>$D41-vlookup(Summary!$C41,Summary!$C$2:$Q$103,3+counta($F$1:N$1),false)</f>
        <v>0</v>
      </c>
      <c r="O41" s="99">
        <f>$D41-vlookup(Summary!$C41,Summary!$C$2:$Q$103,3+counta($F$1:O$1),false)</f>
        <v>0.45</v>
      </c>
      <c r="P41" s="99">
        <f>$D41-vlookup(Summary!$C41,Summary!$C$2:$Q$103,3+counta($F$1:P$1),false)</f>
        <v>0.1</v>
      </c>
      <c r="Q41" s="99">
        <f>$D41-vlookup(Summary!$C41,Summary!$C$2:$Q$103,3+counta($F$1:Q$1),false)</f>
        <v>0.3</v>
      </c>
    </row>
    <row r="42" ht="15.75" customHeight="1">
      <c r="A42" s="15">
        <f>Main!A42</f>
        <v>41</v>
      </c>
      <c r="B42" s="15" t="str">
        <f>Main!B42</f>
        <v>Kate will swim the Broulee Bay to Breakers in March 2022 and improve her position from 9th in the 40s women’s age group</v>
      </c>
      <c r="C42" s="15" t="str">
        <f>Main!C42</f>
        <v>Family</v>
      </c>
      <c r="D42" s="15">
        <v>0.2</v>
      </c>
      <c r="F42" s="99">
        <f>$D42-vlookup(Summary!$C42,Summary!$C$2:$Q$103,3+counta($F$1:F$1),false)</f>
        <v>-0.4</v>
      </c>
      <c r="G42" s="99">
        <f>$D42-vlookup(Summary!$C42,Summary!$C$2:$Q$103,3+counta($F$1:G$1),false)</f>
        <v>-0.6</v>
      </c>
      <c r="H42" s="99">
        <f>$D42-vlookup(Summary!$C42,Summary!$C$2:$Q$103,3+counta($F$1:H$1),false)</f>
        <v>-0.7</v>
      </c>
      <c r="I42" s="99">
        <f>$D42-vlookup(Summary!$C42,Summary!$C$2:$Q$103,3+counta($F$1:I$1),false)</f>
        <v>-0.3</v>
      </c>
      <c r="J42" s="99">
        <f>$D42-vlookup(Summary!$C42,Summary!$C$2:$Q$103,3+counta($F$1:J$1),false)</f>
        <v>-0.7</v>
      </c>
      <c r="K42" s="99">
        <f>$D42-vlookup(Summary!$C42,Summary!$C$2:$Q$103,3+counta($F$1:K$1),false)</f>
        <v>-0.5</v>
      </c>
      <c r="L42" s="99">
        <f>$D42-vlookup(Summary!$C42,Summary!$C$2:$Q$103,3+counta($F$1:L$1),false)</f>
        <v>-0.4</v>
      </c>
      <c r="M42" s="99">
        <f>$D42-vlookup(Summary!$C42,Summary!$C$2:$Q$103,3+counta($F$1:M$1),false)</f>
        <v>-0.7</v>
      </c>
      <c r="N42" s="99">
        <f>$D42-vlookup(Summary!$C42,Summary!$C$2:$Q$103,3+counta($F$1:N$1),false)</f>
        <v>0</v>
      </c>
      <c r="O42" s="99">
        <f>$D42-vlookup(Summary!$C42,Summary!$C$2:$Q$103,3+counta($F$1:O$1),false)</f>
        <v>-0.65</v>
      </c>
      <c r="P42" s="99">
        <f>$D42-vlookup(Summary!$C42,Summary!$C$2:$Q$103,3+counta($F$1:P$1),false)</f>
        <v>-0.7</v>
      </c>
      <c r="Q42" s="99">
        <f>$D42-vlookup(Summary!$C42,Summary!$C$2:$Q$103,3+counta($F$1:Q$1),false)</f>
        <v>-0.3</v>
      </c>
    </row>
    <row r="43" ht="15.75" customHeight="1">
      <c r="A43" s="15">
        <f>Main!A43</f>
        <v>42</v>
      </c>
      <c r="B43" s="15" t="str">
        <f>Main!B43</f>
        <v>Rohan will be at least 6ft tall</v>
      </c>
      <c r="C43" s="15" t="str">
        <f>Main!C43</f>
        <v>Family</v>
      </c>
      <c r="D43" s="15">
        <v>0.9</v>
      </c>
      <c r="F43" s="99">
        <f>$D43-vlookup(Summary!$C43,Summary!$C$2:$Q$103,3+counta($F$1:F$1),false)</f>
        <v>0.4</v>
      </c>
      <c r="G43" s="99">
        <f>$D43-vlookup(Summary!$C43,Summary!$C$2:$Q$103,3+counta($F$1:G$1),false)</f>
        <v>0</v>
      </c>
      <c r="H43" s="99">
        <f>$D43-vlookup(Summary!$C43,Summary!$C$2:$Q$103,3+counta($F$1:H$1),false)</f>
        <v>0</v>
      </c>
      <c r="I43" s="99">
        <f>$D43-vlookup(Summary!$C43,Summary!$C$2:$Q$103,3+counta($F$1:I$1),false)</f>
        <v>0.5</v>
      </c>
      <c r="J43" s="99">
        <f>$D43-vlookup(Summary!$C43,Summary!$C$2:$Q$103,3+counta($F$1:J$1),false)</f>
        <v>0</v>
      </c>
      <c r="K43" s="99">
        <f>$D43-vlookup(Summary!$C43,Summary!$C$2:$Q$103,3+counta($F$1:K$1),false)</f>
        <v>0.899</v>
      </c>
      <c r="L43" s="99">
        <f>$D43-vlookup(Summary!$C43,Summary!$C$2:$Q$103,3+counta($F$1:L$1),false)</f>
        <v>-0.09999</v>
      </c>
      <c r="M43" s="99">
        <f>$D43-vlookup(Summary!$C43,Summary!$C$2:$Q$103,3+counta($F$1:M$1),false)</f>
        <v>0</v>
      </c>
      <c r="N43" s="99">
        <f>$D43-vlookup(Summary!$C43,Summary!$C$2:$Q$103,3+counta($F$1:N$1),false)</f>
        <v>0</v>
      </c>
      <c r="O43" s="99">
        <f>$D43-vlookup(Summary!$C43,Summary!$C$2:$Q$103,3+counta($F$1:O$1),false)</f>
        <v>-0.099</v>
      </c>
      <c r="P43" s="99">
        <f>$D43-vlookup(Summary!$C43,Summary!$C$2:$Q$103,3+counta($F$1:P$1),false)</f>
        <v>0</v>
      </c>
      <c r="Q43" s="99">
        <f>$D43-vlookup(Summary!$C43,Summary!$C$2:$Q$103,3+counta($F$1:Q$1),false)</f>
        <v>-0.09</v>
      </c>
    </row>
    <row r="44" ht="15.75" customHeight="1">
      <c r="A44" s="15">
        <f>Main!A44</f>
        <v>43</v>
      </c>
      <c r="B44" s="15" t="str">
        <f>Main!B44</f>
        <v>A participant in the prediction game will get a dog or another dog </v>
      </c>
      <c r="C44" s="15" t="str">
        <f>Main!C44</f>
        <v>Family</v>
      </c>
      <c r="D44" s="15">
        <v>0.1</v>
      </c>
      <c r="F44" s="99">
        <f>$D44-vlookup(Summary!$C44,Summary!$C$2:$Q$103,3+counta($F$1:F$1),false)</f>
        <v>-0.4</v>
      </c>
      <c r="G44" s="99">
        <f>$D44-vlookup(Summary!$C44,Summary!$C$2:$Q$103,3+counta($F$1:G$1),false)</f>
        <v>-0.85</v>
      </c>
      <c r="H44" s="99">
        <f>$D44-vlookup(Summary!$C44,Summary!$C$2:$Q$103,3+counta($F$1:H$1),false)</f>
        <v>0</v>
      </c>
      <c r="I44" s="99">
        <f>$D44-vlookup(Summary!$C44,Summary!$C$2:$Q$103,3+counta($F$1:I$1),false)</f>
        <v>0</v>
      </c>
      <c r="J44" s="99">
        <f>$D44-vlookup(Summary!$C44,Summary!$C$2:$Q$103,3+counta($F$1:J$1),false)</f>
        <v>-0.8</v>
      </c>
      <c r="K44" s="99">
        <f>$D44-vlookup(Summary!$C44,Summary!$C$2:$Q$103,3+counta($F$1:K$1),false)</f>
        <v>-0.65</v>
      </c>
      <c r="L44" s="99">
        <f>$D44-vlookup(Summary!$C44,Summary!$C$2:$Q$103,3+counta($F$1:L$1),false)</f>
        <v>-0.1</v>
      </c>
      <c r="M44" s="99">
        <f>$D44-vlookup(Summary!$C44,Summary!$C$2:$Q$103,3+counta($F$1:M$1),false)</f>
        <v>0</v>
      </c>
      <c r="N44" s="99">
        <f>$D44-vlookup(Summary!$C44,Summary!$C$2:$Q$103,3+counta($F$1:N$1),false)</f>
        <v>0</v>
      </c>
      <c r="O44" s="99">
        <f>$D44-vlookup(Summary!$C44,Summary!$C$2:$Q$103,3+counta($F$1:O$1),false)</f>
        <v>0.099</v>
      </c>
      <c r="P44" s="99">
        <f>$D44-vlookup(Summary!$C44,Summary!$C$2:$Q$103,3+counta($F$1:P$1),false)</f>
        <v>-0.4</v>
      </c>
      <c r="Q44" s="99">
        <f>$D44-vlookup(Summary!$C44,Summary!$C$2:$Q$103,3+counta($F$1:Q$1),false)</f>
        <v>-0.15</v>
      </c>
    </row>
    <row r="45" ht="15.75" customHeight="1">
      <c r="A45" s="15">
        <f>Main!A45</f>
        <v>44</v>
      </c>
      <c r="B45" s="15" t="str">
        <f>Main!B45</f>
        <v>There will be a flow of water into the Lake Eyre basin in 2022</v>
      </c>
      <c r="C45" s="15" t="str">
        <f>Main!C45</f>
        <v>Natural world</v>
      </c>
      <c r="D45" s="15">
        <v>0.6</v>
      </c>
      <c r="F45" s="99">
        <f>$D45-vlookup(Summary!$C45,Summary!$C$2:$Q$103,3+counta($F$1:F$1),false)</f>
        <v>-0.15</v>
      </c>
      <c r="G45" s="99">
        <f>$D45-vlookup(Summary!$C45,Summary!$C$2:$Q$103,3+counta($F$1:G$1),false)</f>
        <v>-0.2</v>
      </c>
      <c r="H45" s="99">
        <f>$D45-vlookup(Summary!$C45,Summary!$C$2:$Q$103,3+counta($F$1:H$1),false)</f>
        <v>0.1</v>
      </c>
      <c r="I45" s="99">
        <f>$D45-vlookup(Summary!$C45,Summary!$C$2:$Q$103,3+counta($F$1:I$1),false)</f>
        <v>0.1</v>
      </c>
      <c r="J45" s="99">
        <f>$D45-vlookup(Summary!$C45,Summary!$C$2:$Q$103,3+counta($F$1:J$1),false)</f>
        <v>0.3</v>
      </c>
      <c r="K45" s="99">
        <f>$D45-vlookup(Summary!$C45,Summary!$C$2:$Q$103,3+counta($F$1:K$1),false)</f>
        <v>-0.1</v>
      </c>
      <c r="L45" s="99">
        <f>$D45-vlookup(Summary!$C45,Summary!$C$2:$Q$103,3+counta($F$1:L$1),false)</f>
        <v>-0.2</v>
      </c>
      <c r="M45" s="99">
        <f>$D45-vlookup(Summary!$C45,Summary!$C$2:$Q$103,3+counta($F$1:M$1),false)</f>
        <v>0.1</v>
      </c>
      <c r="N45" s="99">
        <f>$D45-vlookup(Summary!$C45,Summary!$C$2:$Q$103,3+counta($F$1:N$1),false)</f>
        <v>0</v>
      </c>
      <c r="O45" s="99">
        <f>$D45-vlookup(Summary!$C45,Summary!$C$2:$Q$103,3+counta($F$1:O$1),false)</f>
        <v>-0.05</v>
      </c>
      <c r="P45" s="99">
        <f>$D45-vlookup(Summary!$C45,Summary!$C$2:$Q$103,3+counta($F$1:P$1),false)</f>
        <v>-0.3</v>
      </c>
      <c r="Q45" s="99">
        <f>$D45-vlookup(Summary!$C45,Summary!$C$2:$Q$103,3+counta($F$1:Q$1),false)</f>
        <v>0.1</v>
      </c>
    </row>
    <row r="46" ht="15.75" customHeight="1">
      <c r="A46" s="15">
        <f>Main!A46</f>
        <v>45</v>
      </c>
      <c r="B46" s="15" t="str">
        <f>Main!B46</f>
        <v>Water from the Paroo will spill into the Darling in 2022</v>
      </c>
      <c r="C46" s="15" t="str">
        <f>Main!C46</f>
        <v>Natural world</v>
      </c>
      <c r="D46" s="15">
        <v>0.6</v>
      </c>
      <c r="F46" s="99">
        <f>$D46-vlookup(Summary!$C46,Summary!$C$2:$Q$103,3+counta($F$1:F$1),false)</f>
        <v>0.1</v>
      </c>
      <c r="G46" s="99">
        <f>$D46-vlookup(Summary!$C46,Summary!$C$2:$Q$103,3+counta($F$1:G$1),false)</f>
        <v>-0.1</v>
      </c>
      <c r="H46" s="99">
        <f>$D46-vlookup(Summary!$C46,Summary!$C$2:$Q$103,3+counta($F$1:H$1),false)</f>
        <v>0.1</v>
      </c>
      <c r="I46" s="99">
        <f>$D46-vlookup(Summary!$C46,Summary!$C$2:$Q$103,3+counta($F$1:I$1),false)</f>
        <v>0.1</v>
      </c>
      <c r="J46" s="99">
        <f>$D46-vlookup(Summary!$C46,Summary!$C$2:$Q$103,3+counta($F$1:J$1),false)</f>
        <v>0</v>
      </c>
      <c r="K46" s="99">
        <f>$D46-vlookup(Summary!$C46,Summary!$C$2:$Q$103,3+counta($F$1:K$1),false)</f>
        <v>0</v>
      </c>
      <c r="L46" s="99">
        <f>$D46-vlookup(Summary!$C46,Summary!$C$2:$Q$103,3+counta($F$1:L$1),false)</f>
        <v>-0.2</v>
      </c>
      <c r="M46" s="99">
        <f>$D46-vlookup(Summary!$C46,Summary!$C$2:$Q$103,3+counta($F$1:M$1),false)</f>
        <v>0.1</v>
      </c>
      <c r="N46" s="99">
        <f>$D46-vlookup(Summary!$C46,Summary!$C$2:$Q$103,3+counta($F$1:N$1),false)</f>
        <v>0</v>
      </c>
      <c r="O46" s="99">
        <f>$D46-vlookup(Summary!$C46,Summary!$C$2:$Q$103,3+counta($F$1:O$1),false)</f>
        <v>0.1</v>
      </c>
      <c r="P46" s="99">
        <f>$D46-vlookup(Summary!$C46,Summary!$C$2:$Q$103,3+counta($F$1:P$1),false)</f>
        <v>0.5</v>
      </c>
      <c r="Q46" s="99">
        <f>$D46-vlookup(Summary!$C46,Summary!$C$2:$Q$103,3+counta($F$1:Q$1),false)</f>
        <v>0.1</v>
      </c>
    </row>
    <row r="47" ht="15.75" customHeight="1">
      <c r="A47" s="15">
        <f>Main!A47</f>
        <v>46</v>
      </c>
      <c r="B47" s="15" t="str">
        <f>Main!B47</f>
        <v>In the Antarctic the Thwaites Glacier ice-shelf will collapse in 2022</v>
      </c>
      <c r="C47" s="15" t="str">
        <f>Main!C47</f>
        <v>Natural world</v>
      </c>
      <c r="D47" s="15">
        <v>0.2</v>
      </c>
      <c r="F47" s="99">
        <f>$D47-vlookup(Summary!$C47,Summary!$C$2:$Q$103,3+counta($F$1:F$1),false)</f>
        <v>-0.3</v>
      </c>
      <c r="G47" s="99">
        <f>$D47-vlookup(Summary!$C47,Summary!$C$2:$Q$103,3+counta($F$1:G$1),false)</f>
        <v>-0.05</v>
      </c>
      <c r="H47" s="99">
        <f>$D47-vlookup(Summary!$C47,Summary!$C$2:$Q$103,3+counta($F$1:H$1),false)</f>
        <v>-0.5</v>
      </c>
      <c r="I47" s="99">
        <f>$D47-vlookup(Summary!$C47,Summary!$C$2:$Q$103,3+counta($F$1:I$1),false)</f>
        <v>-0.3</v>
      </c>
      <c r="J47" s="99">
        <f>$D47-vlookup(Summary!$C47,Summary!$C$2:$Q$103,3+counta($F$1:J$1),false)</f>
        <v>-0.5</v>
      </c>
      <c r="K47" s="99">
        <f>$D47-vlookup(Summary!$C47,Summary!$C$2:$Q$103,3+counta($F$1:K$1),false)</f>
        <v>-0.5</v>
      </c>
      <c r="L47" s="99">
        <f>$D47-vlookup(Summary!$C47,Summary!$C$2:$Q$103,3+counta($F$1:L$1),false)</f>
        <v>0.1</v>
      </c>
      <c r="M47" s="99">
        <f>$D47-vlookup(Summary!$C47,Summary!$C$2:$Q$103,3+counta($F$1:M$1),false)</f>
        <v>-0.5</v>
      </c>
      <c r="N47" s="99">
        <f>$D47-vlookup(Summary!$C47,Summary!$C$2:$Q$103,3+counta($F$1:N$1),false)</f>
        <v>0</v>
      </c>
      <c r="O47" s="99">
        <f>$D47-vlookup(Summary!$C47,Summary!$C$2:$Q$103,3+counta($F$1:O$1),false)</f>
        <v>-0.15</v>
      </c>
      <c r="P47" s="99">
        <f>$D47-vlookup(Summary!$C47,Summary!$C$2:$Q$103,3+counta($F$1:P$1),false)</f>
        <v>-0.3</v>
      </c>
      <c r="Q47" s="99">
        <f>$D47-vlookup(Summary!$C47,Summary!$C$2:$Q$103,3+counta($F$1:Q$1),false)</f>
        <v>-0.3</v>
      </c>
    </row>
    <row r="48" ht="15.75" customHeight="1">
      <c r="A48" s="15">
        <f>Main!A48</f>
        <v>47</v>
      </c>
      <c r="B48" s="15" t="str">
        <f>Main!B48</f>
        <v>At least three quarters of the Great Barrier Reef will be bleached as a result of warming seas.</v>
      </c>
      <c r="C48" s="15" t="str">
        <f>Main!C48</f>
        <v>Natural world</v>
      </c>
      <c r="D48" s="15">
        <v>0.7</v>
      </c>
      <c r="F48" s="99">
        <f>$D48-vlookup(Summary!$C48,Summary!$C$2:$Q$103,3+counta($F$1:F$1),false)</f>
        <v>0.2</v>
      </c>
      <c r="G48" s="99">
        <f>$D48-vlookup(Summary!$C48,Summary!$C$2:$Q$103,3+counta($F$1:G$1),false)</f>
        <v>-0.1</v>
      </c>
      <c r="H48" s="99">
        <f>$D48-vlookup(Summary!$C48,Summary!$C$2:$Q$103,3+counta($F$1:H$1),false)</f>
        <v>0</v>
      </c>
      <c r="I48" s="99">
        <f>$D48-vlookup(Summary!$C48,Summary!$C$2:$Q$103,3+counta($F$1:I$1),false)</f>
        <v>0.2</v>
      </c>
      <c r="J48" s="99">
        <f>$D48-vlookup(Summary!$C48,Summary!$C$2:$Q$103,3+counta($F$1:J$1),false)</f>
        <v>-0.1</v>
      </c>
      <c r="K48" s="99">
        <f>$D48-vlookup(Summary!$C48,Summary!$C$2:$Q$103,3+counta($F$1:K$1),false)</f>
        <v>-0.15</v>
      </c>
      <c r="L48" s="99">
        <f>$D48-vlookup(Summary!$C48,Summary!$C$2:$Q$103,3+counta($F$1:L$1),false)</f>
        <v>0.2</v>
      </c>
      <c r="M48" s="99">
        <f>$D48-vlookup(Summary!$C48,Summary!$C$2:$Q$103,3+counta($F$1:M$1),false)</f>
        <v>0</v>
      </c>
      <c r="N48" s="99">
        <f>$D48-vlookup(Summary!$C48,Summary!$C$2:$Q$103,3+counta($F$1:N$1),false)</f>
        <v>0</v>
      </c>
      <c r="O48" s="99">
        <f>$D48-vlookup(Summary!$C48,Summary!$C$2:$Q$103,3+counta($F$1:O$1),false)</f>
        <v>0.35</v>
      </c>
      <c r="P48" s="99">
        <f>$D48-vlookup(Summary!$C48,Summary!$C$2:$Q$103,3+counta($F$1:P$1),false)</f>
        <v>0.2</v>
      </c>
      <c r="Q48" s="99">
        <f>$D48-vlookup(Summary!$C48,Summary!$C$2:$Q$103,3+counta($F$1:Q$1),false)</f>
        <v>0.3</v>
      </c>
    </row>
    <row r="49" ht="15.75" customHeight="1">
      <c r="A49" s="15">
        <f>Main!A49</f>
        <v>48</v>
      </c>
      <c r="B49" s="15" t="str">
        <f>Main!B49</f>
        <v>Sabine Hoffstader will release a Youtube video explaining that the nature of dark matter has been confirmed experimentally</v>
      </c>
      <c r="C49" s="15" t="str">
        <f>Main!C49</f>
        <v>Natural world</v>
      </c>
      <c r="D49" s="15">
        <v>0.5</v>
      </c>
      <c r="F49" s="99">
        <f>$D49-vlookup(Summary!$C49,Summary!$C$2:$Q$103,3+counta($F$1:F$1),false)</f>
        <v>0</v>
      </c>
      <c r="G49" s="99">
        <f>$D49-vlookup(Summary!$C49,Summary!$C$2:$Q$103,3+counta($F$1:G$1),false)</f>
        <v>0.25</v>
      </c>
      <c r="H49" s="99">
        <f>$D49-vlookup(Summary!$C49,Summary!$C$2:$Q$103,3+counta($F$1:H$1),false)</f>
        <v>0.4</v>
      </c>
      <c r="I49" s="99">
        <f>$D49-vlookup(Summary!$C49,Summary!$C$2:$Q$103,3+counta($F$1:I$1),false)</f>
        <v>0</v>
      </c>
      <c r="J49" s="99">
        <f>$D49-vlookup(Summary!$C49,Summary!$C$2:$Q$103,3+counta($F$1:J$1),false)</f>
        <v>0</v>
      </c>
      <c r="K49" s="99">
        <f>$D49-vlookup(Summary!$C49,Summary!$C$2:$Q$103,3+counta($F$1:K$1),false)</f>
        <v>-0.15</v>
      </c>
      <c r="L49" s="99">
        <f>$D49-vlookup(Summary!$C49,Summary!$C$2:$Q$103,3+counta($F$1:L$1),false)</f>
        <v>-0.1</v>
      </c>
      <c r="M49" s="99">
        <f>$D49-vlookup(Summary!$C49,Summary!$C$2:$Q$103,3+counta($F$1:M$1),false)</f>
        <v>0.4</v>
      </c>
      <c r="N49" s="99">
        <f>$D49-vlookup(Summary!$C49,Summary!$C$2:$Q$103,3+counta($F$1:N$1),false)</f>
        <v>0</v>
      </c>
      <c r="O49" s="99">
        <f>$D49-vlookup(Summary!$C49,Summary!$C$2:$Q$103,3+counta($F$1:O$1),false)</f>
        <v>0.499</v>
      </c>
      <c r="P49" s="99">
        <f>$D49-vlookup(Summary!$C49,Summary!$C$2:$Q$103,3+counta($F$1:P$1),false)</f>
        <v>0</v>
      </c>
      <c r="Q49" s="99">
        <f>$D49-vlookup(Summary!$C49,Summary!$C$2:$Q$103,3+counta($F$1:Q$1),false)</f>
        <v>0</v>
      </c>
    </row>
    <row r="50" ht="15.75" customHeight="1">
      <c r="A50" s="15">
        <f>Main!A50</f>
        <v>49</v>
      </c>
      <c r="B50" s="15" t="str">
        <f>Main!B50</f>
        <v>2022 will be the hottest year on record globally (via NASA)</v>
      </c>
      <c r="C50" s="15" t="str">
        <f>Main!C50</f>
        <v>Natural world</v>
      </c>
      <c r="D50" s="15">
        <v>0.3</v>
      </c>
      <c r="F50" s="99">
        <f>$D50-vlookup(Summary!$C50,Summary!$C$2:$Q$103,3+counta($F$1:F$1),false)</f>
        <v>0</v>
      </c>
      <c r="G50" s="99">
        <f>$D50-vlookup(Summary!$C50,Summary!$C$2:$Q$103,3+counta($F$1:G$1),false)</f>
        <v>-0.15</v>
      </c>
      <c r="H50" s="99">
        <f>$D50-vlookup(Summary!$C50,Summary!$C$2:$Q$103,3+counta($F$1:H$1),false)</f>
        <v>-0.65</v>
      </c>
      <c r="I50" s="99">
        <f>$D50-vlookup(Summary!$C50,Summary!$C$2:$Q$103,3+counta($F$1:I$1),false)</f>
        <v>0</v>
      </c>
      <c r="J50" s="99">
        <f>$D50-vlookup(Summary!$C50,Summary!$C$2:$Q$103,3+counta($F$1:J$1),false)</f>
        <v>-0.5</v>
      </c>
      <c r="K50" s="99">
        <f>$D50-vlookup(Summary!$C50,Summary!$C$2:$Q$103,3+counta($F$1:K$1),false)</f>
        <v>-0.52</v>
      </c>
      <c r="L50" s="99">
        <f>$D50-vlookup(Summary!$C50,Summary!$C$2:$Q$103,3+counta($F$1:L$1),false)</f>
        <v>0.1</v>
      </c>
      <c r="M50" s="99">
        <f>$D50-vlookup(Summary!$C50,Summary!$C$2:$Q$103,3+counta($F$1:M$1),false)</f>
        <v>-0.65</v>
      </c>
      <c r="N50" s="99">
        <f>$D50-vlookup(Summary!$C50,Summary!$C$2:$Q$103,3+counta($F$1:N$1),false)</f>
        <v>0</v>
      </c>
      <c r="O50" s="99">
        <f>$D50-vlookup(Summary!$C50,Summary!$C$2:$Q$103,3+counta($F$1:O$1),false)</f>
        <v>0.15</v>
      </c>
      <c r="P50" s="99">
        <f>$D50-vlookup(Summary!$C50,Summary!$C$2:$Q$103,3+counta($F$1:P$1),false)</f>
        <v>-0.3</v>
      </c>
      <c r="Q50" s="99">
        <f>$D50-vlookup(Summary!$C50,Summary!$C$2:$Q$103,3+counta($F$1:Q$1),false)</f>
        <v>-0.1</v>
      </c>
    </row>
    <row r="51" ht="15.75" customHeight="1">
      <c r="A51" s="15">
        <f>Main!A51</f>
        <v>50</v>
      </c>
      <c r="B51" s="15" t="str">
        <f>Main!B51</f>
        <v>A cultivated chilli will replace the Carolina Reaper as the world’s hottest, as measured in scoville units (GWR seems to be the source of this currently)</v>
      </c>
      <c r="C51" s="15" t="str">
        <f>Main!C51</f>
        <v>Natural world</v>
      </c>
      <c r="D51" s="15">
        <v>0.8</v>
      </c>
      <c r="F51" s="99">
        <f>$D51-vlookup(Summary!$C51,Summary!$C$2:$Q$103,3+counta($F$1:F$1),false)</f>
        <v>0.2</v>
      </c>
      <c r="G51" s="99">
        <f>$D51-vlookup(Summary!$C51,Summary!$C$2:$Q$103,3+counta($F$1:G$1),false)</f>
        <v>0.29</v>
      </c>
      <c r="H51" s="99">
        <f>$D51-vlookup(Summary!$C51,Summary!$C$2:$Q$103,3+counta($F$1:H$1),false)</f>
        <v>0.1</v>
      </c>
      <c r="I51" s="99">
        <f>$D51-vlookup(Summary!$C51,Summary!$C$2:$Q$103,3+counta($F$1:I$1),false)</f>
        <v>0</v>
      </c>
      <c r="J51" s="99">
        <f>$D51-vlookup(Summary!$C51,Summary!$C$2:$Q$103,3+counta($F$1:J$1),false)</f>
        <v>0.6</v>
      </c>
      <c r="K51" s="99">
        <f>$D51-vlookup(Summary!$C51,Summary!$C$2:$Q$103,3+counta($F$1:K$1),false)</f>
        <v>0.05</v>
      </c>
      <c r="L51" s="99">
        <f>$D51-vlookup(Summary!$C51,Summary!$C$2:$Q$103,3+counta($F$1:L$1),false)</f>
        <v>0.3</v>
      </c>
      <c r="M51" s="99">
        <f>$D51-vlookup(Summary!$C51,Summary!$C$2:$Q$103,3+counta($F$1:M$1),false)</f>
        <v>0.1</v>
      </c>
      <c r="N51" s="99">
        <f>$D51-vlookup(Summary!$C51,Summary!$C$2:$Q$103,3+counta($F$1:N$1),false)</f>
        <v>0</v>
      </c>
      <c r="O51" s="99">
        <f>$D51-vlookup(Summary!$C51,Summary!$C$2:$Q$103,3+counta($F$1:O$1),false)</f>
        <v>0.15</v>
      </c>
      <c r="P51" s="99">
        <f>$D51-vlookup(Summary!$C51,Summary!$C$2:$Q$103,3+counta($F$1:P$1),false)</f>
        <v>0.3</v>
      </c>
      <c r="Q51" s="99">
        <f>$D51-vlookup(Summary!$C51,Summary!$C$2:$Q$103,3+counta($F$1:Q$1),false)</f>
        <v>0</v>
      </c>
    </row>
    <row r="52" ht="15.75" customHeight="1">
      <c r="A52" s="15">
        <f>Main!A52</f>
        <v>51</v>
      </c>
      <c r="B52" s="15" t="str">
        <f>Main!B52</f>
        <v>Christchurch will experience an earthquake of at least 4 on the Richter scale</v>
      </c>
      <c r="C52" s="15" t="str">
        <f>Main!C52</f>
        <v>Natural world</v>
      </c>
      <c r="D52" s="15">
        <v>0.4</v>
      </c>
      <c r="F52" s="99">
        <f>$D52-vlookup(Summary!$C52,Summary!$C$2:$Q$103,3+counta($F$1:F$1),false)</f>
        <v>0</v>
      </c>
      <c r="G52" s="99">
        <f>$D52-vlookup(Summary!$C52,Summary!$C$2:$Q$103,3+counta($F$1:G$1),false)</f>
        <v>0.15</v>
      </c>
      <c r="H52" s="99">
        <f>$D52-vlookup(Summary!$C52,Summary!$C$2:$Q$103,3+counta($F$1:H$1),false)</f>
        <v>-0.3</v>
      </c>
      <c r="I52" s="99">
        <f>$D52-vlookup(Summary!$C52,Summary!$C$2:$Q$103,3+counta($F$1:I$1),false)</f>
        <v>-0.3</v>
      </c>
      <c r="J52" s="99">
        <f>$D52-vlookup(Summary!$C52,Summary!$C$2:$Q$103,3+counta($F$1:J$1),false)</f>
        <v>-0.1</v>
      </c>
      <c r="K52" s="99">
        <f>$D52-vlookup(Summary!$C52,Summary!$C$2:$Q$103,3+counta($F$1:K$1),false)</f>
        <v>-0.25</v>
      </c>
      <c r="L52" s="99">
        <f>$D52-vlookup(Summary!$C52,Summary!$C$2:$Q$103,3+counta($F$1:L$1),false)</f>
        <v>0.1</v>
      </c>
      <c r="M52" s="99">
        <f>$D52-vlookup(Summary!$C52,Summary!$C$2:$Q$103,3+counta($F$1:M$1),false)</f>
        <v>-0.3</v>
      </c>
      <c r="N52" s="99">
        <f>$D52-vlookup(Summary!$C52,Summary!$C$2:$Q$103,3+counta($F$1:N$1),false)</f>
        <v>0</v>
      </c>
      <c r="O52" s="99">
        <f>$D52-vlookup(Summary!$C52,Summary!$C$2:$Q$103,3+counta($F$1:O$1),false)</f>
        <v>-0.25</v>
      </c>
      <c r="P52" s="99">
        <f>$D52-vlookup(Summary!$C52,Summary!$C$2:$Q$103,3+counta($F$1:P$1),false)</f>
        <v>0.3</v>
      </c>
      <c r="Q52" s="99">
        <f>$D52-vlookup(Summary!$C52,Summary!$C$2:$Q$103,3+counta($F$1:Q$1),false)</f>
        <v>-0.1</v>
      </c>
    </row>
    <row r="53" ht="15.75" customHeight="1">
      <c r="A53" s="15">
        <f>Main!A53</f>
        <v>52</v>
      </c>
      <c r="B53" s="15" t="str">
        <f>Main!B53</f>
        <v>Pope Francis will condemn the metaverse or warn of its potential damage</v>
      </c>
      <c r="C53" s="15" t="str">
        <f>Main!C53</f>
        <v>Society</v>
      </c>
      <c r="D53" s="15">
        <v>0.1</v>
      </c>
      <c r="F53" s="99">
        <f>$D53-vlookup(Summary!$C53,Summary!$C$2:$Q$103,3+counta($F$1:F$1),false)</f>
        <v>-0.5</v>
      </c>
      <c r="G53" s="99">
        <f>$D53-vlookup(Summary!$C53,Summary!$C$2:$Q$103,3+counta($F$1:G$1),false)</f>
        <v>-0.1</v>
      </c>
      <c r="H53" s="99">
        <f>$D53-vlookup(Summary!$C53,Summary!$C$2:$Q$103,3+counta($F$1:H$1),false)</f>
        <v>-0.2</v>
      </c>
      <c r="I53" s="99">
        <f>$D53-vlookup(Summary!$C53,Summary!$C$2:$Q$103,3+counta($F$1:I$1),false)</f>
        <v>-0.4</v>
      </c>
      <c r="J53" s="99">
        <f>$D53-vlookup(Summary!$C53,Summary!$C$2:$Q$103,3+counta($F$1:J$1),false)</f>
        <v>-0.8</v>
      </c>
      <c r="K53" s="99">
        <f>$D53-vlookup(Summary!$C53,Summary!$C$2:$Q$103,3+counta($F$1:K$1),false)</f>
        <v>-0.7</v>
      </c>
      <c r="L53" s="99">
        <f>$D53-vlookup(Summary!$C53,Summary!$C$2:$Q$103,3+counta($F$1:L$1),false)</f>
        <v>-0.4</v>
      </c>
      <c r="M53" s="99">
        <f>$D53-vlookup(Summary!$C53,Summary!$C$2:$Q$103,3+counta($F$1:M$1),false)</f>
        <v>-0.2</v>
      </c>
      <c r="N53" s="99">
        <f>$D53-vlookup(Summary!$C53,Summary!$C$2:$Q$103,3+counta($F$1:N$1),false)</f>
        <v>0</v>
      </c>
      <c r="O53" s="99">
        <f>$D53-vlookup(Summary!$C53,Summary!$C$2:$Q$103,3+counta($F$1:O$1),false)</f>
        <v>-0.25</v>
      </c>
      <c r="P53" s="99">
        <f>$D53-vlookup(Summary!$C53,Summary!$C$2:$Q$103,3+counta($F$1:P$1),false)</f>
        <v>-0.4</v>
      </c>
      <c r="Q53" s="99">
        <f>$D53-vlookup(Summary!$C53,Summary!$C$2:$Q$103,3+counta($F$1:Q$1),false)</f>
        <v>-0.1</v>
      </c>
    </row>
    <row r="54" ht="15.75" customHeight="1">
      <c r="A54" s="15">
        <f>Main!A54</f>
        <v>53</v>
      </c>
      <c r="B54" s="15" t="str">
        <f>Main!B54</f>
        <v>The 4th most popular baby name for girls in Australia will be Isla according to the NSW Government popular baby names site</v>
      </c>
      <c r="C54" s="15" t="str">
        <f>Main!C54</f>
        <v>Society</v>
      </c>
      <c r="D54" s="15">
        <v>0.9</v>
      </c>
      <c r="F54" s="99">
        <f>$D54-vlookup(Summary!$C54,Summary!$C$2:$Q$103,3+counta($F$1:F$1),false)</f>
        <v>0.55</v>
      </c>
      <c r="G54" s="99">
        <f>$D54-vlookup(Summary!$C54,Summary!$C$2:$Q$103,3+counta($F$1:G$1),false)</f>
        <v>0.5</v>
      </c>
      <c r="H54" s="99">
        <f>$D54-vlookup(Summary!$C54,Summary!$C$2:$Q$103,3+counta($F$1:H$1),false)</f>
        <v>0.4</v>
      </c>
      <c r="I54" s="99">
        <f>$D54-vlookup(Summary!$C54,Summary!$C$2:$Q$103,3+counta($F$1:I$1),false)</f>
        <v>0.8</v>
      </c>
      <c r="J54" s="99">
        <f>$D54-vlookup(Summary!$C54,Summary!$C$2:$Q$103,3+counta($F$1:J$1),false)</f>
        <v>0.1</v>
      </c>
      <c r="K54" s="99">
        <f>$D54-vlookup(Summary!$C54,Summary!$C$2:$Q$103,3+counta($F$1:K$1),false)</f>
        <v>0</v>
      </c>
      <c r="L54" s="99">
        <f>$D54-vlookup(Summary!$C54,Summary!$C$2:$Q$103,3+counta($F$1:L$1),false)</f>
        <v>0.7</v>
      </c>
      <c r="M54" s="99">
        <f>$D54-vlookup(Summary!$C54,Summary!$C$2:$Q$103,3+counta($F$1:M$1),false)</f>
        <v>0.4</v>
      </c>
      <c r="N54" s="99">
        <f>$D54-vlookup(Summary!$C54,Summary!$C$2:$Q$103,3+counta($F$1:N$1),false)</f>
        <v>0</v>
      </c>
      <c r="O54" s="99">
        <f>$D54-vlookup(Summary!$C54,Summary!$C$2:$Q$103,3+counta($F$1:O$1),false)</f>
        <v>0.55</v>
      </c>
      <c r="P54" s="99">
        <f>$D54-vlookup(Summary!$C54,Summary!$C$2:$Q$103,3+counta($F$1:P$1),false)</f>
        <v>0.8</v>
      </c>
      <c r="Q54" s="99">
        <f>$D54-vlookup(Summary!$C54,Summary!$C$2:$Q$103,3+counta($F$1:Q$1),false)</f>
        <v>0.1</v>
      </c>
    </row>
    <row r="55" ht="15.75" customHeight="1">
      <c r="A55" s="15">
        <f>Main!A55</f>
        <v>54</v>
      </c>
      <c r="B55" s="15" t="str">
        <f>Main!B55</f>
        <v>The 4th most popular baby name for boys in Australia will be Leo according to the NSW Government popular baby names site</v>
      </c>
      <c r="C55" s="15" t="str">
        <f>Main!C55</f>
        <v>Society</v>
      </c>
      <c r="D55" s="15">
        <v>0.2</v>
      </c>
      <c r="F55" s="99">
        <f>$D55-vlookup(Summary!$C55,Summary!$C$2:$Q$103,3+counta($F$1:F$1),false)</f>
        <v>-0.15</v>
      </c>
      <c r="G55" s="99">
        <f>$D55-vlookup(Summary!$C55,Summary!$C$2:$Q$103,3+counta($F$1:G$1),false)</f>
        <v>-0.2</v>
      </c>
      <c r="H55" s="99">
        <f>$D55-vlookup(Summary!$C55,Summary!$C$2:$Q$103,3+counta($F$1:H$1),false)</f>
        <v>-0.3</v>
      </c>
      <c r="I55" s="99">
        <f>$D55-vlookup(Summary!$C55,Summary!$C$2:$Q$103,3+counta($F$1:I$1),false)</f>
        <v>0.1</v>
      </c>
      <c r="J55" s="99">
        <f>$D55-vlookup(Summary!$C55,Summary!$C$2:$Q$103,3+counta($F$1:J$1),false)</f>
        <v>-0.5</v>
      </c>
      <c r="K55" s="99">
        <f>$D55-vlookup(Summary!$C55,Summary!$C$2:$Q$103,3+counta($F$1:K$1),false)</f>
        <v>-0.7</v>
      </c>
      <c r="L55" s="99">
        <f>$D55-vlookup(Summary!$C55,Summary!$C$2:$Q$103,3+counta($F$1:L$1),false)</f>
        <v>0</v>
      </c>
      <c r="M55" s="99">
        <f>$D55-vlookup(Summary!$C55,Summary!$C$2:$Q$103,3+counta($F$1:M$1),false)</f>
        <v>-0.3</v>
      </c>
      <c r="N55" s="99">
        <f>$D55-vlookup(Summary!$C55,Summary!$C$2:$Q$103,3+counta($F$1:N$1),false)</f>
        <v>0</v>
      </c>
      <c r="O55" s="99">
        <f>$D55-vlookup(Summary!$C55,Summary!$C$2:$Q$103,3+counta($F$1:O$1),false)</f>
        <v>-0.15</v>
      </c>
      <c r="P55" s="99">
        <f>$D55-vlookup(Summary!$C55,Summary!$C$2:$Q$103,3+counta($F$1:P$1),false)</f>
        <v>0.1</v>
      </c>
      <c r="Q55" s="99">
        <f>$D55-vlookup(Summary!$C55,Summary!$C$2:$Q$103,3+counta($F$1:Q$1),false)</f>
        <v>0</v>
      </c>
    </row>
    <row r="56" ht="15.75" customHeight="1">
      <c r="A56" s="15">
        <f>Main!A56</f>
        <v>55</v>
      </c>
      <c r="B56" s="15" t="str">
        <f>Main!B56</f>
        <v>A statue in Australia will be removed because of negative associations with its history or colonial ties.</v>
      </c>
      <c r="C56" s="15" t="str">
        <f>Main!C56</f>
        <v>Society</v>
      </c>
      <c r="D56" s="15">
        <v>0.1</v>
      </c>
      <c r="F56" s="99">
        <f>$D56-vlookup(Summary!$C56,Summary!$C$2:$Q$103,3+counta($F$1:F$1),false)</f>
        <v>-0.1</v>
      </c>
      <c r="G56" s="99">
        <f>$D56-vlookup(Summary!$C56,Summary!$C$2:$Q$103,3+counta($F$1:G$1),false)</f>
        <v>-0.8</v>
      </c>
      <c r="H56" s="99">
        <f>$D56-vlookup(Summary!$C56,Summary!$C$2:$Q$103,3+counta($F$1:H$1),false)</f>
        <v>-0.7</v>
      </c>
      <c r="I56" s="99">
        <f>$D56-vlookup(Summary!$C56,Summary!$C$2:$Q$103,3+counta($F$1:I$1),false)</f>
        <v>-0.1</v>
      </c>
      <c r="J56" s="99">
        <f>$D56-vlookup(Summary!$C56,Summary!$C$2:$Q$103,3+counta($F$1:J$1),false)</f>
        <v>-0.7</v>
      </c>
      <c r="K56" s="99">
        <f>$D56-vlookup(Summary!$C56,Summary!$C$2:$Q$103,3+counta($F$1:K$1),false)</f>
        <v>-0.5</v>
      </c>
      <c r="L56" s="99">
        <f>$D56-vlookup(Summary!$C56,Summary!$C$2:$Q$103,3+counta($F$1:L$1),false)</f>
        <v>-0.3</v>
      </c>
      <c r="M56" s="99">
        <f>$D56-vlookup(Summary!$C56,Summary!$C$2:$Q$103,3+counta($F$1:M$1),false)</f>
        <v>-0.7</v>
      </c>
      <c r="N56" s="99">
        <f>$D56-vlookup(Summary!$C56,Summary!$C$2:$Q$103,3+counta($F$1:N$1),false)</f>
        <v>0</v>
      </c>
      <c r="O56" s="99">
        <f>$D56-vlookup(Summary!$C56,Summary!$C$2:$Q$103,3+counta($F$1:O$1),false)</f>
        <v>-0.05</v>
      </c>
      <c r="P56" s="99">
        <f>$D56-vlookup(Summary!$C56,Summary!$C$2:$Q$103,3+counta($F$1:P$1),false)</f>
        <v>-0.6</v>
      </c>
      <c r="Q56" s="99">
        <f>$D56-vlookup(Summary!$C56,Summary!$C$2:$Q$103,3+counta($F$1:Q$1),false)</f>
        <v>-0.5</v>
      </c>
    </row>
    <row r="57" ht="15.75" customHeight="1">
      <c r="A57" s="15">
        <f>Main!A57</f>
        <v>56</v>
      </c>
      <c r="B57" s="15" t="str">
        <f>Main!B57</f>
        <v>Dave Chapelle’s special ‘The Closer’ will be available to watch on Netflix (Aus or US)</v>
      </c>
      <c r="C57" s="15" t="str">
        <f>Main!C57</f>
        <v>Society</v>
      </c>
      <c r="D57" s="15">
        <v>0.2</v>
      </c>
      <c r="F57" s="99">
        <f>$D57-vlookup(Summary!$C57,Summary!$C$2:$Q$103,3+counta($F$1:F$1),false)</f>
        <v>-0.6</v>
      </c>
      <c r="G57" s="99">
        <f>$D57-vlookup(Summary!$C57,Summary!$C$2:$Q$103,3+counta($F$1:G$1),false)</f>
        <v>-0.4</v>
      </c>
      <c r="H57" s="99">
        <f>$D57-vlookup(Summary!$C57,Summary!$C$2:$Q$103,3+counta($F$1:H$1),false)</f>
        <v>-0.3</v>
      </c>
      <c r="I57" s="99">
        <f>$D57-vlookup(Summary!$C57,Summary!$C$2:$Q$103,3+counta($F$1:I$1),false)</f>
        <v>-0.6</v>
      </c>
      <c r="J57" s="99">
        <f>$D57-vlookup(Summary!$C57,Summary!$C$2:$Q$103,3+counta($F$1:J$1),false)</f>
        <v>-0.4</v>
      </c>
      <c r="K57" s="99">
        <f>$D57-vlookup(Summary!$C57,Summary!$C$2:$Q$103,3+counta($F$1:K$1),false)</f>
        <v>-0.3</v>
      </c>
      <c r="L57" s="99">
        <f>$D57-vlookup(Summary!$C57,Summary!$C$2:$Q$103,3+counta($F$1:L$1),false)</f>
        <v>-0.4</v>
      </c>
      <c r="M57" s="99">
        <f>$D57-vlookup(Summary!$C57,Summary!$C$2:$Q$103,3+counta($F$1:M$1),false)</f>
        <v>-0.3</v>
      </c>
      <c r="N57" s="99">
        <f>$D57-vlookup(Summary!$C57,Summary!$C$2:$Q$103,3+counta($F$1:N$1),false)</f>
        <v>0</v>
      </c>
      <c r="O57" s="99">
        <f>$D57-vlookup(Summary!$C57,Summary!$C$2:$Q$103,3+counta($F$1:O$1),false)</f>
        <v>-0.799</v>
      </c>
      <c r="P57" s="99">
        <f>$D57-vlookup(Summary!$C57,Summary!$C$2:$Q$103,3+counta($F$1:P$1),false)</f>
        <v>-0.3</v>
      </c>
      <c r="Q57" s="99">
        <f>$D57-vlookup(Summary!$C57,Summary!$C$2:$Q$103,3+counta($F$1:Q$1),false)</f>
        <v>-0.3</v>
      </c>
    </row>
    <row r="58" ht="15.75" customHeight="1">
      <c r="A58" s="15">
        <f>Main!A58</f>
        <v>57</v>
      </c>
      <c r="B58" s="15" t="str">
        <f>Main!B58</f>
        <v>An actor in a Disney film or TV show will have their contract ‘cancelled’ due to social pressure related to a social media post or opinion they have expressed publicly.</v>
      </c>
      <c r="C58" s="15" t="str">
        <f>Main!C58</f>
        <v>Society</v>
      </c>
      <c r="D58" s="15">
        <v>0.8</v>
      </c>
      <c r="F58" s="99">
        <f>$D58-vlookup(Summary!$C58,Summary!$C$2:$Q$103,3+counta($F$1:F$1),false)</f>
        <v>0.1</v>
      </c>
      <c r="G58" s="99">
        <f>$D58-vlookup(Summary!$C58,Summary!$C$2:$Q$103,3+counta($F$1:G$1),false)</f>
        <v>0.4</v>
      </c>
      <c r="H58" s="99">
        <f>$D58-vlookup(Summary!$C58,Summary!$C$2:$Q$103,3+counta($F$1:H$1),false)</f>
        <v>0.2</v>
      </c>
      <c r="I58" s="99">
        <f>$D58-vlookup(Summary!$C58,Summary!$C$2:$Q$103,3+counta($F$1:I$1),false)</f>
        <v>0</v>
      </c>
      <c r="J58" s="99">
        <f>$D58-vlookup(Summary!$C58,Summary!$C$2:$Q$103,3+counta($F$1:J$1),false)</f>
        <v>0</v>
      </c>
      <c r="K58" s="99">
        <f>$D58-vlookup(Summary!$C58,Summary!$C$2:$Q$103,3+counta($F$1:K$1),false)</f>
        <v>0.1</v>
      </c>
      <c r="L58" s="99">
        <f>$D58-vlookup(Summary!$C58,Summary!$C$2:$Q$103,3+counta($F$1:L$1),false)</f>
        <v>0.3</v>
      </c>
      <c r="M58" s="99">
        <f>$D58-vlookup(Summary!$C58,Summary!$C$2:$Q$103,3+counta($F$1:M$1),false)</f>
        <v>0.2</v>
      </c>
      <c r="N58" s="99">
        <f>$D58-vlookup(Summary!$C58,Summary!$C$2:$Q$103,3+counta($F$1:N$1),false)</f>
        <v>0</v>
      </c>
      <c r="O58" s="99">
        <f>$D58-vlookup(Summary!$C58,Summary!$C$2:$Q$103,3+counta($F$1:O$1),false)</f>
        <v>0.15</v>
      </c>
      <c r="P58" s="99">
        <f>$D58-vlookup(Summary!$C58,Summary!$C$2:$Q$103,3+counta($F$1:P$1),false)</f>
        <v>0.3</v>
      </c>
      <c r="Q58" s="99">
        <f>$D58-vlookup(Summary!$C58,Summary!$C$2:$Q$103,3+counta($F$1:Q$1),false)</f>
        <v>0.4</v>
      </c>
    </row>
    <row r="59" ht="15.75" customHeight="1">
      <c r="A59" s="15">
        <f>Main!A59</f>
        <v>58</v>
      </c>
      <c r="B59" s="15" t="str">
        <f>Main!B59</f>
        <v>An Australian company or department will mandate the inclusion or visibility of preferred gender pronouns, whether through an HR directory or email signatures.</v>
      </c>
      <c r="C59" s="15" t="str">
        <f>Main!C59</f>
        <v>Society</v>
      </c>
      <c r="D59" s="15">
        <v>0.8</v>
      </c>
      <c r="F59" s="99">
        <f>$D59-vlookup(Summary!$C59,Summary!$C$2:$Q$103,3+counta($F$1:F$1),false)</f>
        <v>0.15</v>
      </c>
      <c r="G59" s="99">
        <f>$D59-vlookup(Summary!$C59,Summary!$C$2:$Q$103,3+counta($F$1:G$1),false)</f>
        <v>-0.15</v>
      </c>
      <c r="H59" s="99">
        <f>$D59-vlookup(Summary!$C59,Summary!$C$2:$Q$103,3+counta($F$1:H$1),false)</f>
        <v>0.2</v>
      </c>
      <c r="I59" s="99">
        <f>$D59-vlookup(Summary!$C59,Summary!$C$2:$Q$103,3+counta($F$1:I$1),false)</f>
        <v>0</v>
      </c>
      <c r="J59" s="99">
        <f>$D59-vlookup(Summary!$C59,Summary!$C$2:$Q$103,3+counta($F$1:J$1),false)</f>
        <v>0.3</v>
      </c>
      <c r="K59" s="99">
        <f>$D59-vlookup(Summary!$C59,Summary!$C$2:$Q$103,3+counta($F$1:K$1),false)</f>
        <v>0.05</v>
      </c>
      <c r="L59" s="99">
        <f>$D59-vlookup(Summary!$C59,Summary!$C$2:$Q$103,3+counta($F$1:L$1),false)</f>
        <v>0.3</v>
      </c>
      <c r="M59" s="99">
        <f>$D59-vlookup(Summary!$C59,Summary!$C$2:$Q$103,3+counta($F$1:M$1),false)</f>
        <v>0.2</v>
      </c>
      <c r="N59" s="99">
        <f>$D59-vlookup(Summary!$C59,Summary!$C$2:$Q$103,3+counta($F$1:N$1),false)</f>
        <v>0</v>
      </c>
      <c r="O59" s="99">
        <f>$D59-vlookup(Summary!$C59,Summary!$C$2:$Q$103,3+counta($F$1:O$1),false)</f>
        <v>0.45</v>
      </c>
      <c r="P59" s="99">
        <f>$D59-vlookup(Summary!$C59,Summary!$C$2:$Q$103,3+counta($F$1:P$1),false)</f>
        <v>0.3</v>
      </c>
      <c r="Q59" s="99">
        <f>$D59-vlookup(Summary!$C59,Summary!$C$2:$Q$103,3+counta($F$1:Q$1),false)</f>
        <v>0.4</v>
      </c>
    </row>
    <row r="60" ht="15.75" customHeight="1">
      <c r="A60" s="15">
        <f>Main!A60</f>
        <v>59</v>
      </c>
      <c r="B60" s="15" t="str">
        <f>Main!B60</f>
        <v>More than 30% of Australians will have been born overseas (currently 29.8%)</v>
      </c>
      <c r="C60" s="15" t="str">
        <f>Main!C60</f>
        <v>Society</v>
      </c>
      <c r="D60" s="15">
        <v>0.2</v>
      </c>
      <c r="F60" s="99">
        <f>$D60-vlookup(Summary!$C60,Summary!$C$2:$Q$103,3+counta($F$1:F$1),false)</f>
        <v>0</v>
      </c>
      <c r="G60" s="99">
        <f>$D60-vlookup(Summary!$C60,Summary!$C$2:$Q$103,3+counta($F$1:G$1),false)</f>
        <v>-0.4</v>
      </c>
      <c r="H60" s="99">
        <f>$D60-vlookup(Summary!$C60,Summary!$C$2:$Q$103,3+counta($F$1:H$1),false)</f>
        <v>0.1</v>
      </c>
      <c r="I60" s="99">
        <f>$D60-vlookup(Summary!$C60,Summary!$C$2:$Q$103,3+counta($F$1:I$1),false)</f>
        <v>-0.4</v>
      </c>
      <c r="J60" s="99">
        <f>$D60-vlookup(Summary!$C60,Summary!$C$2:$Q$103,3+counta($F$1:J$1),false)</f>
        <v>-0.7</v>
      </c>
      <c r="K60" s="99">
        <f>$D60-vlookup(Summary!$C60,Summary!$C$2:$Q$103,3+counta($F$1:K$1),false)</f>
        <v>-0.7</v>
      </c>
      <c r="L60" s="99">
        <f>$D60-vlookup(Summary!$C60,Summary!$C$2:$Q$103,3+counta($F$1:L$1),false)</f>
        <v>-0.1</v>
      </c>
      <c r="M60" s="99">
        <f>$D60-vlookup(Summary!$C60,Summary!$C$2:$Q$103,3+counta($F$1:M$1),false)</f>
        <v>0.1</v>
      </c>
      <c r="N60" s="99">
        <f>$D60-vlookup(Summary!$C60,Summary!$C$2:$Q$103,3+counta($F$1:N$1),false)</f>
        <v>0</v>
      </c>
      <c r="O60" s="99">
        <f>$D60-vlookup(Summary!$C60,Summary!$C$2:$Q$103,3+counta($F$1:O$1),false)</f>
        <v>-0.45</v>
      </c>
      <c r="P60" s="99">
        <f>$D60-vlookup(Summary!$C60,Summary!$C$2:$Q$103,3+counta($F$1:P$1),false)</f>
        <v>0.1</v>
      </c>
      <c r="Q60" s="99">
        <f>$D60-vlookup(Summary!$C60,Summary!$C$2:$Q$103,3+counta($F$1:Q$1),false)</f>
        <v>-0.35</v>
      </c>
    </row>
    <row r="61" ht="15.75" customHeight="1">
      <c r="A61" s="15">
        <f>Main!A61</f>
        <v>60</v>
      </c>
      <c r="B61" s="15" t="str">
        <f>Main!B61</f>
        <v>LGBTIQ+ will be the acronym in widespread usage throughout Australia, as determined by the definition from LGBTIQ+ Health Australia (the peak body org for health and research related to that community)</v>
      </c>
      <c r="C61" s="15" t="str">
        <f>Main!C61</f>
        <v>Society</v>
      </c>
      <c r="D61" s="15">
        <v>0.2</v>
      </c>
      <c r="F61" s="99">
        <f>$D61-vlookup(Summary!$C61,Summary!$C$2:$Q$103,3+counta($F$1:F$1),false)</f>
        <v>-0.25</v>
      </c>
      <c r="G61" s="99">
        <f>$D61-vlookup(Summary!$C61,Summary!$C$2:$Q$103,3+counta($F$1:G$1),false)</f>
        <v>-0.5</v>
      </c>
      <c r="H61" s="99">
        <f>$D61-vlookup(Summary!$C61,Summary!$C$2:$Q$103,3+counta($F$1:H$1),false)</f>
        <v>-0.3</v>
      </c>
      <c r="I61" s="99">
        <f>$D61-vlookup(Summary!$C61,Summary!$C$2:$Q$103,3+counta($F$1:I$1),false)</f>
        <v>-0.5</v>
      </c>
      <c r="J61" s="99">
        <f>$D61-vlookup(Summary!$C61,Summary!$C$2:$Q$103,3+counta($F$1:J$1),false)</f>
        <v>-0.5</v>
      </c>
      <c r="K61" s="99">
        <f>$D61-vlookup(Summary!$C61,Summary!$C$2:$Q$103,3+counta($F$1:K$1),false)</f>
        <v>-0.55</v>
      </c>
      <c r="L61" s="99">
        <f>$D61-vlookup(Summary!$C61,Summary!$C$2:$Q$103,3+counta($F$1:L$1),false)</f>
        <v>-0.7</v>
      </c>
      <c r="M61" s="99">
        <f>$D61-vlookup(Summary!$C61,Summary!$C$2:$Q$103,3+counta($F$1:M$1),false)</f>
        <v>-0.3</v>
      </c>
      <c r="N61" s="99">
        <f>$D61-vlookup(Summary!$C61,Summary!$C$2:$Q$103,3+counta($F$1:N$1),false)</f>
        <v>0</v>
      </c>
      <c r="O61" s="99">
        <f>$D61-vlookup(Summary!$C61,Summary!$C$2:$Q$103,3+counta($F$1:O$1),false)</f>
        <v>-0.799</v>
      </c>
      <c r="P61" s="99">
        <f>$D61-vlookup(Summary!$C61,Summary!$C$2:$Q$103,3+counta($F$1:P$1),false)</f>
        <v>-0.3</v>
      </c>
      <c r="Q61" s="99">
        <f>$D61-vlookup(Summary!$C61,Summary!$C$2:$Q$103,3+counta($F$1:Q$1),false)</f>
        <v>-0.1</v>
      </c>
    </row>
    <row r="62" ht="15.75" customHeight="1">
      <c r="A62" s="15">
        <f>Main!A62</f>
        <v>61</v>
      </c>
      <c r="B62" s="15" t="str">
        <f>Main!B62</f>
        <v>The meat industry in Australia and/or the US will succeed in controlling the use of ‘meat terms’ (meat, beef etc.) for non-animal protein products</v>
      </c>
      <c r="C62" s="15" t="str">
        <f>Main!C62</f>
        <v>Society</v>
      </c>
      <c r="D62" s="15">
        <v>0.1</v>
      </c>
      <c r="F62" s="99">
        <f>$D62-vlookup(Summary!$C62,Summary!$C$2:$Q$103,3+counta($F$1:F$1),false)</f>
        <v>-0.25</v>
      </c>
      <c r="G62" s="99">
        <f>$D62-vlookup(Summary!$C62,Summary!$C$2:$Q$103,3+counta($F$1:G$1),false)</f>
        <v>-0.5</v>
      </c>
      <c r="H62" s="99">
        <f>$D62-vlookup(Summary!$C62,Summary!$C$2:$Q$103,3+counta($F$1:H$1),false)</f>
        <v>-0.1</v>
      </c>
      <c r="I62" s="99">
        <f>$D62-vlookup(Summary!$C62,Summary!$C$2:$Q$103,3+counta($F$1:I$1),false)</f>
        <v>-0.5</v>
      </c>
      <c r="J62" s="99">
        <f>$D62-vlookup(Summary!$C62,Summary!$C$2:$Q$103,3+counta($F$1:J$1),false)</f>
        <v>-0.7</v>
      </c>
      <c r="K62" s="99">
        <f>$D62-vlookup(Summary!$C62,Summary!$C$2:$Q$103,3+counta($F$1:K$1),false)</f>
        <v>-0.64</v>
      </c>
      <c r="L62" s="99">
        <f>$D62-vlookup(Summary!$C62,Summary!$C$2:$Q$103,3+counta($F$1:L$1),false)</f>
        <v>0</v>
      </c>
      <c r="M62" s="99">
        <f>$D62-vlookup(Summary!$C62,Summary!$C$2:$Q$103,3+counta($F$1:M$1),false)</f>
        <v>-0.1</v>
      </c>
      <c r="N62" s="99">
        <f>$D62-vlookup(Summary!$C62,Summary!$C$2:$Q$103,3+counta($F$1:N$1),false)</f>
        <v>0</v>
      </c>
      <c r="O62" s="99">
        <f>$D62-vlookup(Summary!$C62,Summary!$C$2:$Q$103,3+counta($F$1:O$1),false)</f>
        <v>-0.899</v>
      </c>
      <c r="P62" s="99">
        <f>$D62-vlookup(Summary!$C62,Summary!$C$2:$Q$103,3+counta($F$1:P$1),false)</f>
        <v>-0.7</v>
      </c>
      <c r="Q62" s="99">
        <f>$D62-vlookup(Summary!$C62,Summary!$C$2:$Q$103,3+counta($F$1:Q$1),false)</f>
        <v>-0.4</v>
      </c>
    </row>
    <row r="63" ht="15.75" customHeight="1">
      <c r="A63" s="15">
        <f>Main!A63</f>
        <v>62</v>
      </c>
      <c r="B63" s="15" t="str">
        <f>Main!B63</f>
        <v>The median house price in Canberra will be over $1,200,000 (currently $1,015,833)</v>
      </c>
      <c r="C63" s="15" t="str">
        <f>Main!C63</f>
        <v>Society</v>
      </c>
      <c r="D63" s="15">
        <v>0.9</v>
      </c>
      <c r="F63" s="99">
        <f>$D63-vlookup(Summary!$C63,Summary!$C$2:$Q$103,3+counta($F$1:F$1),false)</f>
        <v>0.2</v>
      </c>
      <c r="G63" s="99">
        <f>$D63-vlookup(Summary!$C63,Summary!$C$2:$Q$103,3+counta($F$1:G$1),false)</f>
        <v>0.7</v>
      </c>
      <c r="H63" s="99">
        <f>$D63-vlookup(Summary!$C63,Summary!$C$2:$Q$103,3+counta($F$1:H$1),false)</f>
        <v>0.7</v>
      </c>
      <c r="I63" s="99">
        <f>$D63-vlookup(Summary!$C63,Summary!$C$2:$Q$103,3+counta($F$1:I$1),false)</f>
        <v>0.1</v>
      </c>
      <c r="J63" s="99">
        <f>$D63-vlookup(Summary!$C63,Summary!$C$2:$Q$103,3+counta($F$1:J$1),false)</f>
        <v>0.1</v>
      </c>
      <c r="K63" s="99">
        <f>$D63-vlookup(Summary!$C63,Summary!$C$2:$Q$103,3+counta($F$1:K$1),false)</f>
        <v>0.1</v>
      </c>
      <c r="L63" s="99">
        <f>$D63-vlookup(Summary!$C63,Summary!$C$2:$Q$103,3+counta($F$1:L$1),false)</f>
        <v>-0.09999</v>
      </c>
      <c r="M63" s="99">
        <f>$D63-vlookup(Summary!$C63,Summary!$C$2:$Q$103,3+counta($F$1:M$1),false)</f>
        <v>0.7</v>
      </c>
      <c r="N63" s="99">
        <f>$D63-vlookup(Summary!$C63,Summary!$C$2:$Q$103,3+counta($F$1:N$1),false)</f>
        <v>0</v>
      </c>
      <c r="O63" s="99">
        <f>$D63-vlookup(Summary!$C63,Summary!$C$2:$Q$103,3+counta($F$1:O$1),false)</f>
        <v>0.75</v>
      </c>
      <c r="P63" s="99">
        <f>$D63-vlookup(Summary!$C63,Summary!$C$2:$Q$103,3+counta($F$1:P$1),false)</f>
        <v>0.3</v>
      </c>
      <c r="Q63" s="99">
        <f>$D63-vlookup(Summary!$C63,Summary!$C$2:$Q$103,3+counta($F$1:Q$1),false)</f>
        <v>0.45</v>
      </c>
    </row>
    <row r="64" ht="15.75" customHeight="1">
      <c r="A64" s="15">
        <f>Main!A64</f>
        <v>63</v>
      </c>
      <c r="B64" s="15" t="str">
        <f>Main!B64</f>
        <v>An artist or band on the Rock and Roll Hall of Fame has a performance using digital avatar (source https://en.wikipedia.org/wiki/List_of_Rock_and_Roll_Hall_of_Fame_inductees)</v>
      </c>
      <c r="C64" s="15" t="str">
        <f>Main!C64</f>
        <v>Society</v>
      </c>
      <c r="D64" s="15">
        <v>0.2</v>
      </c>
      <c r="F64" s="99">
        <f>$D64-vlookup(Summary!$C64,Summary!$C$2:$Q$103,3+counta($F$1:F$1),false)</f>
        <v>-0.2</v>
      </c>
      <c r="G64" s="99">
        <f>$D64-vlookup(Summary!$C64,Summary!$C$2:$Q$103,3+counta($F$1:G$1),false)</f>
        <v>-0.4</v>
      </c>
      <c r="H64" s="99">
        <f>$D64-vlookup(Summary!$C64,Summary!$C$2:$Q$103,3+counta($F$1:H$1),false)</f>
        <v>-0.5</v>
      </c>
      <c r="I64" s="99">
        <f>$D64-vlookup(Summary!$C64,Summary!$C$2:$Q$103,3+counta($F$1:I$1),false)</f>
        <v>-0.1</v>
      </c>
      <c r="J64" s="99">
        <f>$D64-vlookup(Summary!$C64,Summary!$C$2:$Q$103,3+counta($F$1:J$1),false)</f>
        <v>-0.3</v>
      </c>
      <c r="K64" s="99">
        <f>$D64-vlookup(Summary!$C64,Summary!$C$2:$Q$103,3+counta($F$1:K$1),false)</f>
        <v>-0.4</v>
      </c>
      <c r="L64" s="99">
        <f>$D64-vlookup(Summary!$C64,Summary!$C$2:$Q$103,3+counta($F$1:L$1),false)</f>
        <v>-0.4</v>
      </c>
      <c r="M64" s="99">
        <f>$D64-vlookup(Summary!$C64,Summary!$C$2:$Q$103,3+counta($F$1:M$1),false)</f>
        <v>-0.5</v>
      </c>
      <c r="N64" s="99">
        <f>$D64-vlookup(Summary!$C64,Summary!$C$2:$Q$103,3+counta($F$1:N$1),false)</f>
        <v>0</v>
      </c>
      <c r="O64" s="99">
        <f>$D64-vlookup(Summary!$C64,Summary!$C$2:$Q$103,3+counta($F$1:O$1),false)</f>
        <v>0.05</v>
      </c>
      <c r="P64" s="99">
        <f>$D64-vlookup(Summary!$C64,Summary!$C$2:$Q$103,3+counta($F$1:P$1),false)</f>
        <v>0.1</v>
      </c>
      <c r="Q64" s="99">
        <f>$D64-vlookup(Summary!$C64,Summary!$C$2:$Q$103,3+counta($F$1:Q$1),false)</f>
        <v>-0.3</v>
      </c>
    </row>
    <row r="65" ht="15.75" customHeight="1">
      <c r="A65" s="15">
        <f>Main!A65</f>
        <v>64</v>
      </c>
      <c r="B65" s="15" t="str">
        <f>Main!B65</f>
        <v>No Australian tennis player will win a senior Championship event at the Australian Open in 2022</v>
      </c>
      <c r="C65" s="15" t="str">
        <f>Main!C65</f>
        <v>Sport</v>
      </c>
      <c r="D65" s="15">
        <v>0.1</v>
      </c>
      <c r="F65" s="99">
        <f>$D65-vlookup(Summary!$C65,Summary!$C$2:$Q$103,3+counta($F$1:F$1),false)</f>
        <v>0.1</v>
      </c>
      <c r="G65" s="99">
        <f>$D65-vlookup(Summary!$C65,Summary!$C$2:$Q$103,3+counta($F$1:G$1),false)</f>
        <v>0.1</v>
      </c>
      <c r="H65" s="99">
        <f>$D65-vlookup(Summary!$C65,Summary!$C$2:$Q$103,3+counta($F$1:H$1),false)</f>
        <v>0.1</v>
      </c>
      <c r="I65" s="99">
        <f>$D65-vlookup(Summary!$C65,Summary!$C$2:$Q$103,3+counta($F$1:I$1),false)</f>
        <v>0.1</v>
      </c>
      <c r="J65" s="99">
        <f>$D65-vlookup(Summary!$C65,Summary!$C$2:$Q$103,3+counta($F$1:J$1),false)</f>
        <v>-0.5</v>
      </c>
      <c r="K65" s="99">
        <f>$D65-vlookup(Summary!$C65,Summary!$C$2:$Q$103,3+counta($F$1:K$1),false)</f>
        <v>0.1</v>
      </c>
      <c r="L65" s="99">
        <f>$D65-vlookup(Summary!$C65,Summary!$C$2:$Q$103,3+counta($F$1:L$1),false)</f>
        <v>0.1</v>
      </c>
      <c r="M65" s="99">
        <f>$D65-vlookup(Summary!$C65,Summary!$C$2:$Q$103,3+counta($F$1:M$1),false)</f>
        <v>0.1</v>
      </c>
      <c r="N65" s="99">
        <f>$D65-vlookup(Summary!$C65,Summary!$C$2:$Q$103,3+counta($F$1:N$1),false)</f>
        <v>0</v>
      </c>
      <c r="O65" s="99">
        <f>$D65-vlookup(Summary!$C65,Summary!$C$2:$Q$103,3+counta($F$1:O$1),false)</f>
        <v>0.1</v>
      </c>
      <c r="P65" s="99">
        <f>$D65-vlookup(Summary!$C65,Summary!$C$2:$Q$103,3+counta($F$1:P$1),false)</f>
        <v>-0.4</v>
      </c>
      <c r="Q65" s="99">
        <f>$D65-vlookup(Summary!$C65,Summary!$C$2:$Q$103,3+counta($F$1:Q$1),false)</f>
        <v>-0.1</v>
      </c>
    </row>
    <row r="66" ht="15.75" customHeight="1">
      <c r="A66" s="15">
        <f>Main!A66</f>
        <v>65</v>
      </c>
      <c r="B66" s="15" t="str">
        <f>Main!B66</f>
        <v>Daniel Ricciardo will win the Australian GP in 2022.</v>
      </c>
      <c r="C66" s="15" t="str">
        <f>Main!C66</f>
        <v>Sport</v>
      </c>
      <c r="D66" s="15">
        <v>0.1</v>
      </c>
      <c r="F66" s="99">
        <f>$D66-vlookup(Summary!$C66,Summary!$C$2:$Q$103,3+counta($F$1:F$1),false)</f>
        <v>-0.4</v>
      </c>
      <c r="G66" s="99">
        <f>$D66-vlookup(Summary!$C66,Summary!$C$2:$Q$103,3+counta($F$1:G$1),false)</f>
        <v>0</v>
      </c>
      <c r="H66" s="99">
        <f>$D66-vlookup(Summary!$C66,Summary!$C$2:$Q$103,3+counta($F$1:H$1),false)</f>
        <v>-0.4</v>
      </c>
      <c r="I66" s="99">
        <f>$D66-vlookup(Summary!$C66,Summary!$C$2:$Q$103,3+counta($F$1:I$1),false)</f>
        <v>-0.4</v>
      </c>
      <c r="J66" s="99">
        <f>$D66-vlookup(Summary!$C66,Summary!$C$2:$Q$103,3+counta($F$1:J$1),false)</f>
        <v>-0.2</v>
      </c>
      <c r="K66" s="99">
        <f>$D66-vlookup(Summary!$C66,Summary!$C$2:$Q$103,3+counta($F$1:K$1),false)</f>
        <v>-0.5</v>
      </c>
      <c r="L66" s="99">
        <f>$D66-vlookup(Summary!$C66,Summary!$C$2:$Q$103,3+counta($F$1:L$1),false)</f>
        <v>-0.1</v>
      </c>
      <c r="M66" s="99">
        <f>$D66-vlookup(Summary!$C66,Summary!$C$2:$Q$103,3+counta($F$1:M$1),false)</f>
        <v>-0.4</v>
      </c>
      <c r="N66" s="99">
        <f>$D66-vlookup(Summary!$C66,Summary!$C$2:$Q$103,3+counta($F$1:N$1),false)</f>
        <v>0</v>
      </c>
      <c r="O66" s="99">
        <f>$D66-vlookup(Summary!$C66,Summary!$C$2:$Q$103,3+counta($F$1:O$1),false)</f>
        <v>-0.4</v>
      </c>
      <c r="P66" s="99">
        <f>$D66-vlookup(Summary!$C66,Summary!$C$2:$Q$103,3+counta($F$1:P$1),false)</f>
        <v>0</v>
      </c>
      <c r="Q66" s="99">
        <f>$D66-vlookup(Summary!$C66,Summary!$C$2:$Q$103,3+counta($F$1:Q$1),false)</f>
        <v>0</v>
      </c>
    </row>
    <row r="67" ht="15.75" customHeight="1">
      <c r="A67" s="15">
        <f>Main!A67</f>
        <v>66</v>
      </c>
      <c r="B67" s="15" t="str">
        <f>Main!B67</f>
        <v>Collingwood will make it into the top 8 at the end of the footy season</v>
      </c>
      <c r="C67" s="15" t="str">
        <f>Main!C67</f>
        <v>Sport</v>
      </c>
      <c r="D67" s="15">
        <v>0.7</v>
      </c>
      <c r="F67" s="99">
        <f>$D67-vlookup(Summary!$C67,Summary!$C$2:$Q$103,3+counta($F$1:F$1),false)</f>
        <v>0.2</v>
      </c>
      <c r="G67" s="99">
        <f>$D67-vlookup(Summary!$C67,Summary!$C$2:$Q$103,3+counta($F$1:G$1),false)</f>
        <v>0.6</v>
      </c>
      <c r="H67" s="99">
        <f>$D67-vlookup(Summary!$C67,Summary!$C$2:$Q$103,3+counta($F$1:H$1),false)</f>
        <v>0.25</v>
      </c>
      <c r="I67" s="99">
        <f>$D67-vlookup(Summary!$C67,Summary!$C$2:$Q$103,3+counta($F$1:I$1),false)</f>
        <v>0.2</v>
      </c>
      <c r="J67" s="99">
        <f>$D67-vlookup(Summary!$C67,Summary!$C$2:$Q$103,3+counta($F$1:J$1),false)</f>
        <v>0.1</v>
      </c>
      <c r="K67" s="99">
        <f>$D67-vlookup(Summary!$C67,Summary!$C$2:$Q$103,3+counta($F$1:K$1),false)</f>
        <v>0.1</v>
      </c>
      <c r="L67" s="99">
        <f>$D67-vlookup(Summary!$C67,Summary!$C$2:$Q$103,3+counta($F$1:L$1),false)</f>
        <v>0.2</v>
      </c>
      <c r="M67" s="99">
        <f>$D67-vlookup(Summary!$C67,Summary!$C$2:$Q$103,3+counta($F$1:M$1),false)</f>
        <v>0.25</v>
      </c>
      <c r="N67" s="99">
        <f>$D67-vlookup(Summary!$C67,Summary!$C$2:$Q$103,3+counta($F$1:N$1),false)</f>
        <v>0</v>
      </c>
      <c r="O67" s="99">
        <f>$D67-vlookup(Summary!$C67,Summary!$C$2:$Q$103,3+counta($F$1:O$1),false)</f>
        <v>0.2</v>
      </c>
      <c r="P67" s="99">
        <f>$D67-vlookup(Summary!$C67,Summary!$C$2:$Q$103,3+counta($F$1:P$1),false)</f>
        <v>0.6</v>
      </c>
      <c r="Q67" s="99">
        <f>$D67-vlookup(Summary!$C67,Summary!$C$2:$Q$103,3+counta($F$1:Q$1),false)</f>
        <v>0.1</v>
      </c>
    </row>
    <row r="68" ht="15.75" customHeight="1">
      <c r="A68" s="15">
        <f>Main!A68</f>
        <v>67</v>
      </c>
      <c r="B68" s="15" t="str">
        <f>Main!B68</f>
        <v>Italy will defeat Portugal in their qualifying match and reach the finals of the Football World Cup</v>
      </c>
      <c r="C68" s="15" t="str">
        <f>Main!C68</f>
        <v>Sport</v>
      </c>
      <c r="D68" s="15">
        <v>0.5</v>
      </c>
      <c r="F68" s="99">
        <f>$D68-vlookup(Summary!$C68,Summary!$C$2:$Q$103,3+counta($F$1:F$1),false)</f>
        <v>0</v>
      </c>
      <c r="G68" s="99">
        <f>$D68-vlookup(Summary!$C68,Summary!$C$2:$Q$103,3+counta($F$1:G$1),false)</f>
        <v>-0.1</v>
      </c>
      <c r="H68" s="99">
        <f>$D68-vlookup(Summary!$C68,Summary!$C$2:$Q$103,3+counta($F$1:H$1),false)</f>
        <v>-0.2</v>
      </c>
      <c r="I68" s="99">
        <f>$D68-vlookup(Summary!$C68,Summary!$C$2:$Q$103,3+counta($F$1:I$1),false)</f>
        <v>0</v>
      </c>
      <c r="J68" s="99">
        <f>$D68-vlookup(Summary!$C68,Summary!$C$2:$Q$103,3+counta($F$1:J$1),false)</f>
        <v>0</v>
      </c>
      <c r="K68" s="99">
        <f>$D68-vlookup(Summary!$C68,Summary!$C$2:$Q$103,3+counta($F$1:K$1),false)</f>
        <v>-0.35</v>
      </c>
      <c r="L68" s="99">
        <f>$D68-vlookup(Summary!$C68,Summary!$C$2:$Q$103,3+counta($F$1:L$1),false)</f>
        <v>0.45</v>
      </c>
      <c r="M68" s="99">
        <f>$D68-vlookup(Summary!$C68,Summary!$C$2:$Q$103,3+counta($F$1:M$1),false)</f>
        <v>-0.2</v>
      </c>
      <c r="N68" s="99">
        <f>$D68-vlookup(Summary!$C68,Summary!$C$2:$Q$103,3+counta($F$1:N$1),false)</f>
        <v>0</v>
      </c>
      <c r="O68" s="99">
        <f>$D68-vlookup(Summary!$C68,Summary!$C$2:$Q$103,3+counta($F$1:O$1),false)</f>
        <v>0</v>
      </c>
      <c r="P68" s="99">
        <f>$D68-vlookup(Summary!$C68,Summary!$C$2:$Q$103,3+counta($F$1:P$1),false)</f>
        <v>-0.4</v>
      </c>
      <c r="Q68" s="99">
        <f>$D68-vlookup(Summary!$C68,Summary!$C$2:$Q$103,3+counta($F$1:Q$1),false)</f>
        <v>-0.3</v>
      </c>
    </row>
    <row r="69" ht="15.75" customHeight="1">
      <c r="A69" s="15">
        <f>Main!A69</f>
        <v>68</v>
      </c>
      <c r="B69" s="15" t="str">
        <f>Main!B69</f>
        <v>Ash Barty will be world number 1 in the WRA rankings after the US Open</v>
      </c>
      <c r="C69" s="15" t="str">
        <f>Main!C69</f>
        <v>Sport</v>
      </c>
      <c r="D69" s="15">
        <v>0.9</v>
      </c>
      <c r="F69" s="99">
        <f>$D69-vlookup(Summary!$C69,Summary!$C$2:$Q$103,3+counta($F$1:F$1),false)</f>
        <v>0.1</v>
      </c>
      <c r="G69" s="99">
        <f>$D69-vlookup(Summary!$C69,Summary!$C$2:$Q$103,3+counta($F$1:G$1),false)</f>
        <v>0</v>
      </c>
      <c r="H69" s="99">
        <f>$D69-vlookup(Summary!$C69,Summary!$C$2:$Q$103,3+counta($F$1:H$1),false)</f>
        <v>0.1</v>
      </c>
      <c r="I69" s="99">
        <f>$D69-vlookup(Summary!$C69,Summary!$C$2:$Q$103,3+counta($F$1:I$1),false)</f>
        <v>0.1</v>
      </c>
      <c r="J69" s="99">
        <f>$D69-vlookup(Summary!$C69,Summary!$C$2:$Q$103,3+counta($F$1:J$1),false)</f>
        <v>0.1</v>
      </c>
      <c r="K69" s="99">
        <f>$D69-vlookup(Summary!$C69,Summary!$C$2:$Q$103,3+counta($F$1:K$1),false)</f>
        <v>-0.08</v>
      </c>
      <c r="L69" s="99">
        <f>$D69-vlookup(Summary!$C69,Summary!$C$2:$Q$103,3+counta($F$1:L$1),false)</f>
        <v>-0.099</v>
      </c>
      <c r="M69" s="99">
        <f>$D69-vlookup(Summary!$C69,Summary!$C$2:$Q$103,3+counta($F$1:M$1),false)</f>
        <v>0.1</v>
      </c>
      <c r="N69" s="99">
        <f>$D69-vlookup(Summary!$C69,Summary!$C$2:$Q$103,3+counta($F$1:N$1),false)</f>
        <v>0</v>
      </c>
      <c r="O69" s="99">
        <f>$D69-vlookup(Summary!$C69,Summary!$C$2:$Q$103,3+counta($F$1:O$1),false)</f>
        <v>0.4</v>
      </c>
      <c r="P69" s="99">
        <f>$D69-vlookup(Summary!$C69,Summary!$C$2:$Q$103,3+counta($F$1:P$1),false)</f>
        <v>0</v>
      </c>
      <c r="Q69" s="99">
        <f>$D69-vlookup(Summary!$C69,Summary!$C$2:$Q$103,3+counta($F$1:Q$1),false)</f>
        <v>0.35</v>
      </c>
    </row>
    <row r="70" ht="15.75" customHeight="1">
      <c r="A70" s="15">
        <f>Main!A70</f>
        <v>69</v>
      </c>
      <c r="B70" s="15" t="str">
        <f>Main!B70</f>
        <v>Neither Roger Federer nor Serena Williams will win a Grand Slam tennis tournament</v>
      </c>
      <c r="C70" s="15" t="str">
        <f>Main!C70</f>
        <v>Sport</v>
      </c>
      <c r="D70" s="15">
        <v>0.8</v>
      </c>
      <c r="F70" s="99">
        <f>$D70-vlookup(Summary!$C70,Summary!$C$2:$Q$103,3+counta($F$1:F$1),false)</f>
        <v>0.15</v>
      </c>
      <c r="G70" s="99">
        <f>$D70-vlookup(Summary!$C70,Summary!$C$2:$Q$103,3+counta($F$1:G$1),false)</f>
        <v>0</v>
      </c>
      <c r="H70" s="99">
        <f>$D70-vlookup(Summary!$C70,Summary!$C$2:$Q$103,3+counta($F$1:H$1),false)</f>
        <v>-0.15</v>
      </c>
      <c r="I70" s="99">
        <f>$D70-vlookup(Summary!$C70,Summary!$C$2:$Q$103,3+counta($F$1:I$1),false)</f>
        <v>0.4</v>
      </c>
      <c r="J70" s="99">
        <f>$D70-vlookup(Summary!$C70,Summary!$C$2:$Q$103,3+counta($F$1:J$1),false)</f>
        <v>0</v>
      </c>
      <c r="K70" s="99">
        <f>$D70-vlookup(Summary!$C70,Summary!$C$2:$Q$103,3+counta($F$1:K$1),false)</f>
        <v>-0.1</v>
      </c>
      <c r="L70" s="99">
        <f>$D70-vlookup(Summary!$C70,Summary!$C$2:$Q$103,3+counta($F$1:L$1),false)</f>
        <v>-0.199</v>
      </c>
      <c r="M70" s="99">
        <f>$D70-vlookup(Summary!$C70,Summary!$C$2:$Q$103,3+counta($F$1:M$1),false)</f>
        <v>-0.15</v>
      </c>
      <c r="N70" s="99">
        <f>$D70-vlookup(Summary!$C70,Summary!$C$2:$Q$103,3+counta($F$1:N$1),false)</f>
        <v>0</v>
      </c>
      <c r="O70" s="99">
        <f>$D70-vlookup(Summary!$C70,Summary!$C$2:$Q$103,3+counta($F$1:O$1),false)</f>
        <v>-0.05</v>
      </c>
      <c r="P70" s="99">
        <f>$D70-vlookup(Summary!$C70,Summary!$C$2:$Q$103,3+counta($F$1:P$1),false)</f>
        <v>0.7</v>
      </c>
      <c r="Q70" s="99">
        <f>$D70-vlookup(Summary!$C70,Summary!$C$2:$Q$103,3+counta($F$1:Q$1),false)</f>
        <v>0.3</v>
      </c>
    </row>
    <row r="71" ht="15.75" customHeight="1">
      <c r="A71" s="15">
        <f>Main!A71</f>
        <v>70</v>
      </c>
      <c r="B71" s="15" t="str">
        <f>Main!B71</f>
        <v>The Football World Cup will not go ahead on the scheduled dates in Qatar</v>
      </c>
      <c r="C71" s="15" t="str">
        <f>Main!C71</f>
        <v>Sport</v>
      </c>
      <c r="D71" s="15">
        <v>0.1</v>
      </c>
      <c r="F71" s="99">
        <f>$D71-vlookup(Summary!$C71,Summary!$C$2:$Q$103,3+counta($F$1:F$1),false)</f>
        <v>-0.3</v>
      </c>
      <c r="G71" s="99">
        <f>$D71-vlookup(Summary!$C71,Summary!$C$2:$Q$103,3+counta($F$1:G$1),false)</f>
        <v>-0.15</v>
      </c>
      <c r="H71" s="99">
        <f>$D71-vlookup(Summary!$C71,Summary!$C$2:$Q$103,3+counta($F$1:H$1),false)</f>
        <v>0</v>
      </c>
      <c r="I71" s="99">
        <f>$D71-vlookup(Summary!$C71,Summary!$C$2:$Q$103,3+counta($F$1:I$1),false)</f>
        <v>-0.4</v>
      </c>
      <c r="J71" s="99">
        <f>$D71-vlookup(Summary!$C71,Summary!$C$2:$Q$103,3+counta($F$1:J$1),false)</f>
        <v>-0.4</v>
      </c>
      <c r="K71" s="99">
        <f>$D71-vlookup(Summary!$C71,Summary!$C$2:$Q$103,3+counta($F$1:K$1),false)</f>
        <v>-0.2</v>
      </c>
      <c r="L71" s="99">
        <f>$D71-vlookup(Summary!$C71,Summary!$C$2:$Q$103,3+counta($F$1:L$1),false)</f>
        <v>-0.45</v>
      </c>
      <c r="M71" s="99">
        <f>$D71-vlookup(Summary!$C71,Summary!$C$2:$Q$103,3+counta($F$1:M$1),false)</f>
        <v>0</v>
      </c>
      <c r="N71" s="99">
        <f>$D71-vlookup(Summary!$C71,Summary!$C$2:$Q$103,3+counta($F$1:N$1),false)</f>
        <v>0</v>
      </c>
      <c r="O71" s="99">
        <f>$D71-vlookup(Summary!$C71,Summary!$C$2:$Q$103,3+counta($F$1:O$1),false)</f>
        <v>-0.55</v>
      </c>
      <c r="P71" s="99">
        <f>$D71-vlookup(Summary!$C71,Summary!$C$2:$Q$103,3+counta($F$1:P$1),false)</f>
        <v>-0.8</v>
      </c>
      <c r="Q71" s="99">
        <f>$D71-vlookup(Summary!$C71,Summary!$C$2:$Q$103,3+counta($F$1:Q$1),false)</f>
        <v>-0.1</v>
      </c>
    </row>
    <row r="72" ht="15.75" customHeight="1">
      <c r="A72" s="15">
        <f>Main!A72</f>
        <v>71</v>
      </c>
      <c r="B72" s="15" t="str">
        <f>Main!B72</f>
        <v>Lewis hamilton will win the 2022 world championship in Formula 1</v>
      </c>
      <c r="C72" s="15" t="str">
        <f>Main!C72</f>
        <v>Sport</v>
      </c>
      <c r="D72" s="15">
        <v>0.8</v>
      </c>
      <c r="F72" s="99">
        <f>$D72-vlookup(Summary!$C72,Summary!$C$2:$Q$103,3+counta($F$1:F$1),false)</f>
        <v>0.2</v>
      </c>
      <c r="G72" s="99">
        <f>$D72-vlookup(Summary!$C72,Summary!$C$2:$Q$103,3+counta($F$1:G$1),false)</f>
        <v>0.6</v>
      </c>
      <c r="H72" s="99">
        <f>$D72-vlookup(Summary!$C72,Summary!$C$2:$Q$103,3+counta($F$1:H$1),false)</f>
        <v>0.2</v>
      </c>
      <c r="I72" s="99">
        <f>$D72-vlookup(Summary!$C72,Summary!$C$2:$Q$103,3+counta($F$1:I$1),false)</f>
        <v>0.3</v>
      </c>
      <c r="J72" s="99">
        <f>$D72-vlookup(Summary!$C72,Summary!$C$2:$Q$103,3+counta($F$1:J$1),false)</f>
        <v>0</v>
      </c>
      <c r="K72" s="99">
        <f>$D72-vlookup(Summary!$C72,Summary!$C$2:$Q$103,3+counta($F$1:K$1),false)</f>
        <v>0</v>
      </c>
      <c r="L72" s="99">
        <f>$D72-vlookup(Summary!$C72,Summary!$C$2:$Q$103,3+counta($F$1:L$1),false)</f>
        <v>0.2</v>
      </c>
      <c r="M72" s="99">
        <f>$D72-vlookup(Summary!$C72,Summary!$C$2:$Q$103,3+counta($F$1:M$1),false)</f>
        <v>0.2</v>
      </c>
      <c r="N72" s="99">
        <f>$D72-vlookup(Summary!$C72,Summary!$C$2:$Q$103,3+counta($F$1:N$1),false)</f>
        <v>0</v>
      </c>
      <c r="O72" s="99">
        <f>$D72-vlookup(Summary!$C72,Summary!$C$2:$Q$103,3+counta($F$1:O$1),false)</f>
        <v>0.45</v>
      </c>
      <c r="P72" s="99">
        <f>$D72-vlookup(Summary!$C72,Summary!$C$2:$Q$103,3+counta($F$1:P$1),false)</f>
        <v>-0.1</v>
      </c>
      <c r="Q72" s="99">
        <f>$D72-vlookup(Summary!$C72,Summary!$C$2:$Q$103,3+counta($F$1:Q$1),false)</f>
        <v>0.15</v>
      </c>
    </row>
    <row r="73" ht="15.75" customHeight="1">
      <c r="A73" s="15">
        <f>Main!A73</f>
        <v>72</v>
      </c>
      <c r="B73" s="15" t="str">
        <f>Main!B73</f>
        <v>The Haas F1 team will score 0 points in the 2022 season</v>
      </c>
      <c r="C73" s="15" t="str">
        <f>Main!C73</f>
        <v>Sport</v>
      </c>
      <c r="D73" s="15">
        <v>0.5</v>
      </c>
      <c r="F73" s="99">
        <f>$D73-vlookup(Summary!$C73,Summary!$C$2:$Q$103,3+counta($F$1:F$1),false)</f>
        <v>0</v>
      </c>
      <c r="G73" s="99">
        <f>$D73-vlookup(Summary!$C73,Summary!$C$2:$Q$103,3+counta($F$1:G$1),false)</f>
        <v>-0.2</v>
      </c>
      <c r="H73" s="99">
        <f>$D73-vlookup(Summary!$C73,Summary!$C$2:$Q$103,3+counta($F$1:H$1),false)</f>
        <v>0</v>
      </c>
      <c r="I73" s="99">
        <f>$D73-vlookup(Summary!$C73,Summary!$C$2:$Q$103,3+counta($F$1:I$1),false)</f>
        <v>0</v>
      </c>
      <c r="J73" s="99">
        <f>$D73-vlookup(Summary!$C73,Summary!$C$2:$Q$103,3+counta($F$1:J$1),false)</f>
        <v>0.2</v>
      </c>
      <c r="K73" s="99">
        <f>$D73-vlookup(Summary!$C73,Summary!$C$2:$Q$103,3+counta($F$1:K$1),false)</f>
        <v>0</v>
      </c>
      <c r="L73" s="99">
        <f>$D73-vlookup(Summary!$C73,Summary!$C$2:$Q$103,3+counta($F$1:L$1),false)</f>
        <v>0</v>
      </c>
      <c r="M73" s="99">
        <f>$D73-vlookup(Summary!$C73,Summary!$C$2:$Q$103,3+counta($F$1:M$1),false)</f>
        <v>0</v>
      </c>
      <c r="N73" s="99">
        <f>$D73-vlookup(Summary!$C73,Summary!$C$2:$Q$103,3+counta($F$1:N$1),false)</f>
        <v>0</v>
      </c>
      <c r="O73" s="99">
        <f>$D73-vlookup(Summary!$C73,Summary!$C$2:$Q$103,3+counta($F$1:O$1),false)</f>
        <v>-0.15</v>
      </c>
      <c r="P73" s="99">
        <f>$D73-vlookup(Summary!$C73,Summary!$C$2:$Q$103,3+counta($F$1:P$1),false)</f>
        <v>0.4</v>
      </c>
      <c r="Q73" s="99">
        <f>$D73-vlookup(Summary!$C73,Summary!$C$2:$Q$103,3+counta($F$1:Q$1),false)</f>
        <v>-0.1</v>
      </c>
    </row>
    <row r="74" ht="15.75" customHeight="1">
      <c r="A74" s="15">
        <f>Main!A74</f>
        <v>73</v>
      </c>
      <c r="B74" s="15" t="str">
        <f>Main!B74</f>
        <v>ULA's vulcan centaur will launch succesfully (places a payload into orbit)</v>
      </c>
      <c r="C74" s="15" t="str">
        <f>Main!C74</f>
        <v>Technology</v>
      </c>
      <c r="D74" s="15">
        <v>0.4</v>
      </c>
      <c r="F74" s="99">
        <f>$D74-vlookup(Summary!$C74,Summary!$C$2:$Q$103,3+counta($F$1:F$1),false)</f>
        <v>-0.2</v>
      </c>
      <c r="G74" s="99">
        <f>$D74-vlookup(Summary!$C74,Summary!$C$2:$Q$103,3+counta($F$1:G$1),false)</f>
        <v>-0.3</v>
      </c>
      <c r="H74" s="99">
        <f>$D74-vlookup(Summary!$C74,Summary!$C$2:$Q$103,3+counta($F$1:H$1),false)</f>
        <v>-0.3</v>
      </c>
      <c r="I74" s="99">
        <f>$D74-vlookup(Summary!$C74,Summary!$C$2:$Q$103,3+counta($F$1:I$1),false)</f>
        <v>-0.2</v>
      </c>
      <c r="J74" s="99">
        <f>$D74-vlookup(Summary!$C74,Summary!$C$2:$Q$103,3+counta($F$1:J$1),false)</f>
        <v>-0.2</v>
      </c>
      <c r="K74" s="99">
        <f>$D74-vlookup(Summary!$C74,Summary!$C$2:$Q$103,3+counta($F$1:K$1),false)</f>
        <v>-0.2</v>
      </c>
      <c r="L74" s="99">
        <f>$D74-vlookup(Summary!$C74,Summary!$C$2:$Q$103,3+counta($F$1:L$1),false)</f>
        <v>0.2</v>
      </c>
      <c r="M74" s="99">
        <f>$D74-vlookup(Summary!$C74,Summary!$C$2:$Q$103,3+counta($F$1:M$1),false)</f>
        <v>-0.3</v>
      </c>
      <c r="N74" s="99">
        <f>$D74-vlookup(Summary!$C74,Summary!$C$2:$Q$103,3+counta($F$1:N$1),false)</f>
        <v>0</v>
      </c>
      <c r="O74" s="99">
        <f>$D74-vlookup(Summary!$C74,Summary!$C$2:$Q$103,3+counta($F$1:O$1),false)</f>
        <v>-0.45</v>
      </c>
      <c r="P74" s="99">
        <f>$D74-vlookup(Summary!$C74,Summary!$C$2:$Q$103,3+counta($F$1:P$1),false)</f>
        <v>-0.1</v>
      </c>
      <c r="Q74" s="99">
        <f>$D74-vlookup(Summary!$C74,Summary!$C$2:$Q$103,3+counta($F$1:Q$1),false)</f>
        <v>-0.1</v>
      </c>
    </row>
    <row r="75" ht="15.75" customHeight="1">
      <c r="A75" s="15">
        <f>Main!A75</f>
        <v>74</v>
      </c>
      <c r="B75" s="15" t="str">
        <f>Main!B75</f>
        <v>NASA will declare its Artemis 1 mission a success</v>
      </c>
      <c r="C75" s="15" t="str">
        <f>Main!C75</f>
        <v>Technology</v>
      </c>
      <c r="D75" s="15">
        <v>0.5</v>
      </c>
      <c r="F75" s="99">
        <f>$D75-vlookup(Summary!$C75,Summary!$C$2:$Q$103,3+counta($F$1:F$1),false)</f>
        <v>-0.2</v>
      </c>
      <c r="G75" s="99">
        <f>$D75-vlookup(Summary!$C75,Summary!$C$2:$Q$103,3+counta($F$1:G$1),false)</f>
        <v>-0.3</v>
      </c>
      <c r="H75" s="99">
        <f>$D75-vlookup(Summary!$C75,Summary!$C$2:$Q$103,3+counta($F$1:H$1),false)</f>
        <v>-0.2</v>
      </c>
      <c r="I75" s="99">
        <f>$D75-vlookup(Summary!$C75,Summary!$C$2:$Q$103,3+counta($F$1:I$1),false)</f>
        <v>-0.2</v>
      </c>
      <c r="J75" s="99">
        <f>$D75-vlookup(Summary!$C75,Summary!$C$2:$Q$103,3+counta($F$1:J$1),false)</f>
        <v>-0.2</v>
      </c>
      <c r="K75" s="99">
        <f>$D75-vlookup(Summary!$C75,Summary!$C$2:$Q$103,3+counta($F$1:K$1),false)</f>
        <v>-0.3</v>
      </c>
      <c r="L75" s="99">
        <f>$D75-vlookup(Summary!$C75,Summary!$C$2:$Q$103,3+counta($F$1:L$1),false)</f>
        <v>-0.1</v>
      </c>
      <c r="M75" s="99">
        <f>$D75-vlookup(Summary!$C75,Summary!$C$2:$Q$103,3+counta($F$1:M$1),false)</f>
        <v>-0.2</v>
      </c>
      <c r="N75" s="99">
        <f>$D75-vlookup(Summary!$C75,Summary!$C$2:$Q$103,3+counta($F$1:N$1),false)</f>
        <v>0</v>
      </c>
      <c r="O75" s="99">
        <f>$D75-vlookup(Summary!$C75,Summary!$C$2:$Q$103,3+counta($F$1:O$1),false)</f>
        <v>-0.15</v>
      </c>
      <c r="P75" s="99">
        <f>$D75-vlookup(Summary!$C75,Summary!$C$2:$Q$103,3+counta($F$1:P$1),false)</f>
        <v>0</v>
      </c>
      <c r="Q75" s="99">
        <f>$D75-vlookup(Summary!$C75,Summary!$C$2:$Q$103,3+counta($F$1:Q$1),false)</f>
        <v>-0.2</v>
      </c>
    </row>
    <row r="76" ht="15.75" customHeight="1">
      <c r="A76" s="15">
        <f>Main!A76</f>
        <v>75</v>
      </c>
      <c r="B76" s="15" t="str">
        <f>Main!B76</f>
        <v>Starship/Superheavy will place Starship into a (partial) orbital trajectory</v>
      </c>
      <c r="C76" s="15" t="str">
        <f>Main!C76</f>
        <v>Technology</v>
      </c>
      <c r="D76" s="15">
        <v>0.5</v>
      </c>
      <c r="F76" s="99">
        <f>$D76-vlookup(Summary!$C76,Summary!$C$2:$Q$103,3+counta($F$1:F$1),false)</f>
        <v>-0.15</v>
      </c>
      <c r="G76" s="99">
        <f>$D76-vlookup(Summary!$C76,Summary!$C$2:$Q$103,3+counta($F$1:G$1),false)</f>
        <v>-0.1</v>
      </c>
      <c r="H76" s="99">
        <f>$D76-vlookup(Summary!$C76,Summary!$C$2:$Q$103,3+counta($F$1:H$1),false)</f>
        <v>-0.1</v>
      </c>
      <c r="I76" s="99">
        <f>$D76-vlookup(Summary!$C76,Summary!$C$2:$Q$103,3+counta($F$1:I$1),false)</f>
        <v>-0.15</v>
      </c>
      <c r="J76" s="99">
        <f>$D76-vlookup(Summary!$C76,Summary!$C$2:$Q$103,3+counta($F$1:J$1),false)</f>
        <v>-0.2</v>
      </c>
      <c r="K76" s="99">
        <f>$D76-vlookup(Summary!$C76,Summary!$C$2:$Q$103,3+counta($F$1:K$1),false)</f>
        <v>0</v>
      </c>
      <c r="L76" s="99">
        <f>$D76-vlookup(Summary!$C76,Summary!$C$2:$Q$103,3+counta($F$1:L$1),false)</f>
        <v>0</v>
      </c>
      <c r="M76" s="99">
        <f>$D76-vlookup(Summary!$C76,Summary!$C$2:$Q$103,3+counta($F$1:M$1),false)</f>
        <v>-0.1</v>
      </c>
      <c r="N76" s="99">
        <f>$D76-vlookup(Summary!$C76,Summary!$C$2:$Q$103,3+counta($F$1:N$1),false)</f>
        <v>0</v>
      </c>
      <c r="O76" s="99">
        <f>$D76-vlookup(Summary!$C76,Summary!$C$2:$Q$103,3+counta($F$1:O$1),false)</f>
        <v>-0.35</v>
      </c>
      <c r="P76" s="99">
        <f>$D76-vlookup(Summary!$C76,Summary!$C$2:$Q$103,3+counta($F$1:P$1),false)</f>
        <v>0</v>
      </c>
      <c r="Q76" s="99">
        <f>$D76-vlookup(Summary!$C76,Summary!$C$2:$Q$103,3+counta($F$1:Q$1),false)</f>
        <v>0</v>
      </c>
    </row>
    <row r="77" ht="15.75" customHeight="1">
      <c r="A77" s="15">
        <f>Main!A77</f>
        <v>76</v>
      </c>
      <c r="B77" s="15" t="str">
        <f>Main!B77</f>
        <v>James Webb telescope will deploy at L2 and 1 image from its Near-Infrared Camera (NIRCam) will be available on the internet for viewing by the public</v>
      </c>
      <c r="C77" s="15" t="str">
        <f>Main!C77</f>
        <v>Technology</v>
      </c>
      <c r="D77" s="15">
        <v>0.5</v>
      </c>
      <c r="F77" s="99">
        <f>$D77-vlookup(Summary!$C77,Summary!$C$2:$Q$103,3+counta($F$1:F$1),false)</f>
        <v>-0.2</v>
      </c>
      <c r="G77" s="99">
        <f>$D77-vlookup(Summary!$C77,Summary!$C$2:$Q$103,3+counta($F$1:G$1),false)</f>
        <v>-0.3</v>
      </c>
      <c r="H77" s="99">
        <f>$D77-vlookup(Summary!$C77,Summary!$C$2:$Q$103,3+counta($F$1:H$1),false)</f>
        <v>-0.4</v>
      </c>
      <c r="I77" s="99">
        <f>$D77-vlookup(Summary!$C77,Summary!$C$2:$Q$103,3+counta($F$1:I$1),false)</f>
        <v>-0.2</v>
      </c>
      <c r="J77" s="99">
        <f>$D77-vlookup(Summary!$C77,Summary!$C$2:$Q$103,3+counta($F$1:J$1),false)</f>
        <v>-0.3</v>
      </c>
      <c r="K77" s="99">
        <f>$D77-vlookup(Summary!$C77,Summary!$C$2:$Q$103,3+counta($F$1:K$1),false)</f>
        <v>-0.15</v>
      </c>
      <c r="L77" s="99">
        <f>$D77-vlookup(Summary!$C77,Summary!$C$2:$Q$103,3+counta($F$1:L$1),false)</f>
        <v>-0.2</v>
      </c>
      <c r="M77" s="99">
        <f>$D77-vlookup(Summary!$C77,Summary!$C$2:$Q$103,3+counta($F$1:M$1),false)</f>
        <v>-0.4</v>
      </c>
      <c r="N77" s="99">
        <f>$D77-vlookup(Summary!$C77,Summary!$C$2:$Q$103,3+counta($F$1:N$1),false)</f>
        <v>0</v>
      </c>
      <c r="O77" s="99">
        <f>$D77-vlookup(Summary!$C77,Summary!$C$2:$Q$103,3+counta($F$1:O$1),false)</f>
        <v>-0.499</v>
      </c>
      <c r="P77" s="99">
        <f>$D77-vlookup(Summary!$C77,Summary!$C$2:$Q$103,3+counta($F$1:P$1),false)</f>
        <v>-0.4</v>
      </c>
      <c r="Q77" s="99">
        <f>$D77-vlookup(Summary!$C77,Summary!$C$2:$Q$103,3+counta($F$1:Q$1),false)</f>
        <v>0</v>
      </c>
    </row>
    <row r="78" ht="15.75" customHeight="1">
      <c r="A78" s="15">
        <f>Main!A78</f>
        <v>77</v>
      </c>
      <c r="B78" s="15" t="str">
        <f>Main!B78</f>
        <v>Facebook connect 2022 (or its 'meta' equivalent) will be hosted in virtual reality / a ('the'?) metaverse</v>
      </c>
      <c r="C78" s="15" t="str">
        <f>Main!C78</f>
        <v>Technology</v>
      </c>
      <c r="D78" s="15">
        <v>0.2</v>
      </c>
      <c r="F78" s="99">
        <f>$D78-vlookup(Summary!$C78,Summary!$C$2:$Q$103,3+counta($F$1:F$1),false)</f>
        <v>-0.1</v>
      </c>
      <c r="G78" s="99">
        <f>$D78-vlookup(Summary!$C78,Summary!$C$2:$Q$103,3+counta($F$1:G$1),false)</f>
        <v>-0.4</v>
      </c>
      <c r="H78" s="99">
        <f>$D78-vlookup(Summary!$C78,Summary!$C$2:$Q$103,3+counta($F$1:H$1),false)</f>
        <v>-0.7</v>
      </c>
      <c r="I78" s="99">
        <f>$D78-vlookup(Summary!$C78,Summary!$C$2:$Q$103,3+counta($F$1:I$1),false)</f>
        <v>0.1</v>
      </c>
      <c r="J78" s="99">
        <f>$D78-vlookup(Summary!$C78,Summary!$C$2:$Q$103,3+counta($F$1:J$1),false)</f>
        <v>-0.7</v>
      </c>
      <c r="K78" s="99">
        <f>$D78-vlookup(Summary!$C78,Summary!$C$2:$Q$103,3+counta($F$1:K$1),false)</f>
        <v>-0.3</v>
      </c>
      <c r="L78" s="99">
        <f>$D78-vlookup(Summary!$C78,Summary!$C$2:$Q$103,3+counta($F$1:L$1),false)</f>
        <v>-0.3</v>
      </c>
      <c r="M78" s="99">
        <f>$D78-vlookup(Summary!$C78,Summary!$C$2:$Q$103,3+counta($F$1:M$1),false)</f>
        <v>-0.7</v>
      </c>
      <c r="N78" s="99">
        <f>$D78-vlookup(Summary!$C78,Summary!$C$2:$Q$103,3+counta($F$1:N$1),false)</f>
        <v>0</v>
      </c>
      <c r="O78" s="99">
        <f>$D78-vlookup(Summary!$C78,Summary!$C$2:$Q$103,3+counta($F$1:O$1),false)</f>
        <v>-0.15</v>
      </c>
      <c r="P78" s="99">
        <f>$D78-vlookup(Summary!$C78,Summary!$C$2:$Q$103,3+counta($F$1:P$1),false)</f>
        <v>-0.3</v>
      </c>
      <c r="Q78" s="99">
        <f>$D78-vlookup(Summary!$C78,Summary!$C$2:$Q$103,3+counta($F$1:Q$1),false)</f>
        <v>-0.5</v>
      </c>
    </row>
    <row r="79" ht="15.75" customHeight="1">
      <c r="A79" s="15">
        <f>Main!A79</f>
        <v>78</v>
      </c>
      <c r="B79" s="15" t="str">
        <f>Main!B79</f>
        <v>Apple will announce mixed reality glasses</v>
      </c>
      <c r="C79" s="15" t="str">
        <f>Main!C79</f>
        <v>Technology</v>
      </c>
      <c r="D79" s="15">
        <v>0.7</v>
      </c>
      <c r="F79" s="99">
        <f>$D79-vlookup(Summary!$C79,Summary!$C$2:$Q$103,3+counta($F$1:F$1),false)</f>
        <v>0.45</v>
      </c>
      <c r="G79" s="99">
        <f>$D79-vlookup(Summary!$C79,Summary!$C$2:$Q$103,3+counta($F$1:G$1),false)</f>
        <v>0.3</v>
      </c>
      <c r="H79" s="99">
        <f>$D79-vlookup(Summary!$C79,Summary!$C$2:$Q$103,3+counta($F$1:H$1),false)</f>
        <v>0.5</v>
      </c>
      <c r="I79" s="99">
        <f>$D79-vlookup(Summary!$C79,Summary!$C$2:$Q$103,3+counta($F$1:I$1),false)</f>
        <v>0.6</v>
      </c>
      <c r="J79" s="99">
        <f>$D79-vlookup(Summary!$C79,Summary!$C$2:$Q$103,3+counta($F$1:J$1),false)</f>
        <v>-0.2</v>
      </c>
      <c r="K79" s="99">
        <f>$D79-vlookup(Summary!$C79,Summary!$C$2:$Q$103,3+counta($F$1:K$1),false)</f>
        <v>0.025</v>
      </c>
      <c r="L79" s="99">
        <f>$D79-vlookup(Summary!$C79,Summary!$C$2:$Q$103,3+counta($F$1:L$1),false)</f>
        <v>0.25</v>
      </c>
      <c r="M79" s="99">
        <f>$D79-vlookup(Summary!$C79,Summary!$C$2:$Q$103,3+counta($F$1:M$1),false)</f>
        <v>0.5</v>
      </c>
      <c r="N79" s="99">
        <f>$D79-vlookup(Summary!$C79,Summary!$C$2:$Q$103,3+counta($F$1:N$1),false)</f>
        <v>0</v>
      </c>
      <c r="O79" s="99">
        <f>$D79-vlookup(Summary!$C79,Summary!$C$2:$Q$103,3+counta($F$1:O$1),false)</f>
        <v>0.35</v>
      </c>
      <c r="P79" s="99">
        <f>$D79-vlookup(Summary!$C79,Summary!$C$2:$Q$103,3+counta($F$1:P$1),false)</f>
        <v>0.6</v>
      </c>
      <c r="Q79" s="99">
        <f>$D79-vlookup(Summary!$C79,Summary!$C$2:$Q$103,3+counta($F$1:Q$1),false)</f>
        <v>-0.1</v>
      </c>
    </row>
    <row r="80" ht="15.75" customHeight="1">
      <c r="A80" s="15">
        <f>Main!A80</f>
        <v>79</v>
      </c>
      <c r="B80" s="15" t="str">
        <f>Main!B80</f>
        <v> In-app purchases of Kindle books will be possible in the Kindle iphone app</v>
      </c>
      <c r="C80" s="15" t="str">
        <f>Main!C80</f>
        <v>Technology</v>
      </c>
      <c r="D80" s="15">
        <v>0.8</v>
      </c>
      <c r="F80" s="99">
        <f>$D80-vlookup(Summary!$C80,Summary!$C$2:$Q$103,3+counta($F$1:F$1),false)</f>
        <v>0.3</v>
      </c>
      <c r="G80" s="99">
        <f>$D80-vlookup(Summary!$C80,Summary!$C$2:$Q$103,3+counta($F$1:G$1),false)</f>
        <v>0.25</v>
      </c>
      <c r="H80" s="99">
        <f>$D80-vlookup(Summary!$C80,Summary!$C$2:$Q$103,3+counta($F$1:H$1),false)</f>
        <v>0.6</v>
      </c>
      <c r="I80" s="99">
        <f>$D80-vlookup(Summary!$C80,Summary!$C$2:$Q$103,3+counta($F$1:I$1),false)</f>
        <v>0.3</v>
      </c>
      <c r="J80" s="99">
        <f>$D80-vlookup(Summary!$C80,Summary!$C$2:$Q$103,3+counta($F$1:J$1),false)</f>
        <v>-0.1</v>
      </c>
      <c r="K80" s="99">
        <f>$D80-vlookup(Summary!$C80,Summary!$C$2:$Q$103,3+counta($F$1:K$1),false)</f>
        <v>-0.05</v>
      </c>
      <c r="L80" s="99">
        <f>$D80-vlookup(Summary!$C80,Summary!$C$2:$Q$103,3+counta($F$1:L$1),false)</f>
        <v>0.6</v>
      </c>
      <c r="M80" s="99">
        <f>$D80-vlookup(Summary!$C80,Summary!$C$2:$Q$103,3+counta($F$1:M$1),false)</f>
        <v>0.6</v>
      </c>
      <c r="N80" s="99">
        <f>$D80-vlookup(Summary!$C80,Summary!$C$2:$Q$103,3+counta($F$1:N$1),false)</f>
        <v>0</v>
      </c>
      <c r="O80" s="99">
        <f>$D80-vlookup(Summary!$C80,Summary!$C$2:$Q$103,3+counta($F$1:O$1),false)</f>
        <v>0.65</v>
      </c>
      <c r="P80" s="99">
        <f>$D80-vlookup(Summary!$C80,Summary!$C$2:$Q$103,3+counta($F$1:P$1),false)</f>
        <v>0.3</v>
      </c>
      <c r="Q80" s="99">
        <f>$D80-vlookup(Summary!$C80,Summary!$C$2:$Q$103,3+counta($F$1:Q$1),false)</f>
        <v>0.3</v>
      </c>
    </row>
    <row r="81" ht="15.75" customHeight="1">
      <c r="A81" s="15">
        <f>Main!A81</f>
        <v>80</v>
      </c>
      <c r="B81" s="15" t="str">
        <f>Main!B81</f>
        <v>It will be possible for at least one of the prediction participants to have food delivered by drone to their place of residence as a mainstream service, without it being part of a specific trial.</v>
      </c>
      <c r="C81" s="15" t="str">
        <f>Main!C81</f>
        <v>Technology</v>
      </c>
      <c r="D81" s="15">
        <v>0.7</v>
      </c>
      <c r="F81" s="99">
        <f>$D81-vlookup(Summary!$C81,Summary!$C$2:$Q$103,3+counta($F$1:F$1),false)</f>
        <v>0.5</v>
      </c>
      <c r="G81" s="99">
        <f>$D81-vlookup(Summary!$C81,Summary!$C$2:$Q$103,3+counta($F$1:G$1),false)</f>
        <v>0.4</v>
      </c>
      <c r="H81" s="99">
        <f>$D81-vlookup(Summary!$C81,Summary!$C$2:$Q$103,3+counta($F$1:H$1),false)</f>
        <v>0.6</v>
      </c>
      <c r="I81" s="99">
        <f>$D81-vlookup(Summary!$C81,Summary!$C$2:$Q$103,3+counta($F$1:I$1),false)</f>
        <v>0.6</v>
      </c>
      <c r="J81" s="99">
        <f>$D81-vlookup(Summary!$C81,Summary!$C$2:$Q$103,3+counta($F$1:J$1),false)</f>
        <v>0.3</v>
      </c>
      <c r="K81" s="99">
        <f>$D81-vlookup(Summary!$C81,Summary!$C$2:$Q$103,3+counta($F$1:K$1),false)</f>
        <v>0.05</v>
      </c>
      <c r="L81" s="99">
        <f>$D81-vlookup(Summary!$C81,Summary!$C$2:$Q$103,3+counta($F$1:L$1),false)</f>
        <v>0.2</v>
      </c>
      <c r="M81" s="99">
        <f>$D81-vlookup(Summary!$C81,Summary!$C$2:$Q$103,3+counta($F$1:M$1),false)</f>
        <v>0.6</v>
      </c>
      <c r="N81" s="99">
        <f>$D81-vlookup(Summary!$C81,Summary!$C$2:$Q$103,3+counta($F$1:N$1),false)</f>
        <v>0</v>
      </c>
      <c r="O81" s="99">
        <f>$D81-vlookup(Summary!$C81,Summary!$C$2:$Q$103,3+counta($F$1:O$1),false)</f>
        <v>0.05</v>
      </c>
      <c r="P81" s="99">
        <f>$D81-vlookup(Summary!$C81,Summary!$C$2:$Q$103,3+counta($F$1:P$1),false)</f>
        <v>-0.2</v>
      </c>
      <c r="Q81" s="99">
        <f>$D81-vlookup(Summary!$C81,Summary!$C$2:$Q$103,3+counta($F$1:Q$1),false)</f>
        <v>0.05</v>
      </c>
    </row>
    <row r="82" ht="15.75" customHeight="1">
      <c r="A82" s="15">
        <f>Main!A82</f>
        <v>81</v>
      </c>
      <c r="B82" s="15" t="str">
        <f>Main!B82</f>
        <v>TMTG, the company that owns Trump’s “TRUTH Social” platform, will have a market cap of over $20 billion USD. (Twitter is around 35b)</v>
      </c>
      <c r="C82" s="15" t="str">
        <f>Main!C82</f>
        <v>Technology</v>
      </c>
      <c r="D82" s="15">
        <v>0.1</v>
      </c>
      <c r="F82" s="99">
        <f>$D82-vlookup(Summary!$C82,Summary!$C$2:$Q$103,3+counta($F$1:F$1),false)</f>
        <v>-0.8</v>
      </c>
      <c r="G82" s="99">
        <f>$D82-vlookup(Summary!$C82,Summary!$C$2:$Q$103,3+counta($F$1:G$1),false)</f>
        <v>-0.89</v>
      </c>
      <c r="H82" s="99">
        <f>$D82-vlookup(Summary!$C82,Summary!$C$2:$Q$103,3+counta($F$1:H$1),false)</f>
        <v>-0.1</v>
      </c>
      <c r="I82" s="99">
        <f>$D82-vlookup(Summary!$C82,Summary!$C$2:$Q$103,3+counta($F$1:I$1),false)</f>
        <v>-0.8</v>
      </c>
      <c r="J82" s="99">
        <f>$D82-vlookup(Summary!$C82,Summary!$C$2:$Q$103,3+counta($F$1:J$1),false)</f>
        <v>-0.2</v>
      </c>
      <c r="K82" s="99">
        <f>$D82-vlookup(Summary!$C82,Summary!$C$2:$Q$103,3+counta($F$1:K$1),false)</f>
        <v>-0.7</v>
      </c>
      <c r="L82" s="99">
        <f>$D82-vlookup(Summary!$C82,Summary!$C$2:$Q$103,3+counta($F$1:L$1),false)</f>
        <v>-0.1</v>
      </c>
      <c r="M82" s="99">
        <f>$D82-vlookup(Summary!$C82,Summary!$C$2:$Q$103,3+counta($F$1:M$1),false)</f>
        <v>-0.1</v>
      </c>
      <c r="N82" s="99">
        <f>$D82-vlookup(Summary!$C82,Summary!$C$2:$Q$103,3+counta($F$1:N$1),false)</f>
        <v>0</v>
      </c>
      <c r="O82" s="99">
        <f>$D82-vlookup(Summary!$C82,Summary!$C$2:$Q$103,3+counta($F$1:O$1),false)</f>
        <v>-0.05</v>
      </c>
      <c r="P82" s="99">
        <f>$D82-vlookup(Summary!$C82,Summary!$C$2:$Q$103,3+counta($F$1:P$1),false)</f>
        <v>-0.4</v>
      </c>
      <c r="Q82" s="99">
        <f>$D82-vlookup(Summary!$C82,Summary!$C$2:$Q$103,3+counta($F$1:Q$1),false)</f>
        <v>-0.2</v>
      </c>
    </row>
    <row r="83" ht="15.75" customHeight="1">
      <c r="A83" s="15">
        <f>Main!A83</f>
        <v>82</v>
      </c>
      <c r="B83" s="15" t="str">
        <f>Main!B83</f>
        <v>It will not be financially viable to mine ethereum using commercial GPUs.</v>
      </c>
      <c r="C83" s="15" t="str">
        <f>Main!C83</f>
        <v>Technology</v>
      </c>
      <c r="D83" s="15">
        <v>0.8</v>
      </c>
      <c r="F83" s="99">
        <f>$D83-vlookup(Summary!$C83,Summary!$C$2:$Q$103,3+counta($F$1:F$1),false)</f>
        <v>0.15</v>
      </c>
      <c r="G83" s="99">
        <f>$D83-vlookup(Summary!$C83,Summary!$C$2:$Q$103,3+counta($F$1:G$1),false)</f>
        <v>0</v>
      </c>
      <c r="H83" s="99">
        <f>$D83-vlookup(Summary!$C83,Summary!$C$2:$Q$103,3+counta($F$1:H$1),false)</f>
        <v>-0.1</v>
      </c>
      <c r="I83" s="99">
        <f>$D83-vlookup(Summary!$C83,Summary!$C$2:$Q$103,3+counta($F$1:I$1),false)</f>
        <v>0.3</v>
      </c>
      <c r="J83" s="99">
        <f>$D83-vlookup(Summary!$C83,Summary!$C$2:$Q$103,3+counta($F$1:J$1),false)</f>
        <v>0.3</v>
      </c>
      <c r="K83" s="99">
        <f>$D83-vlookup(Summary!$C83,Summary!$C$2:$Q$103,3+counta($F$1:K$1),false)</f>
        <v>0.3</v>
      </c>
      <c r="L83" s="99">
        <f>$D83-vlookup(Summary!$C83,Summary!$C$2:$Q$103,3+counta($F$1:L$1),false)</f>
        <v>0.35</v>
      </c>
      <c r="M83" s="99">
        <f>$D83-vlookup(Summary!$C83,Summary!$C$2:$Q$103,3+counta($F$1:M$1),false)</f>
        <v>-0.1</v>
      </c>
      <c r="N83" s="99">
        <f>$D83-vlookup(Summary!$C83,Summary!$C$2:$Q$103,3+counta($F$1:N$1),false)</f>
        <v>0</v>
      </c>
      <c r="O83" s="99">
        <f>$D83-vlookup(Summary!$C83,Summary!$C$2:$Q$103,3+counta($F$1:O$1),false)</f>
        <v>-0.05</v>
      </c>
      <c r="P83" s="99">
        <f>$D83-vlookup(Summary!$C83,Summary!$C$2:$Q$103,3+counta($F$1:P$1),false)</f>
        <v>0.3</v>
      </c>
      <c r="Q83" s="99">
        <f>$D83-vlookup(Summary!$C83,Summary!$C$2:$Q$103,3+counta($F$1:Q$1),false)</f>
        <v>0.2</v>
      </c>
    </row>
    <row r="84" ht="15.75" customHeight="1">
      <c r="A84" s="15">
        <f>Main!A84</f>
        <v>83</v>
      </c>
      <c r="B84" s="15" t="str">
        <f>Main!B84</f>
        <v>China will have more than 800 satellites in orbit (currently around 500)</v>
      </c>
      <c r="C84" s="15" t="str">
        <f>Main!C84</f>
        <v>Technology</v>
      </c>
      <c r="D84" s="15">
        <v>0.1</v>
      </c>
      <c r="F84" s="99">
        <f>$D84-vlookup(Summary!$C84,Summary!$C$2:$Q$103,3+counta($F$1:F$1),false)</f>
        <v>-0.3</v>
      </c>
      <c r="G84" s="99">
        <f>$D84-vlookup(Summary!$C84,Summary!$C$2:$Q$103,3+counta($F$1:G$1),false)</f>
        <v>-0.55</v>
      </c>
      <c r="H84" s="99">
        <f>$D84-vlookup(Summary!$C84,Summary!$C$2:$Q$103,3+counta($F$1:H$1),false)</f>
        <v>0.05</v>
      </c>
      <c r="I84" s="99">
        <f>$D84-vlookup(Summary!$C84,Summary!$C$2:$Q$103,3+counta($F$1:I$1),false)</f>
        <v>-0.1</v>
      </c>
      <c r="J84" s="99">
        <f>$D84-vlookup(Summary!$C84,Summary!$C$2:$Q$103,3+counta($F$1:J$1),false)</f>
        <v>-0.6</v>
      </c>
      <c r="K84" s="99">
        <f>$D84-vlookup(Summary!$C84,Summary!$C$2:$Q$103,3+counta($F$1:K$1),false)</f>
        <v>-0.75</v>
      </c>
      <c r="L84" s="99">
        <f>$D84-vlookup(Summary!$C84,Summary!$C$2:$Q$103,3+counta($F$1:L$1),false)</f>
        <v>0.099</v>
      </c>
      <c r="M84" s="99">
        <f>$D84-vlookup(Summary!$C84,Summary!$C$2:$Q$103,3+counta($F$1:M$1),false)</f>
        <v>0.05</v>
      </c>
      <c r="N84" s="99">
        <f>$D84-vlookup(Summary!$C84,Summary!$C$2:$Q$103,3+counta($F$1:N$1),false)</f>
        <v>0</v>
      </c>
      <c r="O84" s="99">
        <f>$D84-vlookup(Summary!$C84,Summary!$C$2:$Q$103,3+counta($F$1:O$1),false)</f>
        <v>0.099</v>
      </c>
      <c r="P84" s="99">
        <f>$D84-vlookup(Summary!$C84,Summary!$C$2:$Q$103,3+counta($F$1:P$1),false)</f>
        <v>-0.4</v>
      </c>
      <c r="Q84" s="99">
        <f>$D84-vlookup(Summary!$C84,Summary!$C$2:$Q$103,3+counta($F$1:Q$1),false)</f>
        <v>-0.55</v>
      </c>
    </row>
    <row r="85" ht="15.75" customHeight="1">
      <c r="A85" s="15">
        <f>Main!A85</f>
        <v>84</v>
      </c>
      <c r="B85" s="15" t="str">
        <f>Main!B85</f>
        <v>Australia will be in the top 40 countries for broadband speed (as tracked in wiki page)</v>
      </c>
      <c r="C85" s="15" t="str">
        <f>Main!C85</f>
        <v>Technology</v>
      </c>
      <c r="D85" s="15">
        <v>0.7</v>
      </c>
      <c r="F85" s="99">
        <f>$D85-vlookup(Summary!$C85,Summary!$C$2:$Q$103,3+counta($F$1:F$1),false)</f>
        <v>0.5</v>
      </c>
      <c r="G85" s="99">
        <f>$D85-vlookup(Summary!$C85,Summary!$C$2:$Q$103,3+counta($F$1:G$1),false)</f>
        <v>-0.2</v>
      </c>
      <c r="H85" s="99">
        <f>$D85-vlookup(Summary!$C85,Summary!$C$2:$Q$103,3+counta($F$1:H$1),false)</f>
        <v>0.65</v>
      </c>
      <c r="I85" s="99">
        <f>$D85-vlookup(Summary!$C85,Summary!$C$2:$Q$103,3+counta($F$1:I$1),false)</f>
        <v>0.4</v>
      </c>
      <c r="J85" s="99">
        <f>$D85-vlookup(Summary!$C85,Summary!$C$2:$Q$103,3+counta($F$1:J$1),false)</f>
        <v>0.5</v>
      </c>
      <c r="K85" s="99">
        <f>$D85-vlookup(Summary!$C85,Summary!$C$2:$Q$103,3+counta($F$1:K$1),false)</f>
        <v>0</v>
      </c>
      <c r="L85" s="99">
        <f>$D85-vlookup(Summary!$C85,Summary!$C$2:$Q$103,3+counta($F$1:L$1),false)</f>
        <v>0.65</v>
      </c>
      <c r="M85" s="99">
        <f>$D85-vlookup(Summary!$C85,Summary!$C$2:$Q$103,3+counta($F$1:M$1),false)</f>
        <v>0.65</v>
      </c>
      <c r="N85" s="99">
        <f>$D85-vlookup(Summary!$C85,Summary!$C$2:$Q$103,3+counta($F$1:N$1),false)</f>
        <v>0</v>
      </c>
      <c r="O85" s="99">
        <f>$D85-vlookup(Summary!$C85,Summary!$C$2:$Q$103,3+counta($F$1:O$1),false)</f>
        <v>0.55</v>
      </c>
      <c r="P85" s="99">
        <f>$D85-vlookup(Summary!$C85,Summary!$C$2:$Q$103,3+counta($F$1:P$1),false)</f>
        <v>-0.1</v>
      </c>
      <c r="Q85" s="99">
        <f>$D85-vlookup(Summary!$C85,Summary!$C$2:$Q$103,3+counta($F$1:Q$1),false)</f>
        <v>0</v>
      </c>
    </row>
    <row r="86" ht="15.75" customHeight="1">
      <c r="A86" s="15">
        <f>Main!A86</f>
        <v>85</v>
      </c>
      <c r="B86" s="15" t="str">
        <f>Main!B86</f>
        <v>India will produce more total CO2 emissions than the US</v>
      </c>
      <c r="C86" s="15" t="str">
        <f>Main!C86</f>
        <v>Technology</v>
      </c>
      <c r="D86" s="15">
        <v>0.8</v>
      </c>
      <c r="F86" s="99">
        <f>$D86-vlookup(Summary!$C86,Summary!$C$2:$Q$103,3+counta($F$1:F$1),false)</f>
        <v>0.5</v>
      </c>
      <c r="G86" s="99">
        <f>$D86-vlookup(Summary!$C86,Summary!$C$2:$Q$103,3+counta($F$1:G$1),false)</f>
        <v>0.6</v>
      </c>
      <c r="H86" s="99">
        <f>$D86-vlookup(Summary!$C86,Summary!$C$2:$Q$103,3+counta($F$1:H$1),false)</f>
        <v>0.7</v>
      </c>
      <c r="I86" s="99">
        <f>$D86-vlookup(Summary!$C86,Summary!$C$2:$Q$103,3+counta($F$1:I$1),false)</f>
        <v>0.7</v>
      </c>
      <c r="J86" s="99">
        <f>$D86-vlookup(Summary!$C86,Summary!$C$2:$Q$103,3+counta($F$1:J$1),false)</f>
        <v>0.3</v>
      </c>
      <c r="K86" s="99">
        <f>$D86-vlookup(Summary!$C86,Summary!$C$2:$Q$103,3+counta($F$1:K$1),false)</f>
        <v>0</v>
      </c>
      <c r="L86" s="99">
        <f>$D86-vlookup(Summary!$C86,Summary!$C$2:$Q$103,3+counta($F$1:L$1),false)</f>
        <v>0.799</v>
      </c>
      <c r="M86" s="99">
        <f>$D86-vlookup(Summary!$C86,Summary!$C$2:$Q$103,3+counta($F$1:M$1),false)</f>
        <v>0.7</v>
      </c>
      <c r="N86" s="99">
        <f>$D86-vlookup(Summary!$C86,Summary!$C$2:$Q$103,3+counta($F$1:N$1),false)</f>
        <v>0</v>
      </c>
      <c r="O86" s="99">
        <f>$D86-vlookup(Summary!$C86,Summary!$C$2:$Q$103,3+counta($F$1:O$1),false)</f>
        <v>0.45</v>
      </c>
      <c r="P86" s="99">
        <f>$D86-vlookup(Summary!$C86,Summary!$C$2:$Q$103,3+counta($F$1:P$1),false)</f>
        <v>0</v>
      </c>
      <c r="Q86" s="99">
        <f>$D86-vlookup(Summary!$C86,Summary!$C$2:$Q$103,3+counta($F$1:Q$1),false)</f>
        <v>0.2</v>
      </c>
    </row>
    <row r="87" ht="15.75" customHeight="1">
      <c r="A87" s="15">
        <f>Main!A87</f>
        <v>86</v>
      </c>
      <c r="B87" s="15" t="str">
        <f>Main!B87</f>
        <v>The number of electric vehicles under $50K (excl on road costs) grows 67% or more in Australia, as listed on carsguide.com.au. Currently there are three cars: Hyundai Ioniq, Nissan Leaf and MG ZS EV</v>
      </c>
      <c r="C87" s="15" t="str">
        <f>Main!C87</f>
        <v>Technology</v>
      </c>
      <c r="D87" s="15">
        <v>0.9</v>
      </c>
      <c r="F87" s="99">
        <f>$D87-vlookup(Summary!$C87,Summary!$C$2:$Q$103,3+counta($F$1:F$1),false)</f>
        <v>0.5</v>
      </c>
      <c r="G87" s="99">
        <f>$D87-vlookup(Summary!$C87,Summary!$C$2:$Q$103,3+counta($F$1:G$1),false)</f>
        <v>0.1</v>
      </c>
      <c r="H87" s="99">
        <f>$D87-vlookup(Summary!$C87,Summary!$C$2:$Q$103,3+counta($F$1:H$1),false)</f>
        <v>0.2</v>
      </c>
      <c r="I87" s="99">
        <f>$D87-vlookup(Summary!$C87,Summary!$C$2:$Q$103,3+counta($F$1:I$1),false)</f>
        <v>0.7</v>
      </c>
      <c r="J87" s="99">
        <f>$D87-vlookup(Summary!$C87,Summary!$C$2:$Q$103,3+counta($F$1:J$1),false)</f>
        <v>0.6</v>
      </c>
      <c r="K87" s="99">
        <f>$D87-vlookup(Summary!$C87,Summary!$C$2:$Q$103,3+counta($F$1:K$1),false)</f>
        <v>0.25</v>
      </c>
      <c r="L87" s="99">
        <f>$D87-vlookup(Summary!$C87,Summary!$C$2:$Q$103,3+counta($F$1:L$1),false)</f>
        <v>0.35</v>
      </c>
      <c r="M87" s="99">
        <f>$D87-vlookup(Summary!$C87,Summary!$C$2:$Q$103,3+counta($F$1:M$1),false)</f>
        <v>0.2</v>
      </c>
      <c r="N87" s="99">
        <f>$D87-vlookup(Summary!$C87,Summary!$C$2:$Q$103,3+counta($F$1:N$1),false)</f>
        <v>0</v>
      </c>
      <c r="O87" s="99">
        <f>$D87-vlookup(Summary!$C87,Summary!$C$2:$Q$103,3+counta($F$1:O$1),false)</f>
        <v>0.55</v>
      </c>
      <c r="P87" s="99">
        <f>$D87-vlookup(Summary!$C87,Summary!$C$2:$Q$103,3+counta($F$1:P$1),false)</f>
        <v>0.2</v>
      </c>
      <c r="Q87" s="99">
        <f>$D87-vlookup(Summary!$C87,Summary!$C$2:$Q$103,3+counta($F$1:Q$1),false)</f>
        <v>0.55</v>
      </c>
    </row>
    <row r="88" ht="15.75" customHeight="1">
      <c r="A88" s="15">
        <f>Main!A88</f>
        <v>87</v>
      </c>
      <c r="B88" s="15" t="str">
        <f>Main!B88</f>
        <v>Boris Johnson will be replaced as Prime Minister by the Tory Party</v>
      </c>
      <c r="C88" s="15" t="str">
        <f>Main!C88</f>
        <v>World Politics</v>
      </c>
      <c r="D88" s="15">
        <v>0.9</v>
      </c>
      <c r="F88" s="99">
        <f>$D88-vlookup(Summary!$C88,Summary!$C$2:$Q$103,3+counta($F$1:F$1),false)</f>
        <v>0.05</v>
      </c>
      <c r="G88" s="99">
        <f>$D88-vlookup(Summary!$C88,Summary!$C$2:$Q$103,3+counta($F$1:G$1),false)</f>
        <v>0.1</v>
      </c>
      <c r="H88" s="99">
        <f>$D88-vlookup(Summary!$C88,Summary!$C$2:$Q$103,3+counta($F$1:H$1),false)</f>
        <v>0.6</v>
      </c>
      <c r="I88" s="99">
        <f>$D88-vlookup(Summary!$C88,Summary!$C$2:$Q$103,3+counta($F$1:I$1),false)</f>
        <v>0.1</v>
      </c>
      <c r="J88" s="99">
        <f>$D88-vlookup(Summary!$C88,Summary!$C$2:$Q$103,3+counta($F$1:J$1),false)</f>
        <v>0.5</v>
      </c>
      <c r="K88" s="99">
        <f>$D88-vlookup(Summary!$C88,Summary!$C$2:$Q$103,3+counta($F$1:K$1),false)</f>
        <v>0.05</v>
      </c>
      <c r="L88" s="99">
        <f>$D88-vlookup(Summary!$C88,Summary!$C$2:$Q$103,3+counta($F$1:L$1),false)</f>
        <v>0.8</v>
      </c>
      <c r="M88" s="99">
        <f>$D88-vlookup(Summary!$C88,Summary!$C$2:$Q$103,3+counta($F$1:M$1),false)</f>
        <v>0.6</v>
      </c>
      <c r="N88" s="99">
        <f>$D88-vlookup(Summary!$C88,Summary!$C$2:$Q$103,3+counta($F$1:N$1),false)</f>
        <v>0</v>
      </c>
      <c r="O88" s="99">
        <f>$D88-vlookup(Summary!$C88,Summary!$C$2:$Q$103,3+counta($F$1:O$1),false)</f>
        <v>0.25</v>
      </c>
      <c r="P88" s="99">
        <f>$D88-vlookup(Summary!$C88,Summary!$C$2:$Q$103,3+counta($F$1:P$1),false)</f>
        <v>0</v>
      </c>
      <c r="Q88" s="99">
        <f>$D88-vlookup(Summary!$C88,Summary!$C$2:$Q$103,3+counta($F$1:Q$1),false)</f>
        <v>0.4</v>
      </c>
    </row>
    <row r="89" ht="15.75" customHeight="1">
      <c r="A89" s="15">
        <f>Main!A89</f>
        <v>88</v>
      </c>
      <c r="B89" s="15" t="str">
        <f>Main!B89</f>
        <v>Boris Johnson will be the Prime Minister of the UK</v>
      </c>
      <c r="C89" s="15" t="str">
        <f>Main!C89</f>
        <v>World Politics</v>
      </c>
      <c r="D89" s="15">
        <v>0.2</v>
      </c>
      <c r="F89" s="99">
        <f>$D89-vlookup(Summary!$C89,Summary!$C$2:$Q$103,3+counta($F$1:F$1),false)</f>
        <v>0.05</v>
      </c>
      <c r="G89" s="99">
        <f>$D89-vlookup(Summary!$C89,Summary!$C$2:$Q$103,3+counta($F$1:G$1),false)</f>
        <v>0</v>
      </c>
      <c r="H89" s="99">
        <f>$D89-vlookup(Summary!$C89,Summary!$C$2:$Q$103,3+counta($F$1:H$1),false)</f>
        <v>-0.5</v>
      </c>
      <c r="I89" s="99">
        <f>$D89-vlookup(Summary!$C89,Summary!$C$2:$Q$103,3+counta($F$1:I$1),false)</f>
        <v>0</v>
      </c>
      <c r="J89" s="99">
        <f>$D89-vlookup(Summary!$C89,Summary!$C$2:$Q$103,3+counta($F$1:J$1),false)</f>
        <v>-0.4</v>
      </c>
      <c r="K89" s="99">
        <f>$D89-vlookup(Summary!$C89,Summary!$C$2:$Q$103,3+counta($F$1:K$1),false)</f>
        <v>-0.05</v>
      </c>
      <c r="L89" s="99">
        <f>$D89-vlookup(Summary!$C89,Summary!$C$2:$Q$103,3+counta($F$1:L$1),false)</f>
        <v>-0.65</v>
      </c>
      <c r="M89" s="99">
        <f>$D89-vlookup(Summary!$C89,Summary!$C$2:$Q$103,3+counta($F$1:M$1),false)</f>
        <v>-0.5</v>
      </c>
      <c r="N89" s="99">
        <f>$D89-vlookup(Summary!$C89,Summary!$C$2:$Q$103,3+counta($F$1:N$1),false)</f>
        <v>0</v>
      </c>
      <c r="O89" s="99">
        <f>$D89-vlookup(Summary!$C89,Summary!$C$2:$Q$103,3+counta($F$1:O$1),false)</f>
        <v>-0.15</v>
      </c>
      <c r="P89" s="99">
        <f>$D89-vlookup(Summary!$C89,Summary!$C$2:$Q$103,3+counta($F$1:P$1),false)</f>
        <v>0.1</v>
      </c>
      <c r="Q89" s="99">
        <f>$D89-vlookup(Summary!$C89,Summary!$C$2:$Q$103,3+counta($F$1:Q$1),false)</f>
        <v>-0.2</v>
      </c>
    </row>
    <row r="90" ht="15.75" customHeight="1">
      <c r="A90" s="15">
        <f>Main!A90</f>
        <v>89</v>
      </c>
      <c r="B90" s="15" t="str">
        <f>Main!B90</f>
        <v>At least some American states will resort to proclaimed and violent civil war rather that accept democratic elections</v>
      </c>
      <c r="C90" s="15" t="str">
        <f>Main!C90</f>
        <v>World Politics</v>
      </c>
      <c r="D90" s="15">
        <v>0.1</v>
      </c>
      <c r="F90" s="99">
        <f>$D90-vlookup(Summary!$C90,Summary!$C$2:$Q$103,3+counta($F$1:F$1),false)</f>
        <v>-0.2</v>
      </c>
      <c r="G90" s="99">
        <f>$D90-vlookup(Summary!$C90,Summary!$C$2:$Q$103,3+counta($F$1:G$1),false)</f>
        <v>0</v>
      </c>
      <c r="H90" s="99">
        <f>$D90-vlookup(Summary!$C90,Summary!$C$2:$Q$103,3+counta($F$1:H$1),false)</f>
        <v>0</v>
      </c>
      <c r="I90" s="99">
        <f>$D90-vlookup(Summary!$C90,Summary!$C$2:$Q$103,3+counta($F$1:I$1),false)</f>
        <v>0</v>
      </c>
      <c r="J90" s="99">
        <f>$D90-vlookup(Summary!$C90,Summary!$C$2:$Q$103,3+counta($F$1:J$1),false)</f>
        <v>-0.6</v>
      </c>
      <c r="K90" s="99">
        <f>$D90-vlookup(Summary!$C90,Summary!$C$2:$Q$103,3+counta($F$1:K$1),false)</f>
        <v>-0.1</v>
      </c>
      <c r="L90" s="99">
        <f>$D90-vlookup(Summary!$C90,Summary!$C$2:$Q$103,3+counta($F$1:L$1),false)</f>
        <v>0.05</v>
      </c>
      <c r="M90" s="99">
        <f>$D90-vlookup(Summary!$C90,Summary!$C$2:$Q$103,3+counta($F$1:M$1),false)</f>
        <v>0</v>
      </c>
      <c r="N90" s="99">
        <f>$D90-vlookup(Summary!$C90,Summary!$C$2:$Q$103,3+counta($F$1:N$1),false)</f>
        <v>0</v>
      </c>
      <c r="O90" s="99">
        <f>$D90-vlookup(Summary!$C90,Summary!$C$2:$Q$103,3+counta($F$1:O$1),false)</f>
        <v>0.099</v>
      </c>
      <c r="P90" s="99">
        <f>$D90-vlookup(Summary!$C90,Summary!$C$2:$Q$103,3+counta($F$1:P$1),false)</f>
        <v>0</v>
      </c>
      <c r="Q90" s="99">
        <f>$D90-vlookup(Summary!$C90,Summary!$C$2:$Q$103,3+counta($F$1:Q$1),false)</f>
        <v>-0.15</v>
      </c>
    </row>
    <row r="91" ht="15.75" customHeight="1">
      <c r="A91" s="15">
        <f>Main!A91</f>
        <v>90</v>
      </c>
      <c r="B91" s="15" t="str">
        <f>Main!B91</f>
        <v>Democrats will lose control of the US House of Representatives at the midterm elections</v>
      </c>
      <c r="C91" s="15" t="str">
        <f>Main!C91</f>
        <v>World Politics</v>
      </c>
      <c r="D91" s="15">
        <v>0.8</v>
      </c>
      <c r="F91" s="99">
        <f>$D91-vlookup(Summary!$C91,Summary!$C$2:$Q$103,3+counta($F$1:F$1),false)</f>
        <v>0</v>
      </c>
      <c r="G91" s="99">
        <f>$D91-vlookup(Summary!$C91,Summary!$C$2:$Q$103,3+counta($F$1:G$1),false)</f>
        <v>-0.1</v>
      </c>
      <c r="H91" s="99">
        <f>$D91-vlookup(Summary!$C91,Summary!$C$2:$Q$103,3+counta($F$1:H$1),false)</f>
        <v>0.1</v>
      </c>
      <c r="I91" s="99">
        <f>$D91-vlookup(Summary!$C91,Summary!$C$2:$Q$103,3+counta($F$1:I$1),false)</f>
        <v>0.2</v>
      </c>
      <c r="J91" s="99">
        <f>$D91-vlookup(Summary!$C91,Summary!$C$2:$Q$103,3+counta($F$1:J$1),false)</f>
        <v>-0.1</v>
      </c>
      <c r="K91" s="99">
        <f>$D91-vlookup(Summary!$C91,Summary!$C$2:$Q$103,3+counta($F$1:K$1),false)</f>
        <v>0.1</v>
      </c>
      <c r="L91" s="99">
        <f>$D91-vlookup(Summary!$C91,Summary!$C$2:$Q$103,3+counta($F$1:L$1),false)</f>
        <v>0.1</v>
      </c>
      <c r="M91" s="99">
        <f>$D91-vlookup(Summary!$C91,Summary!$C$2:$Q$103,3+counta($F$1:M$1),false)</f>
        <v>0.1</v>
      </c>
      <c r="N91" s="99">
        <f>$D91-vlookup(Summary!$C91,Summary!$C$2:$Q$103,3+counta($F$1:N$1),false)</f>
        <v>0</v>
      </c>
      <c r="O91" s="99">
        <f>$D91-vlookup(Summary!$C91,Summary!$C$2:$Q$103,3+counta($F$1:O$1),false)</f>
        <v>-0.199</v>
      </c>
      <c r="P91" s="99">
        <f>$D91-vlookup(Summary!$C91,Summary!$C$2:$Q$103,3+counta($F$1:P$1),false)</f>
        <v>0.7</v>
      </c>
      <c r="Q91" s="99">
        <f>$D91-vlookup(Summary!$C91,Summary!$C$2:$Q$103,3+counta($F$1:Q$1),false)</f>
        <v>0.4</v>
      </c>
    </row>
    <row r="92" ht="15.75" customHeight="1">
      <c r="A92" s="15">
        <f>Main!A92</f>
        <v>91</v>
      </c>
      <c r="B92" s="15" t="str">
        <f>Main!B92</f>
        <v>Democrats will not have control of the US Senate after the midterm election</v>
      </c>
      <c r="C92" s="15" t="str">
        <f>Main!C92</f>
        <v>World Politics</v>
      </c>
      <c r="D92" s="15">
        <v>0.8</v>
      </c>
      <c r="F92" s="99">
        <f>$D92-vlookup(Summary!$C92,Summary!$C$2:$Q$103,3+counta($F$1:F$1),false)</f>
        <v>0</v>
      </c>
      <c r="G92" s="99">
        <f>$D92-vlookup(Summary!$C92,Summary!$C$2:$Q$103,3+counta($F$1:G$1),false)</f>
        <v>-0.1</v>
      </c>
      <c r="H92" s="99">
        <f>$D92-vlookup(Summary!$C92,Summary!$C$2:$Q$103,3+counta($F$1:H$1),false)</f>
        <v>0.1</v>
      </c>
      <c r="I92" s="99">
        <f>$D92-vlookup(Summary!$C92,Summary!$C$2:$Q$103,3+counta($F$1:I$1),false)</f>
        <v>0.2</v>
      </c>
      <c r="J92" s="99">
        <f>$D92-vlookup(Summary!$C92,Summary!$C$2:$Q$103,3+counta($F$1:J$1),false)</f>
        <v>-0.1</v>
      </c>
      <c r="K92" s="99">
        <f>$D92-vlookup(Summary!$C92,Summary!$C$2:$Q$103,3+counta($F$1:K$1),false)</f>
        <v>0</v>
      </c>
      <c r="L92" s="99">
        <f>$D92-vlookup(Summary!$C92,Summary!$C$2:$Q$103,3+counta($F$1:L$1),false)</f>
        <v>0</v>
      </c>
      <c r="M92" s="99">
        <f>$D92-vlookup(Summary!$C92,Summary!$C$2:$Q$103,3+counta($F$1:M$1),false)</f>
        <v>0.1</v>
      </c>
      <c r="N92" s="99">
        <f>$D92-vlookup(Summary!$C92,Summary!$C$2:$Q$103,3+counta($F$1:N$1),false)</f>
        <v>0</v>
      </c>
      <c r="O92" s="99">
        <f>$D92-vlookup(Summary!$C92,Summary!$C$2:$Q$103,3+counta($F$1:O$1),false)</f>
        <v>-0.199</v>
      </c>
      <c r="P92" s="99">
        <f>$D92-vlookup(Summary!$C92,Summary!$C$2:$Q$103,3+counta($F$1:P$1),false)</f>
        <v>0.7</v>
      </c>
      <c r="Q92" s="99">
        <f>$D92-vlookup(Summary!$C92,Summary!$C$2:$Q$103,3+counta($F$1:Q$1),false)</f>
        <v>0.6</v>
      </c>
    </row>
    <row r="93" ht="15.75" customHeight="1">
      <c r="A93" s="15">
        <f>Main!A93</f>
        <v>92</v>
      </c>
      <c r="B93" s="15" t="str">
        <f>Main!B93</f>
        <v>Donald Trump will recieve at least 1 vote in the selection of the Speaker of the US house of Representatives (Congress)</v>
      </c>
      <c r="C93" s="15" t="str">
        <f>Main!C93</f>
        <v>World Politics</v>
      </c>
      <c r="D93" s="15">
        <v>0.9</v>
      </c>
      <c r="F93" s="99">
        <f>$D93-vlookup(Summary!$C93,Summary!$C$2:$Q$103,3+counta($F$1:F$1),false)</f>
        <v>0.6</v>
      </c>
      <c r="G93" s="99">
        <f>$D93-vlookup(Summary!$C93,Summary!$C$2:$Q$103,3+counta($F$1:G$1),false)</f>
        <v>0.6</v>
      </c>
      <c r="H93" s="99">
        <f>$D93-vlookup(Summary!$C93,Summary!$C$2:$Q$103,3+counta($F$1:H$1),false)</f>
        <v>0.2</v>
      </c>
      <c r="I93" s="99">
        <f>$D93-vlookup(Summary!$C93,Summary!$C$2:$Q$103,3+counta($F$1:I$1),false)</f>
        <v>0.8</v>
      </c>
      <c r="J93" s="99">
        <f>$D93-vlookup(Summary!$C93,Summary!$C$2:$Q$103,3+counta($F$1:J$1),false)</f>
        <v>0</v>
      </c>
      <c r="K93" s="99">
        <f>$D93-vlookup(Summary!$C93,Summary!$C$2:$Q$103,3+counta($F$1:K$1),false)</f>
        <v>0.55</v>
      </c>
      <c r="L93" s="99">
        <f>$D93-vlookup(Summary!$C93,Summary!$C$2:$Q$103,3+counta($F$1:L$1),false)</f>
        <v>0.2</v>
      </c>
      <c r="M93" s="99">
        <f>$D93-vlookup(Summary!$C93,Summary!$C$2:$Q$103,3+counta($F$1:M$1),false)</f>
        <v>0.2</v>
      </c>
      <c r="N93" s="99">
        <f>$D93-vlookup(Summary!$C93,Summary!$C$2:$Q$103,3+counta($F$1:N$1),false)</f>
        <v>0</v>
      </c>
      <c r="O93" s="99">
        <f>$D93-vlookup(Summary!$C93,Summary!$C$2:$Q$103,3+counta($F$1:O$1),false)</f>
        <v>0.25</v>
      </c>
      <c r="P93" s="99">
        <f>$D93-vlookup(Summary!$C93,Summary!$C$2:$Q$103,3+counta($F$1:P$1),false)</f>
        <v>0.8</v>
      </c>
      <c r="Q93" s="99">
        <f>$D93-vlookup(Summary!$C93,Summary!$C$2:$Q$103,3+counta($F$1:Q$1),false)</f>
        <v>0.4</v>
      </c>
    </row>
    <row r="94" ht="15.75" customHeight="1">
      <c r="A94" s="15">
        <f>Main!A94</f>
        <v>93</v>
      </c>
      <c r="B94" s="15" t="str">
        <f>Main!B94</f>
        <v>Donald Trump will release a book in 2022</v>
      </c>
      <c r="C94" s="15" t="str">
        <f>Main!C94</f>
        <v>World Politics</v>
      </c>
      <c r="D94" s="15">
        <v>0.9</v>
      </c>
      <c r="F94" s="99">
        <f>$D94-vlookup(Summary!$C94,Summary!$C$2:$Q$103,3+counta($F$1:F$1),false)</f>
        <v>0.35</v>
      </c>
      <c r="G94" s="99">
        <f>$D94-vlookup(Summary!$C94,Summary!$C$2:$Q$103,3+counta($F$1:G$1),false)</f>
        <v>0.2</v>
      </c>
      <c r="H94" s="99">
        <f>$D94-vlookup(Summary!$C94,Summary!$C$2:$Q$103,3+counta($F$1:H$1),false)</f>
        <v>0.1</v>
      </c>
      <c r="I94" s="99">
        <f>$D94-vlookup(Summary!$C94,Summary!$C$2:$Q$103,3+counta($F$1:I$1),false)</f>
        <v>0.7</v>
      </c>
      <c r="J94" s="99">
        <f>$D94-vlookup(Summary!$C94,Summary!$C$2:$Q$103,3+counta($F$1:J$1),false)</f>
        <v>0</v>
      </c>
      <c r="K94" s="99">
        <f>$D94-vlookup(Summary!$C94,Summary!$C$2:$Q$103,3+counta($F$1:K$1),false)</f>
        <v>0.1</v>
      </c>
      <c r="L94" s="99">
        <f>$D94-vlookup(Summary!$C94,Summary!$C$2:$Q$103,3+counta($F$1:L$1),false)</f>
        <v>0.35</v>
      </c>
      <c r="M94" s="99">
        <f>$D94-vlookup(Summary!$C94,Summary!$C$2:$Q$103,3+counta($F$1:M$1),false)</f>
        <v>0.1</v>
      </c>
      <c r="N94" s="99">
        <f>$D94-vlookup(Summary!$C94,Summary!$C$2:$Q$103,3+counta($F$1:N$1),false)</f>
        <v>0</v>
      </c>
      <c r="O94" s="99">
        <f>$D94-vlookup(Summary!$C94,Summary!$C$2:$Q$103,3+counta($F$1:O$1),false)</f>
        <v>0.75</v>
      </c>
      <c r="P94" s="99">
        <f>$D94-vlookup(Summary!$C94,Summary!$C$2:$Q$103,3+counta($F$1:P$1),false)</f>
        <v>0.4</v>
      </c>
      <c r="Q94" s="99">
        <f>$D94-vlookup(Summary!$C94,Summary!$C$2:$Q$103,3+counta($F$1:Q$1),false)</f>
        <v>0.35</v>
      </c>
    </row>
    <row r="95" ht="15.75" customHeight="1">
      <c r="A95" s="15">
        <f>Main!A95</f>
        <v>94</v>
      </c>
      <c r="B95" s="15" t="str">
        <f>Main!B95</f>
        <v>Trump will announce he will contest the Republican presidential candidacy and launch an NFT</v>
      </c>
      <c r="C95" s="15" t="str">
        <f>Main!C95</f>
        <v>World Politics</v>
      </c>
      <c r="D95" s="15">
        <v>0.2</v>
      </c>
      <c r="F95" s="99">
        <f>$D95-vlookup(Summary!$C95,Summary!$C$2:$Q$103,3+counta($F$1:F$1),false)</f>
        <v>-0.1</v>
      </c>
      <c r="G95" s="99">
        <f>$D95-vlookup(Summary!$C95,Summary!$C$2:$Q$103,3+counta($F$1:G$1),false)</f>
        <v>-0.2</v>
      </c>
      <c r="H95" s="99">
        <f>$D95-vlookup(Summary!$C95,Summary!$C$2:$Q$103,3+counta($F$1:H$1),false)</f>
        <v>-0.5</v>
      </c>
      <c r="I95" s="99">
        <f>$D95-vlookup(Summary!$C95,Summary!$C$2:$Q$103,3+counta($F$1:I$1),false)</f>
        <v>0.15</v>
      </c>
      <c r="J95" s="99">
        <f>$D95-vlookup(Summary!$C95,Summary!$C$2:$Q$103,3+counta($F$1:J$1),false)</f>
        <v>-0.4</v>
      </c>
      <c r="K95" s="99">
        <f>$D95-vlookup(Summary!$C95,Summary!$C$2:$Q$103,3+counta($F$1:K$1),false)</f>
        <v>-0.7</v>
      </c>
      <c r="L95" s="99">
        <f>$D95-vlookup(Summary!$C95,Summary!$C$2:$Q$103,3+counta($F$1:L$1),false)</f>
        <v>-0.3</v>
      </c>
      <c r="M95" s="99">
        <f>$D95-vlookup(Summary!$C95,Summary!$C$2:$Q$103,3+counta($F$1:M$1),false)</f>
        <v>-0.5</v>
      </c>
      <c r="N95" s="99">
        <f>$D95-vlookup(Summary!$C95,Summary!$C$2:$Q$103,3+counta($F$1:N$1),false)</f>
        <v>0</v>
      </c>
      <c r="O95" s="99">
        <f>$D95-vlookup(Summary!$C95,Summary!$C$2:$Q$103,3+counta($F$1:O$1),false)</f>
        <v>0.199</v>
      </c>
      <c r="P95" s="99">
        <f>$D95-vlookup(Summary!$C95,Summary!$C$2:$Q$103,3+counta($F$1:P$1),false)</f>
        <v>-0.3</v>
      </c>
      <c r="Q95" s="99">
        <f>$D95-vlookup(Summary!$C95,Summary!$C$2:$Q$103,3+counta($F$1:Q$1),false)</f>
        <v>0.1</v>
      </c>
    </row>
    <row r="96" ht="15.75" customHeight="1">
      <c r="A96" s="15">
        <f>Main!A96</f>
        <v>95</v>
      </c>
      <c r="B96" s="15" t="str">
        <f>Main!B96</f>
        <v>China will invade Taiwan</v>
      </c>
      <c r="C96" s="15" t="str">
        <f>Main!C96</f>
        <v>World Politics</v>
      </c>
      <c r="D96" s="15">
        <v>0.2</v>
      </c>
      <c r="F96" s="99">
        <f>$D96-vlookup(Summary!$C96,Summary!$C$2:$Q$103,3+counta($F$1:F$1),false)</f>
        <v>-0.15</v>
      </c>
      <c r="G96" s="99">
        <f>$D96-vlookup(Summary!$C96,Summary!$C$2:$Q$103,3+counta($F$1:G$1),false)</f>
        <v>0</v>
      </c>
      <c r="H96" s="99">
        <f>$D96-vlookup(Summary!$C96,Summary!$C$2:$Q$103,3+counta($F$1:H$1),false)</f>
        <v>-0.5</v>
      </c>
      <c r="I96" s="99">
        <f>$D96-vlookup(Summary!$C96,Summary!$C$2:$Q$103,3+counta($F$1:I$1),false)</f>
        <v>-0.4</v>
      </c>
      <c r="J96" s="99">
        <f>$D96-vlookup(Summary!$C96,Summary!$C$2:$Q$103,3+counta($F$1:J$1),false)</f>
        <v>-0.5</v>
      </c>
      <c r="K96" s="99">
        <f>$D96-vlookup(Summary!$C96,Summary!$C$2:$Q$103,3+counta($F$1:K$1),false)</f>
        <v>-0.2</v>
      </c>
      <c r="L96" s="99">
        <f>$D96-vlookup(Summary!$C96,Summary!$C$2:$Q$103,3+counta($F$1:L$1),false)</f>
        <v>0.15</v>
      </c>
      <c r="M96" s="99">
        <f>$D96-vlookup(Summary!$C96,Summary!$C$2:$Q$103,3+counta($F$1:M$1),false)</f>
        <v>-0.5</v>
      </c>
      <c r="N96" s="99">
        <f>$D96-vlookup(Summary!$C96,Summary!$C$2:$Q$103,3+counta($F$1:N$1),false)</f>
        <v>0</v>
      </c>
      <c r="O96" s="99">
        <f>$D96-vlookup(Summary!$C96,Summary!$C$2:$Q$103,3+counta($F$1:O$1),false)</f>
        <v>0.199</v>
      </c>
      <c r="P96" s="99">
        <f>$D96-vlookup(Summary!$C96,Summary!$C$2:$Q$103,3+counta($F$1:P$1),false)</f>
        <v>0.1</v>
      </c>
      <c r="Q96" s="99">
        <f>$D96-vlookup(Summary!$C96,Summary!$C$2:$Q$103,3+counta($F$1:Q$1),false)</f>
        <v>-0.3</v>
      </c>
    </row>
    <row r="97" ht="15.75" customHeight="1">
      <c r="A97" s="15">
        <f>Main!A97</f>
        <v>96</v>
      </c>
      <c r="B97" s="15" t="str">
        <f>Main!B97</f>
        <v>A nuclear weapon will be detonated for any purpose (including a test) somewhere on earth or in space</v>
      </c>
      <c r="C97" s="15" t="str">
        <f>Main!C97</f>
        <v>World Politics</v>
      </c>
      <c r="D97" s="15">
        <v>0.1</v>
      </c>
      <c r="F97" s="99">
        <f>$D97-vlookup(Summary!$C97,Summary!$C$2:$Q$103,3+counta($F$1:F$1),false)</f>
        <v>0</v>
      </c>
      <c r="G97" s="99">
        <f>$D97-vlookup(Summary!$C97,Summary!$C$2:$Q$103,3+counta($F$1:G$1),false)</f>
        <v>-0.3</v>
      </c>
      <c r="H97" s="99">
        <f>$D97-vlookup(Summary!$C97,Summary!$C$2:$Q$103,3+counta($F$1:H$1),false)</f>
        <v>0</v>
      </c>
      <c r="I97" s="99">
        <f>$D97-vlookup(Summary!$C97,Summary!$C$2:$Q$103,3+counta($F$1:I$1),false)</f>
        <v>-0.1</v>
      </c>
      <c r="J97" s="99">
        <f>$D97-vlookup(Summary!$C97,Summary!$C$2:$Q$103,3+counta($F$1:J$1),false)</f>
        <v>-0.7</v>
      </c>
      <c r="K97" s="99">
        <f>$D97-vlookup(Summary!$C97,Summary!$C$2:$Q$103,3+counta($F$1:K$1),false)</f>
        <v>-0.6</v>
      </c>
      <c r="L97" s="99">
        <f>$D97-vlookup(Summary!$C97,Summary!$C$2:$Q$103,3+counta($F$1:L$1),false)</f>
        <v>-0.2</v>
      </c>
      <c r="M97" s="99">
        <f>$D97-vlookup(Summary!$C97,Summary!$C$2:$Q$103,3+counta($F$1:M$1),false)</f>
        <v>0</v>
      </c>
      <c r="N97" s="99">
        <f>$D97-vlookup(Summary!$C97,Summary!$C$2:$Q$103,3+counta($F$1:N$1),false)</f>
        <v>0</v>
      </c>
      <c r="O97" s="99">
        <f>$D97-vlookup(Summary!$C97,Summary!$C$2:$Q$103,3+counta($F$1:O$1),false)</f>
        <v>-0.05</v>
      </c>
      <c r="P97" s="99">
        <f>$D97-vlookup(Summary!$C97,Summary!$C$2:$Q$103,3+counta($F$1:P$1),false)</f>
        <v>-0.4</v>
      </c>
      <c r="Q97" s="99">
        <f>$D97-vlookup(Summary!$C97,Summary!$C$2:$Q$103,3+counta($F$1:Q$1),false)</f>
        <v>-0.5</v>
      </c>
    </row>
    <row r="98" ht="15.75" customHeight="1">
      <c r="A98" s="15">
        <f>Main!A98</f>
        <v>97</v>
      </c>
      <c r="B98" s="15" t="str">
        <f>Main!B98</f>
        <v>Iran will announce it has produced a nuclear weapon</v>
      </c>
      <c r="C98" s="15" t="str">
        <f>Main!C98</f>
        <v>World Politics</v>
      </c>
      <c r="D98" s="15">
        <v>0.1</v>
      </c>
      <c r="F98" s="99">
        <f>$D98-vlookup(Summary!$C98,Summary!$C$2:$Q$103,3+counta($F$1:F$1),false)</f>
        <v>-0.35</v>
      </c>
      <c r="G98" s="99">
        <f>$D98-vlookup(Summary!$C98,Summary!$C$2:$Q$103,3+counta($F$1:G$1),false)</f>
        <v>-0.2</v>
      </c>
      <c r="H98" s="99">
        <f>$D98-vlookup(Summary!$C98,Summary!$C$2:$Q$103,3+counta($F$1:H$1),false)</f>
        <v>0</v>
      </c>
      <c r="I98" s="99">
        <f>$D98-vlookup(Summary!$C98,Summary!$C$2:$Q$103,3+counta($F$1:I$1),false)</f>
        <v>-0.1</v>
      </c>
      <c r="J98" s="99">
        <f>$D98-vlookup(Summary!$C98,Summary!$C$2:$Q$103,3+counta($F$1:J$1),false)</f>
        <v>-0.5</v>
      </c>
      <c r="K98" s="99">
        <f>$D98-vlookup(Summary!$C98,Summary!$C$2:$Q$103,3+counta($F$1:K$1),false)</f>
        <v>-0.6</v>
      </c>
      <c r="L98" s="99">
        <f>$D98-vlookup(Summary!$C98,Summary!$C$2:$Q$103,3+counta($F$1:L$1),false)</f>
        <v>-0.2</v>
      </c>
      <c r="M98" s="99">
        <f>$D98-vlookup(Summary!$C98,Summary!$C$2:$Q$103,3+counta($F$1:M$1),false)</f>
        <v>0</v>
      </c>
      <c r="N98" s="99">
        <f>$D98-vlookup(Summary!$C98,Summary!$C$2:$Q$103,3+counta($F$1:N$1),false)</f>
        <v>0</v>
      </c>
      <c r="O98" s="99">
        <f>$D98-vlookup(Summary!$C98,Summary!$C$2:$Q$103,3+counta($F$1:O$1),false)</f>
        <v>-0.05</v>
      </c>
      <c r="P98" s="99">
        <f>$D98-vlookup(Summary!$C98,Summary!$C$2:$Q$103,3+counta($F$1:P$1),false)</f>
        <v>-0.4</v>
      </c>
      <c r="Q98" s="99">
        <f>$D98-vlookup(Summary!$C98,Summary!$C$2:$Q$103,3+counta($F$1:Q$1),false)</f>
        <v>-0.5</v>
      </c>
    </row>
    <row r="99" ht="15.75" customHeight="1">
      <c r="A99" s="15">
        <f>Main!A99</f>
        <v>98</v>
      </c>
      <c r="B99" s="15" t="str">
        <f>Main!B99</f>
        <v>One or more of the G12 member countries will have diplomatically recognised Taiwan</v>
      </c>
      <c r="C99" s="15" t="str">
        <f>Main!C99</f>
        <v>World Politics</v>
      </c>
      <c r="D99" s="15">
        <v>0.6</v>
      </c>
      <c r="F99" s="99">
        <f>$D99-vlookup(Summary!$C99,Summary!$C$2:$Q$103,3+counta($F$1:F$1),false)</f>
        <v>0.45</v>
      </c>
      <c r="G99" s="99">
        <f>$D99-vlookup(Summary!$C99,Summary!$C$2:$Q$103,3+counta($F$1:G$1),false)</f>
        <v>0.4</v>
      </c>
      <c r="H99" s="99">
        <f>$D99-vlookup(Summary!$C99,Summary!$C$2:$Q$103,3+counta($F$1:H$1),false)</f>
        <v>0.5</v>
      </c>
      <c r="I99" s="99">
        <f>$D99-vlookup(Summary!$C99,Summary!$C$2:$Q$103,3+counta($F$1:I$1),false)</f>
        <v>0.4</v>
      </c>
      <c r="J99" s="99">
        <f>$D99-vlookup(Summary!$C99,Summary!$C$2:$Q$103,3+counta($F$1:J$1),false)</f>
        <v>0.2</v>
      </c>
      <c r="K99" s="99">
        <f>$D99-vlookup(Summary!$C99,Summary!$C$2:$Q$103,3+counta($F$1:K$1),false)</f>
        <v>-0.15</v>
      </c>
      <c r="L99" s="99">
        <f>$D99-vlookup(Summary!$C99,Summary!$C$2:$Q$103,3+counta($F$1:L$1),false)</f>
        <v>0.3</v>
      </c>
      <c r="M99" s="99">
        <f>$D99-vlookup(Summary!$C99,Summary!$C$2:$Q$103,3+counta($F$1:M$1),false)</f>
        <v>0.5</v>
      </c>
      <c r="N99" s="99">
        <f>$D99-vlookup(Summary!$C99,Summary!$C$2:$Q$103,3+counta($F$1:N$1),false)</f>
        <v>0</v>
      </c>
      <c r="O99" s="99">
        <f>$D99-vlookup(Summary!$C99,Summary!$C$2:$Q$103,3+counta($F$1:O$1),false)</f>
        <v>0.45</v>
      </c>
      <c r="P99" s="99">
        <f>$D99-vlookup(Summary!$C99,Summary!$C$2:$Q$103,3+counta($F$1:P$1),false)</f>
        <v>0.1</v>
      </c>
      <c r="Q99" s="99">
        <f>$D99-vlookup(Summary!$C99,Summary!$C$2:$Q$103,3+counta($F$1:Q$1),false)</f>
        <v>0</v>
      </c>
    </row>
    <row r="100" ht="15.75" customHeight="1">
      <c r="A100" s="15">
        <f>Main!A100</f>
        <v>99</v>
      </c>
      <c r="B100" s="15" t="str">
        <f>Main!B100</f>
        <v>Russia will have invaded Ukraine (as reported by CNN, BBC, Guardian or NYT)</v>
      </c>
      <c r="C100" s="15" t="str">
        <f>Main!C100</f>
        <v>World Politics</v>
      </c>
      <c r="D100" s="15">
        <v>0.7</v>
      </c>
      <c r="F100" s="99">
        <f>$D100-vlookup(Summary!$C100,Summary!$C$2:$Q$103,3+counta($F$1:F$1),false)</f>
        <v>0.1</v>
      </c>
      <c r="G100" s="99">
        <f>$D100-vlookup(Summary!$C100,Summary!$C$2:$Q$103,3+counta($F$1:G$1),false)</f>
        <v>0.3</v>
      </c>
      <c r="H100" s="99">
        <f>$D100-vlookup(Summary!$C100,Summary!$C$2:$Q$103,3+counta($F$1:H$1),false)</f>
        <v>-0.25</v>
      </c>
      <c r="I100" s="99">
        <f>$D100-vlookup(Summary!$C100,Summary!$C$2:$Q$103,3+counta($F$1:I$1),false)</f>
        <v>-0.1</v>
      </c>
      <c r="J100" s="99">
        <f>$D100-vlookup(Summary!$C100,Summary!$C$2:$Q$103,3+counta($F$1:J$1),false)</f>
        <v>-0.1</v>
      </c>
      <c r="K100" s="99">
        <f>$D100-vlookup(Summary!$C100,Summary!$C$2:$Q$103,3+counta($F$1:K$1),false)</f>
        <v>0</v>
      </c>
      <c r="L100" s="99">
        <f>$D100-vlookup(Summary!$C100,Summary!$C$2:$Q$103,3+counta($F$1:L$1),false)</f>
        <v>-0.1</v>
      </c>
      <c r="M100" s="99">
        <f>$D100-vlookup(Summary!$C100,Summary!$C$2:$Q$103,3+counta($F$1:M$1),false)</f>
        <v>-0.25</v>
      </c>
      <c r="N100" s="99">
        <f>$D100-vlookup(Summary!$C100,Summary!$C$2:$Q$103,3+counta($F$1:N$1),false)</f>
        <v>0</v>
      </c>
      <c r="O100" s="99">
        <f>$D100-vlookup(Summary!$C100,Summary!$C$2:$Q$103,3+counta($F$1:O$1),false)</f>
        <v>0.05</v>
      </c>
      <c r="P100" s="99">
        <f>$D100-vlookup(Summary!$C100,Summary!$C$2:$Q$103,3+counta($F$1:P$1),false)</f>
        <v>0.6</v>
      </c>
      <c r="Q100" s="99">
        <f>$D100-vlookup(Summary!$C100,Summary!$C$2:$Q$103,3+counta($F$1:Q$1),false)</f>
        <v>0.1</v>
      </c>
    </row>
    <row r="101" ht="15.75" customHeight="1">
      <c r="A101" s="15">
        <f>Main!A101</f>
        <v>100</v>
      </c>
      <c r="B101" s="15" t="str">
        <f>Main!B101</f>
        <v>The US will have gone to battle with China or Russia ( nuclear battle acceptable) agreed upon by at least half the people attending 2022 predictions</v>
      </c>
      <c r="C101" s="15" t="str">
        <f>Main!C101</f>
        <v>World Politics</v>
      </c>
      <c r="D101" s="15">
        <v>0.2</v>
      </c>
      <c r="F101" s="99">
        <f>$D101-vlookup(Summary!$C101,Summary!$C$2:$Q$103,3+counta($F$1:F$1),false)</f>
        <v>-0.1</v>
      </c>
      <c r="G101" s="99">
        <f>$D101-vlookup(Summary!$C101,Summary!$C$2:$Q$103,3+counta($F$1:G$1),false)</f>
        <v>0.1</v>
      </c>
      <c r="H101" s="99">
        <f>$D101-vlookup(Summary!$C101,Summary!$C$2:$Q$103,3+counta($F$1:H$1),false)</f>
        <v>0.1</v>
      </c>
      <c r="I101" s="99">
        <f>$D101-vlookup(Summary!$C101,Summary!$C$2:$Q$103,3+counta($F$1:I$1),false)</f>
        <v>0.1</v>
      </c>
      <c r="J101" s="99">
        <f>$D101-vlookup(Summary!$C101,Summary!$C$2:$Q$103,3+counta($F$1:J$1),false)</f>
        <v>-0.3</v>
      </c>
      <c r="K101" s="99">
        <f>$D101-vlookup(Summary!$C101,Summary!$C$2:$Q$103,3+counta($F$1:K$1),false)</f>
        <v>-0.4</v>
      </c>
      <c r="L101" s="99">
        <f>$D101-vlookup(Summary!$C101,Summary!$C$2:$Q$103,3+counta($F$1:L$1),false)</f>
        <v>0.1</v>
      </c>
      <c r="M101" s="99">
        <f>$D101-vlookup(Summary!$C101,Summary!$C$2:$Q$103,3+counta($F$1:M$1),false)</f>
        <v>0.1</v>
      </c>
      <c r="N101" s="99">
        <f>$D101-vlookup(Summary!$C101,Summary!$C$2:$Q$103,3+counta($F$1:N$1),false)</f>
        <v>0</v>
      </c>
      <c r="O101" s="99">
        <f>$D101-vlookup(Summary!$C101,Summary!$C$2:$Q$103,3+counta($F$1:O$1),false)</f>
        <v>0.199</v>
      </c>
      <c r="P101" s="99">
        <f>$D101-vlookup(Summary!$C101,Summary!$C$2:$Q$103,3+counta($F$1:P$1),false)</f>
        <v>0.1</v>
      </c>
      <c r="Q101" s="99">
        <f>$D101-vlookup(Summary!$C101,Summary!$C$2:$Q$103,3+counta($F$1:Q$1),false)</f>
        <v>0</v>
      </c>
    </row>
    <row r="102" ht="15.75" customHeight="1">
      <c r="A102" s="15">
        <f>Main!A102</f>
        <v>101</v>
      </c>
      <c r="B102" s="15" t="str">
        <f>Main!B102</f>
        <v>There is an assassination attempt on Xi Jinping as reported in The Guardian</v>
      </c>
      <c r="C102" s="15" t="str">
        <f>Main!C102</f>
        <v>World Politics</v>
      </c>
      <c r="D102" s="15">
        <v>0.1</v>
      </c>
      <c r="F102" s="99">
        <f>$D102-vlookup(Summary!$C102,Summary!$C$2:$Q$103,3+counta($F$1:F$1),false)</f>
        <v>-0.05</v>
      </c>
      <c r="G102" s="99">
        <f>$D102-vlookup(Summary!$C102,Summary!$C$2:$Q$103,3+counta($F$1:G$1),false)</f>
        <v>-0.3</v>
      </c>
      <c r="H102" s="99">
        <f>$D102-vlookup(Summary!$C102,Summary!$C$2:$Q$103,3+counta($F$1:H$1),false)</f>
        <v>0.05</v>
      </c>
      <c r="I102" s="99">
        <f>$D102-vlookup(Summary!$C102,Summary!$C$2:$Q$103,3+counta($F$1:I$1),false)</f>
        <v>0</v>
      </c>
      <c r="J102" s="99">
        <f>$D102-vlookup(Summary!$C102,Summary!$C$2:$Q$103,3+counta($F$1:J$1),false)</f>
        <v>-0.2</v>
      </c>
      <c r="K102" s="99">
        <f>$D102-vlookup(Summary!$C102,Summary!$C$2:$Q$103,3+counta($F$1:K$1),false)</f>
        <v>-0.25</v>
      </c>
      <c r="L102" s="99">
        <f>$D102-vlookup(Summary!$C102,Summary!$C$2:$Q$103,3+counta($F$1:L$1),false)</f>
        <v>-0.4</v>
      </c>
      <c r="M102" s="99">
        <f>$D102-vlookup(Summary!$C102,Summary!$C$2:$Q$103,3+counta($F$1:M$1),false)</f>
        <v>0.05</v>
      </c>
      <c r="N102" s="99">
        <f>$D102-vlookup(Summary!$C102,Summary!$C$2:$Q$103,3+counta($F$1:N$1),false)</f>
        <v>0</v>
      </c>
      <c r="O102" s="99">
        <f>$D102-vlookup(Summary!$C102,Summary!$C$2:$Q$103,3+counta($F$1:O$1),false)</f>
        <v>0.099</v>
      </c>
      <c r="P102" s="99">
        <f>$D102-vlookup(Summary!$C102,Summary!$C$2:$Q$103,3+counta($F$1:P$1),false)</f>
        <v>0</v>
      </c>
      <c r="Q102" s="99">
        <f>$D102-vlookup(Summary!$C102,Summary!$C$2:$Q$103,3+counta($F$1:Q$1),false)</f>
        <v>-0.35</v>
      </c>
    </row>
    <row r="103" ht="15.75" customHeight="1">
      <c r="A103" s="15">
        <f>Main!A103</f>
        <v>102</v>
      </c>
      <c r="B103" s="15" t="str">
        <f>Main!B103</f>
        <v>Bolsanaro wins the next Brazilian elections</v>
      </c>
      <c r="C103" s="15" t="str">
        <f>Main!C103</f>
        <v>World Politics</v>
      </c>
      <c r="D103" s="15">
        <v>0.2</v>
      </c>
      <c r="F103" s="99">
        <f>$D103-vlookup(Summary!$C103,Summary!$C$2:$Q$103,3+counta($F$1:F$1),false)</f>
        <v>-0.2</v>
      </c>
      <c r="G103" s="99">
        <f>$D103-vlookup(Summary!$C103,Summary!$C$2:$Q$103,3+counta($F$1:G$1),false)</f>
        <v>-0.1</v>
      </c>
      <c r="H103" s="99">
        <f>$D103-vlookup(Summary!$C103,Summary!$C$2:$Q$103,3+counta($F$1:H$1),false)</f>
        <v>-0.2</v>
      </c>
      <c r="I103" s="99">
        <f>$D103-vlookup(Summary!$C103,Summary!$C$2:$Q$103,3+counta($F$1:I$1),false)</f>
        <v>-0.2</v>
      </c>
      <c r="J103" s="99">
        <f>$D103-vlookup(Summary!$C103,Summary!$C$2:$Q$103,3+counta($F$1:J$1),false)</f>
        <v>-0.6</v>
      </c>
      <c r="K103" s="99">
        <f>$D103-vlookup(Summary!$C103,Summary!$C$2:$Q$103,3+counta($F$1:K$1),false)</f>
        <v>-0.55</v>
      </c>
      <c r="L103" s="99">
        <f>$D103-vlookup(Summary!$C103,Summary!$C$2:$Q$103,3+counta($F$1:L$1),false)</f>
        <v>-0.1</v>
      </c>
      <c r="M103" s="99">
        <f>$D103-vlookup(Summary!$C103,Summary!$C$2:$Q$103,3+counta($F$1:M$1),false)</f>
        <v>-0.2</v>
      </c>
      <c r="N103" s="99">
        <f>$D103-vlookup(Summary!$C103,Summary!$C$2:$Q$103,3+counta($F$1:N$1),false)</f>
        <v>0</v>
      </c>
      <c r="O103" s="99">
        <f>$D103-vlookup(Summary!$C103,Summary!$C$2:$Q$103,3+counta($F$1:O$1),false)</f>
        <v>-0.45</v>
      </c>
      <c r="P103" s="99">
        <f>$D103-vlookup(Summary!$C103,Summary!$C$2:$Q$103,3+counta($F$1:P$1),false)</f>
        <v>0.1</v>
      </c>
      <c r="Q103" s="99">
        <f>$D103-vlookup(Summary!$C103,Summary!$C$2:$Q$103,3+counta($F$1:Q$1),false)</f>
        <v>-0.4</v>
      </c>
    </row>
    <row r="104" ht="15.75" customHeight="1">
      <c r="A104" s="15" t="str">
        <f>Main!A104</f>
        <v/>
      </c>
      <c r="B104" s="15" t="str">
        <f>Main!B104</f>
        <v/>
      </c>
      <c r="C104" s="15" t="str">
        <f>Main!C104</f>
        <v/>
      </c>
      <c r="E104" s="104" t="s">
        <v>197</v>
      </c>
      <c r="F104" s="102">
        <f t="shared" ref="F104:Q104" si="1">countif(F$2:F$103,"&gt;=0.5")+countif(F$2:F$103,"&lt;=-0.5")</f>
        <v>18</v>
      </c>
      <c r="G104" s="101">
        <f t="shared" si="1"/>
        <v>25</v>
      </c>
      <c r="H104" s="103">
        <f t="shared" si="1"/>
        <v>34</v>
      </c>
      <c r="I104" s="101">
        <f t="shared" si="1"/>
        <v>30</v>
      </c>
      <c r="J104" s="101">
        <f t="shared" si="1"/>
        <v>33</v>
      </c>
      <c r="K104" s="101">
        <f t="shared" si="1"/>
        <v>27</v>
      </c>
      <c r="L104" s="101">
        <f t="shared" si="1"/>
        <v>24</v>
      </c>
      <c r="M104" s="101">
        <f t="shared" si="1"/>
        <v>33</v>
      </c>
      <c r="N104" s="101">
        <f t="shared" si="1"/>
        <v>0</v>
      </c>
      <c r="O104" s="101">
        <f t="shared" si="1"/>
        <v>26</v>
      </c>
      <c r="P104" s="101">
        <f t="shared" si="1"/>
        <v>22</v>
      </c>
      <c r="Q104" s="101">
        <f t="shared" si="1"/>
        <v>19</v>
      </c>
    </row>
    <row r="105" ht="15.75" customHeight="1">
      <c r="A105" s="15" t="str">
        <f>Main!A105</f>
        <v/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14:B1000">
    <cfRule type="notContainsBlanks" dxfId="2" priority="1">
      <formula>LEN(TRIM(B114))&gt;0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45.75"/>
    <col customWidth="1" min="3" max="3" width="12.63"/>
    <col customWidth="1" min="4" max="4" width="19.75"/>
    <col customWidth="1" min="5" max="5" width="19.88"/>
    <col customWidth="1" min="6" max="6" width="12.63"/>
    <col customWidth="1" min="8" max="8" width="12.75"/>
    <col customWidth="1" min="9" max="9" width="10.0"/>
    <col customWidth="1" min="10" max="10" width="34.13"/>
  </cols>
  <sheetData>
    <row r="1" ht="15.75" customHeight="1">
      <c r="A1" s="92" t="s">
        <v>4</v>
      </c>
      <c r="B1" s="107" t="s">
        <v>6</v>
      </c>
      <c r="C1" s="92" t="s">
        <v>5</v>
      </c>
      <c r="D1" s="92" t="s">
        <v>194</v>
      </c>
      <c r="E1" s="92" t="s">
        <v>195</v>
      </c>
      <c r="F1" s="15" t="s">
        <v>198</v>
      </c>
      <c r="H1" s="92" t="s">
        <v>199</v>
      </c>
      <c r="I1" s="92" t="s">
        <v>200</v>
      </c>
      <c r="J1" s="92" t="s">
        <v>201</v>
      </c>
      <c r="K1" s="8" t="s">
        <v>9</v>
      </c>
      <c r="L1" s="10" t="s">
        <v>21</v>
      </c>
      <c r="M1" s="8" t="s">
        <v>11</v>
      </c>
      <c r="N1" s="10" t="s">
        <v>12</v>
      </c>
      <c r="O1" s="8" t="s">
        <v>13</v>
      </c>
      <c r="P1" s="98" t="s">
        <v>196</v>
      </c>
      <c r="Q1" s="8" t="s">
        <v>15</v>
      </c>
      <c r="R1" s="10" t="s">
        <v>16</v>
      </c>
      <c r="S1" s="8" t="s">
        <v>17</v>
      </c>
      <c r="T1" s="10" t="s">
        <v>18</v>
      </c>
      <c r="U1" s="8" t="s">
        <v>19</v>
      </c>
      <c r="V1" s="10" t="s">
        <v>20</v>
      </c>
    </row>
    <row r="2" ht="15.75" customHeight="1">
      <c r="A2" s="15">
        <f>Main!A2</f>
        <v>1</v>
      </c>
      <c r="B2" s="108" t="str">
        <f>Main!B2</f>
        <v>That there will be a hung parliament at the next election and Labor will take office</v>
      </c>
      <c r="C2" s="15" t="str">
        <f>Main!C2</f>
        <v>Aus Politics</v>
      </c>
      <c r="D2" s="15">
        <f t="shared" ref="D2:D103" si="1">LOOKUP(F2,$H$2:$H$10, $I$2:$I$10)</f>
        <v>0.35</v>
      </c>
      <c r="F2" s="15">
        <v>-1.0</v>
      </c>
      <c r="H2" s="15">
        <v>-4.0</v>
      </c>
      <c r="I2" s="15">
        <v>0.0</v>
      </c>
      <c r="K2" s="99">
        <f>$D2-vlookup(Summary!$C2,Summary!$C$2:$Q$103,3+counta($K$1:K$1),false)</f>
        <v>-0.05</v>
      </c>
      <c r="L2" s="99">
        <f>$D2-vlookup(Summary!$C2,Summary!$C$2:$Q$103,3+counta($K$1:L$1),false)</f>
        <v>-0.35</v>
      </c>
      <c r="M2" s="99">
        <f>$D2-vlookup(Summary!$C2,Summary!$C$2:$Q$103,3+counta($K$1:M$1),false)</f>
        <v>0.25</v>
      </c>
      <c r="N2" s="99">
        <f>$D2-vlookup(Summary!$C2,Summary!$C$2:$Q$103,3+counta($K$1:N$1),false)</f>
        <v>0.15</v>
      </c>
      <c r="O2" s="99">
        <f>$D2-vlookup(Summary!$C2,Summary!$C$2:$Q$103,3+counta($K$1:O$1),false)</f>
        <v>-0.15</v>
      </c>
      <c r="P2" s="99">
        <f>$D2-vlookup(Summary!$C2,Summary!$C$2:$Q$103,3+counta($K$1:P$1),false)</f>
        <v>-0.3</v>
      </c>
      <c r="Q2" s="99">
        <f>$D2-vlookup(Summary!$C2,Summary!$C$2:$Q$103,3+counta($K$1:Q$1),false)</f>
        <v>0.15</v>
      </c>
      <c r="R2" s="99">
        <f>$D2-vlookup(Summary!$C2,Summary!$C$2:$Q$103,3+counta($K$1:R$1),false)</f>
        <v>0.25</v>
      </c>
      <c r="S2" s="99">
        <f>$D2-vlookup(Summary!$C2,Summary!$C$2:$Q$103,3+counta($K$1:S$1),false)</f>
        <v>-0.45</v>
      </c>
      <c r="T2" s="99">
        <f>$D2-vlookup(Summary!$C2,Summary!$C$2:$Q$103,3+counta($K$1:T$1),false)</f>
        <v>0</v>
      </c>
      <c r="U2" s="99">
        <f>$D2-vlookup(Summary!$C2,Summary!$C$2:$Q$103,3+counta($K$1:U$1),false)</f>
        <v>0.25</v>
      </c>
      <c r="V2" s="99">
        <f>$D2-vlookup(Summary!$C2,Summary!$C$2:$Q$103,3+counta($K$1:V$1),false)</f>
        <v>-0.1</v>
      </c>
    </row>
    <row r="3" ht="15.75" customHeight="1">
      <c r="A3" s="15">
        <f>Main!A3</f>
        <v>2</v>
      </c>
      <c r="B3" s="108" t="str">
        <f>Main!B3</f>
        <v>Dan Andrews will become leader of the Australian Labor Party</v>
      </c>
      <c r="C3" s="15" t="str">
        <f>Main!C3</f>
        <v>Aus Politics</v>
      </c>
      <c r="D3" s="15">
        <f t="shared" si="1"/>
        <v>0.001</v>
      </c>
      <c r="F3" s="15">
        <v>-3.0</v>
      </c>
      <c r="H3" s="15">
        <v>-3.0</v>
      </c>
      <c r="I3" s="15">
        <v>0.001</v>
      </c>
      <c r="K3" s="99">
        <f>$D3-vlookup(Summary!$C3,Summary!$C$2:$Q$103,3+counta($K$1:K$1),false)</f>
        <v>-0.199</v>
      </c>
      <c r="L3" s="99">
        <f>$D3-vlookup(Summary!$C3,Summary!$C$2:$Q$103,3+counta($K$1:L$1),false)</f>
        <v>-0.099</v>
      </c>
      <c r="M3" s="99">
        <f>$D3-vlookup(Summary!$C3,Summary!$C$2:$Q$103,3+counta($K$1:M$1),false)</f>
        <v>-0.049</v>
      </c>
      <c r="N3" s="99">
        <f>$D3-vlookup(Summary!$C3,Summary!$C$2:$Q$103,3+counta($K$1:N$1),false)</f>
        <v>-0.199</v>
      </c>
      <c r="O3" s="99">
        <f>$D3-vlookup(Summary!$C3,Summary!$C$2:$Q$103,3+counta($K$1:O$1),false)</f>
        <v>-0.099</v>
      </c>
      <c r="P3" s="99">
        <f>$D3-vlookup(Summary!$C3,Summary!$C$2:$Q$103,3+counta($K$1:P$1),false)</f>
        <v>0.001</v>
      </c>
      <c r="Q3" s="99">
        <f>$D3-vlookup(Summary!$C3,Summary!$C$2:$Q$103,3+counta($K$1:Q$1),false)</f>
        <v>0</v>
      </c>
      <c r="R3" s="99">
        <f>$D3-vlookup(Summary!$C3,Summary!$C$2:$Q$103,3+counta($K$1:R$1),false)</f>
        <v>-0.049</v>
      </c>
      <c r="S3" s="99">
        <f>$D3-vlookup(Summary!$C3,Summary!$C$2:$Q$103,3+counta($K$1:S$1),false)</f>
        <v>-0.099</v>
      </c>
      <c r="T3" s="99">
        <f>$D3-vlookup(Summary!$C3,Summary!$C$2:$Q$103,3+counta($K$1:T$1),false)</f>
        <v>0</v>
      </c>
      <c r="U3" s="99">
        <f>$D3-vlookup(Summary!$C3,Summary!$C$2:$Q$103,3+counta($K$1:U$1),false)</f>
        <v>-0.099</v>
      </c>
      <c r="V3" s="99">
        <f>$D3-vlookup(Summary!$C3,Summary!$C$2:$Q$103,3+counta($K$1:V$1),false)</f>
        <v>-0.009</v>
      </c>
    </row>
    <row r="4" ht="15.75" customHeight="1">
      <c r="A4" s="15">
        <f>Main!A4</f>
        <v>3</v>
      </c>
      <c r="B4" s="108" t="str">
        <f>Main!B4</f>
        <v>The Greens will get more than 9 senators in the next federal election</v>
      </c>
      <c r="C4" s="15" t="str">
        <f>Main!C4</f>
        <v>Aus Politics</v>
      </c>
      <c r="D4" s="15">
        <f t="shared" si="1"/>
        <v>0.5</v>
      </c>
      <c r="F4" s="15">
        <v>0.0</v>
      </c>
      <c r="H4" s="15">
        <v>-2.0</v>
      </c>
      <c r="I4" s="15">
        <v>0.15</v>
      </c>
      <c r="K4" s="99">
        <f>$D4-vlookup(Summary!$C4,Summary!$C$2:$Q$103,3+counta($K$1:K$1),false)</f>
        <v>-0.1</v>
      </c>
      <c r="L4" s="99">
        <f>$D4-vlookup(Summary!$C4,Summary!$C$2:$Q$103,3+counta($K$1:L$1),false)</f>
        <v>0.2</v>
      </c>
      <c r="M4" s="99">
        <f>$D4-vlookup(Summary!$C4,Summary!$C$2:$Q$103,3+counta($K$1:M$1),false)</f>
        <v>0.4</v>
      </c>
      <c r="N4" s="99">
        <f>$D4-vlookup(Summary!$C4,Summary!$C$2:$Q$103,3+counta($K$1:N$1),false)</f>
        <v>-0.1</v>
      </c>
      <c r="O4" s="99">
        <f>$D4-vlookup(Summary!$C4,Summary!$C$2:$Q$103,3+counta($K$1:O$1),false)</f>
        <v>-0.2</v>
      </c>
      <c r="P4" s="99">
        <f>$D4-vlookup(Summary!$C4,Summary!$C$2:$Q$103,3+counta($K$1:P$1),false)</f>
        <v>-0.1</v>
      </c>
      <c r="Q4" s="99">
        <f>$D4-vlookup(Summary!$C4,Summary!$C$2:$Q$103,3+counta($K$1:Q$1),false)</f>
        <v>-0.2</v>
      </c>
      <c r="R4" s="99">
        <f>$D4-vlookup(Summary!$C4,Summary!$C$2:$Q$103,3+counta($K$1:R$1),false)</f>
        <v>0.4</v>
      </c>
      <c r="S4" s="99">
        <f>$D4-vlookup(Summary!$C4,Summary!$C$2:$Q$103,3+counta($K$1:S$1),false)</f>
        <v>0.4</v>
      </c>
      <c r="T4" s="99">
        <f>$D4-vlookup(Summary!$C4,Summary!$C$2:$Q$103,3+counta($K$1:T$1),false)</f>
        <v>0</v>
      </c>
      <c r="U4" s="99">
        <f>$D4-vlookup(Summary!$C4,Summary!$C$2:$Q$103,3+counta($K$1:U$1),false)</f>
        <v>0</v>
      </c>
      <c r="V4" s="99">
        <f>$D4-vlookup(Summary!$C4,Summary!$C$2:$Q$103,3+counta($K$1:V$1),false)</f>
        <v>-0.05</v>
      </c>
    </row>
    <row r="5" ht="15.75" customHeight="1">
      <c r="A5" s="15">
        <f>Main!A5</f>
        <v>4</v>
      </c>
      <c r="B5" s="108" t="str">
        <f>Main!B5</f>
        <v>The House of Reps will include 5 independents by the end of the federal election</v>
      </c>
      <c r="C5" s="15" t="str">
        <f>Main!C5</f>
        <v>Aus Politics</v>
      </c>
      <c r="D5" s="15">
        <f t="shared" si="1"/>
        <v>0.5</v>
      </c>
      <c r="F5" s="15">
        <v>0.0</v>
      </c>
      <c r="H5" s="15">
        <v>-1.0</v>
      </c>
      <c r="I5" s="15">
        <v>0.35</v>
      </c>
      <c r="K5" s="99">
        <f>$D5-vlookup(Summary!$C5,Summary!$C$2:$Q$103,3+counta($K$1:K$1),false)</f>
        <v>-0.2</v>
      </c>
      <c r="L5" s="99">
        <f>$D5-vlookup(Summary!$C5,Summary!$C$2:$Q$103,3+counta($K$1:L$1),false)</f>
        <v>0.2</v>
      </c>
      <c r="M5" s="99">
        <f>$D5-vlookup(Summary!$C5,Summary!$C$2:$Q$103,3+counta($K$1:M$1),false)</f>
        <v>0.4</v>
      </c>
      <c r="N5" s="99">
        <f>$D5-vlookup(Summary!$C5,Summary!$C$2:$Q$103,3+counta($K$1:N$1),false)</f>
        <v>-0.2</v>
      </c>
      <c r="O5" s="99">
        <f>$D5-vlookup(Summary!$C5,Summary!$C$2:$Q$103,3+counta($K$1:O$1),false)</f>
        <v>-0.4</v>
      </c>
      <c r="P5" s="99">
        <f>$D5-vlookup(Summary!$C5,Summary!$C$2:$Q$103,3+counta($K$1:P$1),false)</f>
        <v>-0.25</v>
      </c>
      <c r="Q5" s="99">
        <f>$D5-vlookup(Summary!$C5,Summary!$C$2:$Q$103,3+counta($K$1:Q$1),false)</f>
        <v>0.499</v>
      </c>
      <c r="R5" s="99">
        <f>$D5-vlookup(Summary!$C5,Summary!$C$2:$Q$103,3+counta($K$1:R$1),false)</f>
        <v>0.4</v>
      </c>
      <c r="S5" s="99">
        <f>$D5-vlookup(Summary!$C5,Summary!$C$2:$Q$103,3+counta($K$1:S$1),false)</f>
        <v>-0.4</v>
      </c>
      <c r="T5" s="99">
        <f>$D5-vlookup(Summary!$C5,Summary!$C$2:$Q$103,3+counta($K$1:T$1),false)</f>
        <v>0</v>
      </c>
      <c r="U5" s="99">
        <f>$D5-vlookup(Summary!$C5,Summary!$C$2:$Q$103,3+counta($K$1:U$1),false)</f>
        <v>-0.3</v>
      </c>
      <c r="V5" s="99">
        <f>$D5-vlookup(Summary!$C5,Summary!$C$2:$Q$103,3+counta($K$1:V$1),false)</f>
        <v>-0.2</v>
      </c>
    </row>
    <row r="6" ht="15.75" customHeight="1">
      <c r="A6" s="15">
        <f>Main!A6</f>
        <v>5</v>
      </c>
      <c r="B6" s="108" t="str">
        <f>Main!B6</f>
        <v>The Australian Labor Party will not pledge to reverse the uni fee structure introduced in 2020</v>
      </c>
      <c r="C6" s="15" t="str">
        <f>Main!C6</f>
        <v>Aus Politics</v>
      </c>
      <c r="D6" s="15">
        <f t="shared" si="1"/>
        <v>0.85</v>
      </c>
      <c r="F6" s="15">
        <v>2.0</v>
      </c>
      <c r="H6" s="15">
        <v>0.0</v>
      </c>
      <c r="I6" s="15">
        <v>0.5</v>
      </c>
      <c r="J6" s="15" t="s">
        <v>202</v>
      </c>
      <c r="K6" s="99">
        <f>$D6-vlookup(Summary!$C6,Summary!$C$2:$Q$103,3+counta($K$1:K$1),false)</f>
        <v>0.25</v>
      </c>
      <c r="L6" s="99">
        <f>$D6-vlookup(Summary!$C6,Summary!$C$2:$Q$103,3+counta($K$1:L$1),false)</f>
        <v>0.05</v>
      </c>
      <c r="M6" s="99">
        <f>$D6-vlookup(Summary!$C6,Summary!$C$2:$Q$103,3+counta($K$1:M$1),false)</f>
        <v>-0.05</v>
      </c>
      <c r="N6" s="99">
        <f>$D6-vlookup(Summary!$C6,Summary!$C$2:$Q$103,3+counta($K$1:N$1),false)</f>
        <v>0.15</v>
      </c>
      <c r="O6" s="99">
        <f>$D6-vlookup(Summary!$C6,Summary!$C$2:$Q$103,3+counta($K$1:O$1),false)</f>
        <v>0.35</v>
      </c>
      <c r="P6" s="99">
        <f>$D6-vlookup(Summary!$C6,Summary!$C$2:$Q$103,3+counta($K$1:P$1),false)</f>
        <v>0</v>
      </c>
      <c r="Q6" s="99">
        <f>$D6-vlookup(Summary!$C6,Summary!$C$2:$Q$103,3+counta($K$1:Q$1),false)</f>
        <v>-0.05</v>
      </c>
      <c r="R6" s="99">
        <f>$D6-vlookup(Summary!$C6,Summary!$C$2:$Q$103,3+counta($K$1:R$1),false)</f>
        <v>-0.05</v>
      </c>
      <c r="S6" s="99">
        <f>$D6-vlookup(Summary!$C6,Summary!$C$2:$Q$103,3+counta($K$1:S$1),false)</f>
        <v>-0.05</v>
      </c>
      <c r="T6" s="99">
        <f>$D6-vlookup(Summary!$C6,Summary!$C$2:$Q$103,3+counta($K$1:T$1),false)</f>
        <v>0</v>
      </c>
      <c r="U6" s="99">
        <f>$D6-vlookup(Summary!$C6,Summary!$C$2:$Q$103,3+counta($K$1:U$1),false)</f>
        <v>0.05</v>
      </c>
      <c r="V6" s="99">
        <f>$D6-vlookup(Summary!$C6,Summary!$C$2:$Q$103,3+counta($K$1:V$1),false)</f>
        <v>0.1</v>
      </c>
    </row>
    <row r="7" ht="15.75" customHeight="1">
      <c r="A7" s="15">
        <f>Main!A7</f>
        <v>6</v>
      </c>
      <c r="B7" s="108" t="str">
        <f>Main!B7</f>
        <v>Zali Steggal and Helen Haines will both retain their seats in Federal Parliament</v>
      </c>
      <c r="C7" s="15" t="str">
        <f>Main!C7</f>
        <v>Aus Politics</v>
      </c>
      <c r="D7" s="15">
        <f t="shared" si="1"/>
        <v>0.85</v>
      </c>
      <c r="F7" s="15">
        <v>2.0</v>
      </c>
      <c r="H7" s="15">
        <v>1.0</v>
      </c>
      <c r="I7" s="15">
        <v>0.65</v>
      </c>
      <c r="J7" s="15" t="s">
        <v>203</v>
      </c>
      <c r="K7" s="99">
        <f>$D7-vlookup(Summary!$C7,Summary!$C$2:$Q$103,3+counta($K$1:K$1),false)</f>
        <v>0.35</v>
      </c>
      <c r="L7" s="99">
        <f>$D7-vlookup(Summary!$C7,Summary!$C$2:$Q$103,3+counta($K$1:L$1),false)</f>
        <v>-0.05</v>
      </c>
      <c r="M7" s="99">
        <f>$D7-vlookup(Summary!$C7,Summary!$C$2:$Q$103,3+counta($K$1:M$1),false)</f>
        <v>0.35</v>
      </c>
      <c r="N7" s="99">
        <f>$D7-vlookup(Summary!$C7,Summary!$C$2:$Q$103,3+counta($K$1:N$1),false)</f>
        <v>0.15</v>
      </c>
      <c r="O7" s="99">
        <f>$D7-vlookup(Summary!$C7,Summary!$C$2:$Q$103,3+counta($K$1:O$1),false)</f>
        <v>-0.05</v>
      </c>
      <c r="P7" s="99">
        <f>$D7-vlookup(Summary!$C7,Summary!$C$2:$Q$103,3+counta($K$1:P$1),false)</f>
        <v>-0.1</v>
      </c>
      <c r="Q7" s="99">
        <f>$D7-vlookup(Summary!$C7,Summary!$C$2:$Q$103,3+counta($K$1:Q$1),false)</f>
        <v>0.45</v>
      </c>
      <c r="R7" s="99">
        <f>$D7-vlookup(Summary!$C7,Summary!$C$2:$Q$103,3+counta($K$1:R$1),false)</f>
        <v>0.35</v>
      </c>
      <c r="S7" s="99">
        <f>$D7-vlookup(Summary!$C7,Summary!$C$2:$Q$103,3+counta($K$1:S$1),false)</f>
        <v>-0.05</v>
      </c>
      <c r="T7" s="99">
        <f>$D7-vlookup(Summary!$C7,Summary!$C$2:$Q$103,3+counta($K$1:T$1),false)</f>
        <v>0</v>
      </c>
      <c r="U7" s="99">
        <f>$D7-vlookup(Summary!$C7,Summary!$C$2:$Q$103,3+counta($K$1:U$1),false)</f>
        <v>-0.05</v>
      </c>
      <c r="V7" s="99">
        <f>$D7-vlookup(Summary!$C7,Summary!$C$2:$Q$103,3+counta($K$1:V$1),false)</f>
        <v>0.35</v>
      </c>
    </row>
    <row r="8" ht="15.75" customHeight="1">
      <c r="A8" s="15">
        <f>Main!A8</f>
        <v>7</v>
      </c>
      <c r="B8" s="108" t="str">
        <f>Main!B8</f>
        <v>Scott Morrison will lose leadership of the Liberal Party at least once</v>
      </c>
      <c r="C8" s="15" t="str">
        <f>Main!C8</f>
        <v>Aus Politics</v>
      </c>
      <c r="D8" s="15">
        <f t="shared" si="1"/>
        <v>0.35</v>
      </c>
      <c r="F8" s="15">
        <v>-1.0</v>
      </c>
      <c r="H8" s="15">
        <v>2.0</v>
      </c>
      <c r="I8" s="15">
        <v>0.85</v>
      </c>
      <c r="J8" s="15" t="s">
        <v>204</v>
      </c>
      <c r="K8" s="99">
        <f>$D8-vlookup(Summary!$C8,Summary!$C$2:$Q$103,3+counta($K$1:K$1),false)</f>
        <v>-0.45</v>
      </c>
      <c r="L8" s="99">
        <f>$D8-vlookup(Summary!$C8,Summary!$C$2:$Q$103,3+counta($K$1:L$1),false)</f>
        <v>-0.35</v>
      </c>
      <c r="M8" s="99">
        <f>$D8-vlookup(Summary!$C8,Summary!$C$2:$Q$103,3+counta($K$1:M$1),false)</f>
        <v>0.2</v>
      </c>
      <c r="N8" s="99">
        <f>$D8-vlookup(Summary!$C8,Summary!$C$2:$Q$103,3+counta($K$1:N$1),false)</f>
        <v>0.05</v>
      </c>
      <c r="O8" s="99">
        <f>$D8-vlookup(Summary!$C8,Summary!$C$2:$Q$103,3+counta($K$1:O$1),false)</f>
        <v>-0.25</v>
      </c>
      <c r="P8" s="99">
        <f>$D8-vlookup(Summary!$C8,Summary!$C$2:$Q$103,3+counta($K$1:P$1),false)</f>
        <v>-0.4</v>
      </c>
      <c r="Q8" s="99">
        <f>$D8-vlookup(Summary!$C8,Summary!$C$2:$Q$103,3+counta($K$1:Q$1),false)</f>
        <v>-0.15</v>
      </c>
      <c r="R8" s="99">
        <f>$D8-vlookup(Summary!$C8,Summary!$C$2:$Q$103,3+counta($K$1:R$1),false)</f>
        <v>0.3</v>
      </c>
      <c r="S8" s="99">
        <f>$D8-vlookup(Summary!$C8,Summary!$C$2:$Q$103,3+counta($K$1:S$1),false)</f>
        <v>-0.55</v>
      </c>
      <c r="T8" s="99">
        <f>$D8-vlookup(Summary!$C8,Summary!$C$2:$Q$103,3+counta($K$1:T$1),false)</f>
        <v>0</v>
      </c>
      <c r="U8" s="99">
        <f>$D8-vlookup(Summary!$C8,Summary!$C$2:$Q$103,3+counta($K$1:U$1),false)</f>
        <v>-0.35</v>
      </c>
      <c r="V8" s="99">
        <f>$D8-vlookup(Summary!$C8,Summary!$C$2:$Q$103,3+counta($K$1:V$1),false)</f>
        <v>-0.55</v>
      </c>
    </row>
    <row r="9" ht="15.75" customHeight="1">
      <c r="A9" s="15">
        <f>Main!A9</f>
        <v>8</v>
      </c>
      <c r="B9" s="108" t="str">
        <f>Main!B9</f>
        <v>Anthony Albanese will be Prime Minister on at least one day</v>
      </c>
      <c r="C9" s="15" t="str">
        <f>Main!C9</f>
        <v>Aus Politics</v>
      </c>
      <c r="D9" s="15">
        <f t="shared" si="1"/>
        <v>0.35</v>
      </c>
      <c r="F9" s="15">
        <v>-1.0</v>
      </c>
      <c r="H9" s="15">
        <v>3.0</v>
      </c>
      <c r="I9" s="15">
        <v>0.999</v>
      </c>
      <c r="J9" s="15" t="s">
        <v>205</v>
      </c>
      <c r="K9" s="99">
        <f>$D9-vlookup(Summary!$C9,Summary!$C$2:$Q$103,3+counta($K$1:K$1),false)</f>
        <v>-0.25</v>
      </c>
      <c r="L9" s="99">
        <f>$D9-vlookup(Summary!$C9,Summary!$C$2:$Q$103,3+counta($K$1:L$1),false)</f>
        <v>-0.55</v>
      </c>
      <c r="M9" s="99">
        <f>$D9-vlookup(Summary!$C9,Summary!$C$2:$Q$103,3+counta($K$1:M$1),false)</f>
        <v>0.3</v>
      </c>
      <c r="N9" s="99">
        <f>$D9-vlookup(Summary!$C9,Summary!$C$2:$Q$103,3+counta($K$1:N$1),false)</f>
        <v>0.05</v>
      </c>
      <c r="O9" s="99">
        <f>$D9-vlookup(Summary!$C9,Summary!$C$2:$Q$103,3+counta($K$1:O$1),false)</f>
        <v>0.25</v>
      </c>
      <c r="P9" s="99">
        <f>$D9-vlookup(Summary!$C9,Summary!$C$2:$Q$103,3+counta($K$1:P$1),false)</f>
        <v>-0.4</v>
      </c>
      <c r="Q9" s="99">
        <f>$D9-vlookup(Summary!$C9,Summary!$C$2:$Q$103,3+counta($K$1:Q$1),false)</f>
        <v>0.05</v>
      </c>
      <c r="R9" s="99">
        <f>$D9-vlookup(Summary!$C9,Summary!$C$2:$Q$103,3+counta($K$1:R$1),false)</f>
        <v>0.3</v>
      </c>
      <c r="S9" s="99">
        <f>$D9-vlookup(Summary!$C9,Summary!$C$2:$Q$103,3+counta($K$1:S$1),false)</f>
        <v>-0.55</v>
      </c>
      <c r="T9" s="99">
        <f>$D9-vlookup(Summary!$C9,Summary!$C$2:$Q$103,3+counta($K$1:T$1),false)</f>
        <v>0</v>
      </c>
      <c r="U9" s="99">
        <f>$D9-vlookup(Summary!$C9,Summary!$C$2:$Q$103,3+counta($K$1:U$1),false)</f>
        <v>-0.45</v>
      </c>
      <c r="V9" s="99">
        <f>$D9-vlookup(Summary!$C9,Summary!$C$2:$Q$103,3+counta($K$1:V$1),false)</f>
        <v>-0.05</v>
      </c>
    </row>
    <row r="10" ht="15.75" customHeight="1">
      <c r="A10" s="15">
        <f>Main!A10</f>
        <v>9</v>
      </c>
      <c r="B10" s="108" t="str">
        <f>Main!B10</f>
        <v>A sitting MP will make allegations of possible voter fraud or election 'rigging' in the 2022 Australian federal election</v>
      </c>
      <c r="C10" s="15" t="str">
        <f>Main!C10</f>
        <v>Aus Politics</v>
      </c>
      <c r="D10" s="15">
        <f t="shared" si="1"/>
        <v>0.85</v>
      </c>
      <c r="F10" s="15">
        <v>2.0</v>
      </c>
      <c r="H10" s="15">
        <v>4.0</v>
      </c>
      <c r="I10" s="15">
        <v>1.0</v>
      </c>
      <c r="J10" s="15" t="s">
        <v>206</v>
      </c>
      <c r="K10" s="99">
        <f>$D10-vlookup(Summary!$C10,Summary!$C$2:$Q$103,3+counta($K$1:K$1),false)</f>
        <v>0.3</v>
      </c>
      <c r="L10" s="99">
        <f>$D10-vlookup(Summary!$C10,Summary!$C$2:$Q$103,3+counta($K$1:L$1),false)</f>
        <v>0.55</v>
      </c>
      <c r="M10" s="99">
        <f>$D10-vlookup(Summary!$C10,Summary!$C$2:$Q$103,3+counta($K$1:M$1),false)</f>
        <v>0.55</v>
      </c>
      <c r="N10" s="99">
        <f>$D10-vlookup(Summary!$C10,Summary!$C$2:$Q$103,3+counta($K$1:N$1),false)</f>
        <v>0.45</v>
      </c>
      <c r="O10" s="99">
        <f>$D10-vlookup(Summary!$C10,Summary!$C$2:$Q$103,3+counta($K$1:O$1),false)</f>
        <v>-0.05</v>
      </c>
      <c r="P10" s="99">
        <f>$D10-vlookup(Summary!$C10,Summary!$C$2:$Q$103,3+counta($K$1:P$1),false)</f>
        <v>0.5</v>
      </c>
      <c r="Q10" s="99">
        <f>$D10-vlookup(Summary!$C10,Summary!$C$2:$Q$103,3+counta($K$1:Q$1),false)</f>
        <v>-0.05</v>
      </c>
      <c r="R10" s="99">
        <f>$D10-vlookup(Summary!$C10,Summary!$C$2:$Q$103,3+counta($K$1:R$1),false)</f>
        <v>0.55</v>
      </c>
      <c r="S10" s="99">
        <f>$D10-vlookup(Summary!$C10,Summary!$C$2:$Q$103,3+counta($K$1:S$1),false)</f>
        <v>0.15</v>
      </c>
      <c r="T10" s="99">
        <f>$D10-vlookup(Summary!$C10,Summary!$C$2:$Q$103,3+counta($K$1:T$1),false)</f>
        <v>0</v>
      </c>
      <c r="U10" s="99">
        <f>$D10-vlookup(Summary!$C10,Summary!$C$2:$Q$103,3+counta($K$1:U$1),false)</f>
        <v>0.45</v>
      </c>
      <c r="V10" s="99">
        <f>$D10-vlookup(Summary!$C10,Summary!$C$2:$Q$103,3+counta($K$1:V$1),false)</f>
        <v>0.05</v>
      </c>
    </row>
    <row r="11" ht="15.75" customHeight="1">
      <c r="A11" s="15">
        <f>Main!A11</f>
        <v>10</v>
      </c>
      <c r="B11" s="108" t="str">
        <f>Main!B11</f>
        <v>The Australian Intelligence Community will release a statement contradicting a Government minister or MP during the 2022 election campaign</v>
      </c>
      <c r="C11" s="15" t="str">
        <f>Main!C11</f>
        <v>Aus Politics</v>
      </c>
      <c r="D11" s="15">
        <f t="shared" si="1"/>
        <v>0.001</v>
      </c>
      <c r="F11" s="15">
        <v>-3.0</v>
      </c>
      <c r="K11" s="99">
        <f>$D11-vlookup(Summary!$C11,Summary!$C$2:$Q$103,3+counta($K$1:K$1),false)</f>
        <v>-0.399</v>
      </c>
      <c r="L11" s="99">
        <f>$D11-vlookup(Summary!$C11,Summary!$C$2:$Q$103,3+counta($K$1:L$1),false)</f>
        <v>-0.199</v>
      </c>
      <c r="M11" s="99">
        <f>$D11-vlookup(Summary!$C11,Summary!$C$2:$Q$103,3+counta($K$1:M$1),false)</f>
        <v>-0.099</v>
      </c>
      <c r="N11" s="99">
        <f>$D11-vlookup(Summary!$C11,Summary!$C$2:$Q$103,3+counta($K$1:N$1),false)</f>
        <v>-0.199</v>
      </c>
      <c r="O11" s="99">
        <f>$D11-vlookup(Summary!$C11,Summary!$C$2:$Q$103,3+counta($K$1:O$1),false)</f>
        <v>-0.099</v>
      </c>
      <c r="P11" s="99">
        <f>$D11-vlookup(Summary!$C11,Summary!$C$2:$Q$103,3+counta($K$1:P$1),false)</f>
        <v>-0.549</v>
      </c>
      <c r="Q11" s="99">
        <f>$D11-vlookup(Summary!$C11,Summary!$C$2:$Q$103,3+counta($K$1:Q$1),false)</f>
        <v>-0.149</v>
      </c>
      <c r="R11" s="99">
        <f>$D11-vlookup(Summary!$C11,Summary!$C$2:$Q$103,3+counta($K$1:R$1),false)</f>
        <v>-0.099</v>
      </c>
      <c r="S11" s="99">
        <f>$D11-vlookup(Summary!$C11,Summary!$C$2:$Q$103,3+counta($K$1:S$1),false)</f>
        <v>-0.899</v>
      </c>
      <c r="T11" s="99">
        <f>$D11-vlookup(Summary!$C11,Summary!$C$2:$Q$103,3+counta($K$1:T$1),false)</f>
        <v>0</v>
      </c>
      <c r="U11" s="99">
        <f>$D11-vlookup(Summary!$C11,Summary!$C$2:$Q$103,3+counta($K$1:U$1),false)</f>
        <v>-0.099</v>
      </c>
      <c r="V11" s="99">
        <f>$D11-vlookup(Summary!$C11,Summary!$C$2:$Q$103,3+counta($K$1:V$1),false)</f>
        <v>-0.749</v>
      </c>
    </row>
    <row r="12" ht="15.75" customHeight="1">
      <c r="A12" s="15">
        <f>Main!A12</f>
        <v>11</v>
      </c>
      <c r="B12" s="108" t="str">
        <f>Main!B12</f>
        <v>Scott Morrison will still be the Prime Minister of Australia</v>
      </c>
      <c r="C12" s="15" t="str">
        <f>Main!C12</f>
        <v>Aus Politics</v>
      </c>
      <c r="D12" s="15">
        <f t="shared" si="1"/>
        <v>0.65</v>
      </c>
      <c r="F12" s="15">
        <v>1.0</v>
      </c>
      <c r="K12" s="99">
        <f>$D12-vlookup(Summary!$C12,Summary!$C$2:$Q$103,3+counta($K$1:K$1),false)</f>
        <v>0.25</v>
      </c>
      <c r="L12" s="99">
        <f>$D12-vlookup(Summary!$C12,Summary!$C$2:$Q$103,3+counta($K$1:L$1),false)</f>
        <v>0.45</v>
      </c>
      <c r="M12" s="99">
        <f>$D12-vlookup(Summary!$C12,Summary!$C$2:$Q$103,3+counta($K$1:M$1),false)</f>
        <v>0.45</v>
      </c>
      <c r="N12" s="99">
        <f>$D12-vlookup(Summary!$C12,Summary!$C$2:$Q$103,3+counta($K$1:N$1),false)</f>
        <v>-0.15</v>
      </c>
      <c r="O12" s="99">
        <f>$D12-vlookup(Summary!$C12,Summary!$C$2:$Q$103,3+counta($K$1:O$1),false)</f>
        <v>0.15</v>
      </c>
      <c r="P12" s="99">
        <f>$D12-vlookup(Summary!$C12,Summary!$C$2:$Q$103,3+counta($K$1:P$1),false)</f>
        <v>-0.1</v>
      </c>
      <c r="Q12" s="99">
        <f>$D12-vlookup(Summary!$C12,Summary!$C$2:$Q$103,3+counta($K$1:Q$1),false)</f>
        <v>-0.05</v>
      </c>
      <c r="R12" s="99">
        <f>$D12-vlookup(Summary!$C12,Summary!$C$2:$Q$103,3+counta($K$1:R$1),false)</f>
        <v>0.6</v>
      </c>
      <c r="S12" s="99">
        <f>$D12-vlookup(Summary!$C12,Summary!$C$2:$Q$103,3+counta($K$1:S$1),false)</f>
        <v>0.55</v>
      </c>
      <c r="T12" s="99">
        <f>$D12-vlookup(Summary!$C12,Summary!$C$2:$Q$103,3+counta($K$1:T$1),false)</f>
        <v>0</v>
      </c>
      <c r="U12" s="99">
        <f>$D12-vlookup(Summary!$C12,Summary!$C$2:$Q$103,3+counta($K$1:U$1),false)</f>
        <v>0.35</v>
      </c>
      <c r="V12" s="99">
        <f>$D12-vlookup(Summary!$C12,Summary!$C$2:$Q$103,3+counta($K$1:V$1),false)</f>
        <v>0.55</v>
      </c>
    </row>
    <row r="13" ht="15.75" customHeight="1">
      <c r="A13" s="15">
        <f>Main!A13</f>
        <v>12</v>
      </c>
      <c r="B13" s="108" t="str">
        <f>Main!B13</f>
        <v>An Australian federal Minister will step down from their position due to direct involvement (proven or otherwise) in sexual misconduct at some point in the year.</v>
      </c>
      <c r="C13" s="15" t="str">
        <f>Main!C13</f>
        <v>Aus Politics</v>
      </c>
      <c r="D13" s="15">
        <f t="shared" si="1"/>
        <v>0.15</v>
      </c>
      <c r="F13" s="15">
        <v>-2.0</v>
      </c>
      <c r="K13" s="99">
        <f>$D13-vlookup(Summary!$C13,Summary!$C$2:$Q$103,3+counta($K$1:K$1),false)</f>
        <v>-0.5</v>
      </c>
      <c r="L13" s="99">
        <f>$D13-vlookup(Summary!$C13,Summary!$C$2:$Q$103,3+counta($K$1:L$1),false)</f>
        <v>-0.25</v>
      </c>
      <c r="M13" s="99">
        <f>$D13-vlookup(Summary!$C13,Summary!$C$2:$Q$103,3+counta($K$1:M$1),false)</f>
        <v>0.05</v>
      </c>
      <c r="N13" s="99">
        <f>$D13-vlookup(Summary!$C13,Summary!$C$2:$Q$103,3+counta($K$1:N$1),false)</f>
        <v>-0.75</v>
      </c>
      <c r="O13" s="99">
        <f>$D13-vlookup(Summary!$C13,Summary!$C$2:$Q$103,3+counta($K$1:O$1),false)</f>
        <v>-0.75</v>
      </c>
      <c r="P13" s="99">
        <f>$D13-vlookup(Summary!$C13,Summary!$C$2:$Q$103,3+counta($K$1:P$1),false)</f>
        <v>-0.2</v>
      </c>
      <c r="Q13" s="99">
        <f>$D13-vlookup(Summary!$C13,Summary!$C$2:$Q$103,3+counta($K$1:Q$1),false)</f>
        <v>-0.05</v>
      </c>
      <c r="R13" s="99">
        <f>$D13-vlookup(Summary!$C13,Summary!$C$2:$Q$103,3+counta($K$1:R$1),false)</f>
        <v>0.05</v>
      </c>
      <c r="S13" s="99">
        <f>$D13-vlookup(Summary!$C13,Summary!$C$2:$Q$103,3+counta($K$1:S$1),false)</f>
        <v>-0.45</v>
      </c>
      <c r="T13" s="99">
        <f>$D13-vlookup(Summary!$C13,Summary!$C$2:$Q$103,3+counta($K$1:T$1),false)</f>
        <v>0</v>
      </c>
      <c r="U13" s="99">
        <f>$D13-vlookup(Summary!$C13,Summary!$C$2:$Q$103,3+counta($K$1:U$1),false)</f>
        <v>-0.15</v>
      </c>
      <c r="V13" s="99">
        <f>$D13-vlookup(Summary!$C13,Summary!$C$2:$Q$103,3+counta($K$1:V$1),false)</f>
        <v>-0.45</v>
      </c>
    </row>
    <row r="14" ht="15.75" customHeight="1">
      <c r="A14" s="15">
        <f>Main!A14</f>
        <v>13</v>
      </c>
      <c r="B14" s="108" t="str">
        <f>Main!B14</f>
        <v>Friendlyjordies, or evidence he has brought to light, will feature in a court case or ICAC inquiry.</v>
      </c>
      <c r="C14" s="15" t="str">
        <f>Main!C14</f>
        <v>Aus Politics</v>
      </c>
      <c r="D14" s="15">
        <f t="shared" si="1"/>
        <v>0.15</v>
      </c>
      <c r="F14" s="15">
        <v>-2.0</v>
      </c>
      <c r="K14" s="99">
        <f>$D14-vlookup(Summary!$C14,Summary!$C$2:$Q$103,3+counta($K$1:K$1),false)</f>
        <v>-0.4</v>
      </c>
      <c r="L14" s="99">
        <f>$D14-vlookup(Summary!$C14,Summary!$C$2:$Q$103,3+counta($K$1:L$1),false)</f>
        <v>-0.55</v>
      </c>
      <c r="M14" s="99">
        <f>$D14-vlookup(Summary!$C14,Summary!$C$2:$Q$103,3+counta($K$1:M$1),false)</f>
        <v>-0.15</v>
      </c>
      <c r="N14" s="99">
        <f>$D14-vlookup(Summary!$C14,Summary!$C$2:$Q$103,3+counta($K$1:N$1),false)</f>
        <v>-0.45</v>
      </c>
      <c r="O14" s="99">
        <f>$D14-vlookup(Summary!$C14,Summary!$C$2:$Q$103,3+counta($K$1:O$1),false)</f>
        <v>-0.55</v>
      </c>
      <c r="P14" s="99">
        <f>$D14-vlookup(Summary!$C14,Summary!$C$2:$Q$103,3+counta($K$1:P$1),false)</f>
        <v>-0.5</v>
      </c>
      <c r="Q14" s="99">
        <f>$D14-vlookup(Summary!$C14,Summary!$C$2:$Q$103,3+counta($K$1:Q$1),false)</f>
        <v>-0.35</v>
      </c>
      <c r="R14" s="99">
        <f>$D14-vlookup(Summary!$C14,Summary!$C$2:$Q$103,3+counta($K$1:R$1),false)</f>
        <v>-0.15</v>
      </c>
      <c r="S14" s="99">
        <f>$D14-vlookup(Summary!$C14,Summary!$C$2:$Q$103,3+counta($K$1:S$1),false)</f>
        <v>0.05</v>
      </c>
      <c r="T14" s="99">
        <f>$D14-vlookup(Summary!$C14,Summary!$C$2:$Q$103,3+counta($K$1:T$1),false)</f>
        <v>0</v>
      </c>
      <c r="U14" s="99">
        <f>$D14-vlookup(Summary!$C14,Summary!$C$2:$Q$103,3+counta($K$1:U$1),false)</f>
        <v>-0.35</v>
      </c>
      <c r="V14" s="99">
        <f>$D14-vlookup(Summary!$C14,Summary!$C$2:$Q$103,3+counta($K$1:V$1),false)</f>
        <v>-0.35</v>
      </c>
    </row>
    <row r="15" ht="15.75" customHeight="1">
      <c r="A15" s="15">
        <f>Main!A15</f>
        <v>14</v>
      </c>
      <c r="B15" s="108" t="str">
        <f>Main!B15</f>
        <v>At least one person commits suicide as an effect of the Royal Commission into Defence and Veteran Suicide, as reported in The Guardian</v>
      </c>
      <c r="C15" s="15" t="str">
        <f>Main!C15</f>
        <v>Aus Politics</v>
      </c>
      <c r="D15" s="15">
        <f t="shared" si="1"/>
        <v>0.15</v>
      </c>
      <c r="F15" s="15">
        <v>-2.0</v>
      </c>
      <c r="K15" s="99">
        <f>$D15-vlookup(Summary!$C15,Summary!$C$2:$Q$103,3+counta($K$1:K$1),false)</f>
        <v>-0.25</v>
      </c>
      <c r="L15" s="99">
        <f>$D15-vlookup(Summary!$C15,Summary!$C$2:$Q$103,3+counta($K$1:L$1),false)</f>
        <v>-0.65</v>
      </c>
      <c r="M15" s="99">
        <f>$D15-vlookup(Summary!$C15,Summary!$C$2:$Q$103,3+counta($K$1:M$1),false)</f>
        <v>-0.55</v>
      </c>
      <c r="N15" s="99">
        <f>$D15-vlookup(Summary!$C15,Summary!$C$2:$Q$103,3+counta($K$1:N$1),false)</f>
        <v>-0.25</v>
      </c>
      <c r="O15" s="99">
        <f>$D15-vlookup(Summary!$C15,Summary!$C$2:$Q$103,3+counta($K$1:O$1),false)</f>
        <v>-0.15</v>
      </c>
      <c r="P15" s="99">
        <f>$D15-vlookup(Summary!$C15,Summary!$C$2:$Q$103,3+counta($K$1:P$1),false)</f>
        <v>-0.7</v>
      </c>
      <c r="Q15" s="99">
        <f>$D15-vlookup(Summary!$C15,Summary!$C$2:$Q$103,3+counta($K$1:Q$1),false)</f>
        <v>-0.45</v>
      </c>
      <c r="R15" s="99">
        <f>$D15-vlookup(Summary!$C15,Summary!$C$2:$Q$103,3+counta($K$1:R$1),false)</f>
        <v>-0.55</v>
      </c>
      <c r="S15" s="99">
        <f>$D15-vlookup(Summary!$C15,Summary!$C$2:$Q$103,3+counta($K$1:S$1),false)</f>
        <v>-0.75</v>
      </c>
      <c r="T15" s="99">
        <f>$D15-vlookup(Summary!$C15,Summary!$C$2:$Q$103,3+counta($K$1:T$1),false)</f>
        <v>0</v>
      </c>
      <c r="U15" s="99">
        <f>$D15-vlookup(Summary!$C15,Summary!$C$2:$Q$103,3+counta($K$1:U$1),false)</f>
        <v>-0.35</v>
      </c>
      <c r="V15" s="99">
        <f>$D15-vlookup(Summary!$C15,Summary!$C$2:$Q$103,3+counta($K$1:V$1),false)</f>
        <v>-0.25</v>
      </c>
    </row>
    <row r="16" ht="15.75" customHeight="1">
      <c r="A16" s="15">
        <f>Main!A16</f>
        <v>15</v>
      </c>
      <c r="B16" s="108" t="str">
        <f>Main!B16</f>
        <v>Taylor Swift will get married</v>
      </c>
      <c r="C16" s="15" t="str">
        <f>Main!C16</f>
        <v>Celebrities</v>
      </c>
      <c r="D16" s="15">
        <f t="shared" si="1"/>
        <v>0.15</v>
      </c>
      <c r="F16" s="15">
        <v>-2.0</v>
      </c>
      <c r="K16" s="99">
        <f>$D16-vlookup(Summary!$C16,Summary!$C$2:$Q$103,3+counta($K$1:K$1),false)</f>
        <v>-0.4</v>
      </c>
      <c r="L16" s="99">
        <f>$D16-vlookup(Summary!$C16,Summary!$C$2:$Q$103,3+counta($K$1:L$1),false)</f>
        <v>-0.25</v>
      </c>
      <c r="M16" s="99">
        <f>$D16-vlookup(Summary!$C16,Summary!$C$2:$Q$103,3+counta($K$1:M$1),false)</f>
        <v>-0.55</v>
      </c>
      <c r="N16" s="99">
        <f>$D16-vlookup(Summary!$C16,Summary!$C$2:$Q$103,3+counta($K$1:N$1),false)</f>
        <v>0</v>
      </c>
      <c r="O16" s="99">
        <f>$D16-vlookup(Summary!$C16,Summary!$C$2:$Q$103,3+counta($K$1:O$1),false)</f>
        <v>-0.45</v>
      </c>
      <c r="P16" s="99">
        <f>$D16-vlookup(Summary!$C16,Summary!$C$2:$Q$103,3+counta($K$1:P$1),false)</f>
        <v>-0.65</v>
      </c>
      <c r="Q16" s="99">
        <f>$D16-vlookup(Summary!$C16,Summary!$C$2:$Q$103,3+counta($K$1:Q$1),false)</f>
        <v>-0.05</v>
      </c>
      <c r="R16" s="99">
        <f>$D16-vlookup(Summary!$C16,Summary!$C$2:$Q$103,3+counta($K$1:R$1),false)</f>
        <v>-0.55</v>
      </c>
      <c r="S16" s="99">
        <f>$D16-vlookup(Summary!$C16,Summary!$C$2:$Q$103,3+counta($K$1:S$1),false)</f>
        <v>-0.65</v>
      </c>
      <c r="T16" s="99">
        <f>$D16-vlookup(Summary!$C16,Summary!$C$2:$Q$103,3+counta($K$1:T$1),false)</f>
        <v>0</v>
      </c>
      <c r="U16" s="99">
        <f>$D16-vlookup(Summary!$C16,Summary!$C$2:$Q$103,3+counta($K$1:U$1),false)</f>
        <v>-0.35</v>
      </c>
      <c r="V16" s="99">
        <f>$D16-vlookup(Summary!$C16,Summary!$C$2:$Q$103,3+counta($K$1:V$1),false)</f>
        <v>0.14</v>
      </c>
    </row>
    <row r="17" ht="15.75" customHeight="1">
      <c r="A17" s="15">
        <f>Main!A17</f>
        <v>16</v>
      </c>
      <c r="B17" s="108" t="str">
        <f>Main!B17</f>
        <v>Jane Campion will win the Oscar for Best Director</v>
      </c>
      <c r="C17" s="15" t="str">
        <f>Main!C17</f>
        <v>Celebrities</v>
      </c>
      <c r="D17" s="15">
        <f t="shared" si="1"/>
        <v>0.5</v>
      </c>
      <c r="F17" s="15">
        <v>0.0</v>
      </c>
      <c r="K17" s="99">
        <f>$D17-vlookup(Summary!$C17,Summary!$C$2:$Q$103,3+counta($K$1:K$1),false)</f>
        <v>-0.3</v>
      </c>
      <c r="L17" s="99">
        <f>$D17-vlookup(Summary!$C17,Summary!$C$2:$Q$103,3+counta($K$1:L$1),false)</f>
        <v>-0.1</v>
      </c>
      <c r="M17" s="99">
        <f>$D17-vlookup(Summary!$C17,Summary!$C$2:$Q$103,3+counta($K$1:M$1),false)</f>
        <v>0.3</v>
      </c>
      <c r="N17" s="99">
        <f>$D17-vlookup(Summary!$C17,Summary!$C$2:$Q$103,3+counta($K$1:N$1),false)</f>
        <v>-0.4</v>
      </c>
      <c r="O17" s="99">
        <f>$D17-vlookup(Summary!$C17,Summary!$C$2:$Q$103,3+counta($K$1:O$1),false)</f>
        <v>-0.4</v>
      </c>
      <c r="P17" s="99">
        <f>$D17-vlookup(Summary!$C17,Summary!$C$2:$Q$103,3+counta($K$1:P$1),false)</f>
        <v>-0.45</v>
      </c>
      <c r="Q17" s="99">
        <f>$D17-vlookup(Summary!$C17,Summary!$C$2:$Q$103,3+counta($K$1:Q$1),false)</f>
        <v>-0.2</v>
      </c>
      <c r="R17" s="99">
        <f>$D17-vlookup(Summary!$C17,Summary!$C$2:$Q$103,3+counta($K$1:R$1),false)</f>
        <v>0.3</v>
      </c>
      <c r="S17" s="99">
        <f>$D17-vlookup(Summary!$C17,Summary!$C$2:$Q$103,3+counta($K$1:S$1),false)</f>
        <v>0.4</v>
      </c>
      <c r="T17" s="99">
        <f>$D17-vlookup(Summary!$C17,Summary!$C$2:$Q$103,3+counta($K$1:T$1),false)</f>
        <v>0</v>
      </c>
      <c r="U17" s="99">
        <f>$D17-vlookup(Summary!$C17,Summary!$C$2:$Q$103,3+counta($K$1:U$1),false)</f>
        <v>0</v>
      </c>
      <c r="V17" s="99">
        <f>$D17-vlookup(Summary!$C17,Summary!$C$2:$Q$103,3+counta($K$1:V$1),false)</f>
        <v>0.2</v>
      </c>
    </row>
    <row r="18" ht="15.75" customHeight="1">
      <c r="A18" s="15">
        <f>Main!A18</f>
        <v>17</v>
      </c>
      <c r="B18" s="108" t="str">
        <f>Main!B18</f>
        <v>Harry and Megan's animated series "Pearl" will be released and have over 50% on Rotten Tomatoes</v>
      </c>
      <c r="C18" s="15" t="str">
        <f>Main!C18</f>
        <v>Celebrities</v>
      </c>
      <c r="D18" s="15">
        <f t="shared" si="1"/>
        <v>0.15</v>
      </c>
      <c r="F18" s="15">
        <v>-2.0</v>
      </c>
      <c r="K18" s="99">
        <f>$D18-vlookup(Summary!$C18,Summary!$C$2:$Q$103,3+counta($K$1:K$1),false)</f>
        <v>-0.25</v>
      </c>
      <c r="L18" s="99">
        <f>$D18-vlookup(Summary!$C18,Summary!$C$2:$Q$103,3+counta($K$1:L$1),false)</f>
        <v>-0.15</v>
      </c>
      <c r="M18" s="99">
        <f>$D18-vlookup(Summary!$C18,Summary!$C$2:$Q$103,3+counta($K$1:M$1),false)</f>
        <v>-0.65</v>
      </c>
      <c r="N18" s="99">
        <f>$D18-vlookup(Summary!$C18,Summary!$C$2:$Q$103,3+counta($K$1:N$1),false)</f>
        <v>-0.25</v>
      </c>
      <c r="O18" s="99">
        <f>$D18-vlookup(Summary!$C18,Summary!$C$2:$Q$103,3+counta($K$1:O$1),false)</f>
        <v>0.05</v>
      </c>
      <c r="P18" s="99">
        <f>$D18-vlookup(Summary!$C18,Summary!$C$2:$Q$103,3+counta($K$1:P$1),false)</f>
        <v>-0.65</v>
      </c>
      <c r="Q18" s="99">
        <f>$D18-vlookup(Summary!$C18,Summary!$C$2:$Q$103,3+counta($K$1:Q$1),false)</f>
        <v>-0.05</v>
      </c>
      <c r="R18" s="99">
        <f>$D18-vlookup(Summary!$C18,Summary!$C$2:$Q$103,3+counta($K$1:R$1),false)</f>
        <v>-0.65</v>
      </c>
      <c r="S18" s="99">
        <f>$D18-vlookup(Summary!$C18,Summary!$C$2:$Q$103,3+counta($K$1:S$1),false)</f>
        <v>-0.65</v>
      </c>
      <c r="T18" s="99">
        <f>$D18-vlookup(Summary!$C18,Summary!$C$2:$Q$103,3+counta($K$1:T$1),false)</f>
        <v>0</v>
      </c>
      <c r="U18" s="99">
        <f>$D18-vlookup(Summary!$C18,Summary!$C$2:$Q$103,3+counta($K$1:U$1),false)</f>
        <v>-0.35</v>
      </c>
      <c r="V18" s="99">
        <f>$D18-vlookup(Summary!$C18,Summary!$C$2:$Q$103,3+counta($K$1:V$1),false)</f>
        <v>-0.25</v>
      </c>
    </row>
    <row r="19" ht="15.75" customHeight="1">
      <c r="A19" s="15">
        <f>Main!A19</f>
        <v>18</v>
      </c>
      <c r="B19" s="108" t="str">
        <f>Main!B19</f>
        <v>Prince Andrew will enter or exit a courtroom wearing an oxygen mask and/or sitting in a wheelchair</v>
      </c>
      <c r="C19" s="15" t="str">
        <f>Main!C19</f>
        <v>Celebrities</v>
      </c>
      <c r="D19" s="15">
        <f t="shared" si="1"/>
        <v>0.15</v>
      </c>
      <c r="F19" s="15">
        <v>-2.0</v>
      </c>
      <c r="K19" s="99">
        <f>$D19-vlookup(Summary!$C19,Summary!$C$2:$Q$103,3+counta($K$1:K$1),false)</f>
        <v>-0.15</v>
      </c>
      <c r="L19" s="99">
        <f>$D19-vlookup(Summary!$C19,Summary!$C$2:$Q$103,3+counta($K$1:L$1),false)</f>
        <v>-0.05</v>
      </c>
      <c r="M19" s="99">
        <f>$D19-vlookup(Summary!$C19,Summary!$C$2:$Q$103,3+counta($K$1:M$1),false)</f>
        <v>-0.55</v>
      </c>
      <c r="N19" s="99">
        <f>$D19-vlookup(Summary!$C19,Summary!$C$2:$Q$103,3+counta($K$1:N$1),false)</f>
        <v>0.05</v>
      </c>
      <c r="O19" s="99">
        <f>$D19-vlookup(Summary!$C19,Summary!$C$2:$Q$103,3+counta($K$1:O$1),false)</f>
        <v>-0.25</v>
      </c>
      <c r="P19" s="99">
        <f>$D19-vlookup(Summary!$C19,Summary!$C$2:$Q$103,3+counta($K$1:P$1),false)</f>
        <v>-0.05</v>
      </c>
      <c r="Q19" s="99">
        <f>$D19-vlookup(Summary!$C19,Summary!$C$2:$Q$103,3+counta($K$1:Q$1),false)</f>
        <v>0.05</v>
      </c>
      <c r="R19" s="99">
        <f>$D19-vlookup(Summary!$C19,Summary!$C$2:$Q$103,3+counta($K$1:R$1),false)</f>
        <v>0.1</v>
      </c>
      <c r="S19" s="99">
        <f>$D19-vlookup(Summary!$C19,Summary!$C$2:$Q$103,3+counta($K$1:S$1),false)</f>
        <v>0.05</v>
      </c>
      <c r="T19" s="99">
        <f>$D19-vlookup(Summary!$C19,Summary!$C$2:$Q$103,3+counta($K$1:T$1),false)</f>
        <v>0</v>
      </c>
      <c r="U19" s="99">
        <f>$D19-vlookup(Summary!$C19,Summary!$C$2:$Q$103,3+counta($K$1:U$1),false)</f>
        <v>0.05</v>
      </c>
      <c r="V19" s="99">
        <f>$D19-vlookup(Summary!$C19,Summary!$C$2:$Q$103,3+counta($K$1:V$1),false)</f>
        <v>-0.05</v>
      </c>
    </row>
    <row r="20" ht="15.75" customHeight="1">
      <c r="A20" s="15">
        <f>Main!A20</f>
        <v>19</v>
      </c>
      <c r="B20" s="108" t="str">
        <f>Main!B20</f>
        <v>News Ltd will report on the emergence of a conspiracy theory relating to the Queen's death: that the palace is either secretly concealing her death or her continuing life</v>
      </c>
      <c r="C20" s="15" t="str">
        <f>Main!C20</f>
        <v>Celebrities</v>
      </c>
      <c r="D20" s="15">
        <f t="shared" si="1"/>
        <v>0.001</v>
      </c>
      <c r="F20" s="15">
        <v>-3.0</v>
      </c>
      <c r="K20" s="99">
        <f>$D20-vlookup(Summary!$C20,Summary!$C$2:$Q$103,3+counta($K$1:K$1),false)</f>
        <v>-0.249</v>
      </c>
      <c r="L20" s="99">
        <f>$D20-vlookup(Summary!$C20,Summary!$C$2:$Q$103,3+counta($K$1:L$1),false)</f>
        <v>-0.399</v>
      </c>
      <c r="M20" s="99">
        <f>$D20-vlookup(Summary!$C20,Summary!$C$2:$Q$103,3+counta($K$1:M$1),false)</f>
        <v>-0.799</v>
      </c>
      <c r="N20" s="99">
        <f>$D20-vlookup(Summary!$C20,Summary!$C$2:$Q$103,3+counta($K$1:N$1),false)</f>
        <v>-0.049</v>
      </c>
      <c r="O20" s="99">
        <f>$D20-vlookup(Summary!$C20,Summary!$C$2:$Q$103,3+counta($K$1:O$1),false)</f>
        <v>-0.499</v>
      </c>
      <c r="P20" s="99">
        <f>$D20-vlookup(Summary!$C20,Summary!$C$2:$Q$103,3+counta($K$1:P$1),false)</f>
        <v>-0.849</v>
      </c>
      <c r="Q20" s="99">
        <f>$D20-vlookup(Summary!$C20,Summary!$C$2:$Q$103,3+counta($K$1:Q$1),false)</f>
        <v>-0.049</v>
      </c>
      <c r="R20" s="99">
        <f>$D20-vlookup(Summary!$C20,Summary!$C$2:$Q$103,3+counta($K$1:R$1),false)</f>
        <v>-0.799</v>
      </c>
      <c r="S20" s="99">
        <f>$D20-vlookup(Summary!$C20,Summary!$C$2:$Q$103,3+counta($K$1:S$1),false)</f>
        <v>-0.099</v>
      </c>
      <c r="T20" s="99">
        <f>$D20-vlookup(Summary!$C20,Summary!$C$2:$Q$103,3+counta($K$1:T$1),false)</f>
        <v>0</v>
      </c>
      <c r="U20" s="99">
        <f>$D20-vlookup(Summary!$C20,Summary!$C$2:$Q$103,3+counta($K$1:U$1),false)</f>
        <v>-0.099</v>
      </c>
      <c r="V20" s="99">
        <f>$D20-vlookup(Summary!$C20,Summary!$C$2:$Q$103,3+counta($K$1:V$1),false)</f>
        <v>-0.499</v>
      </c>
    </row>
    <row r="21" ht="15.75" customHeight="1">
      <c r="A21" s="15">
        <f>Main!A21</f>
        <v>20</v>
      </c>
      <c r="B21" s="108" t="str">
        <f>Main!B21</f>
        <v>Julian Assange will be located in Australia</v>
      </c>
      <c r="C21" s="15" t="str">
        <f>Main!C21</f>
        <v>Celebrities</v>
      </c>
      <c r="D21" s="15">
        <f t="shared" si="1"/>
        <v>0.15</v>
      </c>
      <c r="F21" s="15">
        <v>-2.0</v>
      </c>
      <c r="K21" s="99">
        <f>$D21-vlookup(Summary!$C21,Summary!$C$2:$Q$103,3+counta($K$1:K$1),false)</f>
        <v>-0.05</v>
      </c>
      <c r="L21" s="99">
        <f>$D21-vlookup(Summary!$C21,Summary!$C$2:$Q$103,3+counta($K$1:L$1),false)</f>
        <v>-0.05</v>
      </c>
      <c r="M21" s="99">
        <f>$D21-vlookup(Summary!$C21,Summary!$C$2:$Q$103,3+counta($K$1:M$1),false)</f>
        <v>0.05</v>
      </c>
      <c r="N21" s="99">
        <f>$D21-vlookup(Summary!$C21,Summary!$C$2:$Q$103,3+counta($K$1:N$1),false)</f>
        <v>0.1</v>
      </c>
      <c r="O21" s="99">
        <f>$D21-vlookup(Summary!$C21,Summary!$C$2:$Q$103,3+counta($K$1:O$1),false)</f>
        <v>-0.15</v>
      </c>
      <c r="P21" s="99">
        <f>$D21-vlookup(Summary!$C21,Summary!$C$2:$Q$103,3+counta($K$1:P$1),false)</f>
        <v>-0.4</v>
      </c>
      <c r="Q21" s="99">
        <f>$D21-vlookup(Summary!$C21,Summary!$C$2:$Q$103,3+counta($K$1:Q$1),false)</f>
        <v>-0.05</v>
      </c>
      <c r="R21" s="99">
        <f>$D21-vlookup(Summary!$C21,Summary!$C$2:$Q$103,3+counta($K$1:R$1),false)</f>
        <v>0.05</v>
      </c>
      <c r="S21" s="99">
        <f>$D21-vlookup(Summary!$C21,Summary!$C$2:$Q$103,3+counta($K$1:S$1),false)</f>
        <v>-0.05</v>
      </c>
      <c r="T21" s="99">
        <f>$D21-vlookup(Summary!$C21,Summary!$C$2:$Q$103,3+counta($K$1:T$1),false)</f>
        <v>0</v>
      </c>
      <c r="U21" s="99">
        <f>$D21-vlookup(Summary!$C21,Summary!$C$2:$Q$103,3+counta($K$1:U$1),false)</f>
        <v>0.05</v>
      </c>
      <c r="V21" s="99">
        <f>$D21-vlookup(Summary!$C21,Summary!$C$2:$Q$103,3+counta($K$1:V$1),false)</f>
        <v>-0.15</v>
      </c>
    </row>
    <row r="22" ht="15.75" customHeight="1">
      <c r="A22" s="15">
        <f>Main!A22</f>
        <v>21</v>
      </c>
      <c r="B22" s="108" t="str">
        <f>Main!B22</f>
        <v>An alleged sexual predator will recieve an Emmy or Oscar by mainstream media (Andrew’s system)</v>
      </c>
      <c r="C22" s="15" t="str">
        <f>Main!C22</f>
        <v>Celebrities</v>
      </c>
      <c r="D22" s="15">
        <f t="shared" si="1"/>
        <v>0.65</v>
      </c>
      <c r="F22" s="15">
        <v>1.0</v>
      </c>
      <c r="K22" s="99">
        <f>$D22-vlookup(Summary!$C22,Summary!$C$2:$Q$103,3+counta($K$1:K$1),false)</f>
        <v>0.25</v>
      </c>
      <c r="L22" s="99">
        <f>$D22-vlookup(Summary!$C22,Summary!$C$2:$Q$103,3+counta($K$1:L$1),false)</f>
        <v>0.35</v>
      </c>
      <c r="M22" s="99">
        <f>$D22-vlookup(Summary!$C22,Summary!$C$2:$Q$103,3+counta($K$1:M$1),false)</f>
        <v>0.35</v>
      </c>
      <c r="N22" s="99">
        <f>$D22-vlookup(Summary!$C22,Summary!$C$2:$Q$103,3+counta($K$1:N$1),false)</f>
        <v>0.45</v>
      </c>
      <c r="O22" s="99">
        <f>$D22-vlookup(Summary!$C22,Summary!$C$2:$Q$103,3+counta($K$1:O$1),false)</f>
        <v>0.05</v>
      </c>
      <c r="P22" s="99">
        <f>$D22-vlookup(Summary!$C22,Summary!$C$2:$Q$103,3+counta($K$1:P$1),false)</f>
        <v>-0.05</v>
      </c>
      <c r="Q22" s="99">
        <f>$D22-vlookup(Summary!$C22,Summary!$C$2:$Q$103,3+counta($K$1:Q$1),false)</f>
        <v>0.45</v>
      </c>
      <c r="R22" s="99">
        <f>$D22-vlookup(Summary!$C22,Summary!$C$2:$Q$103,3+counta($K$1:R$1),false)</f>
        <v>0.35</v>
      </c>
      <c r="S22" s="99">
        <f>$D22-vlookup(Summary!$C22,Summary!$C$2:$Q$103,3+counta($K$1:S$1),false)</f>
        <v>-0.15</v>
      </c>
      <c r="T22" s="99">
        <f>$D22-vlookup(Summary!$C22,Summary!$C$2:$Q$103,3+counta($K$1:T$1),false)</f>
        <v>0</v>
      </c>
      <c r="U22" s="99">
        <f>$D22-vlookup(Summary!$C22,Summary!$C$2:$Q$103,3+counta($K$1:U$1),false)</f>
        <v>0.55</v>
      </c>
      <c r="V22" s="99">
        <f>$D22-vlookup(Summary!$C22,Summary!$C$2:$Q$103,3+counta($K$1:V$1),false)</f>
        <v>0.05</v>
      </c>
    </row>
    <row r="23" ht="15.75" customHeight="1">
      <c r="A23" s="15">
        <f>Main!A23</f>
        <v>22</v>
      </c>
      <c r="B23" s="108" t="str">
        <f>Main!B23</f>
        <v>The Queen will die</v>
      </c>
      <c r="C23" s="15" t="str">
        <f>Main!C23</f>
        <v>Celebrities</v>
      </c>
      <c r="D23" s="15">
        <f t="shared" si="1"/>
        <v>0.35</v>
      </c>
      <c r="F23" s="15">
        <v>-1.0</v>
      </c>
      <c r="K23" s="99">
        <f>$D23-vlookup(Summary!$C23,Summary!$C$2:$Q$103,3+counta($K$1:K$1),false)</f>
        <v>-0.05</v>
      </c>
      <c r="L23" s="99">
        <f>$D23-vlookup(Summary!$C23,Summary!$C$2:$Q$103,3+counta($K$1:L$1),false)</f>
        <v>0.15</v>
      </c>
      <c r="M23" s="99">
        <f>$D23-vlookup(Summary!$C23,Summary!$C$2:$Q$103,3+counta($K$1:M$1),false)</f>
        <v>-0.55</v>
      </c>
      <c r="N23" s="99">
        <f>$D23-vlookup(Summary!$C23,Summary!$C$2:$Q$103,3+counta($K$1:N$1),false)</f>
        <v>0.05</v>
      </c>
      <c r="O23" s="99">
        <f>$D23-vlookup(Summary!$C23,Summary!$C$2:$Q$103,3+counta($K$1:O$1),false)</f>
        <v>-0.35</v>
      </c>
      <c r="P23" s="99">
        <f>$D23-vlookup(Summary!$C23,Summary!$C$2:$Q$103,3+counta($K$1:P$1),false)</f>
        <v>-0.35</v>
      </c>
      <c r="Q23" s="99">
        <f>$D23-vlookup(Summary!$C23,Summary!$C$2:$Q$103,3+counta($K$1:Q$1),false)</f>
        <v>0.3</v>
      </c>
      <c r="R23" s="99">
        <f>$D23-vlookup(Summary!$C23,Summary!$C$2:$Q$103,3+counta($K$1:R$1),false)</f>
        <v>-0.55</v>
      </c>
      <c r="S23" s="99">
        <f>$D23-vlookup(Summary!$C23,Summary!$C$2:$Q$103,3+counta($K$1:S$1),false)</f>
        <v>-0.55</v>
      </c>
      <c r="T23" s="99">
        <f>$D23-vlookup(Summary!$C23,Summary!$C$2:$Q$103,3+counta($K$1:T$1),false)</f>
        <v>0</v>
      </c>
      <c r="U23" s="99">
        <f>$D23-vlookup(Summary!$C23,Summary!$C$2:$Q$103,3+counta($K$1:U$1),false)</f>
        <v>0.25</v>
      </c>
      <c r="V23" s="99">
        <f>$D23-vlookup(Summary!$C23,Summary!$C$2:$Q$103,3+counta($K$1:V$1),false)</f>
        <v>0.05</v>
      </c>
    </row>
    <row r="24" ht="15.75" customHeight="1">
      <c r="A24" s="15">
        <f>Main!A24</f>
        <v>23</v>
      </c>
      <c r="B24" s="108" t="str">
        <f>Main!B24</f>
        <v>Ghislaine Maxwell will successfully strike a plea deal and reduce her aggregate sentence to no greater than 10 years with parole no greater than 5 years.</v>
      </c>
      <c r="C24" s="15" t="str">
        <f>Main!C24</f>
        <v>Celebrities</v>
      </c>
      <c r="D24" s="15">
        <f t="shared" si="1"/>
        <v>0.65</v>
      </c>
      <c r="F24" s="15">
        <v>1.0</v>
      </c>
      <c r="K24" s="99">
        <f>$D24-vlookup(Summary!$C24,Summary!$C$2:$Q$103,3+counta($K$1:K$1),false)</f>
        <v>0.2</v>
      </c>
      <c r="L24" s="99">
        <f>$D24-vlookup(Summary!$C24,Summary!$C$2:$Q$103,3+counta($K$1:L$1),false)</f>
        <v>-0.05</v>
      </c>
      <c r="M24" s="99">
        <f>$D24-vlookup(Summary!$C24,Summary!$C$2:$Q$103,3+counta($K$1:M$1),false)</f>
        <v>-0.05</v>
      </c>
      <c r="N24" s="99">
        <f>$D24-vlookup(Summary!$C24,Summary!$C$2:$Q$103,3+counta($K$1:N$1),false)</f>
        <v>0.55</v>
      </c>
      <c r="O24" s="99">
        <f>$D24-vlookup(Summary!$C24,Summary!$C$2:$Q$103,3+counta($K$1:O$1),false)</f>
        <v>-0.25</v>
      </c>
      <c r="P24" s="99">
        <f>$D24-vlookup(Summary!$C24,Summary!$C$2:$Q$103,3+counta($K$1:P$1),false)</f>
        <v>0</v>
      </c>
      <c r="Q24" s="99">
        <f>$D24-vlookup(Summary!$C24,Summary!$C$2:$Q$103,3+counta($K$1:Q$1),false)</f>
        <v>0.45</v>
      </c>
      <c r="R24" s="99">
        <f>$D24-vlookup(Summary!$C24,Summary!$C$2:$Q$103,3+counta($K$1:R$1),false)</f>
        <v>-0.05</v>
      </c>
      <c r="S24" s="99">
        <f>$D24-vlookup(Summary!$C24,Summary!$C$2:$Q$103,3+counta($K$1:S$1),false)</f>
        <v>0.55</v>
      </c>
      <c r="T24" s="99">
        <f>$D24-vlookup(Summary!$C24,Summary!$C$2:$Q$103,3+counta($K$1:T$1),false)</f>
        <v>0</v>
      </c>
      <c r="U24" s="99">
        <f>$D24-vlookup(Summary!$C24,Summary!$C$2:$Q$103,3+counta($K$1:U$1),false)</f>
        <v>-0.05</v>
      </c>
      <c r="V24" s="99">
        <f>$D24-vlookup(Summary!$C24,Summary!$C$2:$Q$103,3+counta($K$1:V$1),false)</f>
        <v>0.15</v>
      </c>
    </row>
    <row r="25" ht="15.75" customHeight="1">
      <c r="A25" s="15">
        <f>Main!A25</f>
        <v>24</v>
      </c>
      <c r="B25" s="108" t="str">
        <f>Main!B25</f>
        <v>Formal criminal charges will be laid against Prince Andrew for sex offenses</v>
      </c>
      <c r="C25" s="15" t="str">
        <f>Main!C25</f>
        <v>Celebrities</v>
      </c>
      <c r="D25" s="15">
        <f t="shared" si="1"/>
        <v>0.15</v>
      </c>
      <c r="F25" s="15">
        <v>-2.0</v>
      </c>
      <c r="K25" s="99">
        <f>$D25-vlookup(Summary!$C25,Summary!$C$2:$Q$103,3+counta($K$1:K$1),false)</f>
        <v>-0.45</v>
      </c>
      <c r="L25" s="99">
        <f>$D25-vlookup(Summary!$C25,Summary!$C$2:$Q$103,3+counta($K$1:L$1),false)</f>
        <v>-0.05</v>
      </c>
      <c r="M25" s="99">
        <f>$D25-vlookup(Summary!$C25,Summary!$C$2:$Q$103,3+counta($K$1:M$1),false)</f>
        <v>-0.55</v>
      </c>
      <c r="N25" s="99">
        <f>$D25-vlookup(Summary!$C25,Summary!$C$2:$Q$103,3+counta($K$1:N$1),false)</f>
        <v>-0.75</v>
      </c>
      <c r="O25" s="99">
        <f>$D25-vlookup(Summary!$C25,Summary!$C$2:$Q$103,3+counta($K$1:O$1),false)</f>
        <v>0.05</v>
      </c>
      <c r="P25" s="99">
        <f>$D25-vlookup(Summary!$C25,Summary!$C$2:$Q$103,3+counta($K$1:P$1),false)</f>
        <v>-0.5</v>
      </c>
      <c r="Q25" s="99">
        <f>$D25-vlookup(Summary!$C25,Summary!$C$2:$Q$103,3+counta($K$1:Q$1),false)</f>
        <v>0</v>
      </c>
      <c r="R25" s="99">
        <f>$D25-vlookup(Summary!$C25,Summary!$C$2:$Q$103,3+counta($K$1:R$1),false)</f>
        <v>-0.55</v>
      </c>
      <c r="S25" s="99">
        <f>$D25-vlookup(Summary!$C25,Summary!$C$2:$Q$103,3+counta($K$1:S$1),false)</f>
        <v>-0.05</v>
      </c>
      <c r="T25" s="99">
        <f>$D25-vlookup(Summary!$C25,Summary!$C$2:$Q$103,3+counta($K$1:T$1),false)</f>
        <v>0</v>
      </c>
      <c r="U25" s="99">
        <f>$D25-vlookup(Summary!$C25,Summary!$C$2:$Q$103,3+counta($K$1:U$1),false)</f>
        <v>-0.35</v>
      </c>
      <c r="V25" s="99">
        <f>$D25-vlookup(Summary!$C25,Summary!$C$2:$Q$103,3+counta($K$1:V$1),false)</f>
        <v>-0.35</v>
      </c>
    </row>
    <row r="26" ht="15.75" customHeight="1">
      <c r="A26" s="15">
        <f>Main!A26</f>
        <v>25</v>
      </c>
      <c r="B26" s="108" t="str">
        <f>Main!B26</f>
        <v>Elizabeth Holmes will be sentenced to no greater than 15 years imprisonment.</v>
      </c>
      <c r="C26" s="15" t="str">
        <f>Main!C26</f>
        <v>Celebrities</v>
      </c>
      <c r="D26" s="15">
        <f t="shared" si="1"/>
        <v>0.85</v>
      </c>
      <c r="F26" s="15">
        <v>2.0</v>
      </c>
      <c r="K26" s="99">
        <f>$D26-vlookup(Summary!$C26,Summary!$C$2:$Q$103,3+counta($K$1:K$1),false)</f>
        <v>0.25</v>
      </c>
      <c r="L26" s="99">
        <f>$D26-vlookup(Summary!$C26,Summary!$C$2:$Q$103,3+counta($K$1:L$1),false)</f>
        <v>-0.05</v>
      </c>
      <c r="M26" s="99">
        <f>$D26-vlookup(Summary!$C26,Summary!$C$2:$Q$103,3+counta($K$1:M$1),false)</f>
        <v>0.05</v>
      </c>
      <c r="N26" s="99">
        <f>$D26-vlookup(Summary!$C26,Summary!$C$2:$Q$103,3+counta($K$1:N$1),false)</f>
        <v>0.35</v>
      </c>
      <c r="O26" s="99">
        <f>$D26-vlookup(Summary!$C26,Summary!$C$2:$Q$103,3+counta($K$1:O$1),false)</f>
        <v>-0.05</v>
      </c>
      <c r="P26" s="99">
        <f>$D26-vlookup(Summary!$C26,Summary!$C$2:$Q$103,3+counta($K$1:P$1),false)</f>
        <v>0.15</v>
      </c>
      <c r="Q26" s="99">
        <f>$D26-vlookup(Summary!$C26,Summary!$C$2:$Q$103,3+counta($K$1:Q$1),false)</f>
        <v>0.15</v>
      </c>
      <c r="R26" s="99">
        <f>$D26-vlookup(Summary!$C26,Summary!$C$2:$Q$103,3+counta($K$1:R$1),false)</f>
        <v>0.05</v>
      </c>
      <c r="S26" s="99">
        <f>$D26-vlookup(Summary!$C26,Summary!$C$2:$Q$103,3+counta($K$1:S$1),false)</f>
        <v>-0.05</v>
      </c>
      <c r="T26" s="99">
        <f>$D26-vlookup(Summary!$C26,Summary!$C$2:$Q$103,3+counta($K$1:T$1),false)</f>
        <v>0</v>
      </c>
      <c r="U26" s="99">
        <f>$D26-vlookup(Summary!$C26,Summary!$C$2:$Q$103,3+counta($K$1:U$1),false)</f>
        <v>0.35</v>
      </c>
      <c r="V26" s="99">
        <f>$D26-vlookup(Summary!$C26,Summary!$C$2:$Q$103,3+counta($K$1:V$1),false)</f>
        <v>0.15</v>
      </c>
    </row>
    <row r="27" ht="15.75" customHeight="1">
      <c r="A27" s="15">
        <f>Main!A27</f>
        <v>26</v>
      </c>
      <c r="B27" s="108" t="str">
        <f>Main!B27</f>
        <v>Meghan and Harry will separate</v>
      </c>
      <c r="C27" s="15" t="str">
        <f>Main!C27</f>
        <v>Celebrities</v>
      </c>
      <c r="D27" s="15">
        <f t="shared" si="1"/>
        <v>0.15</v>
      </c>
      <c r="F27" s="15">
        <v>-2.0</v>
      </c>
      <c r="K27" s="99">
        <f>$D27-vlookup(Summary!$C27,Summary!$C$2:$Q$103,3+counta($K$1:K$1),false)</f>
        <v>-0.05</v>
      </c>
      <c r="L27" s="99">
        <f>$D27-vlookup(Summary!$C27,Summary!$C$2:$Q$103,3+counta($K$1:L$1),false)</f>
        <v>0.05</v>
      </c>
      <c r="M27" s="99">
        <f>$D27-vlookup(Summary!$C27,Summary!$C$2:$Q$103,3+counta($K$1:M$1),false)</f>
        <v>-0.05</v>
      </c>
      <c r="N27" s="99">
        <f>$D27-vlookup(Summary!$C27,Summary!$C$2:$Q$103,3+counta($K$1:N$1),false)</f>
        <v>0.05</v>
      </c>
      <c r="O27" s="99">
        <f>$D27-vlookup(Summary!$C27,Summary!$C$2:$Q$103,3+counta($K$1:O$1),false)</f>
        <v>-0.35</v>
      </c>
      <c r="P27" s="99">
        <f>$D27-vlookup(Summary!$C27,Summary!$C$2:$Q$103,3+counta($K$1:P$1),false)</f>
        <v>-0.05</v>
      </c>
      <c r="Q27" s="99">
        <f>$D27-vlookup(Summary!$C27,Summary!$C$2:$Q$103,3+counta($K$1:Q$1),false)</f>
        <v>0.1</v>
      </c>
      <c r="R27" s="99">
        <f>$D27-vlookup(Summary!$C27,Summary!$C$2:$Q$103,3+counta($K$1:R$1),false)</f>
        <v>-0.05</v>
      </c>
      <c r="S27" s="99">
        <f>$D27-vlookup(Summary!$C27,Summary!$C$2:$Q$103,3+counta($K$1:S$1),false)</f>
        <v>-0.65</v>
      </c>
      <c r="T27" s="99">
        <f>$D27-vlookup(Summary!$C27,Summary!$C$2:$Q$103,3+counta($K$1:T$1),false)</f>
        <v>0</v>
      </c>
      <c r="U27" s="99">
        <f>$D27-vlookup(Summary!$C27,Summary!$C$2:$Q$103,3+counta($K$1:U$1),false)</f>
        <v>0.05</v>
      </c>
      <c r="V27" s="99">
        <f>$D27-vlookup(Summary!$C27,Summary!$C$2:$Q$103,3+counta($K$1:V$1),false)</f>
        <v>-0.15</v>
      </c>
    </row>
    <row r="28" ht="15.75" customHeight="1">
      <c r="A28" s="15">
        <f>Main!A28</f>
        <v>27</v>
      </c>
      <c r="B28" s="108" t="str">
        <f>Main!B28</f>
        <v>Tom Holland and Zendaya will separate.</v>
      </c>
      <c r="C28" s="15" t="str">
        <f>Main!C28</f>
        <v>Celebrities</v>
      </c>
      <c r="D28" s="15">
        <f t="shared" si="1"/>
        <v>0.5</v>
      </c>
      <c r="F28" s="15">
        <v>0.0</v>
      </c>
      <c r="K28" s="99">
        <f>$D28-vlookup(Summary!$C28,Summary!$C$2:$Q$103,3+counta($K$1:K$1),false)</f>
        <v>-0.1</v>
      </c>
      <c r="L28" s="99">
        <f>$D28-vlookup(Summary!$C28,Summary!$C$2:$Q$103,3+counta($K$1:L$1),false)</f>
        <v>-0.1</v>
      </c>
      <c r="M28" s="99">
        <f>$D28-vlookup(Summary!$C28,Summary!$C$2:$Q$103,3+counta($K$1:M$1),false)</f>
        <v>0.3</v>
      </c>
      <c r="N28" s="99">
        <f>$D28-vlookup(Summary!$C28,Summary!$C$2:$Q$103,3+counta($K$1:N$1),false)</f>
        <v>0</v>
      </c>
      <c r="O28" s="99">
        <f>$D28-vlookup(Summary!$C28,Summary!$C$2:$Q$103,3+counta($K$1:O$1),false)</f>
        <v>0.1</v>
      </c>
      <c r="P28" s="99">
        <f>$D28-vlookup(Summary!$C28,Summary!$C$2:$Q$103,3+counta($K$1:P$1),false)</f>
        <v>-0.15</v>
      </c>
      <c r="Q28" s="99">
        <f>$D28-vlookup(Summary!$C28,Summary!$C$2:$Q$103,3+counta($K$1:Q$1),false)</f>
        <v>0.3</v>
      </c>
      <c r="R28" s="99">
        <f>$D28-vlookup(Summary!$C28,Summary!$C$2:$Q$103,3+counta($K$1:R$1),false)</f>
        <v>0.3</v>
      </c>
      <c r="S28" s="99">
        <f>$D28-vlookup(Summary!$C28,Summary!$C$2:$Q$103,3+counta($K$1:S$1),false)</f>
        <v>-0.4</v>
      </c>
      <c r="T28" s="99">
        <f>$D28-vlookup(Summary!$C28,Summary!$C$2:$Q$103,3+counta($K$1:T$1),false)</f>
        <v>0</v>
      </c>
      <c r="U28" s="99">
        <f>$D28-vlookup(Summary!$C28,Summary!$C$2:$Q$103,3+counta($K$1:U$1),false)</f>
        <v>0</v>
      </c>
      <c r="V28" s="99">
        <f>$D28-vlookup(Summary!$C28,Summary!$C$2:$Q$103,3+counta($K$1:V$1),false)</f>
        <v>0.1</v>
      </c>
    </row>
    <row r="29" ht="15.75" customHeight="1">
      <c r="A29" s="15">
        <f>Main!A29</f>
        <v>28</v>
      </c>
      <c r="B29" s="108" t="str">
        <f>Main!B29</f>
        <v>Donald Trump endorses on social media a movement that is called White Lives Matter</v>
      </c>
      <c r="C29" s="15" t="str">
        <f>Main!C29</f>
        <v>Celebrities</v>
      </c>
      <c r="D29" s="15">
        <f t="shared" si="1"/>
        <v>0.001</v>
      </c>
      <c r="F29" s="15">
        <v>-3.0</v>
      </c>
      <c r="K29" s="99">
        <f>$D29-vlookup(Summary!$C29,Summary!$C$2:$Q$103,3+counta($K$1:K$1),false)</f>
        <v>-0.299</v>
      </c>
      <c r="L29" s="99">
        <f>$D29-vlookup(Summary!$C29,Summary!$C$2:$Q$103,3+counta($K$1:L$1),false)</f>
        <v>-0.299</v>
      </c>
      <c r="M29" s="99">
        <f>$D29-vlookup(Summary!$C29,Summary!$C$2:$Q$103,3+counta($K$1:M$1),false)</f>
        <v>-0.799</v>
      </c>
      <c r="N29" s="99">
        <f>$D29-vlookup(Summary!$C29,Summary!$C$2:$Q$103,3+counta($K$1:N$1),false)</f>
        <v>-0.099</v>
      </c>
      <c r="O29" s="99">
        <f>$D29-vlookup(Summary!$C29,Summary!$C$2:$Q$103,3+counta($K$1:O$1),false)</f>
        <v>-0.899</v>
      </c>
      <c r="P29" s="99">
        <f>$D29-vlookup(Summary!$C29,Summary!$C$2:$Q$103,3+counta($K$1:P$1),false)</f>
        <v>-0.449</v>
      </c>
      <c r="Q29" s="99">
        <f>$D29-vlookup(Summary!$C29,Summary!$C$2:$Q$103,3+counta($K$1:Q$1),false)</f>
        <v>0</v>
      </c>
      <c r="R29" s="99">
        <f>$D29-vlookup(Summary!$C29,Summary!$C$2:$Q$103,3+counta($K$1:R$1),false)</f>
        <v>-0.799</v>
      </c>
      <c r="S29" s="99">
        <f>$D29-vlookup(Summary!$C29,Summary!$C$2:$Q$103,3+counta($K$1:S$1),false)</f>
        <v>-0.899</v>
      </c>
      <c r="T29" s="99">
        <f>$D29-vlookup(Summary!$C29,Summary!$C$2:$Q$103,3+counta($K$1:T$1),false)</f>
        <v>0</v>
      </c>
      <c r="U29" s="99">
        <f>$D29-vlookup(Summary!$C29,Summary!$C$2:$Q$103,3+counta($K$1:U$1),false)</f>
        <v>-0.099</v>
      </c>
      <c r="V29" s="99">
        <f>$D29-vlookup(Summary!$C29,Summary!$C$2:$Q$103,3+counta($K$1:V$1),false)</f>
        <v>-0.549</v>
      </c>
    </row>
    <row r="30" ht="15.75" customHeight="1">
      <c r="A30" s="15">
        <f>Main!A30</f>
        <v>29</v>
      </c>
      <c r="B30" s="108" t="str">
        <f>Main!B30</f>
        <v>Britney Spears returns under conservatorship</v>
      </c>
      <c r="C30" s="15" t="str">
        <f>Main!C30</f>
        <v>Celebrities</v>
      </c>
      <c r="D30" s="15">
        <f t="shared" si="1"/>
        <v>0.001</v>
      </c>
      <c r="F30" s="15">
        <v>-3.0</v>
      </c>
      <c r="K30" s="99">
        <f>$D30-vlookup(Summary!$C30,Summary!$C$2:$Q$103,3+counta($K$1:K$1),false)</f>
        <v>-0.099</v>
      </c>
      <c r="L30" s="99">
        <f>$D30-vlookup(Summary!$C30,Summary!$C$2:$Q$103,3+counta($K$1:L$1),false)</f>
        <v>-0.099</v>
      </c>
      <c r="M30" s="99">
        <f>$D30-vlookup(Summary!$C30,Summary!$C$2:$Q$103,3+counta($K$1:M$1),false)</f>
        <v>-0.049</v>
      </c>
      <c r="N30" s="99">
        <f>$D30-vlookup(Summary!$C30,Summary!$C$2:$Q$103,3+counta($K$1:N$1),false)</f>
        <v>-0.049</v>
      </c>
      <c r="O30" s="99">
        <f>$D30-vlookup(Summary!$C30,Summary!$C$2:$Q$103,3+counta($K$1:O$1),false)</f>
        <v>-0.099</v>
      </c>
      <c r="P30" s="99">
        <f>$D30-vlookup(Summary!$C30,Summary!$C$2:$Q$103,3+counta($K$1:P$1),false)</f>
        <v>0.001</v>
      </c>
      <c r="Q30" s="99">
        <f>$D30-vlookup(Summary!$C30,Summary!$C$2:$Q$103,3+counta($K$1:Q$1),false)</f>
        <v>-0.049</v>
      </c>
      <c r="R30" s="99">
        <f>$D30-vlookup(Summary!$C30,Summary!$C$2:$Q$103,3+counta($K$1:R$1),false)</f>
        <v>-0.049</v>
      </c>
      <c r="S30" s="99">
        <f>$D30-vlookup(Summary!$C30,Summary!$C$2:$Q$103,3+counta($K$1:S$1),false)</f>
        <v>-0.099</v>
      </c>
      <c r="T30" s="99">
        <f>$D30-vlookup(Summary!$C30,Summary!$C$2:$Q$103,3+counta($K$1:T$1),false)</f>
        <v>0</v>
      </c>
      <c r="U30" s="99">
        <f>$D30-vlookup(Summary!$C30,Summary!$C$2:$Q$103,3+counta($K$1:U$1),false)</f>
        <v>-0.099</v>
      </c>
      <c r="V30" s="99">
        <f>$D30-vlookup(Summary!$C30,Summary!$C$2:$Q$103,3+counta($K$1:V$1),false)</f>
        <v>-0.499</v>
      </c>
    </row>
    <row r="31" ht="15.75" customHeight="1">
      <c r="A31" s="15">
        <f>Main!A31</f>
        <v>30</v>
      </c>
      <c r="B31" s="108" t="str">
        <f>Main!B31</f>
        <v>Taylor Swift and her partner separate, or announce they're expecting a child</v>
      </c>
      <c r="C31" s="15" t="str">
        <f>Main!C31</f>
        <v>Celebrities</v>
      </c>
      <c r="D31" s="15">
        <f t="shared" si="1"/>
        <v>0.15</v>
      </c>
      <c r="F31" s="15">
        <v>-2.0</v>
      </c>
      <c r="K31" s="99">
        <f>$D31-vlookup(Summary!$C31,Summary!$C$2:$Q$103,3+counta($K$1:K$1),false)</f>
        <v>-0.25</v>
      </c>
      <c r="L31" s="99">
        <f>$D31-vlookup(Summary!$C31,Summary!$C$2:$Q$103,3+counta($K$1:L$1),false)</f>
        <v>-0.15</v>
      </c>
      <c r="M31" s="99">
        <f>$D31-vlookup(Summary!$C31,Summary!$C$2:$Q$103,3+counta($K$1:M$1),false)</f>
        <v>-0.55</v>
      </c>
      <c r="N31" s="99">
        <f>$D31-vlookup(Summary!$C31,Summary!$C$2:$Q$103,3+counta($K$1:N$1),false)</f>
        <v>0.05</v>
      </c>
      <c r="O31" s="99">
        <f>$D31-vlookup(Summary!$C31,Summary!$C$2:$Q$103,3+counta($K$1:O$1),false)</f>
        <v>-0.55</v>
      </c>
      <c r="P31" s="99">
        <f>$D31-vlookup(Summary!$C31,Summary!$C$2:$Q$103,3+counta($K$1:P$1),false)</f>
        <v>-0.45</v>
      </c>
      <c r="Q31" s="99">
        <f>$D31-vlookup(Summary!$C31,Summary!$C$2:$Q$103,3+counta($K$1:Q$1),false)</f>
        <v>0.05</v>
      </c>
      <c r="R31" s="99">
        <f>$D31-vlookup(Summary!$C31,Summary!$C$2:$Q$103,3+counta($K$1:R$1),false)</f>
        <v>-0.55</v>
      </c>
      <c r="S31" s="99">
        <f>$D31-vlookup(Summary!$C31,Summary!$C$2:$Q$103,3+counta($K$1:S$1),false)</f>
        <v>-0.75</v>
      </c>
      <c r="T31" s="99">
        <f>$D31-vlookup(Summary!$C31,Summary!$C$2:$Q$103,3+counta($K$1:T$1),false)</f>
        <v>0</v>
      </c>
      <c r="U31" s="99">
        <f>$D31-vlookup(Summary!$C31,Summary!$C$2:$Q$103,3+counta($K$1:U$1),false)</f>
        <v>-0.35</v>
      </c>
      <c r="V31" s="99">
        <f>$D31-vlookup(Summary!$C31,Summary!$C$2:$Q$103,3+counta($K$1:V$1),false)</f>
        <v>-0.05</v>
      </c>
    </row>
    <row r="32" ht="15.75" customHeight="1">
      <c r="A32" s="15">
        <f>Main!A32</f>
        <v>31</v>
      </c>
      <c r="B32" s="108" t="str">
        <f>Main!B32</f>
        <v>Aung San Suu Kyi dies or announces she has a terminal illness (terminal illness including cancer)</v>
      </c>
      <c r="C32" s="15" t="str">
        <f>Main!C32</f>
        <v>Celebrities</v>
      </c>
      <c r="D32" s="15">
        <f t="shared" si="1"/>
        <v>0.35</v>
      </c>
      <c r="F32" s="15">
        <v>-1.0</v>
      </c>
      <c r="K32" s="99">
        <f>$D32-vlookup(Summary!$C32,Summary!$C$2:$Q$103,3+counta($K$1:K$1),false)</f>
        <v>-0.15</v>
      </c>
      <c r="L32" s="99">
        <f>$D32-vlookup(Summary!$C32,Summary!$C$2:$Q$103,3+counta($K$1:L$1),false)</f>
        <v>-0.05</v>
      </c>
      <c r="M32" s="99">
        <f>$D32-vlookup(Summary!$C32,Summary!$C$2:$Q$103,3+counta($K$1:M$1),false)</f>
        <v>-0.15</v>
      </c>
      <c r="N32" s="99">
        <f>$D32-vlookup(Summary!$C32,Summary!$C$2:$Q$103,3+counta($K$1:N$1),false)</f>
        <v>0.15</v>
      </c>
      <c r="O32" s="99">
        <f>$D32-vlookup(Summary!$C32,Summary!$C$2:$Q$103,3+counta($K$1:O$1),false)</f>
        <v>0.05</v>
      </c>
      <c r="P32" s="99">
        <f>$D32-vlookup(Summary!$C32,Summary!$C$2:$Q$103,3+counta($K$1:P$1),false)</f>
        <v>-0.1</v>
      </c>
      <c r="Q32" s="99">
        <f>$D32-vlookup(Summary!$C32,Summary!$C$2:$Q$103,3+counta($K$1:Q$1),false)</f>
        <v>0.15</v>
      </c>
      <c r="R32" s="99">
        <f>$D32-vlookup(Summary!$C32,Summary!$C$2:$Q$103,3+counta($K$1:R$1),false)</f>
        <v>-0.15</v>
      </c>
      <c r="S32" s="99">
        <f>$D32-vlookup(Summary!$C32,Summary!$C$2:$Q$103,3+counta($K$1:S$1),false)</f>
        <v>0.25</v>
      </c>
      <c r="T32" s="99">
        <f>$D32-vlookup(Summary!$C32,Summary!$C$2:$Q$103,3+counta($K$1:T$1),false)</f>
        <v>0</v>
      </c>
      <c r="U32" s="99">
        <f>$D32-vlookup(Summary!$C32,Summary!$C$2:$Q$103,3+counta($K$1:U$1),false)</f>
        <v>0.25</v>
      </c>
      <c r="V32" s="99">
        <f>$D32-vlookup(Summary!$C32,Summary!$C$2:$Q$103,3+counta($K$1:V$1),false)</f>
        <v>-0.15</v>
      </c>
    </row>
    <row r="33" ht="15.75" customHeight="1">
      <c r="A33" s="15">
        <f>Main!A33</f>
        <v>32</v>
      </c>
      <c r="B33" s="108" t="str">
        <f>Main!B33</f>
        <v>Henry Cavill marries</v>
      </c>
      <c r="C33" s="15" t="str">
        <f>Main!C33</f>
        <v>Celebrities</v>
      </c>
      <c r="D33" s="15">
        <f t="shared" si="1"/>
        <v>0.15</v>
      </c>
      <c r="F33" s="15">
        <v>-2.0</v>
      </c>
      <c r="K33" s="99">
        <f>$D33-vlookup(Summary!$C33,Summary!$C$2:$Q$103,3+counta($K$1:K$1),false)</f>
        <v>-0.4</v>
      </c>
      <c r="L33" s="99">
        <f>$D33-vlookup(Summary!$C33,Summary!$C$2:$Q$103,3+counta($K$1:L$1),false)</f>
        <v>-0.45</v>
      </c>
      <c r="M33" s="99">
        <f>$D33-vlookup(Summary!$C33,Summary!$C$2:$Q$103,3+counta($K$1:M$1),false)</f>
        <v>0.05</v>
      </c>
      <c r="N33" s="99">
        <f>$D33-vlookup(Summary!$C33,Summary!$C$2:$Q$103,3+counta($K$1:N$1),false)</f>
        <v>-0.05</v>
      </c>
      <c r="O33" s="99">
        <f>$D33-vlookup(Summary!$C33,Summary!$C$2:$Q$103,3+counta($K$1:O$1),false)</f>
        <v>-0.25</v>
      </c>
      <c r="P33" s="99">
        <f>$D33-vlookup(Summary!$C33,Summary!$C$2:$Q$103,3+counta($K$1:P$1),false)</f>
        <v>-0.35</v>
      </c>
      <c r="Q33" s="99">
        <f>$D33-vlookup(Summary!$C33,Summary!$C$2:$Q$103,3+counta($K$1:Q$1),false)</f>
        <v>-0.05</v>
      </c>
      <c r="R33" s="99">
        <f>$D33-vlookup(Summary!$C33,Summary!$C$2:$Q$103,3+counta($K$1:R$1),false)</f>
        <v>0.05</v>
      </c>
      <c r="S33" s="99">
        <f>$D33-vlookup(Summary!$C33,Summary!$C$2:$Q$103,3+counta($K$1:S$1),false)</f>
        <v>-0.35</v>
      </c>
      <c r="T33" s="99">
        <f>$D33-vlookup(Summary!$C33,Summary!$C$2:$Q$103,3+counta($K$1:T$1),false)</f>
        <v>0</v>
      </c>
      <c r="U33" s="99">
        <f>$D33-vlookup(Summary!$C33,Summary!$C$2:$Q$103,3+counta($K$1:U$1),false)</f>
        <v>-0.35</v>
      </c>
      <c r="V33" s="99">
        <f>$D33-vlookup(Summary!$C33,Summary!$C$2:$Q$103,3+counta($K$1:V$1),false)</f>
        <v>-0.25</v>
      </c>
    </row>
    <row r="34" ht="15.75" customHeight="1">
      <c r="A34" s="15">
        <f>Main!A34</f>
        <v>33</v>
      </c>
      <c r="B34" s="108" t="str">
        <f>Main!B34</f>
        <v>Daily COVID cases in Australia will reach 150,000 at least once</v>
      </c>
      <c r="C34" s="15" t="str">
        <f>Main!C34</f>
        <v>Covid</v>
      </c>
      <c r="D34" s="15">
        <f t="shared" si="1"/>
        <v>0.15</v>
      </c>
      <c r="F34" s="15">
        <v>-2.0</v>
      </c>
      <c r="K34" s="99">
        <f>$D34-vlookup(Summary!$C34,Summary!$C$2:$Q$103,3+counta($K$1:K$1),false)</f>
        <v>0.05</v>
      </c>
      <c r="L34" s="99">
        <f>$D34-vlookup(Summary!$C34,Summary!$C$2:$Q$103,3+counta($K$1:L$1),false)</f>
        <v>-0.05</v>
      </c>
      <c r="M34" s="99">
        <f>$D34-vlookup(Summary!$C34,Summary!$C$2:$Q$103,3+counta($K$1:M$1),false)</f>
        <v>0.14</v>
      </c>
      <c r="N34" s="99">
        <f>$D34-vlookup(Summary!$C34,Summary!$C$2:$Q$103,3+counta($K$1:N$1),false)</f>
        <v>0.05</v>
      </c>
      <c r="O34" s="99">
        <f>$D34-vlookup(Summary!$C34,Summary!$C$2:$Q$103,3+counta($K$1:O$1),false)</f>
        <v>-0.75</v>
      </c>
      <c r="P34" s="99">
        <f>$D34-vlookup(Summary!$C34,Summary!$C$2:$Q$103,3+counta($K$1:P$1),false)</f>
        <v>-0.45</v>
      </c>
      <c r="Q34" s="99">
        <f>$D34-vlookup(Summary!$C34,Summary!$C$2:$Q$103,3+counta($K$1:Q$1),false)</f>
        <v>0.1</v>
      </c>
      <c r="R34" s="99">
        <f>$D34-vlookup(Summary!$C34,Summary!$C$2:$Q$103,3+counta($K$1:R$1),false)</f>
        <v>0.14</v>
      </c>
      <c r="S34" s="99">
        <f>$D34-vlookup(Summary!$C34,Summary!$C$2:$Q$103,3+counta($K$1:S$1),false)</f>
        <v>-0.25</v>
      </c>
      <c r="T34" s="99">
        <f>$D34-vlookup(Summary!$C34,Summary!$C$2:$Q$103,3+counta($K$1:T$1),false)</f>
        <v>0</v>
      </c>
      <c r="U34" s="99">
        <f>$D34-vlookup(Summary!$C34,Summary!$C$2:$Q$103,3+counta($K$1:U$1),false)</f>
        <v>-0.75</v>
      </c>
      <c r="V34" s="99">
        <f>$D34-vlookup(Summary!$C34,Summary!$C$2:$Q$103,3+counta($K$1:V$1),false)</f>
        <v>-0.75</v>
      </c>
    </row>
    <row r="35" ht="15.75" customHeight="1">
      <c r="A35" s="15">
        <f>Main!A35</f>
        <v>34</v>
      </c>
      <c r="B35" s="108" t="str">
        <f>Main!B35</f>
        <v>More deaths will be attributed to Omicron by the WHO than all other covid variants combined</v>
      </c>
      <c r="C35" s="15" t="str">
        <f>Main!C35</f>
        <v>Covid</v>
      </c>
      <c r="D35" s="15">
        <f t="shared" si="1"/>
        <v>0.85</v>
      </c>
      <c r="F35" s="15">
        <v>2.0</v>
      </c>
      <c r="K35" s="99">
        <f>$D35-vlookup(Summary!$C35,Summary!$C$2:$Q$103,3+counta($K$1:K$1),false)</f>
        <v>0.55</v>
      </c>
      <c r="L35" s="99">
        <f>$D35-vlookup(Summary!$C35,Summary!$C$2:$Q$103,3+counta($K$1:L$1),false)</f>
        <v>0.75</v>
      </c>
      <c r="M35" s="99">
        <f>$D35-vlookup(Summary!$C35,Summary!$C$2:$Q$103,3+counta($K$1:M$1),false)</f>
        <v>0.05</v>
      </c>
      <c r="N35" s="99">
        <f>$D35-vlookup(Summary!$C35,Summary!$C$2:$Q$103,3+counta($K$1:N$1),false)</f>
        <v>0.75</v>
      </c>
      <c r="O35" s="99">
        <f>$D35-vlookup(Summary!$C35,Summary!$C$2:$Q$103,3+counta($K$1:O$1),false)</f>
        <v>0.45</v>
      </c>
      <c r="P35" s="99">
        <f>$D35-vlookup(Summary!$C35,Summary!$C$2:$Q$103,3+counta($K$1:P$1),false)</f>
        <v>0.1</v>
      </c>
      <c r="Q35" s="99">
        <f>$D35-vlookup(Summary!$C35,Summary!$C$2:$Q$103,3+counta($K$1:Q$1),false)</f>
        <v>0.849</v>
      </c>
      <c r="R35" s="99">
        <f>$D35-vlookup(Summary!$C35,Summary!$C$2:$Q$103,3+counta($K$1:R$1),false)</f>
        <v>0.05</v>
      </c>
      <c r="S35" s="99">
        <f>$D35-vlookup(Summary!$C35,Summary!$C$2:$Q$103,3+counta($K$1:S$1),false)</f>
        <v>0.55</v>
      </c>
      <c r="T35" s="99">
        <f>$D35-vlookup(Summary!$C35,Summary!$C$2:$Q$103,3+counta($K$1:T$1),false)</f>
        <v>0</v>
      </c>
      <c r="U35" s="99">
        <f>$D35-vlookup(Summary!$C35,Summary!$C$2:$Q$103,3+counta($K$1:U$1),false)</f>
        <v>0.35</v>
      </c>
      <c r="V35" s="99">
        <f>$D35-vlookup(Summary!$C35,Summary!$C$2:$Q$103,3+counta($K$1:V$1),false)</f>
        <v>0.15</v>
      </c>
    </row>
    <row r="36" ht="15.75" customHeight="1">
      <c r="A36" s="15">
        <f>Main!A36</f>
        <v>35</v>
      </c>
      <c r="B36" s="108" t="str">
        <f>Main!B36</f>
        <v>The average number of covid vaccinations per person amongst members of Xmas eve 2022 will be &gt; 3</v>
      </c>
      <c r="C36" s="15" t="str">
        <f>Main!C36</f>
        <v>Covid</v>
      </c>
      <c r="D36" s="15">
        <f t="shared" si="1"/>
        <v>0.85</v>
      </c>
      <c r="F36" s="15">
        <v>2.0</v>
      </c>
      <c r="K36" s="99">
        <f>$D36-vlookup(Summary!$C36,Summary!$C$2:$Q$103,3+counta($K$1:K$1),false)</f>
        <v>0.05</v>
      </c>
      <c r="L36" s="99">
        <f>$D36-vlookup(Summary!$C36,Summary!$C$2:$Q$103,3+counta($K$1:L$1),false)</f>
        <v>-0.05</v>
      </c>
      <c r="M36" s="99">
        <f>$D36-vlookup(Summary!$C36,Summary!$C$2:$Q$103,3+counta($K$1:M$1),false)</f>
        <v>-0.05</v>
      </c>
      <c r="N36" s="99">
        <f>$D36-vlookup(Summary!$C36,Summary!$C$2:$Q$103,3+counta($K$1:N$1),false)</f>
        <v>0.35</v>
      </c>
      <c r="O36" s="99">
        <f>$D36-vlookup(Summary!$C36,Summary!$C$2:$Q$103,3+counta($K$1:O$1),false)</f>
        <v>0.45</v>
      </c>
      <c r="P36" s="99">
        <f>$D36-vlookup(Summary!$C36,Summary!$C$2:$Q$103,3+counta($K$1:P$1),false)</f>
        <v>0.05</v>
      </c>
      <c r="Q36" s="99">
        <f>$D36-vlookup(Summary!$C36,Summary!$C$2:$Q$103,3+counta($K$1:Q$1),false)</f>
        <v>-0.149</v>
      </c>
      <c r="R36" s="99">
        <f>$D36-vlookup(Summary!$C36,Summary!$C$2:$Q$103,3+counta($K$1:R$1),false)</f>
        <v>-0.05</v>
      </c>
      <c r="S36" s="99">
        <f>$D36-vlookup(Summary!$C36,Summary!$C$2:$Q$103,3+counta($K$1:S$1),false)</f>
        <v>-0.05</v>
      </c>
      <c r="T36" s="99">
        <f>$D36-vlookup(Summary!$C36,Summary!$C$2:$Q$103,3+counta($K$1:T$1),false)</f>
        <v>0</v>
      </c>
      <c r="U36" s="99">
        <f>$D36-vlookup(Summary!$C36,Summary!$C$2:$Q$103,3+counta($K$1:U$1),false)</f>
        <v>-0.05</v>
      </c>
      <c r="V36" s="99">
        <f>$D36-vlookup(Summary!$C36,Summary!$C$2:$Q$103,3+counta($K$1:V$1),false)</f>
        <v>0.45</v>
      </c>
    </row>
    <row r="37" ht="15.75" customHeight="1">
      <c r="A37" s="15">
        <f>Main!A37</f>
        <v>36</v>
      </c>
      <c r="B37" s="108" t="str">
        <f>Main!B37</f>
        <v>2 new variants of Covid will be invented/discovered during 2022</v>
      </c>
      <c r="C37" s="15" t="str">
        <f>Main!C37</f>
        <v>Covid</v>
      </c>
      <c r="D37" s="15">
        <f t="shared" si="1"/>
        <v>0.35</v>
      </c>
      <c r="F37" s="15">
        <v>-1.0</v>
      </c>
      <c r="K37" s="99">
        <f>$D37-vlookup(Summary!$C37,Summary!$C$2:$Q$103,3+counta($K$1:K$1),false)</f>
        <v>0.05</v>
      </c>
      <c r="L37" s="99">
        <f>$D37-vlookup(Summary!$C37,Summary!$C$2:$Q$103,3+counta($K$1:L$1),false)</f>
        <v>0.05</v>
      </c>
      <c r="M37" s="99">
        <f>$D37-vlookup(Summary!$C37,Summary!$C$2:$Q$103,3+counta($K$1:M$1),false)</f>
        <v>-0.45</v>
      </c>
      <c r="N37" s="99">
        <f>$D37-vlookup(Summary!$C37,Summary!$C$2:$Q$103,3+counta($K$1:N$1),false)</f>
        <v>0.05</v>
      </c>
      <c r="O37" s="99">
        <f>$D37-vlookup(Summary!$C37,Summary!$C$2:$Q$103,3+counta($K$1:O$1),false)</f>
        <v>-0.55</v>
      </c>
      <c r="P37" s="99">
        <f>$D37-vlookup(Summary!$C37,Summary!$C$2:$Q$103,3+counta($K$1:P$1),false)</f>
        <v>-0.5</v>
      </c>
      <c r="Q37" s="99">
        <f>$D37-vlookup(Summary!$C37,Summary!$C$2:$Q$103,3+counta($K$1:Q$1),false)</f>
        <v>0.349</v>
      </c>
      <c r="R37" s="99">
        <f>$D37-vlookup(Summary!$C37,Summary!$C$2:$Q$103,3+counta($K$1:R$1),false)</f>
        <v>-0.45</v>
      </c>
      <c r="S37" s="99">
        <f>$D37-vlookup(Summary!$C37,Summary!$C$2:$Q$103,3+counta($K$1:S$1),false)</f>
        <v>-0.55</v>
      </c>
      <c r="T37" s="99">
        <f>$D37-vlookup(Summary!$C37,Summary!$C$2:$Q$103,3+counta($K$1:T$1),false)</f>
        <v>0</v>
      </c>
      <c r="U37" s="99">
        <f>$D37-vlookup(Summary!$C37,Summary!$C$2:$Q$103,3+counta($K$1:U$1),false)</f>
        <v>-0.55</v>
      </c>
      <c r="V37" s="99">
        <f>$D37-vlookup(Summary!$C37,Summary!$C$2:$Q$103,3+counta($K$1:V$1),false)</f>
        <v>-0.05</v>
      </c>
    </row>
    <row r="38" ht="15.75" customHeight="1">
      <c r="A38" s="15">
        <f>Main!A38</f>
        <v>37</v>
      </c>
      <c r="B38" s="108" t="str">
        <f>Main!B38</f>
        <v>Tasmania will have experienced at least 10,000 new cases in 1 day</v>
      </c>
      <c r="C38" s="15" t="str">
        <f>Main!C38</f>
        <v>Covid</v>
      </c>
      <c r="D38" s="15">
        <f t="shared" si="1"/>
        <v>0.001</v>
      </c>
      <c r="F38" s="15">
        <v>-3.0</v>
      </c>
      <c r="K38" s="99">
        <f>$D38-vlookup(Summary!$C38,Summary!$C$2:$Q$103,3+counta($K$1:K$1),false)</f>
        <v>-0.149</v>
      </c>
      <c r="L38" s="99">
        <f>$D38-vlookup(Summary!$C38,Summary!$C$2:$Q$103,3+counta($K$1:L$1),false)</f>
        <v>-0.099</v>
      </c>
      <c r="M38" s="99">
        <f>$D38-vlookup(Summary!$C38,Summary!$C$2:$Q$103,3+counta($K$1:M$1),false)</f>
        <v>-0.049</v>
      </c>
      <c r="N38" s="99">
        <f>$D38-vlookup(Summary!$C38,Summary!$C$2:$Q$103,3+counta($K$1:N$1),false)</f>
        <v>-0.099</v>
      </c>
      <c r="O38" s="99">
        <f>$D38-vlookup(Summary!$C38,Summary!$C$2:$Q$103,3+counta($K$1:O$1),false)</f>
        <v>-0.299</v>
      </c>
      <c r="P38" s="99">
        <f>$D38-vlookup(Summary!$C38,Summary!$C$2:$Q$103,3+counta($K$1:P$1),false)</f>
        <v>-0.449</v>
      </c>
      <c r="Q38" s="99">
        <f>$D38-vlookup(Summary!$C38,Summary!$C$2:$Q$103,3+counta($K$1:Q$1),false)</f>
        <v>0</v>
      </c>
      <c r="R38" s="99">
        <f>$D38-vlookup(Summary!$C38,Summary!$C$2:$Q$103,3+counta($K$1:R$1),false)</f>
        <v>-0.019</v>
      </c>
      <c r="S38" s="99">
        <f>$D38-vlookup(Summary!$C38,Summary!$C$2:$Q$103,3+counta($K$1:S$1),false)</f>
        <v>-0.099</v>
      </c>
      <c r="T38" s="99">
        <f>$D38-vlookup(Summary!$C38,Summary!$C$2:$Q$103,3+counta($K$1:T$1),false)</f>
        <v>0</v>
      </c>
      <c r="U38" s="99">
        <f>$D38-vlookup(Summary!$C38,Summary!$C$2:$Q$103,3+counta($K$1:U$1),false)</f>
        <v>-0.499</v>
      </c>
      <c r="V38" s="99">
        <f>$D38-vlookup(Summary!$C38,Summary!$C$2:$Q$103,3+counta($K$1:V$1),false)</f>
        <v>-0.549</v>
      </c>
    </row>
    <row r="39" ht="15.75" customHeight="1">
      <c r="A39" s="15">
        <f>Main!A39</f>
        <v>38</v>
      </c>
      <c r="B39" s="108" t="str">
        <f>Main!B39</f>
        <v>WHO switches to another alphabet than the Greek alphabet for Covid variants</v>
      </c>
      <c r="C39" s="15" t="str">
        <f>Main!C39</f>
        <v>Covid</v>
      </c>
      <c r="D39" s="15">
        <f t="shared" si="1"/>
        <v>0.15</v>
      </c>
      <c r="F39" s="15">
        <v>-2.0</v>
      </c>
      <c r="K39" s="99">
        <f>$D39-vlookup(Summary!$C39,Summary!$C$2:$Q$103,3+counta($K$1:K$1),false)</f>
        <v>-0.3</v>
      </c>
      <c r="L39" s="99">
        <f>$D39-vlookup(Summary!$C39,Summary!$C$2:$Q$103,3+counta($K$1:L$1),false)</f>
        <v>-0.65</v>
      </c>
      <c r="M39" s="99">
        <f>$D39-vlookup(Summary!$C39,Summary!$C$2:$Q$103,3+counta($K$1:M$1),false)</f>
        <v>-0.05</v>
      </c>
      <c r="N39" s="99">
        <f>$D39-vlookup(Summary!$C39,Summary!$C$2:$Q$103,3+counta($K$1:N$1),false)</f>
        <v>0.05</v>
      </c>
      <c r="O39" s="99">
        <f>$D39-vlookup(Summary!$C39,Summary!$C$2:$Q$103,3+counta($K$1:O$1),false)</f>
        <v>-0.35</v>
      </c>
      <c r="P39" s="99">
        <f>$D39-vlookup(Summary!$C39,Summary!$C$2:$Q$103,3+counta($K$1:P$1),false)</f>
        <v>-0.75</v>
      </c>
      <c r="Q39" s="99">
        <f>$D39-vlookup(Summary!$C39,Summary!$C$2:$Q$103,3+counta($K$1:Q$1),false)</f>
        <v>-0.35</v>
      </c>
      <c r="R39" s="99">
        <f>$D39-vlookup(Summary!$C39,Summary!$C$2:$Q$103,3+counta($K$1:R$1),false)</f>
        <v>-0.05</v>
      </c>
      <c r="S39" s="99">
        <f>$D39-vlookup(Summary!$C39,Summary!$C$2:$Q$103,3+counta($K$1:S$1),false)</f>
        <v>-0.75</v>
      </c>
      <c r="T39" s="99">
        <f>$D39-vlookup(Summary!$C39,Summary!$C$2:$Q$103,3+counta($K$1:T$1),false)</f>
        <v>0</v>
      </c>
      <c r="U39" s="99">
        <f>$D39-vlookup(Summary!$C39,Summary!$C$2:$Q$103,3+counta($K$1:U$1),false)</f>
        <v>0.05</v>
      </c>
      <c r="V39" s="99">
        <f>$D39-vlookup(Summary!$C39,Summary!$C$2:$Q$103,3+counta($K$1:V$1),false)</f>
        <v>-0.2</v>
      </c>
    </row>
    <row r="40" ht="15.75" customHeight="1">
      <c r="A40" s="15">
        <f>Main!A40</f>
        <v>39</v>
      </c>
      <c r="B40" s="108" t="str">
        <f>Main!B40</f>
        <v>Lachy and Jac's extension will be completed</v>
      </c>
      <c r="C40" s="15" t="str">
        <f>Main!C40</f>
        <v>Family</v>
      </c>
      <c r="D40" s="15">
        <f t="shared" si="1"/>
        <v>0.85</v>
      </c>
      <c r="F40" s="15">
        <v>2.0</v>
      </c>
      <c r="K40" s="99">
        <f>$D40-vlookup(Summary!$C40,Summary!$C$2:$Q$103,3+counta($K$1:K$1),false)</f>
        <v>0.15</v>
      </c>
      <c r="L40" s="99">
        <f>$D40-vlookup(Summary!$C40,Summary!$C$2:$Q$103,3+counta($K$1:L$1),false)</f>
        <v>0.05</v>
      </c>
      <c r="M40" s="99">
        <f>$D40-vlookup(Summary!$C40,Summary!$C$2:$Q$103,3+counta($K$1:M$1),false)</f>
        <v>0.75</v>
      </c>
      <c r="N40" s="99">
        <f>$D40-vlookup(Summary!$C40,Summary!$C$2:$Q$103,3+counta($K$1:N$1),false)</f>
        <v>0.35</v>
      </c>
      <c r="O40" s="99">
        <f>$D40-vlookup(Summary!$C40,Summary!$C$2:$Q$103,3+counta($K$1:O$1),false)</f>
        <v>0.05</v>
      </c>
      <c r="P40" s="99">
        <f>$D40-vlookup(Summary!$C40,Summary!$C$2:$Q$103,3+counta($K$1:P$1),false)</f>
        <v>0.45</v>
      </c>
      <c r="Q40" s="99">
        <f>$D40-vlookup(Summary!$C40,Summary!$C$2:$Q$103,3+counta($K$1:Q$1),false)</f>
        <v>0.35</v>
      </c>
      <c r="R40" s="99">
        <f>$D40-vlookup(Summary!$C40,Summary!$C$2:$Q$103,3+counta($K$1:R$1),false)</f>
        <v>0.85</v>
      </c>
      <c r="S40" s="99">
        <f>$D40-vlookup(Summary!$C40,Summary!$C$2:$Q$103,3+counta($K$1:S$1),false)</f>
        <v>-0.05</v>
      </c>
      <c r="T40" s="99">
        <f>$D40-vlookup(Summary!$C40,Summary!$C$2:$Q$103,3+counta($K$1:T$1),false)</f>
        <v>0</v>
      </c>
      <c r="U40" s="99">
        <f>$D40-vlookup(Summary!$C40,Summary!$C$2:$Q$103,3+counta($K$1:U$1),false)</f>
        <v>0.35</v>
      </c>
      <c r="V40" s="99">
        <f>$D40-vlookup(Summary!$C40,Summary!$C$2:$Q$103,3+counta($K$1:V$1),false)</f>
        <v>0.7</v>
      </c>
    </row>
    <row r="41" ht="15.75" customHeight="1">
      <c r="A41" s="15">
        <f>Main!A41</f>
        <v>40</v>
      </c>
      <c r="B41" s="108" t="str">
        <f>Main!B41</f>
        <v>Rohan will work for two different employers (not his own family members)</v>
      </c>
      <c r="C41" s="15" t="str">
        <f>Main!C41</f>
        <v>Family</v>
      </c>
      <c r="D41" s="15">
        <f t="shared" si="1"/>
        <v>0.15</v>
      </c>
      <c r="F41" s="15">
        <v>-2.0</v>
      </c>
      <c r="K41" s="99">
        <f>$D41-vlookup(Summary!$C41,Summary!$C$2:$Q$103,3+counta($K$1:K$1),false)</f>
        <v>-0.25</v>
      </c>
      <c r="L41" s="99">
        <f>$D41-vlookup(Summary!$C41,Summary!$C$2:$Q$103,3+counta($K$1:L$1),false)</f>
        <v>-0.45</v>
      </c>
      <c r="M41" s="99">
        <f>$D41-vlookup(Summary!$C41,Summary!$C$2:$Q$103,3+counta($K$1:M$1),false)</f>
        <v>0.05</v>
      </c>
      <c r="N41" s="99">
        <f>$D41-vlookup(Summary!$C41,Summary!$C$2:$Q$103,3+counta($K$1:N$1),false)</f>
        <v>-0.15</v>
      </c>
      <c r="O41" s="99">
        <f>$D41-vlookup(Summary!$C41,Summary!$C$2:$Q$103,3+counta($K$1:O$1),false)</f>
        <v>-0.35</v>
      </c>
      <c r="P41" s="99">
        <f>$D41-vlookup(Summary!$C41,Summary!$C$2:$Q$103,3+counta($K$1:P$1),false)</f>
        <v>-0.15</v>
      </c>
      <c r="Q41" s="99">
        <f>$D41-vlookup(Summary!$C41,Summary!$C$2:$Q$103,3+counta($K$1:Q$1),false)</f>
        <v>-0.15</v>
      </c>
      <c r="R41" s="99">
        <f>$D41-vlookup(Summary!$C41,Summary!$C$2:$Q$103,3+counta($K$1:R$1),false)</f>
        <v>0.05</v>
      </c>
      <c r="S41" s="99">
        <f>$D41-vlookup(Summary!$C41,Summary!$C$2:$Q$103,3+counta($K$1:S$1),false)</f>
        <v>-0.45</v>
      </c>
      <c r="T41" s="99">
        <f>$D41-vlookup(Summary!$C41,Summary!$C$2:$Q$103,3+counta($K$1:T$1),false)</f>
        <v>0</v>
      </c>
      <c r="U41" s="99">
        <f>$D41-vlookup(Summary!$C41,Summary!$C$2:$Q$103,3+counta($K$1:U$1),false)</f>
        <v>-0.35</v>
      </c>
      <c r="V41" s="99">
        <f>$D41-vlookup(Summary!$C41,Summary!$C$2:$Q$103,3+counta($K$1:V$1),false)</f>
        <v>-0.15</v>
      </c>
    </row>
    <row r="42" ht="15.75" customHeight="1">
      <c r="A42" s="15">
        <f>Main!A42</f>
        <v>41</v>
      </c>
      <c r="B42" s="108" t="str">
        <f>Main!B42</f>
        <v>Kate will swim the Broulee Bay to Breakers in March 2022 and improve her position from 9th in the 40s women’s age group</v>
      </c>
      <c r="C42" s="15" t="str">
        <f>Main!C42</f>
        <v>Family</v>
      </c>
      <c r="D42" s="15">
        <f t="shared" si="1"/>
        <v>0.85</v>
      </c>
      <c r="F42" s="15">
        <v>2.0</v>
      </c>
      <c r="K42" s="99">
        <f>$D42-vlookup(Summary!$C42,Summary!$C$2:$Q$103,3+counta($K$1:K$1),false)</f>
        <v>0.25</v>
      </c>
      <c r="L42" s="99">
        <f>$D42-vlookup(Summary!$C42,Summary!$C$2:$Q$103,3+counta($K$1:L$1),false)</f>
        <v>0.05</v>
      </c>
      <c r="M42" s="99">
        <f>$D42-vlookup(Summary!$C42,Summary!$C$2:$Q$103,3+counta($K$1:M$1),false)</f>
        <v>-0.05</v>
      </c>
      <c r="N42" s="99">
        <f>$D42-vlookup(Summary!$C42,Summary!$C$2:$Q$103,3+counta($K$1:N$1),false)</f>
        <v>0.35</v>
      </c>
      <c r="O42" s="99">
        <f>$D42-vlookup(Summary!$C42,Summary!$C$2:$Q$103,3+counta($K$1:O$1),false)</f>
        <v>-0.05</v>
      </c>
      <c r="P42" s="99">
        <f>$D42-vlookup(Summary!$C42,Summary!$C$2:$Q$103,3+counta($K$1:P$1),false)</f>
        <v>0.15</v>
      </c>
      <c r="Q42" s="99">
        <f>$D42-vlookup(Summary!$C42,Summary!$C$2:$Q$103,3+counta($K$1:Q$1),false)</f>
        <v>0.25</v>
      </c>
      <c r="R42" s="99">
        <f>$D42-vlookup(Summary!$C42,Summary!$C$2:$Q$103,3+counta($K$1:R$1),false)</f>
        <v>-0.05</v>
      </c>
      <c r="S42" s="99">
        <f>$D42-vlookup(Summary!$C42,Summary!$C$2:$Q$103,3+counta($K$1:S$1),false)</f>
        <v>0.65</v>
      </c>
      <c r="T42" s="99">
        <f>$D42-vlookup(Summary!$C42,Summary!$C$2:$Q$103,3+counta($K$1:T$1),false)</f>
        <v>0</v>
      </c>
      <c r="U42" s="99">
        <f>$D42-vlookup(Summary!$C42,Summary!$C$2:$Q$103,3+counta($K$1:U$1),false)</f>
        <v>-0.05</v>
      </c>
      <c r="V42" s="99">
        <f>$D42-vlookup(Summary!$C42,Summary!$C$2:$Q$103,3+counta($K$1:V$1),false)</f>
        <v>0.35</v>
      </c>
    </row>
    <row r="43" ht="15.75" customHeight="1">
      <c r="A43" s="15">
        <f>Main!A43</f>
        <v>42</v>
      </c>
      <c r="B43" s="108" t="str">
        <f>Main!B43</f>
        <v>Rohan will be at least 6ft tall</v>
      </c>
      <c r="C43" s="15" t="str">
        <f>Main!C43</f>
        <v>Family</v>
      </c>
      <c r="D43" s="15">
        <f t="shared" si="1"/>
        <v>0.999</v>
      </c>
      <c r="F43" s="15">
        <v>3.0</v>
      </c>
      <c r="K43" s="99">
        <f>$D43-vlookup(Summary!$C43,Summary!$C$2:$Q$103,3+counta($K$1:K$1),false)</f>
        <v>0.499</v>
      </c>
      <c r="L43" s="99">
        <f>$D43-vlookup(Summary!$C43,Summary!$C$2:$Q$103,3+counta($K$1:L$1),false)</f>
        <v>0.099</v>
      </c>
      <c r="M43" s="99">
        <f>$D43-vlookup(Summary!$C43,Summary!$C$2:$Q$103,3+counta($K$1:M$1),false)</f>
        <v>0.099</v>
      </c>
      <c r="N43" s="99">
        <f>$D43-vlookup(Summary!$C43,Summary!$C$2:$Q$103,3+counta($K$1:N$1),false)</f>
        <v>0.599</v>
      </c>
      <c r="O43" s="99">
        <f>$D43-vlookup(Summary!$C43,Summary!$C$2:$Q$103,3+counta($K$1:O$1),false)</f>
        <v>0.099</v>
      </c>
      <c r="P43" s="99">
        <f>$D43-vlookup(Summary!$C43,Summary!$C$2:$Q$103,3+counta($K$1:P$1),false)</f>
        <v>0.998</v>
      </c>
      <c r="Q43" s="99">
        <f>$D43-vlookup(Summary!$C43,Summary!$C$2:$Q$103,3+counta($K$1:Q$1),false)</f>
        <v>-0.00099</v>
      </c>
      <c r="R43" s="99">
        <f>$D43-vlookup(Summary!$C43,Summary!$C$2:$Q$103,3+counta($K$1:R$1),false)</f>
        <v>0.099</v>
      </c>
      <c r="S43" s="99">
        <f>$D43-vlookup(Summary!$C43,Summary!$C$2:$Q$103,3+counta($K$1:S$1),false)</f>
        <v>0.099</v>
      </c>
      <c r="T43" s="99">
        <f>$D43-vlookup(Summary!$C43,Summary!$C$2:$Q$103,3+counta($K$1:T$1),false)</f>
        <v>0</v>
      </c>
      <c r="U43" s="99">
        <f>$D43-vlookup(Summary!$C43,Summary!$C$2:$Q$103,3+counta($K$1:U$1),false)</f>
        <v>0.099</v>
      </c>
      <c r="V43" s="99">
        <f>$D43-vlookup(Summary!$C43,Summary!$C$2:$Q$103,3+counta($K$1:V$1),false)</f>
        <v>0.009</v>
      </c>
    </row>
    <row r="44" ht="15.75" customHeight="1">
      <c r="A44" s="15">
        <f>Main!A44</f>
        <v>43</v>
      </c>
      <c r="B44" s="108" t="str">
        <f>Main!B44</f>
        <v>A participant in the prediction game will get a dog or another dog </v>
      </c>
      <c r="C44" s="15" t="str">
        <f>Main!C44</f>
        <v>Family</v>
      </c>
      <c r="D44" s="15">
        <f t="shared" si="1"/>
        <v>0.001</v>
      </c>
      <c r="F44" s="15">
        <v>-3.0</v>
      </c>
      <c r="K44" s="99">
        <f>$D44-vlookup(Summary!$C44,Summary!$C$2:$Q$103,3+counta($K$1:K$1),false)</f>
        <v>-0.499</v>
      </c>
      <c r="L44" s="99">
        <f>$D44-vlookup(Summary!$C44,Summary!$C$2:$Q$103,3+counta($K$1:L$1),false)</f>
        <v>-0.949</v>
      </c>
      <c r="M44" s="99">
        <f>$D44-vlookup(Summary!$C44,Summary!$C$2:$Q$103,3+counta($K$1:M$1),false)</f>
        <v>-0.099</v>
      </c>
      <c r="N44" s="99">
        <f>$D44-vlookup(Summary!$C44,Summary!$C$2:$Q$103,3+counta($K$1:N$1),false)</f>
        <v>-0.099</v>
      </c>
      <c r="O44" s="99">
        <f>$D44-vlookup(Summary!$C44,Summary!$C$2:$Q$103,3+counta($K$1:O$1),false)</f>
        <v>-0.899</v>
      </c>
      <c r="P44" s="99">
        <f>$D44-vlookup(Summary!$C44,Summary!$C$2:$Q$103,3+counta($K$1:P$1),false)</f>
        <v>-0.749</v>
      </c>
      <c r="Q44" s="99">
        <f>$D44-vlookup(Summary!$C44,Summary!$C$2:$Q$103,3+counta($K$1:Q$1),false)</f>
        <v>-0.199</v>
      </c>
      <c r="R44" s="99">
        <f>$D44-vlookup(Summary!$C44,Summary!$C$2:$Q$103,3+counta($K$1:R$1),false)</f>
        <v>-0.099</v>
      </c>
      <c r="S44" s="99">
        <f>$D44-vlookup(Summary!$C44,Summary!$C$2:$Q$103,3+counta($K$1:S$1),false)</f>
        <v>-0.099</v>
      </c>
      <c r="T44" s="99">
        <f>$D44-vlookup(Summary!$C44,Summary!$C$2:$Q$103,3+counta($K$1:T$1),false)</f>
        <v>0</v>
      </c>
      <c r="U44" s="99">
        <f>$D44-vlookup(Summary!$C44,Summary!$C$2:$Q$103,3+counta($K$1:U$1),false)</f>
        <v>-0.499</v>
      </c>
      <c r="V44" s="99">
        <f>$D44-vlookup(Summary!$C44,Summary!$C$2:$Q$103,3+counta($K$1:V$1),false)</f>
        <v>-0.249</v>
      </c>
    </row>
    <row r="45" ht="15.75" customHeight="1">
      <c r="A45" s="15">
        <f>Main!A45</f>
        <v>44</v>
      </c>
      <c r="B45" s="108" t="str">
        <f>Main!B45</f>
        <v>There will be a flow of water into the Lake Eyre basin in 2022</v>
      </c>
      <c r="C45" s="15" t="str">
        <f>Main!C45</f>
        <v>Natural world</v>
      </c>
      <c r="D45" s="15">
        <f t="shared" si="1"/>
        <v>0.65</v>
      </c>
      <c r="F45" s="15">
        <v>1.0</v>
      </c>
      <c r="K45" s="99">
        <f>$D45-vlookup(Summary!$C45,Summary!$C$2:$Q$103,3+counta($K$1:K$1),false)</f>
        <v>-0.1</v>
      </c>
      <c r="L45" s="99">
        <f>$D45-vlookup(Summary!$C45,Summary!$C$2:$Q$103,3+counta($K$1:L$1),false)</f>
        <v>-0.15</v>
      </c>
      <c r="M45" s="99">
        <f>$D45-vlookup(Summary!$C45,Summary!$C$2:$Q$103,3+counta($K$1:M$1),false)</f>
        <v>0.15</v>
      </c>
      <c r="N45" s="99">
        <f>$D45-vlookup(Summary!$C45,Summary!$C$2:$Q$103,3+counta($K$1:N$1),false)</f>
        <v>0.15</v>
      </c>
      <c r="O45" s="99">
        <f>$D45-vlookup(Summary!$C45,Summary!$C$2:$Q$103,3+counta($K$1:O$1),false)</f>
        <v>0.35</v>
      </c>
      <c r="P45" s="99">
        <f>$D45-vlookup(Summary!$C45,Summary!$C$2:$Q$103,3+counta($K$1:P$1),false)</f>
        <v>-0.05</v>
      </c>
      <c r="Q45" s="99">
        <f>$D45-vlookup(Summary!$C45,Summary!$C$2:$Q$103,3+counta($K$1:Q$1),false)</f>
        <v>-0.15</v>
      </c>
      <c r="R45" s="99">
        <f>$D45-vlookup(Summary!$C45,Summary!$C$2:$Q$103,3+counta($K$1:R$1),false)</f>
        <v>0.15</v>
      </c>
      <c r="S45" s="99">
        <f>$D45-vlookup(Summary!$C45,Summary!$C$2:$Q$103,3+counta($K$1:S$1),false)</f>
        <v>0.05</v>
      </c>
      <c r="T45" s="99">
        <f>$D45-vlookup(Summary!$C45,Summary!$C$2:$Q$103,3+counta($K$1:T$1),false)</f>
        <v>0</v>
      </c>
      <c r="U45" s="99">
        <f>$D45-vlookup(Summary!$C45,Summary!$C$2:$Q$103,3+counta($K$1:U$1),false)</f>
        <v>-0.25</v>
      </c>
      <c r="V45" s="99">
        <f>$D45-vlookup(Summary!$C45,Summary!$C$2:$Q$103,3+counta($K$1:V$1),false)</f>
        <v>0.15</v>
      </c>
    </row>
    <row r="46" ht="15.75" customHeight="1">
      <c r="A46" s="15">
        <f>Main!A46</f>
        <v>45</v>
      </c>
      <c r="B46" s="108" t="str">
        <f>Main!B46</f>
        <v>Water from the Paroo will spill into the Darling in 2022</v>
      </c>
      <c r="C46" s="15" t="str">
        <f>Main!C46</f>
        <v>Natural world</v>
      </c>
      <c r="D46" s="15">
        <f t="shared" si="1"/>
        <v>0.5</v>
      </c>
      <c r="F46" s="15">
        <v>0.0</v>
      </c>
      <c r="K46" s="99">
        <f>$D46-vlookup(Summary!$C46,Summary!$C$2:$Q$103,3+counta($K$1:K$1),false)</f>
        <v>0</v>
      </c>
      <c r="L46" s="99">
        <f>$D46-vlookup(Summary!$C46,Summary!$C$2:$Q$103,3+counta($K$1:L$1),false)</f>
        <v>-0.2</v>
      </c>
      <c r="M46" s="99">
        <f>$D46-vlookup(Summary!$C46,Summary!$C$2:$Q$103,3+counta($K$1:M$1),false)</f>
        <v>0</v>
      </c>
      <c r="N46" s="99">
        <f>$D46-vlookup(Summary!$C46,Summary!$C$2:$Q$103,3+counta($K$1:N$1),false)</f>
        <v>0</v>
      </c>
      <c r="O46" s="99">
        <f>$D46-vlookup(Summary!$C46,Summary!$C$2:$Q$103,3+counta($K$1:O$1),false)</f>
        <v>-0.1</v>
      </c>
      <c r="P46" s="99">
        <f>$D46-vlookup(Summary!$C46,Summary!$C$2:$Q$103,3+counta($K$1:P$1),false)</f>
        <v>-0.1</v>
      </c>
      <c r="Q46" s="99">
        <f>$D46-vlookup(Summary!$C46,Summary!$C$2:$Q$103,3+counta($K$1:Q$1),false)</f>
        <v>-0.3</v>
      </c>
      <c r="R46" s="99">
        <f>$D46-vlookup(Summary!$C46,Summary!$C$2:$Q$103,3+counta($K$1:R$1),false)</f>
        <v>0</v>
      </c>
      <c r="S46" s="99">
        <f>$D46-vlookup(Summary!$C46,Summary!$C$2:$Q$103,3+counta($K$1:S$1),false)</f>
        <v>-0.1</v>
      </c>
      <c r="T46" s="99">
        <f>$D46-vlookup(Summary!$C46,Summary!$C$2:$Q$103,3+counta($K$1:T$1),false)</f>
        <v>0</v>
      </c>
      <c r="U46" s="99">
        <f>$D46-vlookup(Summary!$C46,Summary!$C$2:$Q$103,3+counta($K$1:U$1),false)</f>
        <v>0.4</v>
      </c>
      <c r="V46" s="99">
        <f>$D46-vlookup(Summary!$C46,Summary!$C$2:$Q$103,3+counta($K$1:V$1),false)</f>
        <v>0</v>
      </c>
    </row>
    <row r="47" ht="15.75" customHeight="1">
      <c r="A47" s="15">
        <f>Main!A47</f>
        <v>46</v>
      </c>
      <c r="B47" s="108" t="str">
        <f>Main!B47</f>
        <v>In the Antarctic the Thwaites Glacier ice-shelf will collapse in 2022</v>
      </c>
      <c r="C47" s="15" t="str">
        <f>Main!C47</f>
        <v>Natural world</v>
      </c>
      <c r="D47" s="15">
        <f t="shared" si="1"/>
        <v>0.35</v>
      </c>
      <c r="F47" s="15">
        <v>-1.0</v>
      </c>
      <c r="K47" s="99">
        <f>$D47-vlookup(Summary!$C47,Summary!$C$2:$Q$103,3+counta($K$1:K$1),false)</f>
        <v>-0.15</v>
      </c>
      <c r="L47" s="99">
        <f>$D47-vlookup(Summary!$C47,Summary!$C$2:$Q$103,3+counta($K$1:L$1),false)</f>
        <v>0.1</v>
      </c>
      <c r="M47" s="99">
        <f>$D47-vlookup(Summary!$C47,Summary!$C$2:$Q$103,3+counta($K$1:M$1),false)</f>
        <v>-0.35</v>
      </c>
      <c r="N47" s="99">
        <f>$D47-vlookup(Summary!$C47,Summary!$C$2:$Q$103,3+counta($K$1:N$1),false)</f>
        <v>-0.15</v>
      </c>
      <c r="O47" s="99">
        <f>$D47-vlookup(Summary!$C47,Summary!$C$2:$Q$103,3+counta($K$1:O$1),false)</f>
        <v>-0.35</v>
      </c>
      <c r="P47" s="99">
        <f>$D47-vlookup(Summary!$C47,Summary!$C$2:$Q$103,3+counta($K$1:P$1),false)</f>
        <v>-0.35</v>
      </c>
      <c r="Q47" s="99">
        <f>$D47-vlookup(Summary!$C47,Summary!$C$2:$Q$103,3+counta($K$1:Q$1),false)</f>
        <v>0.25</v>
      </c>
      <c r="R47" s="99">
        <f>$D47-vlookup(Summary!$C47,Summary!$C$2:$Q$103,3+counta($K$1:R$1),false)</f>
        <v>-0.35</v>
      </c>
      <c r="S47" s="99">
        <f>$D47-vlookup(Summary!$C47,Summary!$C$2:$Q$103,3+counta($K$1:S$1),false)</f>
        <v>0.15</v>
      </c>
      <c r="T47" s="99">
        <f>$D47-vlookup(Summary!$C47,Summary!$C$2:$Q$103,3+counta($K$1:T$1),false)</f>
        <v>0</v>
      </c>
      <c r="U47" s="99">
        <f>$D47-vlookup(Summary!$C47,Summary!$C$2:$Q$103,3+counta($K$1:U$1),false)</f>
        <v>-0.15</v>
      </c>
      <c r="V47" s="99">
        <f>$D47-vlookup(Summary!$C47,Summary!$C$2:$Q$103,3+counta($K$1:V$1),false)</f>
        <v>-0.15</v>
      </c>
    </row>
    <row r="48" ht="15.75" customHeight="1">
      <c r="A48" s="15">
        <f>Main!A48</f>
        <v>47</v>
      </c>
      <c r="B48" s="108" t="str">
        <f>Main!B48</f>
        <v>At least three quarters of the Great Barrier Reef will be bleached as a result of warming seas.</v>
      </c>
      <c r="C48" s="15" t="str">
        <f>Main!C48</f>
        <v>Natural world</v>
      </c>
      <c r="D48" s="15">
        <f t="shared" si="1"/>
        <v>0.35</v>
      </c>
      <c r="F48" s="15">
        <v>-1.0</v>
      </c>
      <c r="K48" s="99">
        <f>$D48-vlookup(Summary!$C48,Summary!$C$2:$Q$103,3+counta($K$1:K$1),false)</f>
        <v>-0.15</v>
      </c>
      <c r="L48" s="99">
        <f>$D48-vlookup(Summary!$C48,Summary!$C$2:$Q$103,3+counta($K$1:L$1),false)</f>
        <v>-0.45</v>
      </c>
      <c r="M48" s="99">
        <f>$D48-vlookup(Summary!$C48,Summary!$C$2:$Q$103,3+counta($K$1:M$1),false)</f>
        <v>-0.35</v>
      </c>
      <c r="N48" s="99">
        <f>$D48-vlookup(Summary!$C48,Summary!$C$2:$Q$103,3+counta($K$1:N$1),false)</f>
        <v>-0.15</v>
      </c>
      <c r="O48" s="99">
        <f>$D48-vlookup(Summary!$C48,Summary!$C$2:$Q$103,3+counta($K$1:O$1),false)</f>
        <v>-0.45</v>
      </c>
      <c r="P48" s="99">
        <f>$D48-vlookup(Summary!$C48,Summary!$C$2:$Q$103,3+counta($K$1:P$1),false)</f>
        <v>-0.5</v>
      </c>
      <c r="Q48" s="99">
        <f>$D48-vlookup(Summary!$C48,Summary!$C$2:$Q$103,3+counta($K$1:Q$1),false)</f>
        <v>-0.15</v>
      </c>
      <c r="R48" s="99">
        <f>$D48-vlookup(Summary!$C48,Summary!$C$2:$Q$103,3+counta($K$1:R$1),false)</f>
        <v>-0.35</v>
      </c>
      <c r="S48" s="99">
        <f>$D48-vlookup(Summary!$C48,Summary!$C$2:$Q$103,3+counta($K$1:S$1),false)</f>
        <v>-0.35</v>
      </c>
      <c r="T48" s="99">
        <f>$D48-vlookup(Summary!$C48,Summary!$C$2:$Q$103,3+counta($K$1:T$1),false)</f>
        <v>0</v>
      </c>
      <c r="U48" s="99">
        <f>$D48-vlookup(Summary!$C48,Summary!$C$2:$Q$103,3+counta($K$1:U$1),false)</f>
        <v>-0.15</v>
      </c>
      <c r="V48" s="99">
        <f>$D48-vlookup(Summary!$C48,Summary!$C$2:$Q$103,3+counta($K$1:V$1),false)</f>
        <v>-0.05</v>
      </c>
    </row>
    <row r="49" ht="15.75" customHeight="1">
      <c r="A49" s="15">
        <f>Main!A49</f>
        <v>48</v>
      </c>
      <c r="B49" s="108" t="str">
        <f>Main!B49</f>
        <v>Sabine Hoffstader will release a Youtube video explaining that the nature of dark matter has been confirmed experimentally</v>
      </c>
      <c r="C49" s="15" t="str">
        <f>Main!C49</f>
        <v>Natural world</v>
      </c>
      <c r="D49" s="15">
        <f t="shared" si="1"/>
        <v>0.001</v>
      </c>
      <c r="F49" s="15">
        <v>-3.0</v>
      </c>
      <c r="K49" s="99">
        <f>$D49-vlookup(Summary!$C49,Summary!$C$2:$Q$103,3+counta($K$1:K$1),false)</f>
        <v>-0.499</v>
      </c>
      <c r="L49" s="99">
        <f>$D49-vlookup(Summary!$C49,Summary!$C$2:$Q$103,3+counta($K$1:L$1),false)</f>
        <v>-0.249</v>
      </c>
      <c r="M49" s="99">
        <f>$D49-vlookup(Summary!$C49,Summary!$C$2:$Q$103,3+counta($K$1:M$1),false)</f>
        <v>-0.099</v>
      </c>
      <c r="N49" s="99">
        <f>$D49-vlookup(Summary!$C49,Summary!$C$2:$Q$103,3+counta($K$1:N$1),false)</f>
        <v>-0.499</v>
      </c>
      <c r="O49" s="99">
        <f>$D49-vlookup(Summary!$C49,Summary!$C$2:$Q$103,3+counta($K$1:O$1),false)</f>
        <v>-0.499</v>
      </c>
      <c r="P49" s="99">
        <f>$D49-vlookup(Summary!$C49,Summary!$C$2:$Q$103,3+counta($K$1:P$1),false)</f>
        <v>-0.649</v>
      </c>
      <c r="Q49" s="99">
        <f>$D49-vlookup(Summary!$C49,Summary!$C$2:$Q$103,3+counta($K$1:Q$1),false)</f>
        <v>-0.599</v>
      </c>
      <c r="R49" s="99">
        <f>$D49-vlookup(Summary!$C49,Summary!$C$2:$Q$103,3+counta($K$1:R$1),false)</f>
        <v>-0.099</v>
      </c>
      <c r="S49" s="99">
        <f>$D49-vlookup(Summary!$C49,Summary!$C$2:$Q$103,3+counta($K$1:S$1),false)</f>
        <v>-0.499</v>
      </c>
      <c r="T49" s="99">
        <f>$D49-vlookup(Summary!$C49,Summary!$C$2:$Q$103,3+counta($K$1:T$1),false)</f>
        <v>0</v>
      </c>
      <c r="U49" s="99">
        <f>$D49-vlookup(Summary!$C49,Summary!$C$2:$Q$103,3+counta($K$1:U$1),false)</f>
        <v>-0.499</v>
      </c>
      <c r="V49" s="99">
        <f>$D49-vlookup(Summary!$C49,Summary!$C$2:$Q$103,3+counta($K$1:V$1),false)</f>
        <v>-0.499</v>
      </c>
    </row>
    <row r="50" ht="15.75" customHeight="1">
      <c r="A50" s="15">
        <f>Main!A50</f>
        <v>49</v>
      </c>
      <c r="B50" s="108" t="str">
        <f>Main!B50</f>
        <v>2022 will be the hottest year on record globally (via NASA)</v>
      </c>
      <c r="C50" s="15" t="str">
        <f>Main!C50</f>
        <v>Natural world</v>
      </c>
      <c r="D50" s="15">
        <f t="shared" si="1"/>
        <v>0.15</v>
      </c>
      <c r="F50" s="15">
        <v>-2.0</v>
      </c>
      <c r="K50" s="99">
        <f>$D50-vlookup(Summary!$C50,Summary!$C$2:$Q$103,3+counta($K$1:K$1),false)</f>
        <v>-0.15</v>
      </c>
      <c r="L50" s="99">
        <f>$D50-vlookup(Summary!$C50,Summary!$C$2:$Q$103,3+counta($K$1:L$1),false)</f>
        <v>-0.3</v>
      </c>
      <c r="M50" s="99">
        <f>$D50-vlookup(Summary!$C50,Summary!$C$2:$Q$103,3+counta($K$1:M$1),false)</f>
        <v>-0.8</v>
      </c>
      <c r="N50" s="99">
        <f>$D50-vlookup(Summary!$C50,Summary!$C$2:$Q$103,3+counta($K$1:N$1),false)</f>
        <v>-0.15</v>
      </c>
      <c r="O50" s="99">
        <f>$D50-vlookup(Summary!$C50,Summary!$C$2:$Q$103,3+counta($K$1:O$1),false)</f>
        <v>-0.65</v>
      </c>
      <c r="P50" s="99">
        <f>$D50-vlookup(Summary!$C50,Summary!$C$2:$Q$103,3+counta($K$1:P$1),false)</f>
        <v>-0.67</v>
      </c>
      <c r="Q50" s="99">
        <f>$D50-vlookup(Summary!$C50,Summary!$C$2:$Q$103,3+counta($K$1:Q$1),false)</f>
        <v>-0.05</v>
      </c>
      <c r="R50" s="99">
        <f>$D50-vlookup(Summary!$C50,Summary!$C$2:$Q$103,3+counta($K$1:R$1),false)</f>
        <v>-0.8</v>
      </c>
      <c r="S50" s="99">
        <f>$D50-vlookup(Summary!$C50,Summary!$C$2:$Q$103,3+counta($K$1:S$1),false)</f>
        <v>-0.15</v>
      </c>
      <c r="T50" s="99">
        <f>$D50-vlookup(Summary!$C50,Summary!$C$2:$Q$103,3+counta($K$1:T$1),false)</f>
        <v>0</v>
      </c>
      <c r="U50" s="99">
        <f>$D50-vlookup(Summary!$C50,Summary!$C$2:$Q$103,3+counta($K$1:U$1),false)</f>
        <v>-0.45</v>
      </c>
      <c r="V50" s="99">
        <f>$D50-vlookup(Summary!$C50,Summary!$C$2:$Q$103,3+counta($K$1:V$1),false)</f>
        <v>-0.25</v>
      </c>
    </row>
    <row r="51" ht="15.75" customHeight="1">
      <c r="A51" s="15">
        <f>Main!A51</f>
        <v>50</v>
      </c>
      <c r="B51" s="108" t="str">
        <f>Main!B51</f>
        <v>A cultivated chilli will replace the Carolina Reaper as the world’s hottest, as measured in scoville units (GWR seems to be the source of this currently)</v>
      </c>
      <c r="C51" s="15" t="str">
        <f>Main!C51</f>
        <v>Natural world</v>
      </c>
      <c r="D51" s="15">
        <f t="shared" si="1"/>
        <v>0.65</v>
      </c>
      <c r="F51" s="15">
        <v>1.0</v>
      </c>
      <c r="K51" s="99">
        <f>$D51-vlookup(Summary!$C51,Summary!$C$2:$Q$103,3+counta($K$1:K$1),false)</f>
        <v>0.05</v>
      </c>
      <c r="L51" s="99">
        <f>$D51-vlookup(Summary!$C51,Summary!$C$2:$Q$103,3+counta($K$1:L$1),false)</f>
        <v>0.14</v>
      </c>
      <c r="M51" s="99">
        <f>$D51-vlookup(Summary!$C51,Summary!$C$2:$Q$103,3+counta($K$1:M$1),false)</f>
        <v>-0.05</v>
      </c>
      <c r="N51" s="99">
        <f>$D51-vlookup(Summary!$C51,Summary!$C$2:$Q$103,3+counta($K$1:N$1),false)</f>
        <v>-0.15</v>
      </c>
      <c r="O51" s="99">
        <f>$D51-vlookup(Summary!$C51,Summary!$C$2:$Q$103,3+counta($K$1:O$1),false)</f>
        <v>0.45</v>
      </c>
      <c r="P51" s="99">
        <f>$D51-vlookup(Summary!$C51,Summary!$C$2:$Q$103,3+counta($K$1:P$1),false)</f>
        <v>-0.1</v>
      </c>
      <c r="Q51" s="99">
        <f>$D51-vlookup(Summary!$C51,Summary!$C$2:$Q$103,3+counta($K$1:Q$1),false)</f>
        <v>0.15</v>
      </c>
      <c r="R51" s="99">
        <f>$D51-vlookup(Summary!$C51,Summary!$C$2:$Q$103,3+counta($K$1:R$1),false)</f>
        <v>-0.05</v>
      </c>
      <c r="S51" s="99">
        <f>$D51-vlookup(Summary!$C51,Summary!$C$2:$Q$103,3+counta($K$1:S$1),false)</f>
        <v>-0.15</v>
      </c>
      <c r="T51" s="99">
        <f>$D51-vlookup(Summary!$C51,Summary!$C$2:$Q$103,3+counta($K$1:T$1),false)</f>
        <v>0</v>
      </c>
      <c r="U51" s="99">
        <f>$D51-vlookup(Summary!$C51,Summary!$C$2:$Q$103,3+counta($K$1:U$1),false)</f>
        <v>0.15</v>
      </c>
      <c r="V51" s="99">
        <f>$D51-vlookup(Summary!$C51,Summary!$C$2:$Q$103,3+counta($K$1:V$1),false)</f>
        <v>-0.15</v>
      </c>
    </row>
    <row r="52" ht="15.75" customHeight="1">
      <c r="A52" s="15">
        <f>Main!A52</f>
        <v>51</v>
      </c>
      <c r="B52" s="108" t="str">
        <f>Main!B52</f>
        <v>Christchurch will experience an earthquake of at least 4 on the Richter scale</v>
      </c>
      <c r="C52" s="15" t="str">
        <f>Main!C52</f>
        <v>Natural world</v>
      </c>
      <c r="D52" s="15">
        <f t="shared" si="1"/>
        <v>0.65</v>
      </c>
      <c r="F52" s="15">
        <v>1.0</v>
      </c>
      <c r="K52" s="99">
        <f>$D52-vlookup(Summary!$C52,Summary!$C$2:$Q$103,3+counta($K$1:K$1),false)</f>
        <v>0.25</v>
      </c>
      <c r="L52" s="99">
        <f>$D52-vlookup(Summary!$C52,Summary!$C$2:$Q$103,3+counta($K$1:L$1),false)</f>
        <v>0.4</v>
      </c>
      <c r="M52" s="99">
        <f>$D52-vlookup(Summary!$C52,Summary!$C$2:$Q$103,3+counta($K$1:M$1),false)</f>
        <v>-0.05</v>
      </c>
      <c r="N52" s="99">
        <f>$D52-vlookup(Summary!$C52,Summary!$C$2:$Q$103,3+counta($K$1:N$1),false)</f>
        <v>-0.05</v>
      </c>
      <c r="O52" s="99">
        <f>$D52-vlookup(Summary!$C52,Summary!$C$2:$Q$103,3+counta($K$1:O$1),false)</f>
        <v>0.15</v>
      </c>
      <c r="P52" s="99">
        <f>$D52-vlookup(Summary!$C52,Summary!$C$2:$Q$103,3+counta($K$1:P$1),false)</f>
        <v>0</v>
      </c>
      <c r="Q52" s="99">
        <f>$D52-vlookup(Summary!$C52,Summary!$C$2:$Q$103,3+counta($K$1:Q$1),false)</f>
        <v>0.35</v>
      </c>
      <c r="R52" s="99">
        <f>$D52-vlookup(Summary!$C52,Summary!$C$2:$Q$103,3+counta($K$1:R$1),false)</f>
        <v>-0.05</v>
      </c>
      <c r="S52" s="99">
        <f>$D52-vlookup(Summary!$C52,Summary!$C$2:$Q$103,3+counta($K$1:S$1),false)</f>
        <v>0.25</v>
      </c>
      <c r="T52" s="99">
        <f>$D52-vlookup(Summary!$C52,Summary!$C$2:$Q$103,3+counta($K$1:T$1),false)</f>
        <v>0</v>
      </c>
      <c r="U52" s="99">
        <f>$D52-vlookup(Summary!$C52,Summary!$C$2:$Q$103,3+counta($K$1:U$1),false)</f>
        <v>0.55</v>
      </c>
      <c r="V52" s="99">
        <f>$D52-vlookup(Summary!$C52,Summary!$C$2:$Q$103,3+counta($K$1:V$1),false)</f>
        <v>0.15</v>
      </c>
    </row>
    <row r="53" ht="15.75" customHeight="1">
      <c r="A53" s="15">
        <f>Main!A53</f>
        <v>52</v>
      </c>
      <c r="B53" s="108" t="str">
        <f>Main!B53</f>
        <v>Pope Francis will condemn the metaverse or warn of its potential damage</v>
      </c>
      <c r="C53" s="15" t="str">
        <f>Main!C53</f>
        <v>Society</v>
      </c>
      <c r="D53" s="15">
        <f t="shared" si="1"/>
        <v>0.35</v>
      </c>
      <c r="F53" s="15">
        <v>-1.0</v>
      </c>
      <c r="K53" s="99">
        <f>$D53-vlookup(Summary!$C53,Summary!$C$2:$Q$103,3+counta($K$1:K$1),false)</f>
        <v>-0.25</v>
      </c>
      <c r="L53" s="99">
        <f>$D53-vlookup(Summary!$C53,Summary!$C$2:$Q$103,3+counta($K$1:L$1),false)</f>
        <v>0.15</v>
      </c>
      <c r="M53" s="99">
        <f>$D53-vlookup(Summary!$C53,Summary!$C$2:$Q$103,3+counta($K$1:M$1),false)</f>
        <v>0.05</v>
      </c>
      <c r="N53" s="99">
        <f>$D53-vlookup(Summary!$C53,Summary!$C$2:$Q$103,3+counta($K$1:N$1),false)</f>
        <v>-0.15</v>
      </c>
      <c r="O53" s="99">
        <f>$D53-vlookup(Summary!$C53,Summary!$C$2:$Q$103,3+counta($K$1:O$1),false)</f>
        <v>-0.55</v>
      </c>
      <c r="P53" s="99">
        <f>$D53-vlookup(Summary!$C53,Summary!$C$2:$Q$103,3+counta($K$1:P$1),false)</f>
        <v>-0.45</v>
      </c>
      <c r="Q53" s="99">
        <f>$D53-vlookup(Summary!$C53,Summary!$C$2:$Q$103,3+counta($K$1:Q$1),false)</f>
        <v>-0.15</v>
      </c>
      <c r="R53" s="99">
        <f>$D53-vlookup(Summary!$C53,Summary!$C$2:$Q$103,3+counta($K$1:R$1),false)</f>
        <v>0.05</v>
      </c>
      <c r="S53" s="99">
        <f>$D53-vlookup(Summary!$C53,Summary!$C$2:$Q$103,3+counta($K$1:S$1),false)</f>
        <v>0.25</v>
      </c>
      <c r="T53" s="99">
        <f>$D53-vlookup(Summary!$C53,Summary!$C$2:$Q$103,3+counta($K$1:T$1),false)</f>
        <v>0</v>
      </c>
      <c r="U53" s="99">
        <f>$D53-vlookup(Summary!$C53,Summary!$C$2:$Q$103,3+counta($K$1:U$1),false)</f>
        <v>-0.15</v>
      </c>
      <c r="V53" s="99">
        <f>$D53-vlookup(Summary!$C53,Summary!$C$2:$Q$103,3+counta($K$1:V$1),false)</f>
        <v>0.15</v>
      </c>
    </row>
    <row r="54" ht="15.75" customHeight="1">
      <c r="A54" s="15">
        <f>Main!A54</f>
        <v>53</v>
      </c>
      <c r="B54" s="108" t="str">
        <f>Main!B54</f>
        <v>The 4th most popular baby name for girls in Australia will be Isla according to the NSW Government popular baby names site</v>
      </c>
      <c r="C54" s="15" t="str">
        <f>Main!C54</f>
        <v>Society</v>
      </c>
      <c r="D54" s="15">
        <f t="shared" si="1"/>
        <v>0.35</v>
      </c>
      <c r="F54" s="15">
        <v>-1.0</v>
      </c>
      <c r="K54" s="99">
        <f>$D54-vlookup(Summary!$C54,Summary!$C$2:$Q$103,3+counta($K$1:K$1),false)</f>
        <v>0</v>
      </c>
      <c r="L54" s="99">
        <f>$D54-vlookup(Summary!$C54,Summary!$C$2:$Q$103,3+counta($K$1:L$1),false)</f>
        <v>-0.05</v>
      </c>
      <c r="M54" s="99">
        <f>$D54-vlookup(Summary!$C54,Summary!$C$2:$Q$103,3+counta($K$1:M$1),false)</f>
        <v>-0.15</v>
      </c>
      <c r="N54" s="99">
        <f>$D54-vlookup(Summary!$C54,Summary!$C$2:$Q$103,3+counta($K$1:N$1),false)</f>
        <v>0.25</v>
      </c>
      <c r="O54" s="99">
        <f>$D54-vlookup(Summary!$C54,Summary!$C$2:$Q$103,3+counta($K$1:O$1),false)</f>
        <v>-0.45</v>
      </c>
      <c r="P54" s="99">
        <f>$D54-vlookup(Summary!$C54,Summary!$C$2:$Q$103,3+counta($K$1:P$1),false)</f>
        <v>-0.55</v>
      </c>
      <c r="Q54" s="99">
        <f>$D54-vlookup(Summary!$C54,Summary!$C$2:$Q$103,3+counta($K$1:Q$1),false)</f>
        <v>0.15</v>
      </c>
      <c r="R54" s="99">
        <f>$D54-vlookup(Summary!$C54,Summary!$C$2:$Q$103,3+counta($K$1:R$1),false)</f>
        <v>-0.15</v>
      </c>
      <c r="S54" s="99">
        <f>$D54-vlookup(Summary!$C54,Summary!$C$2:$Q$103,3+counta($K$1:S$1),false)</f>
        <v>-0.55</v>
      </c>
      <c r="T54" s="99">
        <f>$D54-vlookup(Summary!$C54,Summary!$C$2:$Q$103,3+counta($K$1:T$1),false)</f>
        <v>0</v>
      </c>
      <c r="U54" s="99">
        <f>$D54-vlookup(Summary!$C54,Summary!$C$2:$Q$103,3+counta($K$1:U$1),false)</f>
        <v>0.25</v>
      </c>
      <c r="V54" s="99">
        <f>$D54-vlookup(Summary!$C54,Summary!$C$2:$Q$103,3+counta($K$1:V$1),false)</f>
        <v>-0.45</v>
      </c>
    </row>
    <row r="55" ht="15.75" customHeight="1">
      <c r="A55" s="15">
        <f>Main!A55</f>
        <v>54</v>
      </c>
      <c r="B55" s="108" t="str">
        <f>Main!B55</f>
        <v>The 4th most popular baby name for boys in Australia will be Leo according to the NSW Government popular baby names site</v>
      </c>
      <c r="C55" s="15" t="str">
        <f>Main!C55</f>
        <v>Society</v>
      </c>
      <c r="D55" s="15">
        <f t="shared" si="1"/>
        <v>0.35</v>
      </c>
      <c r="F55" s="15">
        <v>-1.0</v>
      </c>
      <c r="K55" s="99">
        <f>$D55-vlookup(Summary!$C55,Summary!$C$2:$Q$103,3+counta($K$1:K$1),false)</f>
        <v>0</v>
      </c>
      <c r="L55" s="99">
        <f>$D55-vlookup(Summary!$C55,Summary!$C$2:$Q$103,3+counta($K$1:L$1),false)</f>
        <v>-0.05</v>
      </c>
      <c r="M55" s="99">
        <f>$D55-vlookup(Summary!$C55,Summary!$C$2:$Q$103,3+counta($K$1:M$1),false)</f>
        <v>-0.15</v>
      </c>
      <c r="N55" s="99">
        <f>$D55-vlookup(Summary!$C55,Summary!$C$2:$Q$103,3+counta($K$1:N$1),false)</f>
        <v>0.25</v>
      </c>
      <c r="O55" s="99">
        <f>$D55-vlookup(Summary!$C55,Summary!$C$2:$Q$103,3+counta($K$1:O$1),false)</f>
        <v>-0.35</v>
      </c>
      <c r="P55" s="99">
        <f>$D55-vlookup(Summary!$C55,Summary!$C$2:$Q$103,3+counta($K$1:P$1),false)</f>
        <v>-0.55</v>
      </c>
      <c r="Q55" s="99">
        <f>$D55-vlookup(Summary!$C55,Summary!$C$2:$Q$103,3+counta($K$1:Q$1),false)</f>
        <v>0.15</v>
      </c>
      <c r="R55" s="99">
        <f>$D55-vlookup(Summary!$C55,Summary!$C$2:$Q$103,3+counta($K$1:R$1),false)</f>
        <v>-0.15</v>
      </c>
      <c r="S55" s="99">
        <f>$D55-vlookup(Summary!$C55,Summary!$C$2:$Q$103,3+counta($K$1:S$1),false)</f>
        <v>0.15</v>
      </c>
      <c r="T55" s="99">
        <f>$D55-vlookup(Summary!$C55,Summary!$C$2:$Q$103,3+counta($K$1:T$1),false)</f>
        <v>0</v>
      </c>
      <c r="U55" s="99">
        <f>$D55-vlookup(Summary!$C55,Summary!$C$2:$Q$103,3+counta($K$1:U$1),false)</f>
        <v>0.25</v>
      </c>
      <c r="V55" s="99">
        <f>$D55-vlookup(Summary!$C55,Summary!$C$2:$Q$103,3+counta($K$1:V$1),false)</f>
        <v>0.15</v>
      </c>
    </row>
    <row r="56" ht="15.75" customHeight="1">
      <c r="A56" s="15">
        <f>Main!A56</f>
        <v>55</v>
      </c>
      <c r="B56" s="108" t="str">
        <f>Main!B56</f>
        <v>A statue in Australia will be removed because of negative associations with its history or colonial ties.</v>
      </c>
      <c r="C56" s="15" t="str">
        <f>Main!C56</f>
        <v>Society</v>
      </c>
      <c r="D56" s="15">
        <f t="shared" si="1"/>
        <v>0.15</v>
      </c>
      <c r="F56" s="15">
        <v>-2.0</v>
      </c>
      <c r="K56" s="99">
        <f>$D56-vlookup(Summary!$C56,Summary!$C$2:$Q$103,3+counta($K$1:K$1),false)</f>
        <v>-0.05</v>
      </c>
      <c r="L56" s="99">
        <f>$D56-vlookup(Summary!$C56,Summary!$C$2:$Q$103,3+counta($K$1:L$1),false)</f>
        <v>-0.75</v>
      </c>
      <c r="M56" s="99">
        <f>$D56-vlookup(Summary!$C56,Summary!$C$2:$Q$103,3+counta($K$1:M$1),false)</f>
        <v>-0.65</v>
      </c>
      <c r="N56" s="99">
        <f>$D56-vlookup(Summary!$C56,Summary!$C$2:$Q$103,3+counta($K$1:N$1),false)</f>
        <v>-0.05</v>
      </c>
      <c r="O56" s="99">
        <f>$D56-vlookup(Summary!$C56,Summary!$C$2:$Q$103,3+counta($K$1:O$1),false)</f>
        <v>-0.65</v>
      </c>
      <c r="P56" s="99">
        <f>$D56-vlookup(Summary!$C56,Summary!$C$2:$Q$103,3+counta($K$1:P$1),false)</f>
        <v>-0.45</v>
      </c>
      <c r="Q56" s="99">
        <f>$D56-vlookup(Summary!$C56,Summary!$C$2:$Q$103,3+counta($K$1:Q$1),false)</f>
        <v>-0.25</v>
      </c>
      <c r="R56" s="99">
        <f>$D56-vlookup(Summary!$C56,Summary!$C$2:$Q$103,3+counta($K$1:R$1),false)</f>
        <v>-0.65</v>
      </c>
      <c r="S56" s="99">
        <f>$D56-vlookup(Summary!$C56,Summary!$C$2:$Q$103,3+counta($K$1:S$1),false)</f>
        <v>0.05</v>
      </c>
      <c r="T56" s="99">
        <f>$D56-vlookup(Summary!$C56,Summary!$C$2:$Q$103,3+counta($K$1:T$1),false)</f>
        <v>0</v>
      </c>
      <c r="U56" s="99">
        <f>$D56-vlookup(Summary!$C56,Summary!$C$2:$Q$103,3+counta($K$1:U$1),false)</f>
        <v>-0.55</v>
      </c>
      <c r="V56" s="99">
        <f>$D56-vlookup(Summary!$C56,Summary!$C$2:$Q$103,3+counta($K$1:V$1),false)</f>
        <v>-0.45</v>
      </c>
    </row>
    <row r="57" ht="15.75" customHeight="1">
      <c r="A57" s="15">
        <f>Main!A57</f>
        <v>56</v>
      </c>
      <c r="B57" s="108" t="str">
        <f>Main!B57</f>
        <v>Dave Chapelle’s special ‘The Closer’ will be available to watch on Netflix (Aus or US)</v>
      </c>
      <c r="C57" s="15" t="str">
        <f>Main!C57</f>
        <v>Society</v>
      </c>
      <c r="D57" s="15">
        <f t="shared" si="1"/>
        <v>0.999</v>
      </c>
      <c r="F57" s="15">
        <v>3.0</v>
      </c>
      <c r="K57" s="99">
        <f>$D57-vlookup(Summary!$C57,Summary!$C$2:$Q$103,3+counta($K$1:K$1),false)</f>
        <v>0.199</v>
      </c>
      <c r="L57" s="99">
        <f>$D57-vlookup(Summary!$C57,Summary!$C$2:$Q$103,3+counta($K$1:L$1),false)</f>
        <v>0.399</v>
      </c>
      <c r="M57" s="99">
        <f>$D57-vlookup(Summary!$C57,Summary!$C$2:$Q$103,3+counta($K$1:M$1),false)</f>
        <v>0.499</v>
      </c>
      <c r="N57" s="99">
        <f>$D57-vlookup(Summary!$C57,Summary!$C$2:$Q$103,3+counta($K$1:N$1),false)</f>
        <v>0.199</v>
      </c>
      <c r="O57" s="99">
        <f>$D57-vlookup(Summary!$C57,Summary!$C$2:$Q$103,3+counta($K$1:O$1),false)</f>
        <v>0.399</v>
      </c>
      <c r="P57" s="99">
        <f>$D57-vlookup(Summary!$C57,Summary!$C$2:$Q$103,3+counta($K$1:P$1),false)</f>
        <v>0.499</v>
      </c>
      <c r="Q57" s="99">
        <f>$D57-vlookup(Summary!$C57,Summary!$C$2:$Q$103,3+counta($K$1:Q$1),false)</f>
        <v>0.399</v>
      </c>
      <c r="R57" s="99">
        <f>$D57-vlookup(Summary!$C57,Summary!$C$2:$Q$103,3+counta($K$1:R$1),false)</f>
        <v>0.499</v>
      </c>
      <c r="S57" s="99">
        <f>$D57-vlookup(Summary!$C57,Summary!$C$2:$Q$103,3+counta($K$1:S$1),false)</f>
        <v>0.799</v>
      </c>
      <c r="T57" s="99">
        <f>$D57-vlookup(Summary!$C57,Summary!$C$2:$Q$103,3+counta($K$1:T$1),false)</f>
        <v>0</v>
      </c>
      <c r="U57" s="99">
        <f>$D57-vlookup(Summary!$C57,Summary!$C$2:$Q$103,3+counta($K$1:U$1),false)</f>
        <v>0.499</v>
      </c>
      <c r="V57" s="99">
        <f>$D57-vlookup(Summary!$C57,Summary!$C$2:$Q$103,3+counta($K$1:V$1),false)</f>
        <v>0.499</v>
      </c>
    </row>
    <row r="58" ht="15.75" customHeight="1">
      <c r="A58" s="15">
        <f>Main!A58</f>
        <v>57</v>
      </c>
      <c r="B58" s="108" t="str">
        <f>Main!B58</f>
        <v>An actor in a Disney film or TV show will have their contract ‘cancelled’ due to social pressure related to a social media post or opinion they have expressed publicly.</v>
      </c>
      <c r="C58" s="15" t="str">
        <f>Main!C58</f>
        <v>Society</v>
      </c>
      <c r="D58" s="15">
        <f t="shared" si="1"/>
        <v>0.65</v>
      </c>
      <c r="F58" s="15">
        <v>1.0</v>
      </c>
      <c r="K58" s="99">
        <f>$D58-vlookup(Summary!$C58,Summary!$C$2:$Q$103,3+counta($K$1:K$1),false)</f>
        <v>-0.05</v>
      </c>
      <c r="L58" s="99">
        <f>$D58-vlookup(Summary!$C58,Summary!$C$2:$Q$103,3+counta($K$1:L$1),false)</f>
        <v>0.25</v>
      </c>
      <c r="M58" s="99">
        <f>$D58-vlookup(Summary!$C58,Summary!$C$2:$Q$103,3+counta($K$1:M$1),false)</f>
        <v>0.05</v>
      </c>
      <c r="N58" s="99">
        <f>$D58-vlookup(Summary!$C58,Summary!$C$2:$Q$103,3+counta($K$1:N$1),false)</f>
        <v>-0.15</v>
      </c>
      <c r="O58" s="99">
        <f>$D58-vlookup(Summary!$C58,Summary!$C$2:$Q$103,3+counta($K$1:O$1),false)</f>
        <v>-0.15</v>
      </c>
      <c r="P58" s="99">
        <f>$D58-vlookup(Summary!$C58,Summary!$C$2:$Q$103,3+counta($K$1:P$1),false)</f>
        <v>-0.05</v>
      </c>
      <c r="Q58" s="99">
        <f>$D58-vlookup(Summary!$C58,Summary!$C$2:$Q$103,3+counta($K$1:Q$1),false)</f>
        <v>0.15</v>
      </c>
      <c r="R58" s="99">
        <f>$D58-vlookup(Summary!$C58,Summary!$C$2:$Q$103,3+counta($K$1:R$1),false)</f>
        <v>0.05</v>
      </c>
      <c r="S58" s="99">
        <f>$D58-vlookup(Summary!$C58,Summary!$C$2:$Q$103,3+counta($K$1:S$1),false)</f>
        <v>-0.15</v>
      </c>
      <c r="T58" s="99">
        <f>$D58-vlookup(Summary!$C58,Summary!$C$2:$Q$103,3+counta($K$1:T$1),false)</f>
        <v>0</v>
      </c>
      <c r="U58" s="99">
        <f>$D58-vlookup(Summary!$C58,Summary!$C$2:$Q$103,3+counta($K$1:U$1),false)</f>
        <v>0.15</v>
      </c>
      <c r="V58" s="99">
        <f>$D58-vlookup(Summary!$C58,Summary!$C$2:$Q$103,3+counta($K$1:V$1),false)</f>
        <v>0.25</v>
      </c>
    </row>
    <row r="59" ht="15.75" customHeight="1">
      <c r="A59" s="15">
        <f>Main!A59</f>
        <v>58</v>
      </c>
      <c r="B59" s="108" t="str">
        <f>Main!B59</f>
        <v>An Australian company or department will mandate the inclusion or visibility of preferred gender pronouns, whether through an HR directory or email signatures.</v>
      </c>
      <c r="C59" s="15" t="str">
        <f>Main!C59</f>
        <v>Society</v>
      </c>
      <c r="D59" s="15">
        <f t="shared" si="1"/>
        <v>0.35</v>
      </c>
      <c r="F59" s="15">
        <v>-1.0</v>
      </c>
      <c r="K59" s="99">
        <f>$D59-vlookup(Summary!$C59,Summary!$C$2:$Q$103,3+counta($K$1:K$1),false)</f>
        <v>-0.3</v>
      </c>
      <c r="L59" s="99">
        <f>$D59-vlookup(Summary!$C59,Summary!$C$2:$Q$103,3+counta($K$1:L$1),false)</f>
        <v>-0.6</v>
      </c>
      <c r="M59" s="99">
        <f>$D59-vlookup(Summary!$C59,Summary!$C$2:$Q$103,3+counta($K$1:M$1),false)</f>
        <v>-0.25</v>
      </c>
      <c r="N59" s="99">
        <f>$D59-vlookup(Summary!$C59,Summary!$C$2:$Q$103,3+counta($K$1:N$1),false)</f>
        <v>-0.45</v>
      </c>
      <c r="O59" s="99">
        <f>$D59-vlookup(Summary!$C59,Summary!$C$2:$Q$103,3+counta($K$1:O$1),false)</f>
        <v>-0.15</v>
      </c>
      <c r="P59" s="99">
        <f>$D59-vlookup(Summary!$C59,Summary!$C$2:$Q$103,3+counta($K$1:P$1),false)</f>
        <v>-0.4</v>
      </c>
      <c r="Q59" s="99">
        <f>$D59-vlookup(Summary!$C59,Summary!$C$2:$Q$103,3+counta($K$1:Q$1),false)</f>
        <v>-0.15</v>
      </c>
      <c r="R59" s="99">
        <f>$D59-vlookup(Summary!$C59,Summary!$C$2:$Q$103,3+counta($K$1:R$1),false)</f>
        <v>-0.25</v>
      </c>
      <c r="S59" s="99">
        <f>$D59-vlookup(Summary!$C59,Summary!$C$2:$Q$103,3+counta($K$1:S$1),false)</f>
        <v>-0.45</v>
      </c>
      <c r="T59" s="99">
        <f>$D59-vlookup(Summary!$C59,Summary!$C$2:$Q$103,3+counta($K$1:T$1),false)</f>
        <v>0</v>
      </c>
      <c r="U59" s="99">
        <f>$D59-vlookup(Summary!$C59,Summary!$C$2:$Q$103,3+counta($K$1:U$1),false)</f>
        <v>-0.15</v>
      </c>
      <c r="V59" s="99">
        <f>$D59-vlookup(Summary!$C59,Summary!$C$2:$Q$103,3+counta($K$1:V$1),false)</f>
        <v>-0.05</v>
      </c>
    </row>
    <row r="60" ht="15.75" customHeight="1">
      <c r="A60" s="15">
        <f>Main!A60</f>
        <v>59</v>
      </c>
      <c r="B60" s="108" t="str">
        <f>Main!B60</f>
        <v>More than 30% of Australians will have been born overseas (currently 29.8%)</v>
      </c>
      <c r="C60" s="15" t="str">
        <f>Main!C60</f>
        <v>Society</v>
      </c>
      <c r="D60" s="15">
        <f t="shared" si="1"/>
        <v>0.65</v>
      </c>
      <c r="F60" s="15">
        <v>1.0</v>
      </c>
      <c r="K60" s="99">
        <f>$D60-vlookup(Summary!$C60,Summary!$C$2:$Q$103,3+counta($K$1:K$1),false)</f>
        <v>0.45</v>
      </c>
      <c r="L60" s="99">
        <f>$D60-vlookup(Summary!$C60,Summary!$C$2:$Q$103,3+counta($K$1:L$1),false)</f>
        <v>0.05</v>
      </c>
      <c r="M60" s="99">
        <f>$D60-vlookup(Summary!$C60,Summary!$C$2:$Q$103,3+counta($K$1:M$1),false)</f>
        <v>0.55</v>
      </c>
      <c r="N60" s="99">
        <f>$D60-vlookup(Summary!$C60,Summary!$C$2:$Q$103,3+counta($K$1:N$1),false)</f>
        <v>0.05</v>
      </c>
      <c r="O60" s="99">
        <f>$D60-vlookup(Summary!$C60,Summary!$C$2:$Q$103,3+counta($K$1:O$1),false)</f>
        <v>-0.25</v>
      </c>
      <c r="P60" s="99">
        <f>$D60-vlookup(Summary!$C60,Summary!$C$2:$Q$103,3+counta($K$1:P$1),false)</f>
        <v>-0.25</v>
      </c>
      <c r="Q60" s="99">
        <f>$D60-vlookup(Summary!$C60,Summary!$C$2:$Q$103,3+counta($K$1:Q$1),false)</f>
        <v>0.35</v>
      </c>
      <c r="R60" s="99">
        <f>$D60-vlookup(Summary!$C60,Summary!$C$2:$Q$103,3+counta($K$1:R$1),false)</f>
        <v>0.55</v>
      </c>
      <c r="S60" s="99">
        <f>$D60-vlookup(Summary!$C60,Summary!$C$2:$Q$103,3+counta($K$1:S$1),false)</f>
        <v>0.45</v>
      </c>
      <c r="T60" s="99">
        <f>$D60-vlookup(Summary!$C60,Summary!$C$2:$Q$103,3+counta($K$1:T$1),false)</f>
        <v>0</v>
      </c>
      <c r="U60" s="99">
        <f>$D60-vlookup(Summary!$C60,Summary!$C$2:$Q$103,3+counta($K$1:U$1),false)</f>
        <v>0.55</v>
      </c>
      <c r="V60" s="99">
        <f>$D60-vlookup(Summary!$C60,Summary!$C$2:$Q$103,3+counta($K$1:V$1),false)</f>
        <v>0.1</v>
      </c>
    </row>
    <row r="61" ht="15.75" customHeight="1">
      <c r="A61" s="15">
        <f>Main!A61</f>
        <v>60</v>
      </c>
      <c r="B61" s="108" t="str">
        <f>Main!B61</f>
        <v>LGBTIQ+ will be the acronym in widespread usage throughout Australia, as determined by the definition from LGBTIQ+ Health Australia (the peak body org for health and research related to that community)</v>
      </c>
      <c r="C61" s="15" t="str">
        <f>Main!C61</f>
        <v>Society</v>
      </c>
      <c r="D61" s="15">
        <f t="shared" si="1"/>
        <v>0.999</v>
      </c>
      <c r="F61" s="15">
        <v>3.0</v>
      </c>
      <c r="K61" s="99">
        <f>$D61-vlookup(Summary!$C61,Summary!$C$2:$Q$103,3+counta($K$1:K$1),false)</f>
        <v>0.549</v>
      </c>
      <c r="L61" s="99">
        <f>$D61-vlookup(Summary!$C61,Summary!$C$2:$Q$103,3+counta($K$1:L$1),false)</f>
        <v>0.299</v>
      </c>
      <c r="M61" s="99">
        <f>$D61-vlookup(Summary!$C61,Summary!$C$2:$Q$103,3+counta($K$1:M$1),false)</f>
        <v>0.499</v>
      </c>
      <c r="N61" s="99">
        <f>$D61-vlookup(Summary!$C61,Summary!$C$2:$Q$103,3+counta($K$1:N$1),false)</f>
        <v>0.299</v>
      </c>
      <c r="O61" s="99">
        <f>$D61-vlookup(Summary!$C61,Summary!$C$2:$Q$103,3+counta($K$1:O$1),false)</f>
        <v>0.299</v>
      </c>
      <c r="P61" s="99">
        <f>$D61-vlookup(Summary!$C61,Summary!$C$2:$Q$103,3+counta($K$1:P$1),false)</f>
        <v>0.249</v>
      </c>
      <c r="Q61" s="99">
        <f>$D61-vlookup(Summary!$C61,Summary!$C$2:$Q$103,3+counta($K$1:Q$1),false)</f>
        <v>0.099</v>
      </c>
      <c r="R61" s="99">
        <f>$D61-vlookup(Summary!$C61,Summary!$C$2:$Q$103,3+counta($K$1:R$1),false)</f>
        <v>0.499</v>
      </c>
      <c r="S61" s="99">
        <f>$D61-vlookup(Summary!$C61,Summary!$C$2:$Q$103,3+counta($K$1:S$1),false)</f>
        <v>0.799</v>
      </c>
      <c r="T61" s="99">
        <f>$D61-vlookup(Summary!$C61,Summary!$C$2:$Q$103,3+counta($K$1:T$1),false)</f>
        <v>0</v>
      </c>
      <c r="U61" s="99">
        <f>$D61-vlookup(Summary!$C61,Summary!$C$2:$Q$103,3+counta($K$1:U$1),false)</f>
        <v>0.499</v>
      </c>
      <c r="V61" s="99">
        <f>$D61-vlookup(Summary!$C61,Summary!$C$2:$Q$103,3+counta($K$1:V$1),false)</f>
        <v>0.699</v>
      </c>
    </row>
    <row r="62" ht="15.75" customHeight="1">
      <c r="A62" s="15">
        <f>Main!A62</f>
        <v>61</v>
      </c>
      <c r="B62" s="108" t="str">
        <f>Main!B62</f>
        <v>The meat industry in Australia and/or the US will succeed in controlling the use of ‘meat terms’ (meat, beef etc.) for non-animal protein products</v>
      </c>
      <c r="C62" s="15" t="str">
        <f>Main!C62</f>
        <v>Society</v>
      </c>
      <c r="D62" s="15">
        <f t="shared" si="1"/>
        <v>0.999</v>
      </c>
      <c r="F62" s="15">
        <v>3.0</v>
      </c>
      <c r="K62" s="99">
        <f>$D62-vlookup(Summary!$C62,Summary!$C$2:$Q$103,3+counta($K$1:K$1),false)</f>
        <v>0.649</v>
      </c>
      <c r="L62" s="99">
        <f>$D62-vlookup(Summary!$C62,Summary!$C$2:$Q$103,3+counta($K$1:L$1),false)</f>
        <v>0.399</v>
      </c>
      <c r="M62" s="99">
        <f>$D62-vlookup(Summary!$C62,Summary!$C$2:$Q$103,3+counta($K$1:M$1),false)</f>
        <v>0.799</v>
      </c>
      <c r="N62" s="99">
        <f>$D62-vlookup(Summary!$C62,Summary!$C$2:$Q$103,3+counta($K$1:N$1),false)</f>
        <v>0.399</v>
      </c>
      <c r="O62" s="99">
        <f>$D62-vlookup(Summary!$C62,Summary!$C$2:$Q$103,3+counta($K$1:O$1),false)</f>
        <v>0.199</v>
      </c>
      <c r="P62" s="99">
        <f>$D62-vlookup(Summary!$C62,Summary!$C$2:$Q$103,3+counta($K$1:P$1),false)</f>
        <v>0.259</v>
      </c>
      <c r="Q62" s="99">
        <f>$D62-vlookup(Summary!$C62,Summary!$C$2:$Q$103,3+counta($K$1:Q$1),false)</f>
        <v>0.899</v>
      </c>
      <c r="R62" s="99">
        <f>$D62-vlookup(Summary!$C62,Summary!$C$2:$Q$103,3+counta($K$1:R$1),false)</f>
        <v>0.799</v>
      </c>
      <c r="S62" s="99">
        <f>$D62-vlookup(Summary!$C62,Summary!$C$2:$Q$103,3+counta($K$1:S$1),false)</f>
        <v>0.899</v>
      </c>
      <c r="T62" s="99">
        <f>$D62-vlookup(Summary!$C62,Summary!$C$2:$Q$103,3+counta($K$1:T$1),false)</f>
        <v>0</v>
      </c>
      <c r="U62" s="99">
        <f>$D62-vlookup(Summary!$C62,Summary!$C$2:$Q$103,3+counta($K$1:U$1),false)</f>
        <v>0.199</v>
      </c>
      <c r="V62" s="99">
        <f>$D62-vlookup(Summary!$C62,Summary!$C$2:$Q$103,3+counta($K$1:V$1),false)</f>
        <v>0.499</v>
      </c>
    </row>
    <row r="63" ht="15.75" customHeight="1">
      <c r="A63" s="15">
        <f>Main!A63</f>
        <v>62</v>
      </c>
      <c r="B63" s="108" t="str">
        <f>Main!B63</f>
        <v>The median house price in Canberra will be over $1,200,000 (currently $1,015,833)</v>
      </c>
      <c r="C63" s="15" t="str">
        <f>Main!C63</f>
        <v>Society</v>
      </c>
      <c r="D63" s="15">
        <f t="shared" si="1"/>
        <v>0.15</v>
      </c>
      <c r="F63" s="15">
        <v>-2.0</v>
      </c>
      <c r="K63" s="99">
        <f>$D63-vlookup(Summary!$C63,Summary!$C$2:$Q$103,3+counta($K$1:K$1),false)</f>
        <v>-0.55</v>
      </c>
      <c r="L63" s="99">
        <f>$D63-vlookup(Summary!$C63,Summary!$C$2:$Q$103,3+counta($K$1:L$1),false)</f>
        <v>-0.05</v>
      </c>
      <c r="M63" s="99">
        <f>$D63-vlookup(Summary!$C63,Summary!$C$2:$Q$103,3+counta($K$1:M$1),false)</f>
        <v>-0.05</v>
      </c>
      <c r="N63" s="99">
        <f>$D63-vlookup(Summary!$C63,Summary!$C$2:$Q$103,3+counta($K$1:N$1),false)</f>
        <v>-0.65</v>
      </c>
      <c r="O63" s="99">
        <f>$D63-vlookup(Summary!$C63,Summary!$C$2:$Q$103,3+counta($K$1:O$1),false)</f>
        <v>-0.65</v>
      </c>
      <c r="P63" s="99">
        <f>$D63-vlookup(Summary!$C63,Summary!$C$2:$Q$103,3+counta($K$1:P$1),false)</f>
        <v>-0.65</v>
      </c>
      <c r="Q63" s="99">
        <f>$D63-vlookup(Summary!$C63,Summary!$C$2:$Q$103,3+counta($K$1:Q$1),false)</f>
        <v>-0.84999</v>
      </c>
      <c r="R63" s="99">
        <f>$D63-vlookup(Summary!$C63,Summary!$C$2:$Q$103,3+counta($K$1:R$1),false)</f>
        <v>-0.05</v>
      </c>
      <c r="S63" s="99">
        <f>$D63-vlookup(Summary!$C63,Summary!$C$2:$Q$103,3+counta($K$1:S$1),false)</f>
        <v>-0.75</v>
      </c>
      <c r="T63" s="99">
        <f>$D63-vlookup(Summary!$C63,Summary!$C$2:$Q$103,3+counta($K$1:T$1),false)</f>
        <v>0</v>
      </c>
      <c r="U63" s="99">
        <f>$D63-vlookup(Summary!$C63,Summary!$C$2:$Q$103,3+counta($K$1:U$1),false)</f>
        <v>-0.45</v>
      </c>
      <c r="V63" s="99">
        <f>$D63-vlookup(Summary!$C63,Summary!$C$2:$Q$103,3+counta($K$1:V$1),false)</f>
        <v>-0.3</v>
      </c>
    </row>
    <row r="64" ht="15.75" customHeight="1">
      <c r="A64" s="15">
        <f>Main!A64</f>
        <v>63</v>
      </c>
      <c r="B64" s="108" t="str">
        <f>Main!B64</f>
        <v>An artist or band on the Rock and Roll Hall of Fame has a performance using digital avatar (source https://en.wikipedia.org/wiki/List_of_Rock_and_Roll_Hall_of_Fame_inductees)</v>
      </c>
      <c r="C64" s="15" t="str">
        <f>Main!C64</f>
        <v>Society</v>
      </c>
      <c r="D64" s="15">
        <f t="shared" si="1"/>
        <v>0.15</v>
      </c>
      <c r="F64" s="15">
        <v>-2.0</v>
      </c>
      <c r="K64" s="99">
        <f>$D64-vlookup(Summary!$C64,Summary!$C$2:$Q$103,3+counta($K$1:K$1),false)</f>
        <v>-0.25</v>
      </c>
      <c r="L64" s="99">
        <f>$D64-vlookup(Summary!$C64,Summary!$C$2:$Q$103,3+counta($K$1:L$1),false)</f>
        <v>-0.45</v>
      </c>
      <c r="M64" s="99">
        <f>$D64-vlookup(Summary!$C64,Summary!$C$2:$Q$103,3+counta($K$1:M$1),false)</f>
        <v>-0.55</v>
      </c>
      <c r="N64" s="99">
        <f>$D64-vlookup(Summary!$C64,Summary!$C$2:$Q$103,3+counta($K$1:N$1),false)</f>
        <v>-0.15</v>
      </c>
      <c r="O64" s="99">
        <f>$D64-vlookup(Summary!$C64,Summary!$C$2:$Q$103,3+counta($K$1:O$1),false)</f>
        <v>-0.35</v>
      </c>
      <c r="P64" s="99">
        <f>$D64-vlookup(Summary!$C64,Summary!$C$2:$Q$103,3+counta($K$1:P$1),false)</f>
        <v>-0.45</v>
      </c>
      <c r="Q64" s="99">
        <f>$D64-vlookup(Summary!$C64,Summary!$C$2:$Q$103,3+counta($K$1:Q$1),false)</f>
        <v>-0.45</v>
      </c>
      <c r="R64" s="99">
        <f>$D64-vlookup(Summary!$C64,Summary!$C$2:$Q$103,3+counta($K$1:R$1),false)</f>
        <v>-0.55</v>
      </c>
      <c r="S64" s="99">
        <f>$D64-vlookup(Summary!$C64,Summary!$C$2:$Q$103,3+counta($K$1:S$1),false)</f>
        <v>-0.05</v>
      </c>
      <c r="T64" s="99">
        <f>$D64-vlookup(Summary!$C64,Summary!$C$2:$Q$103,3+counta($K$1:T$1),false)</f>
        <v>0</v>
      </c>
      <c r="U64" s="99">
        <f>$D64-vlookup(Summary!$C64,Summary!$C$2:$Q$103,3+counta($K$1:U$1),false)</f>
        <v>0.05</v>
      </c>
      <c r="V64" s="99">
        <f>$D64-vlookup(Summary!$C64,Summary!$C$2:$Q$103,3+counta($K$1:V$1),false)</f>
        <v>-0.35</v>
      </c>
    </row>
    <row r="65" ht="15.75" customHeight="1">
      <c r="A65" s="15">
        <f>Main!A65</f>
        <v>64</v>
      </c>
      <c r="B65" s="108" t="str">
        <f>Main!B65</f>
        <v>No Australian tennis player will win a senior Championship event at the Australian Open in 2022</v>
      </c>
      <c r="C65" s="15" t="str">
        <f>Main!C65</f>
        <v>Sport</v>
      </c>
      <c r="D65" s="15">
        <f t="shared" si="1"/>
        <v>0</v>
      </c>
      <c r="F65" s="15">
        <v>-4.0</v>
      </c>
      <c r="K65" s="99">
        <f>$D65-vlookup(Summary!$C65,Summary!$C$2:$Q$103,3+counta($K$1:K$1),false)</f>
        <v>0</v>
      </c>
      <c r="L65" s="99">
        <f>$D65-vlookup(Summary!$C65,Summary!$C$2:$Q$103,3+counta($K$1:L$1),false)</f>
        <v>0</v>
      </c>
      <c r="M65" s="99">
        <f>$D65-vlookup(Summary!$C65,Summary!$C$2:$Q$103,3+counta($K$1:M$1),false)</f>
        <v>0</v>
      </c>
      <c r="N65" s="99">
        <f>$D65-vlookup(Summary!$C65,Summary!$C$2:$Q$103,3+counta($K$1:N$1),false)</f>
        <v>0</v>
      </c>
      <c r="O65" s="99">
        <f>$D65-vlookup(Summary!$C65,Summary!$C$2:$Q$103,3+counta($K$1:O$1),false)</f>
        <v>-0.6</v>
      </c>
      <c r="P65" s="99">
        <f>$D65-vlookup(Summary!$C65,Summary!$C$2:$Q$103,3+counta($K$1:P$1),false)</f>
        <v>0</v>
      </c>
      <c r="Q65" s="99">
        <f>$D65-vlookup(Summary!$C65,Summary!$C$2:$Q$103,3+counta($K$1:Q$1),false)</f>
        <v>0</v>
      </c>
      <c r="R65" s="99">
        <f>$D65-vlookup(Summary!$C65,Summary!$C$2:$Q$103,3+counta($K$1:R$1),false)</f>
        <v>0</v>
      </c>
      <c r="S65" s="99">
        <f>$D65-vlookup(Summary!$C65,Summary!$C$2:$Q$103,3+counta($K$1:S$1),false)</f>
        <v>-0.1</v>
      </c>
      <c r="T65" s="99">
        <f>$D65-vlookup(Summary!$C65,Summary!$C$2:$Q$103,3+counta($K$1:T$1),false)</f>
        <v>0</v>
      </c>
      <c r="U65" s="99">
        <f>$D65-vlookup(Summary!$C65,Summary!$C$2:$Q$103,3+counta($K$1:U$1),false)</f>
        <v>-0.5</v>
      </c>
      <c r="V65" s="99">
        <f>$D65-vlookup(Summary!$C65,Summary!$C$2:$Q$103,3+counta($K$1:V$1),false)</f>
        <v>-0.2</v>
      </c>
    </row>
    <row r="66" ht="15.75" customHeight="1">
      <c r="A66" s="15">
        <f>Main!A66</f>
        <v>65</v>
      </c>
      <c r="B66" s="108" t="str">
        <f>Main!B66</f>
        <v>Daniel Ricciardo will win the Australian GP in 2022.</v>
      </c>
      <c r="C66" s="15" t="str">
        <f>Main!C66</f>
        <v>Sport</v>
      </c>
      <c r="D66" s="15">
        <f t="shared" si="1"/>
        <v>0.5</v>
      </c>
      <c r="F66" s="15">
        <v>0.0</v>
      </c>
      <c r="K66" s="99">
        <f>$D66-vlookup(Summary!$C66,Summary!$C$2:$Q$103,3+counta($K$1:K$1),false)</f>
        <v>0</v>
      </c>
      <c r="L66" s="99">
        <f>$D66-vlookup(Summary!$C66,Summary!$C$2:$Q$103,3+counta($K$1:L$1),false)</f>
        <v>0.4</v>
      </c>
      <c r="M66" s="99">
        <f>$D66-vlookup(Summary!$C66,Summary!$C$2:$Q$103,3+counta($K$1:M$1),false)</f>
        <v>0</v>
      </c>
      <c r="N66" s="99">
        <f>$D66-vlookup(Summary!$C66,Summary!$C$2:$Q$103,3+counta($K$1:N$1),false)</f>
        <v>0</v>
      </c>
      <c r="O66" s="99">
        <f>$D66-vlookup(Summary!$C66,Summary!$C$2:$Q$103,3+counta($K$1:O$1),false)</f>
        <v>0.2</v>
      </c>
      <c r="P66" s="99">
        <f>$D66-vlookup(Summary!$C66,Summary!$C$2:$Q$103,3+counta($K$1:P$1),false)</f>
        <v>-0.1</v>
      </c>
      <c r="Q66" s="99">
        <f>$D66-vlookup(Summary!$C66,Summary!$C$2:$Q$103,3+counta($K$1:Q$1),false)</f>
        <v>0.3</v>
      </c>
      <c r="R66" s="99">
        <f>$D66-vlookup(Summary!$C66,Summary!$C$2:$Q$103,3+counta($K$1:R$1),false)</f>
        <v>0</v>
      </c>
      <c r="S66" s="99">
        <f>$D66-vlookup(Summary!$C66,Summary!$C$2:$Q$103,3+counta($K$1:S$1),false)</f>
        <v>0.4</v>
      </c>
      <c r="T66" s="99">
        <f>$D66-vlookup(Summary!$C66,Summary!$C$2:$Q$103,3+counta($K$1:T$1),false)</f>
        <v>0</v>
      </c>
      <c r="U66" s="99">
        <f>$D66-vlookup(Summary!$C66,Summary!$C$2:$Q$103,3+counta($K$1:U$1),false)</f>
        <v>0.4</v>
      </c>
      <c r="V66" s="99">
        <f>$D66-vlookup(Summary!$C66,Summary!$C$2:$Q$103,3+counta($K$1:V$1),false)</f>
        <v>0.4</v>
      </c>
    </row>
    <row r="67" ht="15.75" customHeight="1">
      <c r="A67" s="15">
        <f>Main!A67</f>
        <v>66</v>
      </c>
      <c r="B67" s="108" t="str">
        <f>Main!B67</f>
        <v>Collingwood will make it into the top 8 at the end of the footy season</v>
      </c>
      <c r="C67" s="15" t="str">
        <f>Main!C67</f>
        <v>Sport</v>
      </c>
      <c r="D67" s="15">
        <f t="shared" si="1"/>
        <v>0.5</v>
      </c>
      <c r="F67" s="15">
        <v>0.0</v>
      </c>
      <c r="K67" s="99">
        <f>$D67-vlookup(Summary!$C67,Summary!$C$2:$Q$103,3+counta($K$1:K$1),false)</f>
        <v>0</v>
      </c>
      <c r="L67" s="99">
        <f>$D67-vlookup(Summary!$C67,Summary!$C$2:$Q$103,3+counta($K$1:L$1),false)</f>
        <v>0.4</v>
      </c>
      <c r="M67" s="99">
        <f>$D67-vlookup(Summary!$C67,Summary!$C$2:$Q$103,3+counta($K$1:M$1),false)</f>
        <v>0.05</v>
      </c>
      <c r="N67" s="99">
        <f>$D67-vlookup(Summary!$C67,Summary!$C$2:$Q$103,3+counta($K$1:N$1),false)</f>
        <v>0</v>
      </c>
      <c r="O67" s="99">
        <f>$D67-vlookup(Summary!$C67,Summary!$C$2:$Q$103,3+counta($K$1:O$1),false)</f>
        <v>-0.1</v>
      </c>
      <c r="P67" s="99">
        <f>$D67-vlookup(Summary!$C67,Summary!$C$2:$Q$103,3+counta($K$1:P$1),false)</f>
        <v>-0.1</v>
      </c>
      <c r="Q67" s="99">
        <f>$D67-vlookup(Summary!$C67,Summary!$C$2:$Q$103,3+counta($K$1:Q$1),false)</f>
        <v>0</v>
      </c>
      <c r="R67" s="99">
        <f>$D67-vlookup(Summary!$C67,Summary!$C$2:$Q$103,3+counta($K$1:R$1),false)</f>
        <v>0.05</v>
      </c>
      <c r="S67" s="99">
        <f>$D67-vlookup(Summary!$C67,Summary!$C$2:$Q$103,3+counta($K$1:S$1),false)</f>
        <v>-0.2</v>
      </c>
      <c r="T67" s="99">
        <f>$D67-vlookup(Summary!$C67,Summary!$C$2:$Q$103,3+counta($K$1:T$1),false)</f>
        <v>0</v>
      </c>
      <c r="U67" s="99">
        <f>$D67-vlookup(Summary!$C67,Summary!$C$2:$Q$103,3+counta($K$1:U$1),false)</f>
        <v>0.4</v>
      </c>
      <c r="V67" s="99">
        <f>$D67-vlookup(Summary!$C67,Summary!$C$2:$Q$103,3+counta($K$1:V$1),false)</f>
        <v>-0.1</v>
      </c>
    </row>
    <row r="68" ht="15.75" customHeight="1">
      <c r="A68" s="15">
        <f>Main!A68</f>
        <v>67</v>
      </c>
      <c r="B68" s="108" t="str">
        <f>Main!B68</f>
        <v>Italy will defeat Portugal in their qualifying match and reach the finals of the Football World Cup</v>
      </c>
      <c r="C68" s="15" t="str">
        <f>Main!C68</f>
        <v>Sport</v>
      </c>
      <c r="D68" s="15">
        <f t="shared" si="1"/>
        <v>0.5</v>
      </c>
      <c r="F68" s="15">
        <v>0.0</v>
      </c>
      <c r="K68" s="99">
        <f>$D68-vlookup(Summary!$C68,Summary!$C$2:$Q$103,3+counta($K$1:K$1),false)</f>
        <v>0</v>
      </c>
      <c r="L68" s="99">
        <f>$D68-vlookup(Summary!$C68,Summary!$C$2:$Q$103,3+counta($K$1:L$1),false)</f>
        <v>-0.1</v>
      </c>
      <c r="M68" s="99">
        <f>$D68-vlookup(Summary!$C68,Summary!$C$2:$Q$103,3+counta($K$1:M$1),false)</f>
        <v>-0.2</v>
      </c>
      <c r="N68" s="99">
        <f>$D68-vlookup(Summary!$C68,Summary!$C$2:$Q$103,3+counta($K$1:N$1),false)</f>
        <v>0</v>
      </c>
      <c r="O68" s="99">
        <f>$D68-vlookup(Summary!$C68,Summary!$C$2:$Q$103,3+counta($K$1:O$1),false)</f>
        <v>0</v>
      </c>
      <c r="P68" s="99">
        <f>$D68-vlookup(Summary!$C68,Summary!$C$2:$Q$103,3+counta($K$1:P$1),false)</f>
        <v>-0.35</v>
      </c>
      <c r="Q68" s="99">
        <f>$D68-vlookup(Summary!$C68,Summary!$C$2:$Q$103,3+counta($K$1:Q$1),false)</f>
        <v>0.45</v>
      </c>
      <c r="R68" s="99">
        <f>$D68-vlookup(Summary!$C68,Summary!$C$2:$Q$103,3+counta($K$1:R$1),false)</f>
        <v>-0.2</v>
      </c>
      <c r="S68" s="99">
        <f>$D68-vlookup(Summary!$C68,Summary!$C$2:$Q$103,3+counta($K$1:S$1),false)</f>
        <v>0</v>
      </c>
      <c r="T68" s="99">
        <f>$D68-vlookup(Summary!$C68,Summary!$C$2:$Q$103,3+counta($K$1:T$1),false)</f>
        <v>0</v>
      </c>
      <c r="U68" s="99">
        <f>$D68-vlookup(Summary!$C68,Summary!$C$2:$Q$103,3+counta($K$1:U$1),false)</f>
        <v>-0.4</v>
      </c>
      <c r="V68" s="99">
        <f>$D68-vlookup(Summary!$C68,Summary!$C$2:$Q$103,3+counta($K$1:V$1),false)</f>
        <v>-0.3</v>
      </c>
    </row>
    <row r="69" ht="15.75" customHeight="1">
      <c r="A69" s="15">
        <f>Main!A69</f>
        <v>68</v>
      </c>
      <c r="B69" s="108" t="str">
        <f>Main!B69</f>
        <v>Ash Barty will be world number 1 in the WRA rankings after the US Open</v>
      </c>
      <c r="C69" s="15" t="str">
        <f>Main!C69</f>
        <v>Sport</v>
      </c>
      <c r="D69" s="15">
        <f t="shared" si="1"/>
        <v>0.5</v>
      </c>
      <c r="F69" s="15">
        <v>0.0</v>
      </c>
      <c r="K69" s="99">
        <f>$D69-vlookup(Summary!$C69,Summary!$C$2:$Q$103,3+counta($K$1:K$1),false)</f>
        <v>-0.3</v>
      </c>
      <c r="L69" s="99">
        <f>$D69-vlookup(Summary!$C69,Summary!$C$2:$Q$103,3+counta($K$1:L$1),false)</f>
        <v>-0.4</v>
      </c>
      <c r="M69" s="99">
        <f>$D69-vlookup(Summary!$C69,Summary!$C$2:$Q$103,3+counta($K$1:M$1),false)</f>
        <v>-0.3</v>
      </c>
      <c r="N69" s="99">
        <f>$D69-vlookup(Summary!$C69,Summary!$C$2:$Q$103,3+counta($K$1:N$1),false)</f>
        <v>-0.3</v>
      </c>
      <c r="O69" s="99">
        <f>$D69-vlookup(Summary!$C69,Summary!$C$2:$Q$103,3+counta($K$1:O$1),false)</f>
        <v>-0.3</v>
      </c>
      <c r="P69" s="99">
        <f>$D69-vlookup(Summary!$C69,Summary!$C$2:$Q$103,3+counta($K$1:P$1),false)</f>
        <v>-0.48</v>
      </c>
      <c r="Q69" s="99">
        <f>$D69-vlookup(Summary!$C69,Summary!$C$2:$Q$103,3+counta($K$1:Q$1),false)</f>
        <v>-0.499</v>
      </c>
      <c r="R69" s="99">
        <f>$D69-vlookup(Summary!$C69,Summary!$C$2:$Q$103,3+counta($K$1:R$1),false)</f>
        <v>-0.3</v>
      </c>
      <c r="S69" s="99">
        <f>$D69-vlookup(Summary!$C69,Summary!$C$2:$Q$103,3+counta($K$1:S$1),false)</f>
        <v>-0.4</v>
      </c>
      <c r="T69" s="99">
        <f>$D69-vlookup(Summary!$C69,Summary!$C$2:$Q$103,3+counta($K$1:T$1),false)</f>
        <v>0</v>
      </c>
      <c r="U69" s="99">
        <f>$D69-vlookup(Summary!$C69,Summary!$C$2:$Q$103,3+counta($K$1:U$1),false)</f>
        <v>-0.4</v>
      </c>
      <c r="V69" s="99">
        <f>$D69-vlookup(Summary!$C69,Summary!$C$2:$Q$103,3+counta($K$1:V$1),false)</f>
        <v>-0.05</v>
      </c>
    </row>
    <row r="70" ht="15.75" customHeight="1">
      <c r="A70" s="15">
        <f>Main!A70</f>
        <v>69</v>
      </c>
      <c r="B70" s="108" t="str">
        <f>Main!B70</f>
        <v>Neither Roger Federer nor Serena Williams will win a Grand Slam tennis tournament</v>
      </c>
      <c r="C70" s="15" t="str">
        <f>Main!C70</f>
        <v>Sport</v>
      </c>
      <c r="D70" s="15">
        <f t="shared" si="1"/>
        <v>0.85</v>
      </c>
      <c r="F70" s="15">
        <v>2.0</v>
      </c>
      <c r="K70" s="99">
        <f>$D70-vlookup(Summary!$C70,Summary!$C$2:$Q$103,3+counta($K$1:K$1),false)</f>
        <v>0.2</v>
      </c>
      <c r="L70" s="99">
        <f>$D70-vlookup(Summary!$C70,Summary!$C$2:$Q$103,3+counta($K$1:L$1),false)</f>
        <v>0.05</v>
      </c>
      <c r="M70" s="99">
        <f>$D70-vlookup(Summary!$C70,Summary!$C$2:$Q$103,3+counta($K$1:M$1),false)</f>
        <v>-0.1</v>
      </c>
      <c r="N70" s="99">
        <f>$D70-vlookup(Summary!$C70,Summary!$C$2:$Q$103,3+counta($K$1:N$1),false)</f>
        <v>0.45</v>
      </c>
      <c r="O70" s="99">
        <f>$D70-vlookup(Summary!$C70,Summary!$C$2:$Q$103,3+counta($K$1:O$1),false)</f>
        <v>0.05</v>
      </c>
      <c r="P70" s="99">
        <f>$D70-vlookup(Summary!$C70,Summary!$C$2:$Q$103,3+counta($K$1:P$1),false)</f>
        <v>-0.05</v>
      </c>
      <c r="Q70" s="99">
        <f>$D70-vlookup(Summary!$C70,Summary!$C$2:$Q$103,3+counta($K$1:Q$1),false)</f>
        <v>-0.149</v>
      </c>
      <c r="R70" s="99">
        <f>$D70-vlookup(Summary!$C70,Summary!$C$2:$Q$103,3+counta($K$1:R$1),false)</f>
        <v>-0.1</v>
      </c>
      <c r="S70" s="99">
        <f>$D70-vlookup(Summary!$C70,Summary!$C$2:$Q$103,3+counta($K$1:S$1),false)</f>
        <v>0.05</v>
      </c>
      <c r="T70" s="99">
        <f>$D70-vlookup(Summary!$C70,Summary!$C$2:$Q$103,3+counta($K$1:T$1),false)</f>
        <v>0</v>
      </c>
      <c r="U70" s="99">
        <f>$D70-vlookup(Summary!$C70,Summary!$C$2:$Q$103,3+counta($K$1:U$1),false)</f>
        <v>0.75</v>
      </c>
      <c r="V70" s="99">
        <f>$D70-vlookup(Summary!$C70,Summary!$C$2:$Q$103,3+counta($K$1:V$1),false)</f>
        <v>0.35</v>
      </c>
    </row>
    <row r="71" ht="15.75" customHeight="1">
      <c r="A71" s="15">
        <f>Main!A71</f>
        <v>70</v>
      </c>
      <c r="B71" s="108" t="str">
        <f>Main!B71</f>
        <v>The Football World Cup will not go ahead on the scheduled dates in Qatar</v>
      </c>
      <c r="C71" s="15" t="str">
        <f>Main!C71</f>
        <v>Sport</v>
      </c>
      <c r="D71" s="15">
        <f t="shared" si="1"/>
        <v>0.65</v>
      </c>
      <c r="F71" s="15">
        <v>1.0</v>
      </c>
      <c r="K71" s="99">
        <f>$D71-vlookup(Summary!$C71,Summary!$C$2:$Q$103,3+counta($K$1:K$1),false)</f>
        <v>0.25</v>
      </c>
      <c r="L71" s="99">
        <f>$D71-vlookup(Summary!$C71,Summary!$C$2:$Q$103,3+counta($K$1:L$1),false)</f>
        <v>0.4</v>
      </c>
      <c r="M71" s="99">
        <f>$D71-vlookup(Summary!$C71,Summary!$C$2:$Q$103,3+counta($K$1:M$1),false)</f>
        <v>0.55</v>
      </c>
      <c r="N71" s="99">
        <f>$D71-vlookup(Summary!$C71,Summary!$C$2:$Q$103,3+counta($K$1:N$1),false)</f>
        <v>0.15</v>
      </c>
      <c r="O71" s="99">
        <f>$D71-vlookup(Summary!$C71,Summary!$C$2:$Q$103,3+counta($K$1:O$1),false)</f>
        <v>0.15</v>
      </c>
      <c r="P71" s="99">
        <f>$D71-vlookup(Summary!$C71,Summary!$C$2:$Q$103,3+counta($K$1:P$1),false)</f>
        <v>0.35</v>
      </c>
      <c r="Q71" s="99">
        <f>$D71-vlookup(Summary!$C71,Summary!$C$2:$Q$103,3+counta($K$1:Q$1),false)</f>
        <v>0.1</v>
      </c>
      <c r="R71" s="99">
        <f>$D71-vlookup(Summary!$C71,Summary!$C$2:$Q$103,3+counta($K$1:R$1),false)</f>
        <v>0.55</v>
      </c>
      <c r="S71" s="99">
        <f>$D71-vlookup(Summary!$C71,Summary!$C$2:$Q$103,3+counta($K$1:S$1),false)</f>
        <v>0.55</v>
      </c>
      <c r="T71" s="99">
        <f>$D71-vlookup(Summary!$C71,Summary!$C$2:$Q$103,3+counta($K$1:T$1),false)</f>
        <v>0</v>
      </c>
      <c r="U71" s="99">
        <f>$D71-vlookup(Summary!$C71,Summary!$C$2:$Q$103,3+counta($K$1:U$1),false)</f>
        <v>-0.25</v>
      </c>
      <c r="V71" s="99">
        <f>$D71-vlookup(Summary!$C71,Summary!$C$2:$Q$103,3+counta($K$1:V$1),false)</f>
        <v>0.45</v>
      </c>
    </row>
    <row r="72" ht="15.75" customHeight="1">
      <c r="A72" s="15">
        <f>Main!A72</f>
        <v>71</v>
      </c>
      <c r="B72" s="108" t="str">
        <f>Main!B72</f>
        <v>Lewis hamilton will win the 2022 world championship in Formula 1</v>
      </c>
      <c r="C72" s="15" t="str">
        <f>Main!C72</f>
        <v>Sport</v>
      </c>
      <c r="D72" s="15">
        <f t="shared" si="1"/>
        <v>0.35</v>
      </c>
      <c r="F72" s="15">
        <v>-1.0</v>
      </c>
      <c r="K72" s="99">
        <f>$D72-vlookup(Summary!$C72,Summary!$C$2:$Q$103,3+counta($K$1:K$1),false)</f>
        <v>-0.25</v>
      </c>
      <c r="L72" s="99">
        <f>$D72-vlookup(Summary!$C72,Summary!$C$2:$Q$103,3+counta($K$1:L$1),false)</f>
        <v>0.15</v>
      </c>
      <c r="M72" s="99">
        <f>$D72-vlookup(Summary!$C72,Summary!$C$2:$Q$103,3+counta($K$1:M$1),false)</f>
        <v>-0.25</v>
      </c>
      <c r="N72" s="99">
        <f>$D72-vlookup(Summary!$C72,Summary!$C$2:$Q$103,3+counta($K$1:N$1),false)</f>
        <v>-0.15</v>
      </c>
      <c r="O72" s="99">
        <f>$D72-vlookup(Summary!$C72,Summary!$C$2:$Q$103,3+counta($K$1:O$1),false)</f>
        <v>-0.45</v>
      </c>
      <c r="P72" s="99">
        <f>$D72-vlookup(Summary!$C72,Summary!$C$2:$Q$103,3+counta($K$1:P$1),false)</f>
        <v>-0.45</v>
      </c>
      <c r="Q72" s="99">
        <f>$D72-vlookup(Summary!$C72,Summary!$C$2:$Q$103,3+counta($K$1:Q$1),false)</f>
        <v>-0.25</v>
      </c>
      <c r="R72" s="99">
        <f>$D72-vlookup(Summary!$C72,Summary!$C$2:$Q$103,3+counta($K$1:R$1),false)</f>
        <v>-0.25</v>
      </c>
      <c r="S72" s="99">
        <f>$D72-vlookup(Summary!$C72,Summary!$C$2:$Q$103,3+counta($K$1:S$1),false)</f>
        <v>-0.45</v>
      </c>
      <c r="T72" s="99">
        <f>$D72-vlookup(Summary!$C72,Summary!$C$2:$Q$103,3+counta($K$1:T$1),false)</f>
        <v>0</v>
      </c>
      <c r="U72" s="99">
        <f>$D72-vlookup(Summary!$C72,Summary!$C$2:$Q$103,3+counta($K$1:U$1),false)</f>
        <v>-0.55</v>
      </c>
      <c r="V72" s="99">
        <f>$D72-vlookup(Summary!$C72,Summary!$C$2:$Q$103,3+counta($K$1:V$1),false)</f>
        <v>-0.3</v>
      </c>
    </row>
    <row r="73" ht="15.75" customHeight="1">
      <c r="A73" s="15">
        <f>Main!A73</f>
        <v>72</v>
      </c>
      <c r="B73" s="108" t="str">
        <f>Main!B73</f>
        <v>The Haas F1 team will score 0 points in the 2022 season</v>
      </c>
      <c r="C73" s="15" t="str">
        <f>Main!C73</f>
        <v>Sport</v>
      </c>
      <c r="D73" s="15">
        <f t="shared" si="1"/>
        <v>0.65</v>
      </c>
      <c r="F73" s="15">
        <v>1.0</v>
      </c>
      <c r="K73" s="99">
        <f>$D73-vlookup(Summary!$C73,Summary!$C$2:$Q$103,3+counta($K$1:K$1),false)</f>
        <v>0.15</v>
      </c>
      <c r="L73" s="99">
        <f>$D73-vlookup(Summary!$C73,Summary!$C$2:$Q$103,3+counta($K$1:L$1),false)</f>
        <v>-0.05</v>
      </c>
      <c r="M73" s="99">
        <f>$D73-vlookup(Summary!$C73,Summary!$C$2:$Q$103,3+counta($K$1:M$1),false)</f>
        <v>0.15</v>
      </c>
      <c r="N73" s="99">
        <f>$D73-vlookup(Summary!$C73,Summary!$C$2:$Q$103,3+counta($K$1:N$1),false)</f>
        <v>0.15</v>
      </c>
      <c r="O73" s="99">
        <f>$D73-vlookup(Summary!$C73,Summary!$C$2:$Q$103,3+counta($K$1:O$1),false)</f>
        <v>0.35</v>
      </c>
      <c r="P73" s="99">
        <f>$D73-vlookup(Summary!$C73,Summary!$C$2:$Q$103,3+counta($K$1:P$1),false)</f>
        <v>0.15</v>
      </c>
      <c r="Q73" s="99">
        <f>$D73-vlookup(Summary!$C73,Summary!$C$2:$Q$103,3+counta($K$1:Q$1),false)</f>
        <v>0.15</v>
      </c>
      <c r="R73" s="99">
        <f>$D73-vlookup(Summary!$C73,Summary!$C$2:$Q$103,3+counta($K$1:R$1),false)</f>
        <v>0.15</v>
      </c>
      <c r="S73" s="99">
        <f>$D73-vlookup(Summary!$C73,Summary!$C$2:$Q$103,3+counta($K$1:S$1),false)</f>
        <v>0.15</v>
      </c>
      <c r="T73" s="99">
        <f>$D73-vlookup(Summary!$C73,Summary!$C$2:$Q$103,3+counta($K$1:T$1),false)</f>
        <v>0</v>
      </c>
      <c r="U73" s="99">
        <f>$D73-vlookup(Summary!$C73,Summary!$C$2:$Q$103,3+counta($K$1:U$1),false)</f>
        <v>0.55</v>
      </c>
      <c r="V73" s="99">
        <f>$D73-vlookup(Summary!$C73,Summary!$C$2:$Q$103,3+counta($K$1:V$1),false)</f>
        <v>0.05</v>
      </c>
    </row>
    <row r="74" ht="15.75" customHeight="1">
      <c r="A74" s="15">
        <f>Main!A74</f>
        <v>73</v>
      </c>
      <c r="B74" s="108" t="str">
        <f>Main!B74</f>
        <v>ULA's vulcan centaur will launch succesfully (places a payload into orbit)</v>
      </c>
      <c r="C74" s="15" t="str">
        <f>Main!C74</f>
        <v>Technology</v>
      </c>
      <c r="D74" s="15">
        <f t="shared" si="1"/>
        <v>0.85</v>
      </c>
      <c r="F74" s="15">
        <v>2.0</v>
      </c>
      <c r="K74" s="99">
        <f>$D74-vlookup(Summary!$C74,Summary!$C$2:$Q$103,3+counta($K$1:K$1),false)</f>
        <v>0.25</v>
      </c>
      <c r="L74" s="99">
        <f>$D74-vlookup(Summary!$C74,Summary!$C$2:$Q$103,3+counta($K$1:L$1),false)</f>
        <v>0.15</v>
      </c>
      <c r="M74" s="99">
        <f>$D74-vlookup(Summary!$C74,Summary!$C$2:$Q$103,3+counta($K$1:M$1),false)</f>
        <v>0.15</v>
      </c>
      <c r="N74" s="99">
        <f>$D74-vlookup(Summary!$C74,Summary!$C$2:$Q$103,3+counta($K$1:N$1),false)</f>
        <v>0.25</v>
      </c>
      <c r="O74" s="99">
        <f>$D74-vlookup(Summary!$C74,Summary!$C$2:$Q$103,3+counta($K$1:O$1),false)</f>
        <v>0.25</v>
      </c>
      <c r="P74" s="99">
        <f>$D74-vlookup(Summary!$C74,Summary!$C$2:$Q$103,3+counta($K$1:P$1),false)</f>
        <v>0.25</v>
      </c>
      <c r="Q74" s="99">
        <f>$D74-vlookup(Summary!$C74,Summary!$C$2:$Q$103,3+counta($K$1:Q$1),false)</f>
        <v>0.65</v>
      </c>
      <c r="R74" s="99">
        <f>$D74-vlookup(Summary!$C74,Summary!$C$2:$Q$103,3+counta($K$1:R$1),false)</f>
        <v>0.15</v>
      </c>
      <c r="S74" s="99">
        <f>$D74-vlookup(Summary!$C74,Summary!$C$2:$Q$103,3+counta($K$1:S$1),false)</f>
        <v>0.45</v>
      </c>
      <c r="T74" s="99">
        <f>$D74-vlookup(Summary!$C74,Summary!$C$2:$Q$103,3+counta($K$1:T$1),false)</f>
        <v>0</v>
      </c>
      <c r="U74" s="99">
        <f>$D74-vlookup(Summary!$C74,Summary!$C$2:$Q$103,3+counta($K$1:U$1),false)</f>
        <v>0.35</v>
      </c>
      <c r="V74" s="99">
        <f>$D74-vlookup(Summary!$C74,Summary!$C$2:$Q$103,3+counta($K$1:V$1),false)</f>
        <v>0.35</v>
      </c>
    </row>
    <row r="75" ht="15.75" customHeight="1">
      <c r="A75" s="15">
        <f>Main!A75</f>
        <v>74</v>
      </c>
      <c r="B75" s="108" t="str">
        <f>Main!B75</f>
        <v>NASA will declare its Artemis 1 mission a success</v>
      </c>
      <c r="C75" s="15" t="str">
        <f>Main!C75</f>
        <v>Technology</v>
      </c>
      <c r="D75" s="15">
        <f t="shared" si="1"/>
        <v>0.65</v>
      </c>
      <c r="F75" s="15">
        <v>1.0</v>
      </c>
      <c r="K75" s="99">
        <f>$D75-vlookup(Summary!$C75,Summary!$C$2:$Q$103,3+counta($K$1:K$1),false)</f>
        <v>-0.05</v>
      </c>
      <c r="L75" s="99">
        <f>$D75-vlookup(Summary!$C75,Summary!$C$2:$Q$103,3+counta($K$1:L$1),false)</f>
        <v>-0.15</v>
      </c>
      <c r="M75" s="99">
        <f>$D75-vlookup(Summary!$C75,Summary!$C$2:$Q$103,3+counta($K$1:M$1),false)</f>
        <v>-0.05</v>
      </c>
      <c r="N75" s="99">
        <f>$D75-vlookup(Summary!$C75,Summary!$C$2:$Q$103,3+counta($K$1:N$1),false)</f>
        <v>-0.05</v>
      </c>
      <c r="O75" s="99">
        <f>$D75-vlookup(Summary!$C75,Summary!$C$2:$Q$103,3+counta($K$1:O$1),false)</f>
        <v>-0.05</v>
      </c>
      <c r="P75" s="99">
        <f>$D75-vlookup(Summary!$C75,Summary!$C$2:$Q$103,3+counta($K$1:P$1),false)</f>
        <v>-0.15</v>
      </c>
      <c r="Q75" s="99">
        <f>$D75-vlookup(Summary!$C75,Summary!$C$2:$Q$103,3+counta($K$1:Q$1),false)</f>
        <v>0.05</v>
      </c>
      <c r="R75" s="99">
        <f>$D75-vlookup(Summary!$C75,Summary!$C$2:$Q$103,3+counta($K$1:R$1),false)</f>
        <v>-0.05</v>
      </c>
      <c r="S75" s="99">
        <f>$D75-vlookup(Summary!$C75,Summary!$C$2:$Q$103,3+counta($K$1:S$1),false)</f>
        <v>0.15</v>
      </c>
      <c r="T75" s="99">
        <f>$D75-vlookup(Summary!$C75,Summary!$C$2:$Q$103,3+counta($K$1:T$1),false)</f>
        <v>0</v>
      </c>
      <c r="U75" s="99">
        <f>$D75-vlookup(Summary!$C75,Summary!$C$2:$Q$103,3+counta($K$1:U$1),false)</f>
        <v>0.15</v>
      </c>
      <c r="V75" s="99">
        <f>$D75-vlookup(Summary!$C75,Summary!$C$2:$Q$103,3+counta($K$1:V$1),false)</f>
        <v>-0.05</v>
      </c>
    </row>
    <row r="76" ht="15.75" customHeight="1">
      <c r="A76" s="15">
        <f>Main!A76</f>
        <v>75</v>
      </c>
      <c r="B76" s="108" t="str">
        <f>Main!B76</f>
        <v>Starship/Superheavy will place Starship into a (partial) orbital trajectory</v>
      </c>
      <c r="C76" s="15" t="str">
        <f>Main!C76</f>
        <v>Technology</v>
      </c>
      <c r="D76" s="15">
        <f t="shared" si="1"/>
        <v>0.85</v>
      </c>
      <c r="F76" s="15">
        <v>2.0</v>
      </c>
      <c r="K76" s="99">
        <f>$D76-vlookup(Summary!$C76,Summary!$C$2:$Q$103,3+counta($K$1:K$1),false)</f>
        <v>0.2</v>
      </c>
      <c r="L76" s="99">
        <f>$D76-vlookup(Summary!$C76,Summary!$C$2:$Q$103,3+counta($K$1:L$1),false)</f>
        <v>0.25</v>
      </c>
      <c r="M76" s="99">
        <f>$D76-vlookup(Summary!$C76,Summary!$C$2:$Q$103,3+counta($K$1:M$1),false)</f>
        <v>0.25</v>
      </c>
      <c r="N76" s="99">
        <f>$D76-vlookup(Summary!$C76,Summary!$C$2:$Q$103,3+counta($K$1:N$1),false)</f>
        <v>0.2</v>
      </c>
      <c r="O76" s="99">
        <f>$D76-vlookup(Summary!$C76,Summary!$C$2:$Q$103,3+counta($K$1:O$1),false)</f>
        <v>0.15</v>
      </c>
      <c r="P76" s="99">
        <f>$D76-vlookup(Summary!$C76,Summary!$C$2:$Q$103,3+counta($K$1:P$1),false)</f>
        <v>0.35</v>
      </c>
      <c r="Q76" s="99">
        <f>$D76-vlookup(Summary!$C76,Summary!$C$2:$Q$103,3+counta($K$1:Q$1),false)</f>
        <v>0.35</v>
      </c>
      <c r="R76" s="99">
        <f>$D76-vlookup(Summary!$C76,Summary!$C$2:$Q$103,3+counta($K$1:R$1),false)</f>
        <v>0.25</v>
      </c>
      <c r="S76" s="99">
        <f>$D76-vlookup(Summary!$C76,Summary!$C$2:$Q$103,3+counta($K$1:S$1),false)</f>
        <v>0.35</v>
      </c>
      <c r="T76" s="99">
        <f>$D76-vlookup(Summary!$C76,Summary!$C$2:$Q$103,3+counta($K$1:T$1),false)</f>
        <v>0</v>
      </c>
      <c r="U76" s="99">
        <f>$D76-vlookup(Summary!$C76,Summary!$C$2:$Q$103,3+counta($K$1:U$1),false)</f>
        <v>0.35</v>
      </c>
      <c r="V76" s="99">
        <f>$D76-vlookup(Summary!$C76,Summary!$C$2:$Q$103,3+counta($K$1:V$1),false)</f>
        <v>0.35</v>
      </c>
    </row>
    <row r="77" ht="15.75" customHeight="1">
      <c r="A77" s="15">
        <f>Main!A77</f>
        <v>76</v>
      </c>
      <c r="B77" s="108" t="str">
        <f>Main!B77</f>
        <v>James Webb telescope will deploy at L2 and 1 image from its Near-Infrared Camera (NIRCam) will be available on the internet for viewing by the public</v>
      </c>
      <c r="C77" s="15" t="str">
        <f>Main!C77</f>
        <v>Technology</v>
      </c>
      <c r="D77" s="15">
        <f t="shared" si="1"/>
        <v>0.999</v>
      </c>
      <c r="F77" s="15">
        <v>3.0</v>
      </c>
      <c r="K77" s="99">
        <f>$D77-vlookup(Summary!$C77,Summary!$C$2:$Q$103,3+counta($K$1:K$1),false)</f>
        <v>0.299</v>
      </c>
      <c r="L77" s="99">
        <f>$D77-vlookup(Summary!$C77,Summary!$C$2:$Q$103,3+counta($K$1:L$1),false)</f>
        <v>0.199</v>
      </c>
      <c r="M77" s="99">
        <f>$D77-vlookup(Summary!$C77,Summary!$C$2:$Q$103,3+counta($K$1:M$1),false)</f>
        <v>0.099</v>
      </c>
      <c r="N77" s="99">
        <f>$D77-vlookup(Summary!$C77,Summary!$C$2:$Q$103,3+counta($K$1:N$1),false)</f>
        <v>0.299</v>
      </c>
      <c r="O77" s="99">
        <f>$D77-vlookup(Summary!$C77,Summary!$C$2:$Q$103,3+counta($K$1:O$1),false)</f>
        <v>0.199</v>
      </c>
      <c r="P77" s="99">
        <f>$D77-vlookup(Summary!$C77,Summary!$C$2:$Q$103,3+counta($K$1:P$1),false)</f>
        <v>0.349</v>
      </c>
      <c r="Q77" s="99">
        <f>$D77-vlookup(Summary!$C77,Summary!$C$2:$Q$103,3+counta($K$1:Q$1),false)</f>
        <v>0.299</v>
      </c>
      <c r="R77" s="99">
        <f>$D77-vlookup(Summary!$C77,Summary!$C$2:$Q$103,3+counta($K$1:R$1),false)</f>
        <v>0.099</v>
      </c>
      <c r="S77" s="99">
        <f>$D77-vlookup(Summary!$C77,Summary!$C$2:$Q$103,3+counta($K$1:S$1),false)</f>
        <v>0.499</v>
      </c>
      <c r="T77" s="99">
        <f>$D77-vlookup(Summary!$C77,Summary!$C$2:$Q$103,3+counta($K$1:T$1),false)</f>
        <v>0</v>
      </c>
      <c r="U77" s="99">
        <f>$D77-vlookup(Summary!$C77,Summary!$C$2:$Q$103,3+counta($K$1:U$1),false)</f>
        <v>0.099</v>
      </c>
      <c r="V77" s="99">
        <f>$D77-vlookup(Summary!$C77,Summary!$C$2:$Q$103,3+counta($K$1:V$1),false)</f>
        <v>0.499</v>
      </c>
    </row>
    <row r="78" ht="15.75" customHeight="1">
      <c r="A78" s="15">
        <f>Main!A78</f>
        <v>77</v>
      </c>
      <c r="B78" s="108" t="str">
        <f>Main!B78</f>
        <v>Facebook connect 2022 (or its 'meta' equivalent) will be hosted in virtual reality / a ('the'?) metaverse</v>
      </c>
      <c r="C78" s="15" t="str">
        <f>Main!C78</f>
        <v>Technology</v>
      </c>
      <c r="D78" s="15">
        <f t="shared" si="1"/>
        <v>0.35</v>
      </c>
      <c r="F78" s="15">
        <v>-1.0</v>
      </c>
      <c r="K78" s="99">
        <f>$D78-vlookup(Summary!$C78,Summary!$C$2:$Q$103,3+counta($K$1:K$1),false)</f>
        <v>0.05</v>
      </c>
      <c r="L78" s="99">
        <f>$D78-vlookup(Summary!$C78,Summary!$C$2:$Q$103,3+counta($K$1:L$1),false)</f>
        <v>-0.25</v>
      </c>
      <c r="M78" s="99">
        <f>$D78-vlookup(Summary!$C78,Summary!$C$2:$Q$103,3+counta($K$1:M$1),false)</f>
        <v>-0.55</v>
      </c>
      <c r="N78" s="99">
        <f>$D78-vlookup(Summary!$C78,Summary!$C$2:$Q$103,3+counta($K$1:N$1),false)</f>
        <v>0.25</v>
      </c>
      <c r="O78" s="99">
        <f>$D78-vlookup(Summary!$C78,Summary!$C$2:$Q$103,3+counta($K$1:O$1),false)</f>
        <v>-0.55</v>
      </c>
      <c r="P78" s="99">
        <f>$D78-vlookup(Summary!$C78,Summary!$C$2:$Q$103,3+counta($K$1:P$1),false)</f>
        <v>-0.15</v>
      </c>
      <c r="Q78" s="99">
        <f>$D78-vlookup(Summary!$C78,Summary!$C$2:$Q$103,3+counta($K$1:Q$1),false)</f>
        <v>-0.15</v>
      </c>
      <c r="R78" s="99">
        <f>$D78-vlookup(Summary!$C78,Summary!$C$2:$Q$103,3+counta($K$1:R$1),false)</f>
        <v>-0.55</v>
      </c>
      <c r="S78" s="99">
        <f>$D78-vlookup(Summary!$C78,Summary!$C$2:$Q$103,3+counta($K$1:S$1),false)</f>
        <v>0.15</v>
      </c>
      <c r="T78" s="99">
        <f>$D78-vlookup(Summary!$C78,Summary!$C$2:$Q$103,3+counta($K$1:T$1),false)</f>
        <v>0</v>
      </c>
      <c r="U78" s="99">
        <f>$D78-vlookup(Summary!$C78,Summary!$C$2:$Q$103,3+counta($K$1:U$1),false)</f>
        <v>-0.15</v>
      </c>
      <c r="V78" s="99">
        <f>$D78-vlookup(Summary!$C78,Summary!$C$2:$Q$103,3+counta($K$1:V$1),false)</f>
        <v>-0.35</v>
      </c>
    </row>
    <row r="79" ht="15.75" customHeight="1">
      <c r="A79" s="15">
        <f>Main!A79</f>
        <v>78</v>
      </c>
      <c r="B79" s="108" t="str">
        <f>Main!B79</f>
        <v>Apple will announce mixed reality glasses</v>
      </c>
      <c r="C79" s="15" t="str">
        <f>Main!C79</f>
        <v>Technology</v>
      </c>
      <c r="D79" s="15">
        <f t="shared" si="1"/>
        <v>0.35</v>
      </c>
      <c r="F79" s="15">
        <v>-1.0</v>
      </c>
      <c r="K79" s="99">
        <f>$D79-vlookup(Summary!$C79,Summary!$C$2:$Q$103,3+counta($K$1:K$1),false)</f>
        <v>0.1</v>
      </c>
      <c r="L79" s="99">
        <f>$D79-vlookup(Summary!$C79,Summary!$C$2:$Q$103,3+counta($K$1:L$1),false)</f>
        <v>-0.05</v>
      </c>
      <c r="M79" s="99">
        <f>$D79-vlookup(Summary!$C79,Summary!$C$2:$Q$103,3+counta($K$1:M$1),false)</f>
        <v>0.15</v>
      </c>
      <c r="N79" s="99">
        <f>$D79-vlookup(Summary!$C79,Summary!$C$2:$Q$103,3+counta($K$1:N$1),false)</f>
        <v>0.25</v>
      </c>
      <c r="O79" s="99">
        <f>$D79-vlookup(Summary!$C79,Summary!$C$2:$Q$103,3+counta($K$1:O$1),false)</f>
        <v>-0.55</v>
      </c>
      <c r="P79" s="99">
        <f>$D79-vlookup(Summary!$C79,Summary!$C$2:$Q$103,3+counta($K$1:P$1),false)</f>
        <v>-0.325</v>
      </c>
      <c r="Q79" s="99">
        <f>$D79-vlookup(Summary!$C79,Summary!$C$2:$Q$103,3+counta($K$1:Q$1),false)</f>
        <v>-0.1</v>
      </c>
      <c r="R79" s="99">
        <f>$D79-vlookup(Summary!$C79,Summary!$C$2:$Q$103,3+counta($K$1:R$1),false)</f>
        <v>0.15</v>
      </c>
      <c r="S79" s="99">
        <f>$D79-vlookup(Summary!$C79,Summary!$C$2:$Q$103,3+counta($K$1:S$1),false)</f>
        <v>-0.35</v>
      </c>
      <c r="T79" s="99">
        <f>$D79-vlookup(Summary!$C79,Summary!$C$2:$Q$103,3+counta($K$1:T$1),false)</f>
        <v>0</v>
      </c>
      <c r="U79" s="99">
        <f>$D79-vlookup(Summary!$C79,Summary!$C$2:$Q$103,3+counta($K$1:U$1),false)</f>
        <v>0.25</v>
      </c>
      <c r="V79" s="99">
        <f>$D79-vlookup(Summary!$C79,Summary!$C$2:$Q$103,3+counta($K$1:V$1),false)</f>
        <v>-0.45</v>
      </c>
    </row>
    <row r="80" ht="15.75" customHeight="1">
      <c r="A80" s="15">
        <f>Main!A80</f>
        <v>79</v>
      </c>
      <c r="B80" s="108" t="str">
        <f>Main!B80</f>
        <v> In-app purchases of Kindle books will be possible in the Kindle iphone app</v>
      </c>
      <c r="C80" s="15" t="str">
        <f>Main!C80</f>
        <v>Technology</v>
      </c>
      <c r="D80" s="15">
        <f t="shared" si="1"/>
        <v>0.15</v>
      </c>
      <c r="F80" s="15">
        <v>-2.0</v>
      </c>
      <c r="K80" s="99">
        <f>$D80-vlookup(Summary!$C80,Summary!$C$2:$Q$103,3+counta($K$1:K$1),false)</f>
        <v>-0.35</v>
      </c>
      <c r="L80" s="99">
        <f>$D80-vlookup(Summary!$C80,Summary!$C$2:$Q$103,3+counta($K$1:L$1),false)</f>
        <v>-0.4</v>
      </c>
      <c r="M80" s="99">
        <f>$D80-vlookup(Summary!$C80,Summary!$C$2:$Q$103,3+counta($K$1:M$1),false)</f>
        <v>-0.05</v>
      </c>
      <c r="N80" s="99">
        <f>$D80-vlookup(Summary!$C80,Summary!$C$2:$Q$103,3+counta($K$1:N$1),false)</f>
        <v>-0.35</v>
      </c>
      <c r="O80" s="99">
        <f>$D80-vlookup(Summary!$C80,Summary!$C$2:$Q$103,3+counta($K$1:O$1),false)</f>
        <v>-0.75</v>
      </c>
      <c r="P80" s="99">
        <f>$D80-vlookup(Summary!$C80,Summary!$C$2:$Q$103,3+counta($K$1:P$1),false)</f>
        <v>-0.7</v>
      </c>
      <c r="Q80" s="99">
        <f>$D80-vlookup(Summary!$C80,Summary!$C$2:$Q$103,3+counta($K$1:Q$1),false)</f>
        <v>-0.05</v>
      </c>
      <c r="R80" s="99">
        <f>$D80-vlookup(Summary!$C80,Summary!$C$2:$Q$103,3+counta($K$1:R$1),false)</f>
        <v>-0.05</v>
      </c>
      <c r="S80" s="99">
        <f>$D80-vlookup(Summary!$C80,Summary!$C$2:$Q$103,3+counta($K$1:S$1),false)</f>
        <v>-0.65</v>
      </c>
      <c r="T80" s="99">
        <f>$D80-vlookup(Summary!$C80,Summary!$C$2:$Q$103,3+counta($K$1:T$1),false)</f>
        <v>0</v>
      </c>
      <c r="U80" s="99">
        <f>$D80-vlookup(Summary!$C80,Summary!$C$2:$Q$103,3+counta($K$1:U$1),false)</f>
        <v>-0.35</v>
      </c>
      <c r="V80" s="99">
        <f>$D80-vlookup(Summary!$C80,Summary!$C$2:$Q$103,3+counta($K$1:V$1),false)</f>
        <v>-0.35</v>
      </c>
    </row>
    <row r="81" ht="15.75" customHeight="1">
      <c r="A81" s="15">
        <f>Main!A81</f>
        <v>80</v>
      </c>
      <c r="B81" s="108" t="str">
        <f>Main!B81</f>
        <v>It will be possible for at least one of the prediction participants to have food delivered by drone to their place of residence as a mainstream service, without it being part of a specific trial.</v>
      </c>
      <c r="C81" s="15" t="str">
        <f>Main!C81</f>
        <v>Technology</v>
      </c>
      <c r="D81" s="15">
        <f t="shared" si="1"/>
        <v>0.65</v>
      </c>
      <c r="F81" s="15">
        <v>1.0</v>
      </c>
      <c r="K81" s="99">
        <f>$D81-vlookup(Summary!$C81,Summary!$C$2:$Q$103,3+counta($K$1:K$1),false)</f>
        <v>0.45</v>
      </c>
      <c r="L81" s="99">
        <f>$D81-vlookup(Summary!$C81,Summary!$C$2:$Q$103,3+counta($K$1:L$1),false)</f>
        <v>0.35</v>
      </c>
      <c r="M81" s="99">
        <f>$D81-vlookup(Summary!$C81,Summary!$C$2:$Q$103,3+counta($K$1:M$1),false)</f>
        <v>0.55</v>
      </c>
      <c r="N81" s="99">
        <f>$D81-vlookup(Summary!$C81,Summary!$C$2:$Q$103,3+counta($K$1:N$1),false)</f>
        <v>0.55</v>
      </c>
      <c r="O81" s="99">
        <f>$D81-vlookup(Summary!$C81,Summary!$C$2:$Q$103,3+counta($K$1:O$1),false)</f>
        <v>0.25</v>
      </c>
      <c r="P81" s="99">
        <f>$D81-vlookup(Summary!$C81,Summary!$C$2:$Q$103,3+counta($K$1:P$1),false)</f>
        <v>0</v>
      </c>
      <c r="Q81" s="99">
        <f>$D81-vlookup(Summary!$C81,Summary!$C$2:$Q$103,3+counta($K$1:Q$1),false)</f>
        <v>0.15</v>
      </c>
      <c r="R81" s="99">
        <f>$D81-vlookup(Summary!$C81,Summary!$C$2:$Q$103,3+counta($K$1:R$1),false)</f>
        <v>0.55</v>
      </c>
      <c r="S81" s="99">
        <f>$D81-vlookup(Summary!$C81,Summary!$C$2:$Q$103,3+counta($K$1:S$1),false)</f>
        <v>-0.05</v>
      </c>
      <c r="T81" s="99">
        <f>$D81-vlookup(Summary!$C81,Summary!$C$2:$Q$103,3+counta($K$1:T$1),false)</f>
        <v>0</v>
      </c>
      <c r="U81" s="99">
        <f>$D81-vlookup(Summary!$C81,Summary!$C$2:$Q$103,3+counta($K$1:U$1),false)</f>
        <v>-0.25</v>
      </c>
      <c r="V81" s="99">
        <f>$D81-vlookup(Summary!$C81,Summary!$C$2:$Q$103,3+counta($K$1:V$1),false)</f>
        <v>0</v>
      </c>
    </row>
    <row r="82" ht="15.75" customHeight="1">
      <c r="A82" s="15">
        <f>Main!A82</f>
        <v>81</v>
      </c>
      <c r="B82" s="108" t="str">
        <f>Main!B82</f>
        <v>TMTG, the company that owns Trump’s “TRUTH Social” platform, will have a market cap of over $20 billion USD. (Twitter is around 35b)</v>
      </c>
      <c r="C82" s="15" t="str">
        <f>Main!C82</f>
        <v>Technology</v>
      </c>
      <c r="D82" s="15">
        <f t="shared" si="1"/>
        <v>0.15</v>
      </c>
      <c r="F82" s="15">
        <v>-2.0</v>
      </c>
      <c r="K82" s="99">
        <f>$D82-vlookup(Summary!$C82,Summary!$C$2:$Q$103,3+counta($K$1:K$1),false)</f>
        <v>-0.75</v>
      </c>
      <c r="L82" s="99">
        <f>$D82-vlookup(Summary!$C82,Summary!$C$2:$Q$103,3+counta($K$1:L$1),false)</f>
        <v>-0.84</v>
      </c>
      <c r="M82" s="99">
        <f>$D82-vlookup(Summary!$C82,Summary!$C$2:$Q$103,3+counta($K$1:M$1),false)</f>
        <v>-0.05</v>
      </c>
      <c r="N82" s="99">
        <f>$D82-vlookup(Summary!$C82,Summary!$C$2:$Q$103,3+counta($K$1:N$1),false)</f>
        <v>-0.75</v>
      </c>
      <c r="O82" s="99">
        <f>$D82-vlookup(Summary!$C82,Summary!$C$2:$Q$103,3+counta($K$1:O$1),false)</f>
        <v>-0.15</v>
      </c>
      <c r="P82" s="99">
        <f>$D82-vlookup(Summary!$C82,Summary!$C$2:$Q$103,3+counta($K$1:P$1),false)</f>
        <v>-0.65</v>
      </c>
      <c r="Q82" s="99">
        <f>$D82-vlookup(Summary!$C82,Summary!$C$2:$Q$103,3+counta($K$1:Q$1),false)</f>
        <v>-0.05</v>
      </c>
      <c r="R82" s="99">
        <f>$D82-vlookup(Summary!$C82,Summary!$C$2:$Q$103,3+counta($K$1:R$1),false)</f>
        <v>-0.05</v>
      </c>
      <c r="S82" s="99">
        <f>$D82-vlookup(Summary!$C82,Summary!$C$2:$Q$103,3+counta($K$1:S$1),false)</f>
        <v>0.05</v>
      </c>
      <c r="T82" s="99">
        <f>$D82-vlookup(Summary!$C82,Summary!$C$2:$Q$103,3+counta($K$1:T$1),false)</f>
        <v>0</v>
      </c>
      <c r="U82" s="99">
        <f>$D82-vlookup(Summary!$C82,Summary!$C$2:$Q$103,3+counta($K$1:U$1),false)</f>
        <v>-0.35</v>
      </c>
      <c r="V82" s="99">
        <f>$D82-vlookup(Summary!$C82,Summary!$C$2:$Q$103,3+counta($K$1:V$1),false)</f>
        <v>-0.15</v>
      </c>
    </row>
    <row r="83" ht="15.75" customHeight="1">
      <c r="A83" s="15">
        <f>Main!A83</f>
        <v>82</v>
      </c>
      <c r="B83" s="108" t="str">
        <f>Main!B83</f>
        <v>It will not be financially viable to mine ethereum using commercial GPUs.</v>
      </c>
      <c r="C83" s="15" t="str">
        <f>Main!C83</f>
        <v>Technology</v>
      </c>
      <c r="D83" s="15">
        <f t="shared" si="1"/>
        <v>0.85</v>
      </c>
      <c r="F83" s="15">
        <v>2.0</v>
      </c>
      <c r="K83" s="99">
        <f>$D83-vlookup(Summary!$C83,Summary!$C$2:$Q$103,3+counta($K$1:K$1),false)</f>
        <v>0.2</v>
      </c>
      <c r="L83" s="99">
        <f>$D83-vlookup(Summary!$C83,Summary!$C$2:$Q$103,3+counta($K$1:L$1),false)</f>
        <v>0.05</v>
      </c>
      <c r="M83" s="99">
        <f>$D83-vlookup(Summary!$C83,Summary!$C$2:$Q$103,3+counta($K$1:M$1),false)</f>
        <v>-0.05</v>
      </c>
      <c r="N83" s="99">
        <f>$D83-vlookup(Summary!$C83,Summary!$C$2:$Q$103,3+counta($K$1:N$1),false)</f>
        <v>0.35</v>
      </c>
      <c r="O83" s="99">
        <f>$D83-vlookup(Summary!$C83,Summary!$C$2:$Q$103,3+counta($K$1:O$1),false)</f>
        <v>0.35</v>
      </c>
      <c r="P83" s="99">
        <f>$D83-vlookup(Summary!$C83,Summary!$C$2:$Q$103,3+counta($K$1:P$1),false)</f>
        <v>0.35</v>
      </c>
      <c r="Q83" s="99">
        <f>$D83-vlookup(Summary!$C83,Summary!$C$2:$Q$103,3+counta($K$1:Q$1),false)</f>
        <v>0.4</v>
      </c>
      <c r="R83" s="99">
        <f>$D83-vlookup(Summary!$C83,Summary!$C$2:$Q$103,3+counta($K$1:R$1),false)</f>
        <v>-0.05</v>
      </c>
      <c r="S83" s="99">
        <f>$D83-vlookup(Summary!$C83,Summary!$C$2:$Q$103,3+counta($K$1:S$1),false)</f>
        <v>0.05</v>
      </c>
      <c r="T83" s="99">
        <f>$D83-vlookup(Summary!$C83,Summary!$C$2:$Q$103,3+counta($K$1:T$1),false)</f>
        <v>0</v>
      </c>
      <c r="U83" s="99">
        <f>$D83-vlookup(Summary!$C83,Summary!$C$2:$Q$103,3+counta($K$1:U$1),false)</f>
        <v>0.35</v>
      </c>
      <c r="V83" s="99">
        <f>$D83-vlookup(Summary!$C83,Summary!$C$2:$Q$103,3+counta($K$1:V$1),false)</f>
        <v>0.25</v>
      </c>
    </row>
    <row r="84" ht="15.75" customHeight="1">
      <c r="A84" s="15">
        <f>Main!A84</f>
        <v>83</v>
      </c>
      <c r="B84" s="108" t="str">
        <f>Main!B84</f>
        <v>China will have more than 800 satellites in orbit (currently around 500)</v>
      </c>
      <c r="C84" s="15" t="str">
        <f>Main!C84</f>
        <v>Technology</v>
      </c>
      <c r="D84" s="15">
        <f t="shared" si="1"/>
        <v>0.001</v>
      </c>
      <c r="F84" s="15">
        <v>-3.0</v>
      </c>
      <c r="K84" s="99">
        <f>$D84-vlookup(Summary!$C84,Summary!$C$2:$Q$103,3+counta($K$1:K$1),false)</f>
        <v>-0.399</v>
      </c>
      <c r="L84" s="99">
        <f>$D84-vlookup(Summary!$C84,Summary!$C$2:$Q$103,3+counta($K$1:L$1),false)</f>
        <v>-0.649</v>
      </c>
      <c r="M84" s="99">
        <f>$D84-vlookup(Summary!$C84,Summary!$C$2:$Q$103,3+counta($K$1:M$1),false)</f>
        <v>-0.049</v>
      </c>
      <c r="N84" s="99">
        <f>$D84-vlookup(Summary!$C84,Summary!$C$2:$Q$103,3+counta($K$1:N$1),false)</f>
        <v>-0.199</v>
      </c>
      <c r="O84" s="99">
        <f>$D84-vlookup(Summary!$C84,Summary!$C$2:$Q$103,3+counta($K$1:O$1),false)</f>
        <v>-0.699</v>
      </c>
      <c r="P84" s="99">
        <f>$D84-vlookup(Summary!$C84,Summary!$C$2:$Q$103,3+counta($K$1:P$1),false)</f>
        <v>-0.849</v>
      </c>
      <c r="Q84" s="99">
        <f>$D84-vlookup(Summary!$C84,Summary!$C$2:$Q$103,3+counta($K$1:Q$1),false)</f>
        <v>0</v>
      </c>
      <c r="R84" s="99">
        <f>$D84-vlookup(Summary!$C84,Summary!$C$2:$Q$103,3+counta($K$1:R$1),false)</f>
        <v>-0.049</v>
      </c>
      <c r="S84" s="99">
        <f>$D84-vlookup(Summary!$C84,Summary!$C$2:$Q$103,3+counta($K$1:S$1),false)</f>
        <v>-0.099</v>
      </c>
      <c r="T84" s="99">
        <f>$D84-vlookup(Summary!$C84,Summary!$C$2:$Q$103,3+counta($K$1:T$1),false)</f>
        <v>0</v>
      </c>
      <c r="U84" s="99">
        <f>$D84-vlookup(Summary!$C84,Summary!$C$2:$Q$103,3+counta($K$1:U$1),false)</f>
        <v>-0.499</v>
      </c>
      <c r="V84" s="99">
        <f>$D84-vlookup(Summary!$C84,Summary!$C$2:$Q$103,3+counta($K$1:V$1),false)</f>
        <v>-0.649</v>
      </c>
    </row>
    <row r="85" ht="15.75" customHeight="1">
      <c r="A85" s="15">
        <f>Main!A85</f>
        <v>84</v>
      </c>
      <c r="B85" s="108" t="str">
        <f>Main!B85</f>
        <v>Australia will be in the top 40 countries for broadband speed (as tracked in wiki page)</v>
      </c>
      <c r="C85" s="15" t="str">
        <f>Main!C85</f>
        <v>Technology</v>
      </c>
      <c r="D85" s="15">
        <f t="shared" si="1"/>
        <v>0.15</v>
      </c>
      <c r="F85" s="15">
        <v>-2.0</v>
      </c>
      <c r="K85" s="99">
        <f>$D85-vlookup(Summary!$C85,Summary!$C$2:$Q$103,3+counta($K$1:K$1),false)</f>
        <v>-0.05</v>
      </c>
      <c r="L85" s="99">
        <f>$D85-vlookup(Summary!$C85,Summary!$C$2:$Q$103,3+counta($K$1:L$1),false)</f>
        <v>-0.75</v>
      </c>
      <c r="M85" s="99">
        <f>$D85-vlookup(Summary!$C85,Summary!$C$2:$Q$103,3+counta($K$1:M$1),false)</f>
        <v>0.1</v>
      </c>
      <c r="N85" s="99">
        <f>$D85-vlookup(Summary!$C85,Summary!$C$2:$Q$103,3+counta($K$1:N$1),false)</f>
        <v>-0.15</v>
      </c>
      <c r="O85" s="99">
        <f>$D85-vlookup(Summary!$C85,Summary!$C$2:$Q$103,3+counta($K$1:O$1),false)</f>
        <v>-0.05</v>
      </c>
      <c r="P85" s="99">
        <f>$D85-vlookup(Summary!$C85,Summary!$C$2:$Q$103,3+counta($K$1:P$1),false)</f>
        <v>-0.55</v>
      </c>
      <c r="Q85" s="99">
        <f>$D85-vlookup(Summary!$C85,Summary!$C$2:$Q$103,3+counta($K$1:Q$1),false)</f>
        <v>0.1</v>
      </c>
      <c r="R85" s="99">
        <f>$D85-vlookup(Summary!$C85,Summary!$C$2:$Q$103,3+counta($K$1:R$1),false)</f>
        <v>0.1</v>
      </c>
      <c r="S85" s="99">
        <f>$D85-vlookup(Summary!$C85,Summary!$C$2:$Q$103,3+counta($K$1:S$1),false)</f>
        <v>-0.55</v>
      </c>
      <c r="T85" s="99">
        <f>$D85-vlookup(Summary!$C85,Summary!$C$2:$Q$103,3+counta($K$1:T$1),false)</f>
        <v>0</v>
      </c>
      <c r="U85" s="99">
        <f>$D85-vlookup(Summary!$C85,Summary!$C$2:$Q$103,3+counta($K$1:U$1),false)</f>
        <v>-0.65</v>
      </c>
      <c r="V85" s="99">
        <f>$D85-vlookup(Summary!$C85,Summary!$C$2:$Q$103,3+counta($K$1:V$1),false)</f>
        <v>-0.55</v>
      </c>
    </row>
    <row r="86" ht="15.75" customHeight="1">
      <c r="A86" s="15">
        <f>Main!A86</f>
        <v>85</v>
      </c>
      <c r="B86" s="108" t="str">
        <f>Main!B86</f>
        <v>India will produce more total CO2 emissions than the US</v>
      </c>
      <c r="C86" s="15" t="str">
        <f>Main!C86</f>
        <v>Technology</v>
      </c>
      <c r="D86" s="15">
        <f t="shared" si="1"/>
        <v>0.35</v>
      </c>
      <c r="F86" s="15">
        <v>-1.0</v>
      </c>
      <c r="K86" s="99">
        <f>$D86-vlookup(Summary!$C86,Summary!$C$2:$Q$103,3+counta($K$1:K$1),false)</f>
        <v>0.05</v>
      </c>
      <c r="L86" s="99">
        <f>$D86-vlookup(Summary!$C86,Summary!$C$2:$Q$103,3+counta($K$1:L$1),false)</f>
        <v>0.15</v>
      </c>
      <c r="M86" s="99">
        <f>$D86-vlookup(Summary!$C86,Summary!$C$2:$Q$103,3+counta($K$1:M$1),false)</f>
        <v>0.25</v>
      </c>
      <c r="N86" s="99">
        <f>$D86-vlookup(Summary!$C86,Summary!$C$2:$Q$103,3+counta($K$1:N$1),false)</f>
        <v>0.25</v>
      </c>
      <c r="O86" s="99">
        <f>$D86-vlookup(Summary!$C86,Summary!$C$2:$Q$103,3+counta($K$1:O$1),false)</f>
        <v>-0.15</v>
      </c>
      <c r="P86" s="99">
        <f>$D86-vlookup(Summary!$C86,Summary!$C$2:$Q$103,3+counta($K$1:P$1),false)</f>
        <v>-0.45</v>
      </c>
      <c r="Q86" s="99">
        <f>$D86-vlookup(Summary!$C86,Summary!$C$2:$Q$103,3+counta($K$1:Q$1),false)</f>
        <v>0.349</v>
      </c>
      <c r="R86" s="99">
        <f>$D86-vlookup(Summary!$C86,Summary!$C$2:$Q$103,3+counta($K$1:R$1),false)</f>
        <v>0.25</v>
      </c>
      <c r="S86" s="99">
        <f>$D86-vlookup(Summary!$C86,Summary!$C$2:$Q$103,3+counta($K$1:S$1),false)</f>
        <v>-0.45</v>
      </c>
      <c r="T86" s="99">
        <f>$D86-vlookup(Summary!$C86,Summary!$C$2:$Q$103,3+counta($K$1:T$1),false)</f>
        <v>0</v>
      </c>
      <c r="U86" s="99">
        <f>$D86-vlookup(Summary!$C86,Summary!$C$2:$Q$103,3+counta($K$1:U$1),false)</f>
        <v>-0.45</v>
      </c>
      <c r="V86" s="99">
        <f>$D86-vlookup(Summary!$C86,Summary!$C$2:$Q$103,3+counta($K$1:V$1),false)</f>
        <v>-0.25</v>
      </c>
    </row>
    <row r="87" ht="15.75" customHeight="1">
      <c r="A87" s="15">
        <f>Main!A87</f>
        <v>86</v>
      </c>
      <c r="B87" s="108" t="str">
        <f>Main!B87</f>
        <v>The number of electric vehicles under $50K (excl on road costs) grows 67% or more in Australia, as listed on carsguide.com.au. Currently there are three cars: Hyundai Ioniq, Nissan Leaf and MG ZS EV</v>
      </c>
      <c r="C87" s="15" t="str">
        <f>Main!C87</f>
        <v>Technology</v>
      </c>
      <c r="D87" s="15">
        <f t="shared" si="1"/>
        <v>0.35</v>
      </c>
      <c r="F87" s="15">
        <v>-1.0</v>
      </c>
      <c r="K87" s="99">
        <f>$D87-vlookup(Summary!$C87,Summary!$C$2:$Q$103,3+counta($K$1:K$1),false)</f>
        <v>-0.05</v>
      </c>
      <c r="L87" s="99">
        <f>$D87-vlookup(Summary!$C87,Summary!$C$2:$Q$103,3+counta($K$1:L$1),false)</f>
        <v>-0.45</v>
      </c>
      <c r="M87" s="99">
        <f>$D87-vlookup(Summary!$C87,Summary!$C$2:$Q$103,3+counta($K$1:M$1),false)</f>
        <v>-0.35</v>
      </c>
      <c r="N87" s="99">
        <f>$D87-vlookup(Summary!$C87,Summary!$C$2:$Q$103,3+counta($K$1:N$1),false)</f>
        <v>0.15</v>
      </c>
      <c r="O87" s="99">
        <f>$D87-vlookup(Summary!$C87,Summary!$C$2:$Q$103,3+counta($K$1:O$1),false)</f>
        <v>0.05</v>
      </c>
      <c r="P87" s="99">
        <f>$D87-vlookup(Summary!$C87,Summary!$C$2:$Q$103,3+counta($K$1:P$1),false)</f>
        <v>-0.3</v>
      </c>
      <c r="Q87" s="99">
        <f>$D87-vlookup(Summary!$C87,Summary!$C$2:$Q$103,3+counta($K$1:Q$1),false)</f>
        <v>-0.2</v>
      </c>
      <c r="R87" s="99">
        <f>$D87-vlookup(Summary!$C87,Summary!$C$2:$Q$103,3+counta($K$1:R$1),false)</f>
        <v>-0.35</v>
      </c>
      <c r="S87" s="99">
        <f>$D87-vlookup(Summary!$C87,Summary!$C$2:$Q$103,3+counta($K$1:S$1),false)</f>
        <v>-0.55</v>
      </c>
      <c r="T87" s="99">
        <f>$D87-vlookup(Summary!$C87,Summary!$C$2:$Q$103,3+counta($K$1:T$1),false)</f>
        <v>0</v>
      </c>
      <c r="U87" s="99">
        <f>$D87-vlookup(Summary!$C87,Summary!$C$2:$Q$103,3+counta($K$1:U$1),false)</f>
        <v>-0.35</v>
      </c>
      <c r="V87" s="99">
        <f>$D87-vlookup(Summary!$C87,Summary!$C$2:$Q$103,3+counta($K$1:V$1),false)</f>
        <v>0</v>
      </c>
    </row>
    <row r="88" ht="15.75" customHeight="1">
      <c r="A88" s="15">
        <f>Main!A88</f>
        <v>87</v>
      </c>
      <c r="B88" s="108" t="str">
        <f>Main!B88</f>
        <v>Boris Johnson will be replaced as Prime Minister by the Tory Party</v>
      </c>
      <c r="C88" s="15" t="str">
        <f>Main!C88</f>
        <v>World Politics</v>
      </c>
      <c r="D88" s="15">
        <f t="shared" si="1"/>
        <v>0.65</v>
      </c>
      <c r="F88" s="15">
        <v>1.0</v>
      </c>
      <c r="K88" s="99">
        <f>$D88-vlookup(Summary!$C88,Summary!$C$2:$Q$103,3+counta($K$1:K$1),false)</f>
        <v>-0.2</v>
      </c>
      <c r="L88" s="99">
        <f>$D88-vlookup(Summary!$C88,Summary!$C$2:$Q$103,3+counta($K$1:L$1),false)</f>
        <v>-0.15</v>
      </c>
      <c r="M88" s="99">
        <f>$D88-vlookup(Summary!$C88,Summary!$C$2:$Q$103,3+counta($K$1:M$1),false)</f>
        <v>0.35</v>
      </c>
      <c r="N88" s="99">
        <f>$D88-vlookup(Summary!$C88,Summary!$C$2:$Q$103,3+counta($K$1:N$1),false)</f>
        <v>-0.15</v>
      </c>
      <c r="O88" s="99">
        <f>$D88-vlookup(Summary!$C88,Summary!$C$2:$Q$103,3+counta($K$1:O$1),false)</f>
        <v>0.25</v>
      </c>
      <c r="P88" s="99">
        <f>$D88-vlookup(Summary!$C88,Summary!$C$2:$Q$103,3+counta($K$1:P$1),false)</f>
        <v>-0.2</v>
      </c>
      <c r="Q88" s="99">
        <f>$D88-vlookup(Summary!$C88,Summary!$C$2:$Q$103,3+counta($K$1:Q$1),false)</f>
        <v>0.55</v>
      </c>
      <c r="R88" s="99">
        <f>$D88-vlookup(Summary!$C88,Summary!$C$2:$Q$103,3+counta($K$1:R$1),false)</f>
        <v>0.35</v>
      </c>
      <c r="S88" s="99">
        <f>$D88-vlookup(Summary!$C88,Summary!$C$2:$Q$103,3+counta($K$1:S$1),false)</f>
        <v>-0.25</v>
      </c>
      <c r="T88" s="99">
        <f>$D88-vlookup(Summary!$C88,Summary!$C$2:$Q$103,3+counta($K$1:T$1),false)</f>
        <v>0</v>
      </c>
      <c r="U88" s="99">
        <f>$D88-vlookup(Summary!$C88,Summary!$C$2:$Q$103,3+counta($K$1:U$1),false)</f>
        <v>-0.25</v>
      </c>
      <c r="V88" s="99">
        <f>$D88-vlookup(Summary!$C88,Summary!$C$2:$Q$103,3+counta($K$1:V$1),false)</f>
        <v>0.15</v>
      </c>
    </row>
    <row r="89" ht="15.75" customHeight="1">
      <c r="A89" s="15">
        <f>Main!A89</f>
        <v>88</v>
      </c>
      <c r="B89" s="108" t="str">
        <f>Main!B89</f>
        <v>Boris Johnson will be the Prime Minister of the UK</v>
      </c>
      <c r="C89" s="15" t="str">
        <f>Main!C89</f>
        <v>World Politics</v>
      </c>
      <c r="D89" s="15">
        <f t="shared" si="1"/>
        <v>0.35</v>
      </c>
      <c r="F89" s="15">
        <v>-1.0</v>
      </c>
      <c r="K89" s="99">
        <f>$D89-vlookup(Summary!$C89,Summary!$C$2:$Q$103,3+counta($K$1:K$1),false)</f>
        <v>0.2</v>
      </c>
      <c r="L89" s="99">
        <f>$D89-vlookup(Summary!$C89,Summary!$C$2:$Q$103,3+counta($K$1:L$1),false)</f>
        <v>0.15</v>
      </c>
      <c r="M89" s="99">
        <f>$D89-vlookup(Summary!$C89,Summary!$C$2:$Q$103,3+counta($K$1:M$1),false)</f>
        <v>-0.35</v>
      </c>
      <c r="N89" s="99">
        <f>$D89-vlookup(Summary!$C89,Summary!$C$2:$Q$103,3+counta($K$1:N$1),false)</f>
        <v>0.15</v>
      </c>
      <c r="O89" s="99">
        <f>$D89-vlookup(Summary!$C89,Summary!$C$2:$Q$103,3+counta($K$1:O$1),false)</f>
        <v>-0.25</v>
      </c>
      <c r="P89" s="99">
        <f>$D89-vlookup(Summary!$C89,Summary!$C$2:$Q$103,3+counta($K$1:P$1),false)</f>
        <v>0.1</v>
      </c>
      <c r="Q89" s="99">
        <f>$D89-vlookup(Summary!$C89,Summary!$C$2:$Q$103,3+counta($K$1:Q$1),false)</f>
        <v>-0.5</v>
      </c>
      <c r="R89" s="99">
        <f>$D89-vlookup(Summary!$C89,Summary!$C$2:$Q$103,3+counta($K$1:R$1),false)</f>
        <v>-0.35</v>
      </c>
      <c r="S89" s="99">
        <f>$D89-vlookup(Summary!$C89,Summary!$C$2:$Q$103,3+counta($K$1:S$1),false)</f>
        <v>0.15</v>
      </c>
      <c r="T89" s="99">
        <f>$D89-vlookup(Summary!$C89,Summary!$C$2:$Q$103,3+counta($K$1:T$1),false)</f>
        <v>0</v>
      </c>
      <c r="U89" s="99">
        <f>$D89-vlookup(Summary!$C89,Summary!$C$2:$Q$103,3+counta($K$1:U$1),false)</f>
        <v>0.25</v>
      </c>
      <c r="V89" s="99">
        <f>$D89-vlookup(Summary!$C89,Summary!$C$2:$Q$103,3+counta($K$1:V$1),false)</f>
        <v>-0.05</v>
      </c>
    </row>
    <row r="90" ht="15.75" customHeight="1">
      <c r="A90" s="15">
        <f>Main!A90</f>
        <v>89</v>
      </c>
      <c r="B90" s="108" t="str">
        <f>Main!B90</f>
        <v>At least some American states will resort to proclaimed and violent civil war rather that accept democratic elections</v>
      </c>
      <c r="C90" s="15" t="str">
        <f>Main!C90</f>
        <v>World Politics</v>
      </c>
      <c r="D90" s="15">
        <f t="shared" si="1"/>
        <v>0.001</v>
      </c>
      <c r="F90" s="15">
        <v>-3.0</v>
      </c>
      <c r="K90" s="99">
        <f>$D90-vlookup(Summary!$C90,Summary!$C$2:$Q$103,3+counta($K$1:K$1),false)</f>
        <v>-0.299</v>
      </c>
      <c r="L90" s="99">
        <f>$D90-vlookup(Summary!$C90,Summary!$C$2:$Q$103,3+counta($K$1:L$1),false)</f>
        <v>-0.099</v>
      </c>
      <c r="M90" s="99">
        <f>$D90-vlookup(Summary!$C90,Summary!$C$2:$Q$103,3+counta($K$1:M$1),false)</f>
        <v>-0.099</v>
      </c>
      <c r="N90" s="99">
        <f>$D90-vlookup(Summary!$C90,Summary!$C$2:$Q$103,3+counta($K$1:N$1),false)</f>
        <v>-0.099</v>
      </c>
      <c r="O90" s="99">
        <f>$D90-vlookup(Summary!$C90,Summary!$C$2:$Q$103,3+counta($K$1:O$1),false)</f>
        <v>-0.699</v>
      </c>
      <c r="P90" s="99">
        <f>$D90-vlookup(Summary!$C90,Summary!$C$2:$Q$103,3+counta($K$1:P$1),false)</f>
        <v>-0.199</v>
      </c>
      <c r="Q90" s="99">
        <f>$D90-vlookup(Summary!$C90,Summary!$C$2:$Q$103,3+counta($K$1:Q$1),false)</f>
        <v>-0.049</v>
      </c>
      <c r="R90" s="99">
        <f>$D90-vlookup(Summary!$C90,Summary!$C$2:$Q$103,3+counta($K$1:R$1),false)</f>
        <v>-0.099</v>
      </c>
      <c r="S90" s="99">
        <f>$D90-vlookup(Summary!$C90,Summary!$C$2:$Q$103,3+counta($K$1:S$1),false)</f>
        <v>-0.099</v>
      </c>
      <c r="T90" s="99">
        <f>$D90-vlookup(Summary!$C90,Summary!$C$2:$Q$103,3+counta($K$1:T$1),false)</f>
        <v>0</v>
      </c>
      <c r="U90" s="99">
        <f>$D90-vlookup(Summary!$C90,Summary!$C$2:$Q$103,3+counta($K$1:U$1),false)</f>
        <v>-0.099</v>
      </c>
      <c r="V90" s="99">
        <f>$D90-vlookup(Summary!$C90,Summary!$C$2:$Q$103,3+counta($K$1:V$1),false)</f>
        <v>-0.249</v>
      </c>
    </row>
    <row r="91" ht="15.75" customHeight="1">
      <c r="A91" s="15">
        <f>Main!A91</f>
        <v>90</v>
      </c>
      <c r="B91" s="108" t="str">
        <f>Main!B91</f>
        <v>Democrats will lose control of the US House of Representatives at the midterm elections</v>
      </c>
      <c r="C91" s="15" t="str">
        <f>Main!C91</f>
        <v>World Politics</v>
      </c>
      <c r="D91" s="15">
        <f t="shared" si="1"/>
        <v>0.999</v>
      </c>
      <c r="F91" s="15">
        <v>3.0</v>
      </c>
      <c r="K91" s="99">
        <f>$D91-vlookup(Summary!$C91,Summary!$C$2:$Q$103,3+counta($K$1:K$1),false)</f>
        <v>0.199</v>
      </c>
      <c r="L91" s="99">
        <f>$D91-vlookup(Summary!$C91,Summary!$C$2:$Q$103,3+counta($K$1:L$1),false)</f>
        <v>0.099</v>
      </c>
      <c r="M91" s="99">
        <f>$D91-vlookup(Summary!$C91,Summary!$C$2:$Q$103,3+counta($K$1:M$1),false)</f>
        <v>0.299</v>
      </c>
      <c r="N91" s="99">
        <f>$D91-vlookup(Summary!$C91,Summary!$C$2:$Q$103,3+counta($K$1:N$1),false)</f>
        <v>0.399</v>
      </c>
      <c r="O91" s="99">
        <f>$D91-vlookup(Summary!$C91,Summary!$C$2:$Q$103,3+counta($K$1:O$1),false)</f>
        <v>0.099</v>
      </c>
      <c r="P91" s="99">
        <f>$D91-vlookup(Summary!$C91,Summary!$C$2:$Q$103,3+counta($K$1:P$1),false)</f>
        <v>0.299</v>
      </c>
      <c r="Q91" s="99">
        <f>$D91-vlookup(Summary!$C91,Summary!$C$2:$Q$103,3+counta($K$1:Q$1),false)</f>
        <v>0.299</v>
      </c>
      <c r="R91" s="99">
        <f>$D91-vlookup(Summary!$C91,Summary!$C$2:$Q$103,3+counta($K$1:R$1),false)</f>
        <v>0.299</v>
      </c>
      <c r="S91" s="99">
        <f>$D91-vlookup(Summary!$C91,Summary!$C$2:$Q$103,3+counta($K$1:S$1),false)</f>
        <v>0.199</v>
      </c>
      <c r="T91" s="99">
        <f>$D91-vlookup(Summary!$C91,Summary!$C$2:$Q$103,3+counta($K$1:T$1),false)</f>
        <v>0</v>
      </c>
      <c r="U91" s="99">
        <f>$D91-vlookup(Summary!$C91,Summary!$C$2:$Q$103,3+counta($K$1:U$1),false)</f>
        <v>0.899</v>
      </c>
      <c r="V91" s="99">
        <f>$D91-vlookup(Summary!$C91,Summary!$C$2:$Q$103,3+counta($K$1:V$1),false)</f>
        <v>0.599</v>
      </c>
    </row>
    <row r="92" ht="15.75" customHeight="1">
      <c r="A92" s="15">
        <f>Main!A92</f>
        <v>91</v>
      </c>
      <c r="B92" s="108" t="str">
        <f>Main!B92</f>
        <v>Democrats will not have control of the US Senate after the midterm election</v>
      </c>
      <c r="C92" s="15" t="str">
        <f>Main!C92</f>
        <v>World Politics</v>
      </c>
      <c r="D92" s="15">
        <f t="shared" si="1"/>
        <v>0.999</v>
      </c>
      <c r="F92" s="15">
        <v>3.0</v>
      </c>
      <c r="K92" s="99">
        <f>$D92-vlookup(Summary!$C92,Summary!$C$2:$Q$103,3+counta($K$1:K$1),false)</f>
        <v>0.199</v>
      </c>
      <c r="L92" s="99">
        <f>$D92-vlookup(Summary!$C92,Summary!$C$2:$Q$103,3+counta($K$1:L$1),false)</f>
        <v>0.099</v>
      </c>
      <c r="M92" s="99">
        <f>$D92-vlookup(Summary!$C92,Summary!$C$2:$Q$103,3+counta($K$1:M$1),false)</f>
        <v>0.299</v>
      </c>
      <c r="N92" s="99">
        <f>$D92-vlookup(Summary!$C92,Summary!$C$2:$Q$103,3+counta($K$1:N$1),false)</f>
        <v>0.399</v>
      </c>
      <c r="O92" s="99">
        <f>$D92-vlookup(Summary!$C92,Summary!$C$2:$Q$103,3+counta($K$1:O$1),false)</f>
        <v>0.099</v>
      </c>
      <c r="P92" s="99">
        <f>$D92-vlookup(Summary!$C92,Summary!$C$2:$Q$103,3+counta($K$1:P$1),false)</f>
        <v>0.199</v>
      </c>
      <c r="Q92" s="99">
        <f>$D92-vlookup(Summary!$C92,Summary!$C$2:$Q$103,3+counta($K$1:Q$1),false)</f>
        <v>0.199</v>
      </c>
      <c r="R92" s="99">
        <f>$D92-vlookup(Summary!$C92,Summary!$C$2:$Q$103,3+counta($K$1:R$1),false)</f>
        <v>0.299</v>
      </c>
      <c r="S92" s="99">
        <f>$D92-vlookup(Summary!$C92,Summary!$C$2:$Q$103,3+counta($K$1:S$1),false)</f>
        <v>0.199</v>
      </c>
      <c r="T92" s="99">
        <f>$D92-vlookup(Summary!$C92,Summary!$C$2:$Q$103,3+counta($K$1:T$1),false)</f>
        <v>0</v>
      </c>
      <c r="U92" s="99">
        <f>$D92-vlookup(Summary!$C92,Summary!$C$2:$Q$103,3+counta($K$1:U$1),false)</f>
        <v>0.899</v>
      </c>
      <c r="V92" s="99">
        <f>$D92-vlookup(Summary!$C92,Summary!$C$2:$Q$103,3+counta($K$1:V$1),false)</f>
        <v>0.799</v>
      </c>
    </row>
    <row r="93" ht="15.75" customHeight="1">
      <c r="A93" s="15">
        <f>Main!A93</f>
        <v>92</v>
      </c>
      <c r="B93" s="108" t="str">
        <f>Main!B93</f>
        <v>Donald Trump will recieve at least 1 vote in the selection of the Speaker of the US house of Representatives (Congress)</v>
      </c>
      <c r="C93" s="15" t="str">
        <f>Main!C93</f>
        <v>World Politics</v>
      </c>
      <c r="D93" s="15">
        <f t="shared" si="1"/>
        <v>0.65</v>
      </c>
      <c r="F93" s="15">
        <v>1.0</v>
      </c>
      <c r="K93" s="99">
        <f>$D93-vlookup(Summary!$C93,Summary!$C$2:$Q$103,3+counta($K$1:K$1),false)</f>
        <v>0.35</v>
      </c>
      <c r="L93" s="99">
        <f>$D93-vlookup(Summary!$C93,Summary!$C$2:$Q$103,3+counta($K$1:L$1),false)</f>
        <v>0.35</v>
      </c>
      <c r="M93" s="99">
        <f>$D93-vlookup(Summary!$C93,Summary!$C$2:$Q$103,3+counta($K$1:M$1),false)</f>
        <v>-0.05</v>
      </c>
      <c r="N93" s="99">
        <f>$D93-vlookup(Summary!$C93,Summary!$C$2:$Q$103,3+counta($K$1:N$1),false)</f>
        <v>0.55</v>
      </c>
      <c r="O93" s="99">
        <f>$D93-vlookup(Summary!$C93,Summary!$C$2:$Q$103,3+counta($K$1:O$1),false)</f>
        <v>-0.25</v>
      </c>
      <c r="P93" s="99">
        <f>$D93-vlookup(Summary!$C93,Summary!$C$2:$Q$103,3+counta($K$1:P$1),false)</f>
        <v>0.3</v>
      </c>
      <c r="Q93" s="99">
        <f>$D93-vlookup(Summary!$C93,Summary!$C$2:$Q$103,3+counta($K$1:Q$1),false)</f>
        <v>-0.05</v>
      </c>
      <c r="R93" s="99">
        <f>$D93-vlookup(Summary!$C93,Summary!$C$2:$Q$103,3+counta($K$1:R$1),false)</f>
        <v>-0.05</v>
      </c>
      <c r="S93" s="99">
        <f>$D93-vlookup(Summary!$C93,Summary!$C$2:$Q$103,3+counta($K$1:S$1),false)</f>
        <v>-0.25</v>
      </c>
      <c r="T93" s="99">
        <f>$D93-vlookup(Summary!$C93,Summary!$C$2:$Q$103,3+counta($K$1:T$1),false)</f>
        <v>0</v>
      </c>
      <c r="U93" s="99">
        <f>$D93-vlookup(Summary!$C93,Summary!$C$2:$Q$103,3+counta($K$1:U$1),false)</f>
        <v>0.55</v>
      </c>
      <c r="V93" s="99">
        <f>$D93-vlookup(Summary!$C93,Summary!$C$2:$Q$103,3+counta($K$1:V$1),false)</f>
        <v>0.15</v>
      </c>
    </row>
    <row r="94" ht="15.75" customHeight="1">
      <c r="A94" s="15">
        <f>Main!A94</f>
        <v>93</v>
      </c>
      <c r="B94" s="108" t="str">
        <f>Main!B94</f>
        <v>Donald Trump will release a book in 2022</v>
      </c>
      <c r="C94" s="15" t="str">
        <f>Main!C94</f>
        <v>World Politics</v>
      </c>
      <c r="D94" s="15">
        <f t="shared" si="1"/>
        <v>0.15</v>
      </c>
      <c r="F94" s="15">
        <v>-2.0</v>
      </c>
      <c r="K94" s="99">
        <f>$D94-vlookup(Summary!$C94,Summary!$C$2:$Q$103,3+counta($K$1:K$1),false)</f>
        <v>-0.4</v>
      </c>
      <c r="L94" s="99">
        <f>$D94-vlookup(Summary!$C94,Summary!$C$2:$Q$103,3+counta($K$1:L$1),false)</f>
        <v>-0.55</v>
      </c>
      <c r="M94" s="99">
        <f>$D94-vlookup(Summary!$C94,Summary!$C$2:$Q$103,3+counta($K$1:M$1),false)</f>
        <v>-0.65</v>
      </c>
      <c r="N94" s="99">
        <f>$D94-vlookup(Summary!$C94,Summary!$C$2:$Q$103,3+counta($K$1:N$1),false)</f>
        <v>-0.05</v>
      </c>
      <c r="O94" s="99">
        <f>$D94-vlookup(Summary!$C94,Summary!$C$2:$Q$103,3+counta($K$1:O$1),false)</f>
        <v>-0.75</v>
      </c>
      <c r="P94" s="99">
        <f>$D94-vlookup(Summary!$C94,Summary!$C$2:$Q$103,3+counta($K$1:P$1),false)</f>
        <v>-0.65</v>
      </c>
      <c r="Q94" s="99">
        <f>$D94-vlookup(Summary!$C94,Summary!$C$2:$Q$103,3+counta($K$1:Q$1),false)</f>
        <v>-0.4</v>
      </c>
      <c r="R94" s="99">
        <f>$D94-vlookup(Summary!$C94,Summary!$C$2:$Q$103,3+counta($K$1:R$1),false)</f>
        <v>-0.65</v>
      </c>
      <c r="S94" s="99">
        <f>$D94-vlookup(Summary!$C94,Summary!$C$2:$Q$103,3+counta($K$1:S$1),false)</f>
        <v>-0.75</v>
      </c>
      <c r="T94" s="99">
        <f>$D94-vlookup(Summary!$C94,Summary!$C$2:$Q$103,3+counta($K$1:T$1),false)</f>
        <v>0</v>
      </c>
      <c r="U94" s="99">
        <f>$D94-vlookup(Summary!$C94,Summary!$C$2:$Q$103,3+counta($K$1:U$1),false)</f>
        <v>-0.35</v>
      </c>
      <c r="V94" s="99">
        <f>$D94-vlookup(Summary!$C94,Summary!$C$2:$Q$103,3+counta($K$1:V$1),false)</f>
        <v>-0.4</v>
      </c>
    </row>
    <row r="95" ht="15.75" customHeight="1">
      <c r="A95" s="15">
        <f>Main!A95</f>
        <v>94</v>
      </c>
      <c r="B95" s="108" t="str">
        <f>Main!B95</f>
        <v>Trump will announce he will contest the Republican presidential candidacy and launch an NFT</v>
      </c>
      <c r="C95" s="15" t="str">
        <f>Main!C95</f>
        <v>World Politics</v>
      </c>
      <c r="D95" s="15">
        <f t="shared" si="1"/>
        <v>0.001</v>
      </c>
      <c r="F95" s="15">
        <v>-3.0</v>
      </c>
      <c r="K95" s="99">
        <f>$D95-vlookup(Summary!$C95,Summary!$C$2:$Q$103,3+counta($K$1:K$1),false)</f>
        <v>-0.299</v>
      </c>
      <c r="L95" s="99">
        <f>$D95-vlookup(Summary!$C95,Summary!$C$2:$Q$103,3+counta($K$1:L$1),false)</f>
        <v>-0.399</v>
      </c>
      <c r="M95" s="99">
        <f>$D95-vlookup(Summary!$C95,Summary!$C$2:$Q$103,3+counta($K$1:M$1),false)</f>
        <v>-0.699</v>
      </c>
      <c r="N95" s="99">
        <f>$D95-vlookup(Summary!$C95,Summary!$C$2:$Q$103,3+counta($K$1:N$1),false)</f>
        <v>-0.049</v>
      </c>
      <c r="O95" s="99">
        <f>$D95-vlookup(Summary!$C95,Summary!$C$2:$Q$103,3+counta($K$1:O$1),false)</f>
        <v>-0.599</v>
      </c>
      <c r="P95" s="99">
        <f>$D95-vlookup(Summary!$C95,Summary!$C$2:$Q$103,3+counta($K$1:P$1),false)</f>
        <v>-0.899</v>
      </c>
      <c r="Q95" s="99">
        <f>$D95-vlookup(Summary!$C95,Summary!$C$2:$Q$103,3+counta($K$1:Q$1),false)</f>
        <v>-0.499</v>
      </c>
      <c r="R95" s="99">
        <f>$D95-vlookup(Summary!$C95,Summary!$C$2:$Q$103,3+counta($K$1:R$1),false)</f>
        <v>-0.699</v>
      </c>
      <c r="S95" s="99">
        <f>$D95-vlookup(Summary!$C95,Summary!$C$2:$Q$103,3+counta($K$1:S$1),false)</f>
        <v>-0.199</v>
      </c>
      <c r="T95" s="99">
        <f>$D95-vlookup(Summary!$C95,Summary!$C$2:$Q$103,3+counta($K$1:T$1),false)</f>
        <v>0</v>
      </c>
      <c r="U95" s="99">
        <f>$D95-vlookup(Summary!$C95,Summary!$C$2:$Q$103,3+counta($K$1:U$1),false)</f>
        <v>-0.499</v>
      </c>
      <c r="V95" s="99">
        <f>$D95-vlookup(Summary!$C95,Summary!$C$2:$Q$103,3+counta($K$1:V$1),false)</f>
        <v>-0.099</v>
      </c>
    </row>
    <row r="96" ht="15.75" customHeight="1">
      <c r="A96" s="15">
        <f>Main!A96</f>
        <v>95</v>
      </c>
      <c r="B96" s="108" t="str">
        <f>Main!B96</f>
        <v>China will invade Taiwan</v>
      </c>
      <c r="C96" s="15" t="str">
        <f>Main!C96</f>
        <v>World Politics</v>
      </c>
      <c r="D96" s="15">
        <f t="shared" si="1"/>
        <v>0.001</v>
      </c>
      <c r="F96" s="15">
        <v>-3.0</v>
      </c>
      <c r="K96" s="99">
        <f>$D96-vlookup(Summary!$C96,Summary!$C$2:$Q$103,3+counta($K$1:K$1),false)</f>
        <v>-0.349</v>
      </c>
      <c r="L96" s="99">
        <f>$D96-vlookup(Summary!$C96,Summary!$C$2:$Q$103,3+counta($K$1:L$1),false)</f>
        <v>-0.199</v>
      </c>
      <c r="M96" s="99">
        <f>$D96-vlookup(Summary!$C96,Summary!$C$2:$Q$103,3+counta($K$1:M$1),false)</f>
        <v>-0.699</v>
      </c>
      <c r="N96" s="99">
        <f>$D96-vlookup(Summary!$C96,Summary!$C$2:$Q$103,3+counta($K$1:N$1),false)</f>
        <v>-0.599</v>
      </c>
      <c r="O96" s="99">
        <f>$D96-vlookup(Summary!$C96,Summary!$C$2:$Q$103,3+counta($K$1:O$1),false)</f>
        <v>-0.699</v>
      </c>
      <c r="P96" s="99">
        <f>$D96-vlookup(Summary!$C96,Summary!$C$2:$Q$103,3+counta($K$1:P$1),false)</f>
        <v>-0.399</v>
      </c>
      <c r="Q96" s="99">
        <f>$D96-vlookup(Summary!$C96,Summary!$C$2:$Q$103,3+counta($K$1:Q$1),false)</f>
        <v>-0.049</v>
      </c>
      <c r="R96" s="99">
        <f>$D96-vlookup(Summary!$C96,Summary!$C$2:$Q$103,3+counta($K$1:R$1),false)</f>
        <v>-0.699</v>
      </c>
      <c r="S96" s="99">
        <f>$D96-vlookup(Summary!$C96,Summary!$C$2:$Q$103,3+counta($K$1:S$1),false)</f>
        <v>-0.199</v>
      </c>
      <c r="T96" s="99">
        <f>$D96-vlookup(Summary!$C96,Summary!$C$2:$Q$103,3+counta($K$1:T$1),false)</f>
        <v>0</v>
      </c>
      <c r="U96" s="99">
        <f>$D96-vlookup(Summary!$C96,Summary!$C$2:$Q$103,3+counta($K$1:U$1),false)</f>
        <v>-0.099</v>
      </c>
      <c r="V96" s="99">
        <f>$D96-vlookup(Summary!$C96,Summary!$C$2:$Q$103,3+counta($K$1:V$1),false)</f>
        <v>-0.499</v>
      </c>
    </row>
    <row r="97" ht="15.75" customHeight="1">
      <c r="A97" s="15">
        <f>Main!A97</f>
        <v>96</v>
      </c>
      <c r="B97" s="108" t="str">
        <f>Main!B97</f>
        <v>A nuclear weapon will be detonated for any purpose (including a test) somewhere on earth or in space</v>
      </c>
      <c r="C97" s="15" t="str">
        <f>Main!C97</f>
        <v>World Politics</v>
      </c>
      <c r="D97" s="15">
        <f t="shared" si="1"/>
        <v>0.15</v>
      </c>
      <c r="F97" s="15">
        <v>-2.0</v>
      </c>
      <c r="K97" s="99">
        <f>$D97-vlookup(Summary!$C97,Summary!$C$2:$Q$103,3+counta($K$1:K$1),false)</f>
        <v>0.05</v>
      </c>
      <c r="L97" s="99">
        <f>$D97-vlookup(Summary!$C97,Summary!$C$2:$Q$103,3+counta($K$1:L$1),false)</f>
        <v>-0.25</v>
      </c>
      <c r="M97" s="99">
        <f>$D97-vlookup(Summary!$C97,Summary!$C$2:$Q$103,3+counta($K$1:M$1),false)</f>
        <v>0.05</v>
      </c>
      <c r="N97" s="99">
        <f>$D97-vlookup(Summary!$C97,Summary!$C$2:$Q$103,3+counta($K$1:N$1),false)</f>
        <v>-0.05</v>
      </c>
      <c r="O97" s="99">
        <f>$D97-vlookup(Summary!$C97,Summary!$C$2:$Q$103,3+counta($K$1:O$1),false)</f>
        <v>-0.65</v>
      </c>
      <c r="P97" s="99">
        <f>$D97-vlookup(Summary!$C97,Summary!$C$2:$Q$103,3+counta($K$1:P$1),false)</f>
        <v>-0.55</v>
      </c>
      <c r="Q97" s="99">
        <f>$D97-vlookup(Summary!$C97,Summary!$C$2:$Q$103,3+counta($K$1:Q$1),false)</f>
        <v>-0.15</v>
      </c>
      <c r="R97" s="99">
        <f>$D97-vlookup(Summary!$C97,Summary!$C$2:$Q$103,3+counta($K$1:R$1),false)</f>
        <v>0.05</v>
      </c>
      <c r="S97" s="99">
        <f>$D97-vlookup(Summary!$C97,Summary!$C$2:$Q$103,3+counta($K$1:S$1),false)</f>
        <v>0.05</v>
      </c>
      <c r="T97" s="99">
        <f>$D97-vlookup(Summary!$C97,Summary!$C$2:$Q$103,3+counta($K$1:T$1),false)</f>
        <v>0</v>
      </c>
      <c r="U97" s="99">
        <f>$D97-vlookup(Summary!$C97,Summary!$C$2:$Q$103,3+counta($K$1:U$1),false)</f>
        <v>-0.35</v>
      </c>
      <c r="V97" s="99">
        <f>$D97-vlookup(Summary!$C97,Summary!$C$2:$Q$103,3+counta($K$1:V$1),false)</f>
        <v>-0.45</v>
      </c>
    </row>
    <row r="98" ht="15.75" customHeight="1">
      <c r="A98" s="15">
        <f>Main!A98</f>
        <v>97</v>
      </c>
      <c r="B98" s="108" t="str">
        <f>Main!B98</f>
        <v>Iran will announce it has produced a nuclear weapon</v>
      </c>
      <c r="C98" s="15" t="str">
        <f>Main!C98</f>
        <v>World Politics</v>
      </c>
      <c r="D98" s="15">
        <f t="shared" si="1"/>
        <v>0.15</v>
      </c>
      <c r="F98" s="15">
        <v>-2.0</v>
      </c>
      <c r="K98" s="99">
        <f>$D98-vlookup(Summary!$C98,Summary!$C$2:$Q$103,3+counta($K$1:K$1),false)</f>
        <v>-0.3</v>
      </c>
      <c r="L98" s="99">
        <f>$D98-vlookup(Summary!$C98,Summary!$C$2:$Q$103,3+counta($K$1:L$1),false)</f>
        <v>-0.15</v>
      </c>
      <c r="M98" s="99">
        <f>$D98-vlookup(Summary!$C98,Summary!$C$2:$Q$103,3+counta($K$1:M$1),false)</f>
        <v>0.05</v>
      </c>
      <c r="N98" s="99">
        <f>$D98-vlookup(Summary!$C98,Summary!$C$2:$Q$103,3+counta($K$1:N$1),false)</f>
        <v>-0.05</v>
      </c>
      <c r="O98" s="99">
        <f>$D98-vlookup(Summary!$C98,Summary!$C$2:$Q$103,3+counta($K$1:O$1),false)</f>
        <v>-0.45</v>
      </c>
      <c r="P98" s="99">
        <f>$D98-vlookup(Summary!$C98,Summary!$C$2:$Q$103,3+counta($K$1:P$1),false)</f>
        <v>-0.55</v>
      </c>
      <c r="Q98" s="99">
        <f>$D98-vlookup(Summary!$C98,Summary!$C$2:$Q$103,3+counta($K$1:Q$1),false)</f>
        <v>-0.15</v>
      </c>
      <c r="R98" s="99">
        <f>$D98-vlookup(Summary!$C98,Summary!$C$2:$Q$103,3+counta($K$1:R$1),false)</f>
        <v>0.05</v>
      </c>
      <c r="S98" s="99">
        <f>$D98-vlookup(Summary!$C98,Summary!$C$2:$Q$103,3+counta($K$1:S$1),false)</f>
        <v>0.05</v>
      </c>
      <c r="T98" s="99">
        <f>$D98-vlookup(Summary!$C98,Summary!$C$2:$Q$103,3+counta($K$1:T$1),false)</f>
        <v>0</v>
      </c>
      <c r="U98" s="99">
        <f>$D98-vlookup(Summary!$C98,Summary!$C$2:$Q$103,3+counta($K$1:U$1),false)</f>
        <v>-0.35</v>
      </c>
      <c r="V98" s="99">
        <f>$D98-vlookup(Summary!$C98,Summary!$C$2:$Q$103,3+counta($K$1:V$1),false)</f>
        <v>-0.45</v>
      </c>
    </row>
    <row r="99" ht="15.75" customHeight="1">
      <c r="A99" s="15">
        <f>Main!A99</f>
        <v>98</v>
      </c>
      <c r="B99" s="108" t="str">
        <f>Main!B99</f>
        <v>One or more of the G12 member countries will have diplomatically recognised Taiwan</v>
      </c>
      <c r="C99" s="15" t="str">
        <f>Main!C99</f>
        <v>World Politics</v>
      </c>
      <c r="D99" s="15">
        <f t="shared" si="1"/>
        <v>0.15</v>
      </c>
      <c r="F99" s="15">
        <v>-2.0</v>
      </c>
      <c r="K99" s="99">
        <f>$D99-vlookup(Summary!$C99,Summary!$C$2:$Q$103,3+counta($K$1:K$1),false)</f>
        <v>0</v>
      </c>
      <c r="L99" s="99">
        <f>$D99-vlookup(Summary!$C99,Summary!$C$2:$Q$103,3+counta($K$1:L$1),false)</f>
        <v>-0.05</v>
      </c>
      <c r="M99" s="99">
        <f>$D99-vlookup(Summary!$C99,Summary!$C$2:$Q$103,3+counta($K$1:M$1),false)</f>
        <v>0.05</v>
      </c>
      <c r="N99" s="99">
        <f>$D99-vlookup(Summary!$C99,Summary!$C$2:$Q$103,3+counta($K$1:N$1),false)</f>
        <v>-0.05</v>
      </c>
      <c r="O99" s="99">
        <f>$D99-vlookup(Summary!$C99,Summary!$C$2:$Q$103,3+counta($K$1:O$1),false)</f>
        <v>-0.25</v>
      </c>
      <c r="P99" s="99">
        <f>$D99-vlookup(Summary!$C99,Summary!$C$2:$Q$103,3+counta($K$1:P$1),false)</f>
        <v>-0.6</v>
      </c>
      <c r="Q99" s="99">
        <f>$D99-vlookup(Summary!$C99,Summary!$C$2:$Q$103,3+counta($K$1:Q$1),false)</f>
        <v>-0.15</v>
      </c>
      <c r="R99" s="99">
        <f>$D99-vlookup(Summary!$C99,Summary!$C$2:$Q$103,3+counta($K$1:R$1),false)</f>
        <v>0.05</v>
      </c>
      <c r="S99" s="99">
        <f>$D99-vlookup(Summary!$C99,Summary!$C$2:$Q$103,3+counta($K$1:S$1),false)</f>
        <v>-0.45</v>
      </c>
      <c r="T99" s="99">
        <f>$D99-vlookup(Summary!$C99,Summary!$C$2:$Q$103,3+counta($K$1:T$1),false)</f>
        <v>0</v>
      </c>
      <c r="U99" s="99">
        <f>$D99-vlookup(Summary!$C99,Summary!$C$2:$Q$103,3+counta($K$1:U$1),false)</f>
        <v>-0.35</v>
      </c>
      <c r="V99" s="99">
        <f>$D99-vlookup(Summary!$C99,Summary!$C$2:$Q$103,3+counta($K$1:V$1),false)</f>
        <v>-0.45</v>
      </c>
    </row>
    <row r="100" ht="15.75" customHeight="1">
      <c r="A100" s="15">
        <f>Main!A100</f>
        <v>99</v>
      </c>
      <c r="B100" s="108" t="str">
        <f>Main!B100</f>
        <v>Russia will have invaded Ukraine (as reported by CNN, BBC, Guardian or NYT)</v>
      </c>
      <c r="C100" s="15" t="str">
        <f>Main!C100</f>
        <v>World Politics</v>
      </c>
      <c r="D100" s="15">
        <f t="shared" si="1"/>
        <v>0.65</v>
      </c>
      <c r="F100" s="15">
        <v>1.0</v>
      </c>
      <c r="K100" s="99">
        <f>$D100-vlookup(Summary!$C100,Summary!$C$2:$Q$103,3+counta($K$1:K$1),false)</f>
        <v>0.05</v>
      </c>
      <c r="L100" s="99">
        <f>$D100-vlookup(Summary!$C100,Summary!$C$2:$Q$103,3+counta($K$1:L$1),false)</f>
        <v>0.25</v>
      </c>
      <c r="M100" s="99">
        <f>$D100-vlookup(Summary!$C100,Summary!$C$2:$Q$103,3+counta($K$1:M$1),false)</f>
        <v>-0.3</v>
      </c>
      <c r="N100" s="99">
        <f>$D100-vlookup(Summary!$C100,Summary!$C$2:$Q$103,3+counta($K$1:N$1),false)</f>
        <v>-0.15</v>
      </c>
      <c r="O100" s="99">
        <f>$D100-vlookup(Summary!$C100,Summary!$C$2:$Q$103,3+counta($K$1:O$1),false)</f>
        <v>-0.15</v>
      </c>
      <c r="P100" s="99">
        <f>$D100-vlookup(Summary!$C100,Summary!$C$2:$Q$103,3+counta($K$1:P$1),false)</f>
        <v>-0.05</v>
      </c>
      <c r="Q100" s="99">
        <f>$D100-vlookup(Summary!$C100,Summary!$C$2:$Q$103,3+counta($K$1:Q$1),false)</f>
        <v>-0.15</v>
      </c>
      <c r="R100" s="99">
        <f>$D100-vlookup(Summary!$C100,Summary!$C$2:$Q$103,3+counta($K$1:R$1),false)</f>
        <v>-0.3</v>
      </c>
      <c r="S100" s="99">
        <f>$D100-vlookup(Summary!$C100,Summary!$C$2:$Q$103,3+counta($K$1:S$1),false)</f>
        <v>-0.05</v>
      </c>
      <c r="T100" s="99">
        <f>$D100-vlookup(Summary!$C100,Summary!$C$2:$Q$103,3+counta($K$1:T$1),false)</f>
        <v>0</v>
      </c>
      <c r="U100" s="99">
        <f>$D100-vlookup(Summary!$C100,Summary!$C$2:$Q$103,3+counta($K$1:U$1),false)</f>
        <v>0.55</v>
      </c>
      <c r="V100" s="99">
        <f>$D100-vlookup(Summary!$C100,Summary!$C$2:$Q$103,3+counta($K$1:V$1),false)</f>
        <v>0.05</v>
      </c>
    </row>
    <row r="101" ht="15.75" customHeight="1">
      <c r="A101" s="15">
        <f>Main!A101</f>
        <v>100</v>
      </c>
      <c r="B101" s="108" t="str">
        <f>Main!B101</f>
        <v>The US will have gone to battle with China or Russia ( nuclear battle acceptable) agreed upon by at least half the people attending 2022 predictions</v>
      </c>
      <c r="C101" s="15" t="str">
        <f>Main!C101</f>
        <v>World Politics</v>
      </c>
      <c r="D101" s="15">
        <f t="shared" si="1"/>
        <v>0.001</v>
      </c>
      <c r="F101" s="15">
        <v>-3.0</v>
      </c>
      <c r="K101" s="99">
        <f>$D101-vlookup(Summary!$C101,Summary!$C$2:$Q$103,3+counta($K$1:K$1),false)</f>
        <v>-0.299</v>
      </c>
      <c r="L101" s="99">
        <f>$D101-vlookup(Summary!$C101,Summary!$C$2:$Q$103,3+counta($K$1:L$1),false)</f>
        <v>-0.099</v>
      </c>
      <c r="M101" s="99">
        <f>$D101-vlookup(Summary!$C101,Summary!$C$2:$Q$103,3+counta($K$1:M$1),false)</f>
        <v>-0.099</v>
      </c>
      <c r="N101" s="99">
        <f>$D101-vlookup(Summary!$C101,Summary!$C$2:$Q$103,3+counta($K$1:N$1),false)</f>
        <v>-0.099</v>
      </c>
      <c r="O101" s="99">
        <f>$D101-vlookup(Summary!$C101,Summary!$C$2:$Q$103,3+counta($K$1:O$1),false)</f>
        <v>-0.499</v>
      </c>
      <c r="P101" s="99">
        <f>$D101-vlookup(Summary!$C101,Summary!$C$2:$Q$103,3+counta($K$1:P$1),false)</f>
        <v>-0.599</v>
      </c>
      <c r="Q101" s="99">
        <f>$D101-vlookup(Summary!$C101,Summary!$C$2:$Q$103,3+counta($K$1:Q$1),false)</f>
        <v>-0.099</v>
      </c>
      <c r="R101" s="99">
        <f>$D101-vlookup(Summary!$C101,Summary!$C$2:$Q$103,3+counta($K$1:R$1),false)</f>
        <v>-0.099</v>
      </c>
      <c r="S101" s="99">
        <f>$D101-vlookup(Summary!$C101,Summary!$C$2:$Q$103,3+counta($K$1:S$1),false)</f>
        <v>-0.199</v>
      </c>
      <c r="T101" s="99">
        <f>$D101-vlookup(Summary!$C101,Summary!$C$2:$Q$103,3+counta($K$1:T$1),false)</f>
        <v>0</v>
      </c>
      <c r="U101" s="99">
        <f>$D101-vlookup(Summary!$C101,Summary!$C$2:$Q$103,3+counta($K$1:U$1),false)</f>
        <v>-0.099</v>
      </c>
      <c r="V101" s="99">
        <f>$D101-vlookup(Summary!$C101,Summary!$C$2:$Q$103,3+counta($K$1:V$1),false)</f>
        <v>-0.199</v>
      </c>
    </row>
    <row r="102" ht="15.75" customHeight="1">
      <c r="A102" s="15">
        <f>Main!A102</f>
        <v>101</v>
      </c>
      <c r="B102" s="108" t="str">
        <f>Main!B102</f>
        <v>There is an assassination attempt on Xi Jinping as reported in The Guardian</v>
      </c>
      <c r="C102" s="15" t="str">
        <f>Main!C102</f>
        <v>World Politics</v>
      </c>
      <c r="D102" s="15">
        <f t="shared" si="1"/>
        <v>0.001</v>
      </c>
      <c r="F102" s="15">
        <v>-3.0</v>
      </c>
      <c r="K102" s="99">
        <f>$D102-vlookup(Summary!$C102,Summary!$C$2:$Q$103,3+counta($K$1:K$1),false)</f>
        <v>-0.149</v>
      </c>
      <c r="L102" s="99">
        <f>$D102-vlookup(Summary!$C102,Summary!$C$2:$Q$103,3+counta($K$1:L$1),false)</f>
        <v>-0.399</v>
      </c>
      <c r="M102" s="99">
        <f>$D102-vlookup(Summary!$C102,Summary!$C$2:$Q$103,3+counta($K$1:M$1),false)</f>
        <v>-0.049</v>
      </c>
      <c r="N102" s="99">
        <f>$D102-vlookup(Summary!$C102,Summary!$C$2:$Q$103,3+counta($K$1:N$1),false)</f>
        <v>-0.099</v>
      </c>
      <c r="O102" s="99">
        <f>$D102-vlookup(Summary!$C102,Summary!$C$2:$Q$103,3+counta($K$1:O$1),false)</f>
        <v>-0.299</v>
      </c>
      <c r="P102" s="99">
        <f>$D102-vlookup(Summary!$C102,Summary!$C$2:$Q$103,3+counta($K$1:P$1),false)</f>
        <v>-0.349</v>
      </c>
      <c r="Q102" s="99">
        <f>$D102-vlookup(Summary!$C102,Summary!$C$2:$Q$103,3+counta($K$1:Q$1),false)</f>
        <v>-0.499</v>
      </c>
      <c r="R102" s="99">
        <f>$D102-vlookup(Summary!$C102,Summary!$C$2:$Q$103,3+counta($K$1:R$1),false)</f>
        <v>-0.049</v>
      </c>
      <c r="S102" s="99">
        <f>$D102-vlookup(Summary!$C102,Summary!$C$2:$Q$103,3+counta($K$1:S$1),false)</f>
        <v>-0.099</v>
      </c>
      <c r="T102" s="99">
        <f>$D102-vlookup(Summary!$C102,Summary!$C$2:$Q$103,3+counta($K$1:T$1),false)</f>
        <v>0</v>
      </c>
      <c r="U102" s="99">
        <f>$D102-vlookup(Summary!$C102,Summary!$C$2:$Q$103,3+counta($K$1:U$1),false)</f>
        <v>-0.099</v>
      </c>
      <c r="V102" s="99">
        <f>$D102-vlookup(Summary!$C102,Summary!$C$2:$Q$103,3+counta($K$1:V$1),false)</f>
        <v>-0.449</v>
      </c>
    </row>
    <row r="103" ht="15.75" customHeight="1">
      <c r="A103" s="15">
        <f>Main!A103</f>
        <v>102</v>
      </c>
      <c r="B103" s="108" t="str">
        <f>Main!B103</f>
        <v>Bolsanaro wins the next Brazilian elections</v>
      </c>
      <c r="C103" s="15" t="str">
        <f>Main!C103</f>
        <v>World Politics</v>
      </c>
      <c r="D103" s="15">
        <f t="shared" si="1"/>
        <v>0.65</v>
      </c>
      <c r="F103" s="15">
        <v>1.0</v>
      </c>
      <c r="K103" s="99">
        <f>$D103-vlookup(Summary!$C103,Summary!$C$2:$Q$103,3+counta($K$1:K$1),false)</f>
        <v>0.25</v>
      </c>
      <c r="L103" s="99">
        <f>$D103-vlookup(Summary!$C103,Summary!$C$2:$Q$103,3+counta($K$1:L$1),false)</f>
        <v>0.35</v>
      </c>
      <c r="M103" s="99">
        <f>$D103-vlookup(Summary!$C103,Summary!$C$2:$Q$103,3+counta($K$1:M$1),false)</f>
        <v>0.25</v>
      </c>
      <c r="N103" s="99">
        <f>$D103-vlookup(Summary!$C103,Summary!$C$2:$Q$103,3+counta($K$1:N$1),false)</f>
        <v>0.25</v>
      </c>
      <c r="O103" s="99">
        <f>$D103-vlookup(Summary!$C103,Summary!$C$2:$Q$103,3+counta($K$1:O$1),false)</f>
        <v>-0.15</v>
      </c>
      <c r="P103" s="99">
        <f>$D103-vlookup(Summary!$C103,Summary!$C$2:$Q$103,3+counta($K$1:P$1),false)</f>
        <v>-0.1</v>
      </c>
      <c r="Q103" s="99">
        <f>$D103-vlookup(Summary!$C103,Summary!$C$2:$Q$103,3+counta($K$1:Q$1),false)</f>
        <v>0.35</v>
      </c>
      <c r="R103" s="99">
        <f>$D103-vlookup(Summary!$C103,Summary!$C$2:$Q$103,3+counta($K$1:R$1),false)</f>
        <v>0.25</v>
      </c>
      <c r="S103" s="99">
        <f>$D103-vlookup(Summary!$C103,Summary!$C$2:$Q$103,3+counta($K$1:S$1),false)</f>
        <v>0.45</v>
      </c>
      <c r="T103" s="99">
        <f>$D103-vlookup(Summary!$C103,Summary!$C$2:$Q$103,3+counta($K$1:T$1),false)</f>
        <v>0</v>
      </c>
      <c r="U103" s="99">
        <f>$D103-vlookup(Summary!$C103,Summary!$C$2:$Q$103,3+counta($K$1:U$1),false)</f>
        <v>0.55</v>
      </c>
      <c r="V103" s="99">
        <f>$D103-vlookup(Summary!$C103,Summary!$C$2:$Q$103,3+counta($K$1:V$1),false)</f>
        <v>0.05</v>
      </c>
    </row>
    <row r="104" ht="15.75" customHeight="1">
      <c r="A104" s="15" t="str">
        <f>Main!A104</f>
        <v/>
      </c>
      <c r="B104" s="108" t="str">
        <f>Main!B104</f>
        <v/>
      </c>
      <c r="C104" s="15" t="str">
        <f>Main!C104</f>
        <v/>
      </c>
      <c r="J104" s="104" t="s">
        <v>197</v>
      </c>
      <c r="K104" s="102">
        <f t="shared" ref="K104:V104" si="2">countif(K$2:K$103,"&gt;=0.5")+countif(K$2:K$103,"&lt;=-0.5")</f>
        <v>6</v>
      </c>
      <c r="L104" s="101">
        <f t="shared" si="2"/>
        <v>13</v>
      </c>
      <c r="M104" s="101">
        <f t="shared" si="2"/>
        <v>22</v>
      </c>
      <c r="N104" s="101">
        <f t="shared" si="2"/>
        <v>10</v>
      </c>
      <c r="O104" s="101">
        <f t="shared" si="2"/>
        <v>21</v>
      </c>
      <c r="P104" s="103">
        <f t="shared" si="2"/>
        <v>28</v>
      </c>
      <c r="Q104" s="101">
        <f t="shared" si="2"/>
        <v>7</v>
      </c>
      <c r="R104" s="101">
        <f t="shared" si="2"/>
        <v>22</v>
      </c>
      <c r="S104" s="101">
        <f t="shared" si="2"/>
        <v>26</v>
      </c>
      <c r="T104" s="101">
        <f t="shared" si="2"/>
        <v>0</v>
      </c>
      <c r="U104" s="101">
        <f t="shared" si="2"/>
        <v>16</v>
      </c>
      <c r="V104" s="101">
        <f t="shared" si="2"/>
        <v>12</v>
      </c>
    </row>
    <row r="105" ht="15.75" customHeight="1">
      <c r="A105" s="15" t="str">
        <f>Main!A105</f>
        <v/>
      </c>
      <c r="B105" s="108"/>
    </row>
    <row r="106" ht="15.75" customHeight="1">
      <c r="B106" s="108"/>
    </row>
    <row r="107" ht="15.75" customHeight="1">
      <c r="B107" s="108"/>
    </row>
    <row r="108" ht="15.75" customHeight="1">
      <c r="B108" s="108"/>
    </row>
    <row r="109" ht="15.75" customHeight="1">
      <c r="B109" s="108"/>
    </row>
    <row r="110" ht="15.75" customHeight="1">
      <c r="B110" s="108"/>
    </row>
    <row r="111" ht="15.75" customHeight="1">
      <c r="B111" s="108"/>
    </row>
    <row r="112" ht="15.75" customHeight="1">
      <c r="B112" s="108"/>
    </row>
    <row r="113" ht="15.75" customHeight="1">
      <c r="B113" s="108"/>
    </row>
    <row r="114" ht="15.75" customHeight="1">
      <c r="B114" s="108"/>
    </row>
    <row r="115" ht="15.75" customHeight="1">
      <c r="B115" s="108"/>
    </row>
    <row r="116" ht="15.75" customHeight="1">
      <c r="B116" s="108"/>
    </row>
    <row r="117" ht="15.75" customHeight="1">
      <c r="B117" s="108"/>
    </row>
    <row r="118" ht="15.75" customHeight="1">
      <c r="B118" s="108"/>
    </row>
    <row r="119" ht="15.75" customHeight="1">
      <c r="B119" s="108"/>
    </row>
    <row r="120" ht="15.75" customHeight="1">
      <c r="B120" s="108"/>
    </row>
    <row r="121" ht="15.75" customHeight="1">
      <c r="B121" s="108"/>
    </row>
    <row r="122" ht="15.75" customHeight="1">
      <c r="B122" s="108"/>
    </row>
    <row r="123" ht="15.75" customHeight="1">
      <c r="B123" s="108"/>
    </row>
    <row r="124" ht="15.75" customHeight="1">
      <c r="B124" s="108"/>
    </row>
    <row r="125" ht="15.75" customHeight="1">
      <c r="B125" s="108"/>
    </row>
    <row r="126" ht="15.75" customHeight="1">
      <c r="B126" s="108"/>
    </row>
    <row r="127" ht="15.75" customHeight="1">
      <c r="B127" s="108"/>
    </row>
    <row r="128" ht="15.75" customHeight="1">
      <c r="B128" s="108"/>
    </row>
    <row r="129" ht="15.75" customHeight="1">
      <c r="B129" s="108"/>
    </row>
    <row r="130" ht="15.75" customHeight="1">
      <c r="B130" s="108"/>
    </row>
    <row r="131" ht="15.75" customHeight="1">
      <c r="B131" s="108"/>
    </row>
    <row r="132" ht="15.75" customHeight="1">
      <c r="B132" s="108"/>
    </row>
    <row r="133" ht="15.75" customHeight="1">
      <c r="B133" s="108"/>
    </row>
    <row r="134" ht="15.75" customHeight="1">
      <c r="B134" s="108"/>
    </row>
    <row r="135" ht="15.75" customHeight="1">
      <c r="B135" s="108"/>
    </row>
    <row r="136" ht="15.75" customHeight="1">
      <c r="B136" s="108"/>
    </row>
    <row r="137" ht="15.75" customHeight="1">
      <c r="B137" s="108"/>
    </row>
    <row r="138" ht="15.75" customHeight="1">
      <c r="B138" s="108"/>
    </row>
    <row r="139" ht="15.75" customHeight="1">
      <c r="B139" s="108"/>
    </row>
    <row r="140" ht="15.75" customHeight="1">
      <c r="B140" s="108"/>
    </row>
    <row r="141" ht="15.75" customHeight="1">
      <c r="B141" s="108"/>
    </row>
    <row r="142" ht="15.75" customHeight="1">
      <c r="B142" s="108"/>
    </row>
    <row r="143" ht="15.75" customHeight="1">
      <c r="B143" s="108"/>
    </row>
    <row r="144" ht="15.75" customHeight="1">
      <c r="B144" s="108"/>
    </row>
    <row r="145" ht="15.75" customHeight="1">
      <c r="B145" s="108"/>
    </row>
    <row r="146" ht="15.75" customHeight="1">
      <c r="B146" s="108"/>
    </row>
    <row r="147" ht="15.75" customHeight="1">
      <c r="B147" s="108"/>
    </row>
    <row r="148" ht="15.75" customHeight="1">
      <c r="B148" s="108"/>
    </row>
    <row r="149" ht="15.75" customHeight="1">
      <c r="B149" s="108"/>
    </row>
    <row r="150" ht="15.75" customHeight="1">
      <c r="B150" s="108"/>
    </row>
    <row r="151" ht="15.75" customHeight="1">
      <c r="B151" s="108"/>
    </row>
    <row r="152" ht="15.75" customHeight="1">
      <c r="B152" s="108"/>
    </row>
    <row r="153" ht="15.75" customHeight="1">
      <c r="B153" s="108"/>
    </row>
    <row r="154" ht="15.75" customHeight="1">
      <c r="B154" s="108"/>
    </row>
    <row r="155" ht="15.75" customHeight="1">
      <c r="B155" s="108"/>
    </row>
    <row r="156" ht="15.75" customHeight="1">
      <c r="B156" s="108"/>
    </row>
    <row r="157" ht="15.75" customHeight="1">
      <c r="B157" s="108"/>
    </row>
    <row r="158" ht="15.75" customHeight="1">
      <c r="B158" s="108"/>
    </row>
    <row r="159" ht="15.75" customHeight="1">
      <c r="B159" s="108"/>
    </row>
    <row r="160" ht="15.75" customHeight="1">
      <c r="B160" s="108"/>
    </row>
    <row r="161" ht="15.75" customHeight="1">
      <c r="B161" s="108"/>
    </row>
    <row r="162" ht="15.75" customHeight="1">
      <c r="B162" s="108"/>
    </row>
    <row r="163" ht="15.75" customHeight="1">
      <c r="B163" s="108"/>
    </row>
    <row r="164" ht="15.75" customHeight="1">
      <c r="B164" s="108"/>
    </row>
    <row r="165" ht="15.75" customHeight="1">
      <c r="B165" s="108"/>
    </row>
    <row r="166" ht="15.75" customHeight="1">
      <c r="B166" s="108"/>
    </row>
    <row r="167" ht="15.75" customHeight="1">
      <c r="B167" s="108"/>
    </row>
    <row r="168" ht="15.75" customHeight="1">
      <c r="B168" s="108"/>
    </row>
    <row r="169" ht="15.75" customHeight="1">
      <c r="B169" s="108"/>
    </row>
    <row r="170" ht="15.75" customHeight="1">
      <c r="B170" s="108"/>
    </row>
    <row r="171" ht="15.75" customHeight="1">
      <c r="B171" s="108"/>
    </row>
    <row r="172" ht="15.75" customHeight="1">
      <c r="B172" s="108"/>
    </row>
    <row r="173" ht="15.75" customHeight="1">
      <c r="B173" s="108"/>
    </row>
    <row r="174" ht="15.75" customHeight="1">
      <c r="B174" s="108"/>
    </row>
    <row r="175" ht="15.75" customHeight="1">
      <c r="B175" s="108"/>
    </row>
    <row r="176" ht="15.75" customHeight="1">
      <c r="B176" s="108"/>
    </row>
    <row r="177" ht="15.75" customHeight="1">
      <c r="B177" s="108"/>
    </row>
    <row r="178" ht="15.75" customHeight="1">
      <c r="B178" s="108"/>
    </row>
    <row r="179" ht="15.75" customHeight="1">
      <c r="B179" s="108"/>
    </row>
    <row r="180" ht="15.75" customHeight="1">
      <c r="B180" s="108"/>
    </row>
    <row r="181" ht="15.75" customHeight="1">
      <c r="B181" s="108"/>
    </row>
    <row r="182" ht="15.75" customHeight="1">
      <c r="B182" s="108"/>
    </row>
    <row r="183" ht="15.75" customHeight="1">
      <c r="B183" s="108"/>
    </row>
    <row r="184" ht="15.75" customHeight="1">
      <c r="B184" s="108"/>
    </row>
    <row r="185" ht="15.75" customHeight="1">
      <c r="B185" s="108"/>
    </row>
    <row r="186" ht="15.75" customHeight="1">
      <c r="B186" s="108"/>
    </row>
    <row r="187" ht="15.75" customHeight="1">
      <c r="B187" s="108"/>
    </row>
    <row r="188" ht="15.75" customHeight="1">
      <c r="B188" s="108"/>
    </row>
    <row r="189" ht="15.75" customHeight="1">
      <c r="B189" s="108"/>
    </row>
    <row r="190" ht="15.75" customHeight="1">
      <c r="B190" s="108"/>
    </row>
    <row r="191" ht="15.75" customHeight="1">
      <c r="B191" s="108"/>
    </row>
    <row r="192" ht="15.75" customHeight="1">
      <c r="B192" s="108"/>
    </row>
    <row r="193" ht="15.75" customHeight="1">
      <c r="B193" s="108"/>
    </row>
    <row r="194" ht="15.75" customHeight="1">
      <c r="B194" s="108"/>
    </row>
    <row r="195" ht="15.75" customHeight="1">
      <c r="B195" s="108"/>
    </row>
    <row r="196" ht="15.75" customHeight="1">
      <c r="B196" s="108"/>
    </row>
    <row r="197" ht="15.75" customHeight="1">
      <c r="B197" s="108"/>
    </row>
    <row r="198" ht="15.75" customHeight="1">
      <c r="B198" s="108"/>
    </row>
    <row r="199" ht="15.75" customHeight="1">
      <c r="B199" s="108"/>
    </row>
    <row r="200" ht="15.75" customHeight="1">
      <c r="B200" s="108"/>
    </row>
    <row r="201" ht="15.75" customHeight="1">
      <c r="B201" s="108"/>
    </row>
    <row r="202" ht="15.75" customHeight="1">
      <c r="B202" s="108"/>
    </row>
    <row r="203" ht="15.75" customHeight="1">
      <c r="B203" s="108"/>
    </row>
    <row r="204" ht="15.75" customHeight="1">
      <c r="B204" s="108"/>
    </row>
    <row r="205" ht="15.75" customHeight="1">
      <c r="B205" s="108"/>
    </row>
    <row r="206" ht="15.75" customHeight="1">
      <c r="B206" s="108"/>
    </row>
    <row r="207" ht="15.75" customHeight="1">
      <c r="B207" s="108"/>
    </row>
    <row r="208" ht="15.75" customHeight="1">
      <c r="B208" s="108"/>
    </row>
    <row r="209" ht="15.75" customHeight="1">
      <c r="B209" s="108"/>
    </row>
    <row r="210" ht="15.75" customHeight="1">
      <c r="B210" s="108"/>
    </row>
    <row r="211" ht="15.75" customHeight="1">
      <c r="B211" s="108"/>
    </row>
    <row r="212" ht="15.75" customHeight="1">
      <c r="B212" s="108"/>
    </row>
    <row r="213" ht="15.75" customHeight="1">
      <c r="B213" s="108"/>
    </row>
    <row r="214" ht="15.75" customHeight="1">
      <c r="B214" s="108"/>
    </row>
    <row r="215" ht="15.75" customHeight="1">
      <c r="B215" s="108"/>
    </row>
    <row r="216" ht="15.75" customHeight="1">
      <c r="B216" s="108"/>
    </row>
    <row r="217" ht="15.75" customHeight="1">
      <c r="B217" s="108"/>
    </row>
    <row r="218" ht="15.75" customHeight="1">
      <c r="B218" s="108"/>
    </row>
    <row r="219" ht="15.75" customHeight="1">
      <c r="B219" s="108"/>
    </row>
    <row r="220" ht="15.75" customHeight="1">
      <c r="B220" s="108"/>
    </row>
    <row r="221" ht="15.75" customHeight="1">
      <c r="B221" s="108"/>
    </row>
    <row r="222" ht="15.75" customHeight="1">
      <c r="B222" s="108"/>
    </row>
    <row r="223" ht="15.75" customHeight="1">
      <c r="B223" s="108"/>
    </row>
    <row r="224" ht="15.75" customHeight="1">
      <c r="B224" s="108"/>
    </row>
    <row r="225" ht="15.75" customHeight="1">
      <c r="B225" s="108"/>
    </row>
    <row r="226" ht="15.75" customHeight="1">
      <c r="B226" s="108"/>
    </row>
    <row r="227" ht="15.75" customHeight="1">
      <c r="B227" s="108"/>
    </row>
    <row r="228" ht="15.75" customHeight="1">
      <c r="B228" s="108"/>
    </row>
    <row r="229" ht="15.75" customHeight="1">
      <c r="B229" s="108"/>
    </row>
    <row r="230" ht="15.75" customHeight="1">
      <c r="B230" s="108"/>
    </row>
    <row r="231" ht="15.75" customHeight="1">
      <c r="B231" s="108"/>
    </row>
    <row r="232" ht="15.75" customHeight="1">
      <c r="B232" s="108"/>
    </row>
    <row r="233" ht="15.75" customHeight="1">
      <c r="B233" s="108"/>
    </row>
    <row r="234" ht="15.75" customHeight="1">
      <c r="B234" s="108"/>
    </row>
    <row r="235" ht="15.75" customHeight="1">
      <c r="B235" s="108"/>
    </row>
    <row r="236" ht="15.75" customHeight="1">
      <c r="B236" s="108"/>
    </row>
    <row r="237" ht="15.75" customHeight="1">
      <c r="B237" s="108"/>
    </row>
    <row r="238" ht="15.75" customHeight="1">
      <c r="B238" s="108"/>
    </row>
    <row r="239" ht="15.75" customHeight="1">
      <c r="B239" s="108"/>
    </row>
    <row r="240" ht="15.75" customHeight="1">
      <c r="B240" s="108"/>
    </row>
    <row r="241" ht="15.75" customHeight="1">
      <c r="B241" s="108"/>
    </row>
    <row r="242" ht="15.75" customHeight="1">
      <c r="B242" s="108"/>
    </row>
    <row r="243" ht="15.75" customHeight="1">
      <c r="B243" s="108"/>
    </row>
    <row r="244" ht="15.75" customHeight="1">
      <c r="B244" s="108"/>
    </row>
    <row r="245" ht="15.75" customHeight="1">
      <c r="B245" s="108"/>
    </row>
    <row r="246" ht="15.75" customHeight="1">
      <c r="B246" s="108"/>
    </row>
    <row r="247" ht="15.75" customHeight="1">
      <c r="B247" s="108"/>
    </row>
    <row r="248" ht="15.75" customHeight="1">
      <c r="B248" s="108"/>
    </row>
    <row r="249" ht="15.75" customHeight="1">
      <c r="B249" s="108"/>
    </row>
    <row r="250" ht="15.75" customHeight="1">
      <c r="B250" s="108"/>
    </row>
    <row r="251" ht="15.75" customHeight="1">
      <c r="B251" s="108"/>
    </row>
    <row r="252" ht="15.75" customHeight="1">
      <c r="B252" s="108"/>
    </row>
    <row r="253" ht="15.75" customHeight="1">
      <c r="B253" s="108"/>
    </row>
    <row r="254" ht="15.75" customHeight="1">
      <c r="B254" s="108"/>
    </row>
    <row r="255" ht="15.75" customHeight="1">
      <c r="B255" s="108"/>
    </row>
    <row r="256" ht="15.75" customHeight="1">
      <c r="B256" s="108"/>
    </row>
    <row r="257" ht="15.75" customHeight="1">
      <c r="B257" s="108"/>
    </row>
    <row r="258" ht="15.75" customHeight="1">
      <c r="B258" s="108"/>
    </row>
    <row r="259" ht="15.75" customHeight="1">
      <c r="B259" s="108"/>
    </row>
    <row r="260" ht="15.75" customHeight="1">
      <c r="B260" s="108"/>
    </row>
    <row r="261" ht="15.75" customHeight="1">
      <c r="B261" s="108"/>
    </row>
    <row r="262" ht="15.75" customHeight="1">
      <c r="B262" s="108"/>
    </row>
    <row r="263" ht="15.75" customHeight="1">
      <c r="B263" s="108"/>
    </row>
    <row r="264" ht="15.75" customHeight="1">
      <c r="B264" s="108"/>
    </row>
    <row r="265" ht="15.75" customHeight="1">
      <c r="B265" s="108"/>
    </row>
    <row r="266" ht="15.75" customHeight="1">
      <c r="B266" s="108"/>
    </row>
    <row r="267" ht="15.75" customHeight="1">
      <c r="B267" s="108"/>
    </row>
    <row r="268" ht="15.75" customHeight="1">
      <c r="B268" s="108"/>
    </row>
    <row r="269" ht="15.75" customHeight="1">
      <c r="B269" s="108"/>
    </row>
    <row r="270" ht="15.75" customHeight="1">
      <c r="B270" s="108"/>
    </row>
    <row r="271" ht="15.75" customHeight="1">
      <c r="B271" s="108"/>
    </row>
    <row r="272" ht="15.75" customHeight="1">
      <c r="B272" s="108"/>
    </row>
    <row r="273" ht="15.75" customHeight="1">
      <c r="B273" s="108"/>
    </row>
    <row r="274" ht="15.75" customHeight="1">
      <c r="B274" s="108"/>
    </row>
    <row r="275" ht="15.75" customHeight="1">
      <c r="B275" s="108"/>
    </row>
    <row r="276" ht="15.75" customHeight="1">
      <c r="B276" s="108"/>
    </row>
    <row r="277" ht="15.75" customHeight="1">
      <c r="B277" s="108"/>
    </row>
    <row r="278" ht="15.75" customHeight="1">
      <c r="B278" s="108"/>
    </row>
    <row r="279" ht="15.75" customHeight="1">
      <c r="B279" s="108"/>
    </row>
    <row r="280" ht="15.75" customHeight="1">
      <c r="B280" s="108"/>
    </row>
    <row r="281" ht="15.75" customHeight="1">
      <c r="B281" s="108"/>
    </row>
    <row r="282" ht="15.75" customHeight="1">
      <c r="B282" s="108"/>
    </row>
    <row r="283" ht="15.75" customHeight="1">
      <c r="B283" s="108"/>
    </row>
    <row r="284" ht="15.75" customHeight="1">
      <c r="B284" s="108"/>
    </row>
    <row r="285" ht="15.75" customHeight="1">
      <c r="B285" s="108"/>
    </row>
    <row r="286" ht="15.75" customHeight="1">
      <c r="B286" s="108"/>
    </row>
    <row r="287" ht="15.75" customHeight="1">
      <c r="B287" s="108"/>
    </row>
    <row r="288" ht="15.75" customHeight="1">
      <c r="B288" s="108"/>
    </row>
    <row r="289" ht="15.75" customHeight="1">
      <c r="B289" s="108"/>
    </row>
    <row r="290" ht="15.75" customHeight="1">
      <c r="B290" s="108"/>
    </row>
    <row r="291" ht="15.75" customHeight="1">
      <c r="B291" s="108"/>
    </row>
    <row r="292" ht="15.75" customHeight="1">
      <c r="B292" s="108"/>
    </row>
    <row r="293" ht="15.75" customHeight="1">
      <c r="B293" s="108"/>
    </row>
    <row r="294" ht="15.75" customHeight="1">
      <c r="B294" s="108"/>
    </row>
    <row r="295" ht="15.75" customHeight="1">
      <c r="B295" s="108"/>
    </row>
    <row r="296" ht="15.75" customHeight="1">
      <c r="B296" s="108"/>
    </row>
    <row r="297" ht="15.75" customHeight="1">
      <c r="B297" s="108"/>
    </row>
    <row r="298" ht="15.75" customHeight="1">
      <c r="B298" s="108"/>
    </row>
    <row r="299" ht="15.75" customHeight="1">
      <c r="B299" s="108"/>
    </row>
    <row r="300" ht="15.75" customHeight="1">
      <c r="B300" s="108"/>
    </row>
    <row r="301" ht="15.75" customHeight="1">
      <c r="B301" s="108"/>
    </row>
    <row r="302" ht="15.75" customHeight="1">
      <c r="B302" s="108"/>
    </row>
    <row r="303" ht="15.75" customHeight="1">
      <c r="B303" s="108"/>
    </row>
    <row r="304" ht="15.75" customHeight="1">
      <c r="B304" s="108"/>
    </row>
    <row r="305" ht="15.75" customHeight="1">
      <c r="B305" s="108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14">
    <cfRule type="notContainsBlanks" dxfId="2" priority="1">
      <formula>LEN(TRIM(B114))&gt;0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116.5"/>
    <col customWidth="1" min="3" max="3" width="12.63"/>
    <col customWidth="1" min="4" max="4" width="19.75"/>
    <col customWidth="1" min="5" max="5" width="19.88"/>
    <col customWidth="1" min="6" max="7" width="12.63"/>
  </cols>
  <sheetData>
    <row r="1" ht="15.75" customHeight="1">
      <c r="A1" s="92" t="s">
        <v>4</v>
      </c>
      <c r="B1" s="92" t="s">
        <v>6</v>
      </c>
      <c r="C1" s="92" t="s">
        <v>5</v>
      </c>
      <c r="D1" s="92" t="s">
        <v>194</v>
      </c>
      <c r="E1" s="92" t="s">
        <v>195</v>
      </c>
      <c r="F1" s="8" t="s">
        <v>9</v>
      </c>
      <c r="G1" s="10" t="s">
        <v>21</v>
      </c>
      <c r="H1" s="8" t="s">
        <v>11</v>
      </c>
      <c r="I1" s="10" t="s">
        <v>12</v>
      </c>
      <c r="J1" s="8" t="s">
        <v>13</v>
      </c>
      <c r="K1" s="98" t="s">
        <v>196</v>
      </c>
      <c r="L1" s="8" t="s">
        <v>15</v>
      </c>
      <c r="M1" s="10" t="s">
        <v>16</v>
      </c>
      <c r="N1" s="8" t="s">
        <v>17</v>
      </c>
      <c r="O1" s="10" t="s">
        <v>18</v>
      </c>
      <c r="P1" s="8" t="s">
        <v>19</v>
      </c>
      <c r="Q1" s="10" t="s">
        <v>20</v>
      </c>
    </row>
    <row r="2" ht="15.75" customHeight="1">
      <c r="A2" s="15">
        <f>Main!A2</f>
        <v>1</v>
      </c>
      <c r="B2" s="15" t="str">
        <f>Main!B2</f>
        <v>That there will be a hung parliament at the next election and Labor will take office</v>
      </c>
      <c r="C2" s="15" t="str">
        <f>Main!C2</f>
        <v>Aus Politics</v>
      </c>
      <c r="D2" s="15">
        <v>0.1</v>
      </c>
      <c r="F2" s="99">
        <f>$D2-vlookup(Summary!$C2,Summary!$C$2:$Q$103,3+counta($F$1:F$1),false)</f>
        <v>-0.3</v>
      </c>
      <c r="G2" s="99">
        <f>$D2-vlookup(Summary!$C2,Summary!$C$2:$Q$103,3+counta($F$1:G$1),false)</f>
        <v>-0.6</v>
      </c>
      <c r="H2" s="99">
        <f>$D2-vlookup(Summary!$C2,Summary!$C$2:$Q$103,3+counta($F$1:H$1),false)</f>
        <v>0</v>
      </c>
      <c r="I2" s="99">
        <f>$D2-vlookup(Summary!$C2,Summary!$C$2:$Q$103,3+counta($F$1:I$1),false)</f>
        <v>-0.1</v>
      </c>
      <c r="J2" s="99">
        <f>$D2-vlookup(Summary!$C2,Summary!$C$2:$Q$103,3+counta($F$1:J$1),false)</f>
        <v>-0.4</v>
      </c>
      <c r="K2" s="99">
        <f>$D2-vlookup(Summary!$C2,Summary!$C$2:$Q$103,3+counta($F$1:K$1),false)</f>
        <v>-0.55</v>
      </c>
      <c r="L2" s="99">
        <f>$D2-vlookup(Summary!$C2,Summary!$C$2:$Q$103,3+counta($F$1:L$1),false)</f>
        <v>-0.1</v>
      </c>
      <c r="M2" s="99">
        <f>$D2-vlookup(Summary!$C2,Summary!$C$2:$Q$103,3+counta($F$1:M$1),false)</f>
        <v>0</v>
      </c>
      <c r="N2" s="99">
        <f>$D2-vlookup(Summary!$C2,Summary!$C$2:$Q$103,3+counta($F$1:N$1),false)</f>
        <v>-0.7</v>
      </c>
      <c r="O2" s="99">
        <f>$D2-vlookup(Summary!$C2,Summary!$C$2:$Q$103,3+counta($F$1:O$1),false)</f>
        <v>-0.25</v>
      </c>
      <c r="P2" s="99">
        <f>$D2-vlookup(Summary!$C2,Summary!$C$2:$Q$103,3+counta($F$1:P$1),false)</f>
        <v>0</v>
      </c>
      <c r="Q2" s="99">
        <f>$D2-vlookup(Summary!$C2,Summary!$C$2:$Q$103,3+counta($F$1:Q$1),false)</f>
        <v>-0.35</v>
      </c>
    </row>
    <row r="3" ht="15.75" customHeight="1">
      <c r="A3" s="15">
        <f>Main!A3</f>
        <v>2</v>
      </c>
      <c r="B3" s="15" t="str">
        <f>Main!B3</f>
        <v>Dan Andrews will become leader of the Australian Labor Party</v>
      </c>
      <c r="C3" s="15" t="str">
        <f>Main!C3</f>
        <v>Aus Politics</v>
      </c>
      <c r="D3" s="15">
        <v>0.1</v>
      </c>
      <c r="F3" s="99">
        <f>$D3-vlookup(Summary!$C3,Summary!$C$2:$Q$103,3+counta($F$1:F$1),false)</f>
        <v>-0.1</v>
      </c>
      <c r="G3" s="99">
        <f>$D3-vlookup(Summary!$C3,Summary!$C$2:$Q$103,3+counta($F$1:G$1),false)</f>
        <v>0</v>
      </c>
      <c r="H3" s="99">
        <f>$D3-vlookup(Summary!$C3,Summary!$C$2:$Q$103,3+counta($F$1:H$1),false)</f>
        <v>0.05</v>
      </c>
      <c r="I3" s="99">
        <f>$D3-vlookup(Summary!$C3,Summary!$C$2:$Q$103,3+counta($F$1:I$1),false)</f>
        <v>-0.1</v>
      </c>
      <c r="J3" s="99">
        <f>$D3-vlookup(Summary!$C3,Summary!$C$2:$Q$103,3+counta($F$1:J$1),false)</f>
        <v>0</v>
      </c>
      <c r="K3" s="99">
        <f>$D3-vlookup(Summary!$C3,Summary!$C$2:$Q$103,3+counta($F$1:K$1),false)</f>
        <v>0.1</v>
      </c>
      <c r="L3" s="99">
        <f>$D3-vlookup(Summary!$C3,Summary!$C$2:$Q$103,3+counta($F$1:L$1),false)</f>
        <v>0.099</v>
      </c>
      <c r="M3" s="99">
        <f>$D3-vlookup(Summary!$C3,Summary!$C$2:$Q$103,3+counta($F$1:M$1),false)</f>
        <v>0.05</v>
      </c>
      <c r="N3" s="99">
        <f>$D3-vlookup(Summary!$C3,Summary!$C$2:$Q$103,3+counta($F$1:N$1),false)</f>
        <v>0</v>
      </c>
      <c r="O3" s="99">
        <f>$D3-vlookup(Summary!$C3,Summary!$C$2:$Q$103,3+counta($F$1:O$1),false)</f>
        <v>0.099</v>
      </c>
      <c r="P3" s="99">
        <f>$D3-vlookup(Summary!$C3,Summary!$C$2:$Q$103,3+counta($F$1:P$1),false)</f>
        <v>0</v>
      </c>
      <c r="Q3" s="99">
        <f>$D3-vlookup(Summary!$C3,Summary!$C$2:$Q$103,3+counta($F$1:Q$1),false)</f>
        <v>0.09</v>
      </c>
    </row>
    <row r="4" ht="15.75" customHeight="1">
      <c r="A4" s="15">
        <f>Main!A4</f>
        <v>3</v>
      </c>
      <c r="B4" s="15" t="str">
        <f>Main!B4</f>
        <v>The Greens will get more than 9 senators in the next federal election</v>
      </c>
      <c r="C4" s="15" t="str">
        <f>Main!C4</f>
        <v>Aus Politics</v>
      </c>
      <c r="D4" s="15">
        <v>0.5</v>
      </c>
      <c r="F4" s="99">
        <f>$D4-vlookup(Summary!$C4,Summary!$C$2:$Q$103,3+counta($F$1:F$1),false)</f>
        <v>-0.1</v>
      </c>
      <c r="G4" s="99">
        <f>$D4-vlookup(Summary!$C4,Summary!$C$2:$Q$103,3+counta($F$1:G$1),false)</f>
        <v>0.2</v>
      </c>
      <c r="H4" s="99">
        <f>$D4-vlookup(Summary!$C4,Summary!$C$2:$Q$103,3+counta($F$1:H$1),false)</f>
        <v>0.4</v>
      </c>
      <c r="I4" s="99">
        <f>$D4-vlookup(Summary!$C4,Summary!$C$2:$Q$103,3+counta($F$1:I$1),false)</f>
        <v>-0.1</v>
      </c>
      <c r="J4" s="99">
        <f>$D4-vlookup(Summary!$C4,Summary!$C$2:$Q$103,3+counta($F$1:J$1),false)</f>
        <v>-0.2</v>
      </c>
      <c r="K4" s="99">
        <f>$D4-vlookup(Summary!$C4,Summary!$C$2:$Q$103,3+counta($F$1:K$1),false)</f>
        <v>-0.1</v>
      </c>
      <c r="L4" s="99">
        <f>$D4-vlookup(Summary!$C4,Summary!$C$2:$Q$103,3+counta($F$1:L$1),false)</f>
        <v>-0.2</v>
      </c>
      <c r="M4" s="99">
        <f>$D4-vlookup(Summary!$C4,Summary!$C$2:$Q$103,3+counta($F$1:M$1),false)</f>
        <v>0.4</v>
      </c>
      <c r="N4" s="99">
        <f>$D4-vlookup(Summary!$C4,Summary!$C$2:$Q$103,3+counta($F$1:N$1),false)</f>
        <v>0.4</v>
      </c>
      <c r="O4" s="99">
        <f>$D4-vlookup(Summary!$C4,Summary!$C$2:$Q$103,3+counta($F$1:O$1),false)</f>
        <v>0</v>
      </c>
      <c r="P4" s="99">
        <f>$D4-vlookup(Summary!$C4,Summary!$C$2:$Q$103,3+counta($F$1:P$1),false)</f>
        <v>0</v>
      </c>
      <c r="Q4" s="99">
        <f>$D4-vlookup(Summary!$C4,Summary!$C$2:$Q$103,3+counta($F$1:Q$1),false)</f>
        <v>-0.05</v>
      </c>
    </row>
    <row r="5" ht="15.75" customHeight="1">
      <c r="A5" s="15">
        <f>Main!A5</f>
        <v>4</v>
      </c>
      <c r="B5" s="15" t="str">
        <f>Main!B5</f>
        <v>The House of Reps will include 5 independents by the end of the federal election</v>
      </c>
      <c r="C5" s="15" t="str">
        <f>Main!C5</f>
        <v>Aus Politics</v>
      </c>
      <c r="D5" s="15">
        <v>0.8</v>
      </c>
      <c r="F5" s="99">
        <f>$D5-vlookup(Summary!$C5,Summary!$C$2:$Q$103,3+counta($F$1:F$1),false)</f>
        <v>0.1</v>
      </c>
      <c r="G5" s="99">
        <f>$D5-vlookup(Summary!$C5,Summary!$C$2:$Q$103,3+counta($F$1:G$1),false)</f>
        <v>0.5</v>
      </c>
      <c r="H5" s="99">
        <f>$D5-vlookup(Summary!$C5,Summary!$C$2:$Q$103,3+counta($F$1:H$1),false)</f>
        <v>0.7</v>
      </c>
      <c r="I5" s="99">
        <f>$D5-vlookup(Summary!$C5,Summary!$C$2:$Q$103,3+counta($F$1:I$1),false)</f>
        <v>0.1</v>
      </c>
      <c r="J5" s="99">
        <f>$D5-vlookup(Summary!$C5,Summary!$C$2:$Q$103,3+counta($F$1:J$1),false)</f>
        <v>-0.1</v>
      </c>
      <c r="K5" s="99">
        <f>$D5-vlookup(Summary!$C5,Summary!$C$2:$Q$103,3+counta($F$1:K$1),false)</f>
        <v>0.05</v>
      </c>
      <c r="L5" s="99">
        <f>$D5-vlookup(Summary!$C5,Summary!$C$2:$Q$103,3+counta($F$1:L$1),false)</f>
        <v>0.799</v>
      </c>
      <c r="M5" s="99">
        <f>$D5-vlookup(Summary!$C5,Summary!$C$2:$Q$103,3+counta($F$1:M$1),false)</f>
        <v>0.7</v>
      </c>
      <c r="N5" s="99">
        <f>$D5-vlookup(Summary!$C5,Summary!$C$2:$Q$103,3+counta($F$1:N$1),false)</f>
        <v>-0.1</v>
      </c>
      <c r="O5" s="99">
        <f>$D5-vlookup(Summary!$C5,Summary!$C$2:$Q$103,3+counta($F$1:O$1),false)</f>
        <v>0.3</v>
      </c>
      <c r="P5" s="99">
        <f>$D5-vlookup(Summary!$C5,Summary!$C$2:$Q$103,3+counta($F$1:P$1),false)</f>
        <v>0</v>
      </c>
      <c r="Q5" s="99">
        <f>$D5-vlookup(Summary!$C5,Summary!$C$2:$Q$103,3+counta($F$1:Q$1),false)</f>
        <v>0.1</v>
      </c>
    </row>
    <row r="6" ht="15.75" customHeight="1">
      <c r="A6" s="15">
        <f>Main!A6</f>
        <v>5</v>
      </c>
      <c r="B6" s="15" t="str">
        <f>Main!B6</f>
        <v>The Australian Labor Party will not pledge to reverse the uni fee structure introduced in 2020</v>
      </c>
      <c r="C6" s="15" t="str">
        <f>Main!C6</f>
        <v>Aus Politics</v>
      </c>
      <c r="D6" s="15">
        <v>0.8</v>
      </c>
      <c r="F6" s="99">
        <f>$D6-vlookup(Summary!$C6,Summary!$C$2:$Q$103,3+counta($F$1:F$1),false)</f>
        <v>0.2</v>
      </c>
      <c r="G6" s="99">
        <f>$D6-vlookup(Summary!$C6,Summary!$C$2:$Q$103,3+counta($F$1:G$1),false)</f>
        <v>0</v>
      </c>
      <c r="H6" s="99">
        <f>$D6-vlookup(Summary!$C6,Summary!$C$2:$Q$103,3+counta($F$1:H$1),false)</f>
        <v>-0.1</v>
      </c>
      <c r="I6" s="99">
        <f>$D6-vlookup(Summary!$C6,Summary!$C$2:$Q$103,3+counta($F$1:I$1),false)</f>
        <v>0.1</v>
      </c>
      <c r="J6" s="99">
        <f>$D6-vlookup(Summary!$C6,Summary!$C$2:$Q$103,3+counta($F$1:J$1),false)</f>
        <v>0.3</v>
      </c>
      <c r="K6" s="99">
        <f>$D6-vlookup(Summary!$C6,Summary!$C$2:$Q$103,3+counta($F$1:K$1),false)</f>
        <v>-0.05</v>
      </c>
      <c r="L6" s="99">
        <f>$D6-vlookup(Summary!$C6,Summary!$C$2:$Q$103,3+counta($F$1:L$1),false)</f>
        <v>-0.1</v>
      </c>
      <c r="M6" s="99">
        <f>$D6-vlookup(Summary!$C6,Summary!$C$2:$Q$103,3+counta($F$1:M$1),false)</f>
        <v>-0.1</v>
      </c>
      <c r="N6" s="99">
        <f>$D6-vlookup(Summary!$C6,Summary!$C$2:$Q$103,3+counta($F$1:N$1),false)</f>
        <v>-0.1</v>
      </c>
      <c r="O6" s="99">
        <f>$D6-vlookup(Summary!$C6,Summary!$C$2:$Q$103,3+counta($F$1:O$1),false)</f>
        <v>-0.05</v>
      </c>
      <c r="P6" s="99">
        <f>$D6-vlookup(Summary!$C6,Summary!$C$2:$Q$103,3+counta($F$1:P$1),false)</f>
        <v>0</v>
      </c>
      <c r="Q6" s="99">
        <f>$D6-vlookup(Summary!$C6,Summary!$C$2:$Q$103,3+counta($F$1:Q$1),false)</f>
        <v>0.05</v>
      </c>
    </row>
    <row r="7" ht="15.75" customHeight="1">
      <c r="A7" s="15">
        <f>Main!A7</f>
        <v>6</v>
      </c>
      <c r="B7" s="15" t="str">
        <f>Main!B7</f>
        <v>Zali Steggal and Helen Haines will both retain their seats in Federal Parliament</v>
      </c>
      <c r="C7" s="15" t="str">
        <f>Main!C7</f>
        <v>Aus Politics</v>
      </c>
      <c r="D7" s="15">
        <v>0.9</v>
      </c>
      <c r="F7" s="99">
        <f>$D7-vlookup(Summary!$C7,Summary!$C$2:$Q$103,3+counta($F$1:F$1),false)</f>
        <v>0.4</v>
      </c>
      <c r="G7" s="99">
        <f>$D7-vlookup(Summary!$C7,Summary!$C$2:$Q$103,3+counta($F$1:G$1),false)</f>
        <v>0</v>
      </c>
      <c r="H7" s="99">
        <f>$D7-vlookup(Summary!$C7,Summary!$C$2:$Q$103,3+counta($F$1:H$1),false)</f>
        <v>0.4</v>
      </c>
      <c r="I7" s="99">
        <f>$D7-vlookup(Summary!$C7,Summary!$C$2:$Q$103,3+counta($F$1:I$1),false)</f>
        <v>0.2</v>
      </c>
      <c r="J7" s="99">
        <f>$D7-vlookup(Summary!$C7,Summary!$C$2:$Q$103,3+counta($F$1:J$1),false)</f>
        <v>0</v>
      </c>
      <c r="K7" s="99">
        <f>$D7-vlookup(Summary!$C7,Summary!$C$2:$Q$103,3+counta($F$1:K$1),false)</f>
        <v>-0.05</v>
      </c>
      <c r="L7" s="99">
        <f>$D7-vlookup(Summary!$C7,Summary!$C$2:$Q$103,3+counta($F$1:L$1),false)</f>
        <v>0.5</v>
      </c>
      <c r="M7" s="99">
        <f>$D7-vlookup(Summary!$C7,Summary!$C$2:$Q$103,3+counta($F$1:M$1),false)</f>
        <v>0.4</v>
      </c>
      <c r="N7" s="99">
        <f>$D7-vlookup(Summary!$C7,Summary!$C$2:$Q$103,3+counta($F$1:N$1),false)</f>
        <v>0</v>
      </c>
      <c r="O7" s="99">
        <f>$D7-vlookup(Summary!$C7,Summary!$C$2:$Q$103,3+counta($F$1:O$1),false)</f>
        <v>0.05</v>
      </c>
      <c r="P7" s="99">
        <f>$D7-vlookup(Summary!$C7,Summary!$C$2:$Q$103,3+counta($F$1:P$1),false)</f>
        <v>0</v>
      </c>
      <c r="Q7" s="99">
        <f>$D7-vlookup(Summary!$C7,Summary!$C$2:$Q$103,3+counta($F$1:Q$1),false)</f>
        <v>0.4</v>
      </c>
    </row>
    <row r="8" ht="15.75" customHeight="1">
      <c r="A8" s="15">
        <f>Main!A8</f>
        <v>7</v>
      </c>
      <c r="B8" s="15" t="str">
        <f>Main!B8</f>
        <v>Scott Morrison will lose leadership of the Liberal Party at least once</v>
      </c>
      <c r="C8" s="15" t="str">
        <f>Main!C8</f>
        <v>Aus Politics</v>
      </c>
      <c r="D8" s="15">
        <v>0.7</v>
      </c>
      <c r="F8" s="99">
        <f>$D8-vlookup(Summary!$C8,Summary!$C$2:$Q$103,3+counta($F$1:F$1),false)</f>
        <v>-0.1</v>
      </c>
      <c r="G8" s="99">
        <f>$D8-vlookup(Summary!$C8,Summary!$C$2:$Q$103,3+counta($F$1:G$1),false)</f>
        <v>0</v>
      </c>
      <c r="H8" s="99">
        <f>$D8-vlookup(Summary!$C8,Summary!$C$2:$Q$103,3+counta($F$1:H$1),false)</f>
        <v>0.55</v>
      </c>
      <c r="I8" s="99">
        <f>$D8-vlookup(Summary!$C8,Summary!$C$2:$Q$103,3+counta($F$1:I$1),false)</f>
        <v>0.4</v>
      </c>
      <c r="J8" s="99">
        <f>$D8-vlookup(Summary!$C8,Summary!$C$2:$Q$103,3+counta($F$1:J$1),false)</f>
        <v>0.1</v>
      </c>
      <c r="K8" s="99">
        <f>$D8-vlookup(Summary!$C8,Summary!$C$2:$Q$103,3+counta($F$1:K$1),false)</f>
        <v>-0.05</v>
      </c>
      <c r="L8" s="99">
        <f>$D8-vlookup(Summary!$C8,Summary!$C$2:$Q$103,3+counta($F$1:L$1),false)</f>
        <v>0.2</v>
      </c>
      <c r="M8" s="99">
        <f>$D8-vlookup(Summary!$C8,Summary!$C$2:$Q$103,3+counta($F$1:M$1),false)</f>
        <v>0.65</v>
      </c>
      <c r="N8" s="99">
        <f>$D8-vlookup(Summary!$C8,Summary!$C$2:$Q$103,3+counta($F$1:N$1),false)</f>
        <v>-0.2</v>
      </c>
      <c r="O8" s="99">
        <f>$D8-vlookup(Summary!$C8,Summary!$C$2:$Q$103,3+counta($F$1:O$1),false)</f>
        <v>0.35</v>
      </c>
      <c r="P8" s="99">
        <f>$D8-vlookup(Summary!$C8,Summary!$C$2:$Q$103,3+counta($F$1:P$1),false)</f>
        <v>0</v>
      </c>
      <c r="Q8" s="99">
        <f>$D8-vlookup(Summary!$C8,Summary!$C$2:$Q$103,3+counta($F$1:Q$1),false)</f>
        <v>-0.2</v>
      </c>
    </row>
    <row r="9" ht="15.75" customHeight="1">
      <c r="A9" s="15">
        <f>Main!A9</f>
        <v>8</v>
      </c>
      <c r="B9" s="15" t="str">
        <f>Main!B9</f>
        <v>Anthony Albanese will be Prime Minister on at least one day</v>
      </c>
      <c r="C9" s="15" t="str">
        <f>Main!C9</f>
        <v>Aus Politics</v>
      </c>
      <c r="D9" s="15">
        <v>0.8</v>
      </c>
      <c r="F9" s="99">
        <f>$D9-vlookup(Summary!$C9,Summary!$C$2:$Q$103,3+counta($F$1:F$1),false)</f>
        <v>0.2</v>
      </c>
      <c r="G9" s="99">
        <f>$D9-vlookup(Summary!$C9,Summary!$C$2:$Q$103,3+counta($F$1:G$1),false)</f>
        <v>-0.1</v>
      </c>
      <c r="H9" s="99">
        <f>$D9-vlookup(Summary!$C9,Summary!$C$2:$Q$103,3+counta($F$1:H$1),false)</f>
        <v>0.75</v>
      </c>
      <c r="I9" s="99">
        <f>$D9-vlookup(Summary!$C9,Summary!$C$2:$Q$103,3+counta($F$1:I$1),false)</f>
        <v>0.5</v>
      </c>
      <c r="J9" s="99">
        <f>$D9-vlookup(Summary!$C9,Summary!$C$2:$Q$103,3+counta($F$1:J$1),false)</f>
        <v>0.7</v>
      </c>
      <c r="K9" s="99">
        <f>$D9-vlookup(Summary!$C9,Summary!$C$2:$Q$103,3+counta($F$1:K$1),false)</f>
        <v>0.05</v>
      </c>
      <c r="L9" s="99">
        <f>$D9-vlookup(Summary!$C9,Summary!$C$2:$Q$103,3+counta($F$1:L$1),false)</f>
        <v>0.5</v>
      </c>
      <c r="M9" s="99">
        <f>$D9-vlookup(Summary!$C9,Summary!$C$2:$Q$103,3+counta($F$1:M$1),false)</f>
        <v>0.75</v>
      </c>
      <c r="N9" s="99">
        <f>$D9-vlookup(Summary!$C9,Summary!$C$2:$Q$103,3+counta($F$1:N$1),false)</f>
        <v>-0.1</v>
      </c>
      <c r="O9" s="99">
        <f>$D9-vlookup(Summary!$C9,Summary!$C$2:$Q$103,3+counta($F$1:O$1),false)</f>
        <v>0.45</v>
      </c>
      <c r="P9" s="99">
        <f>$D9-vlookup(Summary!$C9,Summary!$C$2:$Q$103,3+counta($F$1:P$1),false)</f>
        <v>0</v>
      </c>
      <c r="Q9" s="99">
        <f>$D9-vlookup(Summary!$C9,Summary!$C$2:$Q$103,3+counta($F$1:Q$1),false)</f>
        <v>0.4</v>
      </c>
    </row>
    <row r="10" ht="15.75" customHeight="1">
      <c r="A10" s="15">
        <f>Main!A10</f>
        <v>9</v>
      </c>
      <c r="B10" s="15" t="str">
        <f>Main!B10</f>
        <v>A sitting MP will make allegations of possible voter fraud or election 'rigging' in the 2022 Australian federal election</v>
      </c>
      <c r="C10" s="15" t="str">
        <f>Main!C10</f>
        <v>Aus Politics</v>
      </c>
      <c r="D10" s="15">
        <v>0.4</v>
      </c>
      <c r="F10" s="99">
        <f>$D10-vlookup(Summary!$C10,Summary!$C$2:$Q$103,3+counta($F$1:F$1),false)</f>
        <v>-0.15</v>
      </c>
      <c r="G10" s="99">
        <f>$D10-vlookup(Summary!$C10,Summary!$C$2:$Q$103,3+counta($F$1:G$1),false)</f>
        <v>0.1</v>
      </c>
      <c r="H10" s="99">
        <f>$D10-vlookup(Summary!$C10,Summary!$C$2:$Q$103,3+counta($F$1:H$1),false)</f>
        <v>0.1</v>
      </c>
      <c r="I10" s="99">
        <f>$D10-vlookup(Summary!$C10,Summary!$C$2:$Q$103,3+counta($F$1:I$1),false)</f>
        <v>0</v>
      </c>
      <c r="J10" s="99">
        <f>$D10-vlookup(Summary!$C10,Summary!$C$2:$Q$103,3+counta($F$1:J$1),false)</f>
        <v>-0.5</v>
      </c>
      <c r="K10" s="99">
        <f>$D10-vlookup(Summary!$C10,Summary!$C$2:$Q$103,3+counta($F$1:K$1),false)</f>
        <v>0.05</v>
      </c>
      <c r="L10" s="99">
        <f>$D10-vlookup(Summary!$C10,Summary!$C$2:$Q$103,3+counta($F$1:L$1),false)</f>
        <v>-0.5</v>
      </c>
      <c r="M10" s="99">
        <f>$D10-vlookup(Summary!$C10,Summary!$C$2:$Q$103,3+counta($F$1:M$1),false)</f>
        <v>0.1</v>
      </c>
      <c r="N10" s="99">
        <f>$D10-vlookup(Summary!$C10,Summary!$C$2:$Q$103,3+counta($F$1:N$1),false)</f>
        <v>-0.3</v>
      </c>
      <c r="O10" s="99">
        <f>$D10-vlookup(Summary!$C10,Summary!$C$2:$Q$103,3+counta($F$1:O$1),false)</f>
        <v>-0.45</v>
      </c>
      <c r="P10" s="99">
        <f>$D10-vlookup(Summary!$C10,Summary!$C$2:$Q$103,3+counta($F$1:P$1),false)</f>
        <v>0</v>
      </c>
      <c r="Q10" s="99">
        <f>$D10-vlookup(Summary!$C10,Summary!$C$2:$Q$103,3+counta($F$1:Q$1),false)</f>
        <v>-0.4</v>
      </c>
    </row>
    <row r="11" ht="15.75" customHeight="1">
      <c r="A11" s="15">
        <f>Main!A11</f>
        <v>10</v>
      </c>
      <c r="B11" s="15" t="str">
        <f>Main!B11</f>
        <v>The Australian Intelligence Community will release a statement contradicting a Government minister or MP during the 2022 election campaign</v>
      </c>
      <c r="C11" s="15" t="str">
        <f>Main!C11</f>
        <v>Aus Politics</v>
      </c>
      <c r="D11" s="15">
        <v>0.1</v>
      </c>
      <c r="F11" s="99">
        <f>$D11-vlookup(Summary!$C11,Summary!$C$2:$Q$103,3+counta($F$1:F$1),false)</f>
        <v>-0.3</v>
      </c>
      <c r="G11" s="99">
        <f>$D11-vlookup(Summary!$C11,Summary!$C$2:$Q$103,3+counta($F$1:G$1),false)</f>
        <v>-0.1</v>
      </c>
      <c r="H11" s="99">
        <f>$D11-vlookup(Summary!$C11,Summary!$C$2:$Q$103,3+counta($F$1:H$1),false)</f>
        <v>0</v>
      </c>
      <c r="I11" s="99">
        <f>$D11-vlookup(Summary!$C11,Summary!$C$2:$Q$103,3+counta($F$1:I$1),false)</f>
        <v>-0.1</v>
      </c>
      <c r="J11" s="99">
        <f>$D11-vlookup(Summary!$C11,Summary!$C$2:$Q$103,3+counta($F$1:J$1),false)</f>
        <v>0</v>
      </c>
      <c r="K11" s="99">
        <f>$D11-vlookup(Summary!$C11,Summary!$C$2:$Q$103,3+counta($F$1:K$1),false)</f>
        <v>-0.45</v>
      </c>
      <c r="L11" s="99">
        <f>$D11-vlookup(Summary!$C11,Summary!$C$2:$Q$103,3+counta($F$1:L$1),false)</f>
        <v>-0.05</v>
      </c>
      <c r="M11" s="99">
        <f>$D11-vlookup(Summary!$C11,Summary!$C$2:$Q$103,3+counta($F$1:M$1),false)</f>
        <v>0</v>
      </c>
      <c r="N11" s="99">
        <f>$D11-vlookup(Summary!$C11,Summary!$C$2:$Q$103,3+counta($F$1:N$1),false)</f>
        <v>-0.8</v>
      </c>
      <c r="O11" s="99">
        <f>$D11-vlookup(Summary!$C11,Summary!$C$2:$Q$103,3+counta($F$1:O$1),false)</f>
        <v>0.099</v>
      </c>
      <c r="P11" s="99">
        <f>$D11-vlookup(Summary!$C11,Summary!$C$2:$Q$103,3+counta($F$1:P$1),false)</f>
        <v>0</v>
      </c>
      <c r="Q11" s="99">
        <f>$D11-vlookup(Summary!$C11,Summary!$C$2:$Q$103,3+counta($F$1:Q$1),false)</f>
        <v>-0.65</v>
      </c>
    </row>
    <row r="12" ht="15.75" customHeight="1">
      <c r="A12" s="15">
        <f>Main!A12</f>
        <v>11</v>
      </c>
      <c r="B12" s="15" t="str">
        <f>Main!B12</f>
        <v>Scott Morrison will still be the Prime Minister of Australia</v>
      </c>
      <c r="C12" s="15" t="str">
        <f>Main!C12</f>
        <v>Aus Politics</v>
      </c>
      <c r="D12" s="15">
        <v>0.3</v>
      </c>
      <c r="F12" s="99">
        <f>$D12-vlookup(Summary!$C12,Summary!$C$2:$Q$103,3+counta($F$1:F$1),false)</f>
        <v>-0.1</v>
      </c>
      <c r="G12" s="99">
        <f>$D12-vlookup(Summary!$C12,Summary!$C$2:$Q$103,3+counta($F$1:G$1),false)</f>
        <v>0.1</v>
      </c>
      <c r="H12" s="99">
        <f>$D12-vlookup(Summary!$C12,Summary!$C$2:$Q$103,3+counta($F$1:H$1),false)</f>
        <v>0.1</v>
      </c>
      <c r="I12" s="99">
        <f>$D12-vlookup(Summary!$C12,Summary!$C$2:$Q$103,3+counta($F$1:I$1),false)</f>
        <v>-0.5</v>
      </c>
      <c r="J12" s="99">
        <f>$D12-vlookup(Summary!$C12,Summary!$C$2:$Q$103,3+counta($F$1:J$1),false)</f>
        <v>-0.2</v>
      </c>
      <c r="K12" s="99">
        <f>$D12-vlookup(Summary!$C12,Summary!$C$2:$Q$103,3+counta($F$1:K$1),false)</f>
        <v>-0.45</v>
      </c>
      <c r="L12" s="99">
        <f>$D12-vlookup(Summary!$C12,Summary!$C$2:$Q$103,3+counta($F$1:L$1),false)</f>
        <v>-0.4</v>
      </c>
      <c r="M12" s="99">
        <f>$D12-vlookup(Summary!$C12,Summary!$C$2:$Q$103,3+counta($F$1:M$1),false)</f>
        <v>0.25</v>
      </c>
      <c r="N12" s="99">
        <f>$D12-vlookup(Summary!$C12,Summary!$C$2:$Q$103,3+counta($F$1:N$1),false)</f>
        <v>0.2</v>
      </c>
      <c r="O12" s="99">
        <f>$D12-vlookup(Summary!$C12,Summary!$C$2:$Q$103,3+counta($F$1:O$1),false)</f>
        <v>-0.35</v>
      </c>
      <c r="P12" s="99">
        <f>$D12-vlookup(Summary!$C12,Summary!$C$2:$Q$103,3+counta($F$1:P$1),false)</f>
        <v>0</v>
      </c>
      <c r="Q12" s="99">
        <f>$D12-vlookup(Summary!$C12,Summary!$C$2:$Q$103,3+counta($F$1:Q$1),false)</f>
        <v>0.2</v>
      </c>
    </row>
    <row r="13" ht="15.75" customHeight="1">
      <c r="A13" s="15">
        <f>Main!A13</f>
        <v>12</v>
      </c>
      <c r="B13" s="15" t="str">
        <f>Main!B13</f>
        <v>An Australian federal Minister will step down from their position due to direct involvement (proven or otherwise) in sexual misconduct at some point in the year.</v>
      </c>
      <c r="C13" s="15" t="str">
        <f>Main!C13</f>
        <v>Aus Politics</v>
      </c>
      <c r="D13" s="15">
        <v>0.3</v>
      </c>
      <c r="F13" s="99">
        <f>$D13-vlookup(Summary!$C13,Summary!$C$2:$Q$103,3+counta($F$1:F$1),false)</f>
        <v>-0.35</v>
      </c>
      <c r="G13" s="99">
        <f>$D13-vlookup(Summary!$C13,Summary!$C$2:$Q$103,3+counta($F$1:G$1),false)</f>
        <v>-0.1</v>
      </c>
      <c r="H13" s="99">
        <f>$D13-vlookup(Summary!$C13,Summary!$C$2:$Q$103,3+counta($F$1:H$1),false)</f>
        <v>0.2</v>
      </c>
      <c r="I13" s="99">
        <f>$D13-vlookup(Summary!$C13,Summary!$C$2:$Q$103,3+counta($F$1:I$1),false)</f>
        <v>-0.6</v>
      </c>
      <c r="J13" s="99">
        <f>$D13-vlookup(Summary!$C13,Summary!$C$2:$Q$103,3+counta($F$1:J$1),false)</f>
        <v>-0.6</v>
      </c>
      <c r="K13" s="99">
        <f>$D13-vlookup(Summary!$C13,Summary!$C$2:$Q$103,3+counta($F$1:K$1),false)</f>
        <v>-0.05</v>
      </c>
      <c r="L13" s="99">
        <f>$D13-vlookup(Summary!$C13,Summary!$C$2:$Q$103,3+counta($F$1:L$1),false)</f>
        <v>0.1</v>
      </c>
      <c r="M13" s="99">
        <f>$D13-vlookup(Summary!$C13,Summary!$C$2:$Q$103,3+counta($F$1:M$1),false)</f>
        <v>0.2</v>
      </c>
      <c r="N13" s="99">
        <f>$D13-vlookup(Summary!$C13,Summary!$C$2:$Q$103,3+counta($F$1:N$1),false)</f>
        <v>-0.3</v>
      </c>
      <c r="O13" s="99">
        <f>$D13-vlookup(Summary!$C13,Summary!$C$2:$Q$103,3+counta($F$1:O$1),false)</f>
        <v>0.15</v>
      </c>
      <c r="P13" s="99">
        <f>$D13-vlookup(Summary!$C13,Summary!$C$2:$Q$103,3+counta($F$1:P$1),false)</f>
        <v>0</v>
      </c>
      <c r="Q13" s="99">
        <f>$D13-vlookup(Summary!$C13,Summary!$C$2:$Q$103,3+counta($F$1:Q$1),false)</f>
        <v>-0.3</v>
      </c>
    </row>
    <row r="14" ht="15.75" customHeight="1">
      <c r="A14" s="15">
        <f>Main!A14</f>
        <v>13</v>
      </c>
      <c r="B14" s="15" t="str">
        <f>Main!B14</f>
        <v>Friendlyjordies, or evidence he has brought to light, will feature in a court case or ICAC inquiry.</v>
      </c>
      <c r="C14" s="15" t="str">
        <f>Main!C14</f>
        <v>Aus Politics</v>
      </c>
      <c r="D14" s="15">
        <v>0.5</v>
      </c>
      <c r="F14" s="99">
        <f>$D14-vlookup(Summary!$C14,Summary!$C$2:$Q$103,3+counta($F$1:F$1),false)</f>
        <v>-0.05</v>
      </c>
      <c r="G14" s="99">
        <f>$D14-vlookup(Summary!$C14,Summary!$C$2:$Q$103,3+counta($F$1:G$1),false)</f>
        <v>-0.2</v>
      </c>
      <c r="H14" s="99">
        <f>$D14-vlookup(Summary!$C14,Summary!$C$2:$Q$103,3+counta($F$1:H$1),false)</f>
        <v>0.2</v>
      </c>
      <c r="I14" s="99">
        <f>$D14-vlookup(Summary!$C14,Summary!$C$2:$Q$103,3+counta($F$1:I$1),false)</f>
        <v>-0.1</v>
      </c>
      <c r="J14" s="99">
        <f>$D14-vlookup(Summary!$C14,Summary!$C$2:$Q$103,3+counta($F$1:J$1),false)</f>
        <v>-0.2</v>
      </c>
      <c r="K14" s="99">
        <f>$D14-vlookup(Summary!$C14,Summary!$C$2:$Q$103,3+counta($F$1:K$1),false)</f>
        <v>-0.15</v>
      </c>
      <c r="L14" s="99">
        <f>$D14-vlookup(Summary!$C14,Summary!$C$2:$Q$103,3+counta($F$1:L$1),false)</f>
        <v>0</v>
      </c>
      <c r="M14" s="99">
        <f>$D14-vlookup(Summary!$C14,Summary!$C$2:$Q$103,3+counta($F$1:M$1),false)</f>
        <v>0.2</v>
      </c>
      <c r="N14" s="99">
        <f>$D14-vlookup(Summary!$C14,Summary!$C$2:$Q$103,3+counta($F$1:N$1),false)</f>
        <v>0.4</v>
      </c>
      <c r="O14" s="99">
        <f>$D14-vlookup(Summary!$C14,Summary!$C$2:$Q$103,3+counta($F$1:O$1),false)</f>
        <v>0.35</v>
      </c>
      <c r="P14" s="99">
        <f>$D14-vlookup(Summary!$C14,Summary!$C$2:$Q$103,3+counta($F$1:P$1),false)</f>
        <v>0</v>
      </c>
      <c r="Q14" s="99">
        <f>$D14-vlookup(Summary!$C14,Summary!$C$2:$Q$103,3+counta($F$1:Q$1),false)</f>
        <v>0</v>
      </c>
    </row>
    <row r="15" ht="15.75" customHeight="1">
      <c r="A15" s="15">
        <f>Main!A15</f>
        <v>14</v>
      </c>
      <c r="B15" s="15" t="str">
        <f>Main!B15</f>
        <v>At least one person commits suicide as an effect of the Royal Commission into Defence and Veteran Suicide, as reported in The Guardian</v>
      </c>
      <c r="C15" s="15" t="str">
        <f>Main!C15</f>
        <v>Aus Politics</v>
      </c>
      <c r="D15" s="15">
        <v>0.5</v>
      </c>
      <c r="F15" s="99">
        <f>$D15-vlookup(Summary!$C15,Summary!$C$2:$Q$103,3+counta($F$1:F$1),false)</f>
        <v>0.1</v>
      </c>
      <c r="G15" s="99">
        <f>$D15-vlookup(Summary!$C15,Summary!$C$2:$Q$103,3+counta($F$1:G$1),false)</f>
        <v>-0.3</v>
      </c>
      <c r="H15" s="99">
        <f>$D15-vlookup(Summary!$C15,Summary!$C$2:$Q$103,3+counta($F$1:H$1),false)</f>
        <v>-0.2</v>
      </c>
      <c r="I15" s="99">
        <f>$D15-vlookup(Summary!$C15,Summary!$C$2:$Q$103,3+counta($F$1:I$1),false)</f>
        <v>0.1</v>
      </c>
      <c r="J15" s="99">
        <f>$D15-vlookup(Summary!$C15,Summary!$C$2:$Q$103,3+counta($F$1:J$1),false)</f>
        <v>0.2</v>
      </c>
      <c r="K15" s="99">
        <f>$D15-vlookup(Summary!$C15,Summary!$C$2:$Q$103,3+counta($F$1:K$1),false)</f>
        <v>-0.35</v>
      </c>
      <c r="L15" s="99">
        <f>$D15-vlookup(Summary!$C15,Summary!$C$2:$Q$103,3+counta($F$1:L$1),false)</f>
        <v>-0.1</v>
      </c>
      <c r="M15" s="99">
        <f>$D15-vlookup(Summary!$C15,Summary!$C$2:$Q$103,3+counta($F$1:M$1),false)</f>
        <v>-0.2</v>
      </c>
      <c r="N15" s="99">
        <f>$D15-vlookup(Summary!$C15,Summary!$C$2:$Q$103,3+counta($F$1:N$1),false)</f>
        <v>-0.4</v>
      </c>
      <c r="O15" s="99">
        <f>$D15-vlookup(Summary!$C15,Summary!$C$2:$Q$103,3+counta($F$1:O$1),false)</f>
        <v>0.35</v>
      </c>
      <c r="P15" s="99">
        <f>$D15-vlookup(Summary!$C15,Summary!$C$2:$Q$103,3+counta($F$1:P$1),false)</f>
        <v>0</v>
      </c>
      <c r="Q15" s="99">
        <f>$D15-vlookup(Summary!$C15,Summary!$C$2:$Q$103,3+counta($F$1:Q$1),false)</f>
        <v>0.1</v>
      </c>
    </row>
    <row r="16" ht="15.75" customHeight="1">
      <c r="A16" s="15">
        <f>Main!A16</f>
        <v>15</v>
      </c>
      <c r="B16" s="15" t="str">
        <f>Main!B16</f>
        <v>Taylor Swift will get married</v>
      </c>
      <c r="C16" s="15" t="str">
        <f>Main!C16</f>
        <v>Celebrities</v>
      </c>
      <c r="D16" s="15">
        <v>0.5</v>
      </c>
      <c r="F16" s="99">
        <f>$D16-vlookup(Summary!$C16,Summary!$C$2:$Q$103,3+counta($F$1:F$1),false)</f>
        <v>-0.05</v>
      </c>
      <c r="G16" s="99">
        <f>$D16-vlookup(Summary!$C16,Summary!$C$2:$Q$103,3+counta($F$1:G$1),false)</f>
        <v>0.1</v>
      </c>
      <c r="H16" s="99">
        <f>$D16-vlookup(Summary!$C16,Summary!$C$2:$Q$103,3+counta($F$1:H$1),false)</f>
        <v>-0.2</v>
      </c>
      <c r="I16" s="99">
        <f>$D16-vlookup(Summary!$C16,Summary!$C$2:$Q$103,3+counta($F$1:I$1),false)</f>
        <v>0.35</v>
      </c>
      <c r="J16" s="99">
        <f>$D16-vlookup(Summary!$C16,Summary!$C$2:$Q$103,3+counta($F$1:J$1),false)</f>
        <v>-0.1</v>
      </c>
      <c r="K16" s="99">
        <f>$D16-vlookup(Summary!$C16,Summary!$C$2:$Q$103,3+counta($F$1:K$1),false)</f>
        <v>-0.3</v>
      </c>
      <c r="L16" s="99">
        <f>$D16-vlookup(Summary!$C16,Summary!$C$2:$Q$103,3+counta($F$1:L$1),false)</f>
        <v>0.3</v>
      </c>
      <c r="M16" s="99">
        <f>$D16-vlookup(Summary!$C16,Summary!$C$2:$Q$103,3+counta($F$1:M$1),false)</f>
        <v>-0.2</v>
      </c>
      <c r="N16" s="99">
        <f>$D16-vlookup(Summary!$C16,Summary!$C$2:$Q$103,3+counta($F$1:N$1),false)</f>
        <v>-0.3</v>
      </c>
      <c r="O16" s="99">
        <f>$D16-vlookup(Summary!$C16,Summary!$C$2:$Q$103,3+counta($F$1:O$1),false)</f>
        <v>0.35</v>
      </c>
      <c r="P16" s="99">
        <f>$D16-vlookup(Summary!$C16,Summary!$C$2:$Q$103,3+counta($F$1:P$1),false)</f>
        <v>0</v>
      </c>
      <c r="Q16" s="99">
        <f>$D16-vlookup(Summary!$C16,Summary!$C$2:$Q$103,3+counta($F$1:Q$1),false)</f>
        <v>0.49</v>
      </c>
    </row>
    <row r="17" ht="15.75" customHeight="1">
      <c r="A17" s="15">
        <f>Main!A17</f>
        <v>16</v>
      </c>
      <c r="B17" s="15" t="str">
        <f>Main!B17</f>
        <v>Jane Campion will win the Oscar for Best Director</v>
      </c>
      <c r="C17" s="15" t="str">
        <f>Main!C17</f>
        <v>Celebrities</v>
      </c>
      <c r="D17" s="15">
        <v>0.5</v>
      </c>
      <c r="F17" s="99">
        <f>$D17-vlookup(Summary!$C17,Summary!$C$2:$Q$103,3+counta($F$1:F$1),false)</f>
        <v>-0.3</v>
      </c>
      <c r="G17" s="99">
        <f>$D17-vlookup(Summary!$C17,Summary!$C$2:$Q$103,3+counta($F$1:G$1),false)</f>
        <v>-0.1</v>
      </c>
      <c r="H17" s="99">
        <f>$D17-vlookup(Summary!$C17,Summary!$C$2:$Q$103,3+counta($F$1:H$1),false)</f>
        <v>0.3</v>
      </c>
      <c r="I17" s="99">
        <f>$D17-vlookup(Summary!$C17,Summary!$C$2:$Q$103,3+counta($F$1:I$1),false)</f>
        <v>-0.4</v>
      </c>
      <c r="J17" s="99">
        <f>$D17-vlookup(Summary!$C17,Summary!$C$2:$Q$103,3+counta($F$1:J$1),false)</f>
        <v>-0.4</v>
      </c>
      <c r="K17" s="99">
        <f>$D17-vlookup(Summary!$C17,Summary!$C$2:$Q$103,3+counta($F$1:K$1),false)</f>
        <v>-0.45</v>
      </c>
      <c r="L17" s="99">
        <f>$D17-vlookup(Summary!$C17,Summary!$C$2:$Q$103,3+counta($F$1:L$1),false)</f>
        <v>-0.2</v>
      </c>
      <c r="M17" s="99">
        <f>$D17-vlookup(Summary!$C17,Summary!$C$2:$Q$103,3+counta($F$1:M$1),false)</f>
        <v>0.3</v>
      </c>
      <c r="N17" s="99">
        <f>$D17-vlookup(Summary!$C17,Summary!$C$2:$Q$103,3+counta($F$1:N$1),false)</f>
        <v>0.4</v>
      </c>
      <c r="O17" s="99">
        <f>$D17-vlookup(Summary!$C17,Summary!$C$2:$Q$103,3+counta($F$1:O$1),false)</f>
        <v>0</v>
      </c>
      <c r="P17" s="99">
        <f>$D17-vlookup(Summary!$C17,Summary!$C$2:$Q$103,3+counta($F$1:P$1),false)</f>
        <v>0</v>
      </c>
      <c r="Q17" s="99">
        <f>$D17-vlookup(Summary!$C17,Summary!$C$2:$Q$103,3+counta($F$1:Q$1),false)</f>
        <v>0.2</v>
      </c>
    </row>
    <row r="18" ht="15.75" customHeight="1">
      <c r="A18" s="15">
        <f>Main!A18</f>
        <v>17</v>
      </c>
      <c r="B18" s="15" t="str">
        <f>Main!B18</f>
        <v>Harry and Megan's animated series "Pearl" will be released and have over 50% on Rotten Tomatoes</v>
      </c>
      <c r="C18" s="15" t="str">
        <f>Main!C18</f>
        <v>Celebrities</v>
      </c>
      <c r="D18" s="15">
        <v>0.5</v>
      </c>
      <c r="F18" s="99">
        <f>$D18-vlookup(Summary!$C18,Summary!$C$2:$Q$103,3+counta($F$1:F$1),false)</f>
        <v>0.1</v>
      </c>
      <c r="G18" s="99">
        <f>$D18-vlookup(Summary!$C18,Summary!$C$2:$Q$103,3+counta($F$1:G$1),false)</f>
        <v>0.2</v>
      </c>
      <c r="H18" s="99">
        <f>$D18-vlookup(Summary!$C18,Summary!$C$2:$Q$103,3+counta($F$1:H$1),false)</f>
        <v>-0.3</v>
      </c>
      <c r="I18" s="99">
        <f>$D18-vlookup(Summary!$C18,Summary!$C$2:$Q$103,3+counta($F$1:I$1),false)</f>
        <v>0.1</v>
      </c>
      <c r="J18" s="99">
        <f>$D18-vlookup(Summary!$C18,Summary!$C$2:$Q$103,3+counta($F$1:J$1),false)</f>
        <v>0.4</v>
      </c>
      <c r="K18" s="99">
        <f>$D18-vlookup(Summary!$C18,Summary!$C$2:$Q$103,3+counta($F$1:K$1),false)</f>
        <v>-0.3</v>
      </c>
      <c r="L18" s="99">
        <f>$D18-vlookup(Summary!$C18,Summary!$C$2:$Q$103,3+counta($F$1:L$1),false)</f>
        <v>0.3</v>
      </c>
      <c r="M18" s="99">
        <f>$D18-vlookup(Summary!$C18,Summary!$C$2:$Q$103,3+counta($F$1:M$1),false)</f>
        <v>-0.3</v>
      </c>
      <c r="N18" s="99">
        <f>$D18-vlookup(Summary!$C18,Summary!$C$2:$Q$103,3+counta($F$1:N$1),false)</f>
        <v>-0.3</v>
      </c>
      <c r="O18" s="99">
        <f>$D18-vlookup(Summary!$C18,Summary!$C$2:$Q$103,3+counta($F$1:O$1),false)</f>
        <v>0.35</v>
      </c>
      <c r="P18" s="99">
        <f>$D18-vlookup(Summary!$C18,Summary!$C$2:$Q$103,3+counta($F$1:P$1),false)</f>
        <v>0</v>
      </c>
      <c r="Q18" s="99">
        <f>$D18-vlookup(Summary!$C18,Summary!$C$2:$Q$103,3+counta($F$1:Q$1),false)</f>
        <v>0.1</v>
      </c>
    </row>
    <row r="19" ht="15.75" customHeight="1">
      <c r="A19" s="15">
        <f>Main!A19</f>
        <v>18</v>
      </c>
      <c r="B19" s="15" t="str">
        <f>Main!B19</f>
        <v>Prince Andrew will enter or exit a courtroom wearing an oxygen mask and/or sitting in a wheelchair</v>
      </c>
      <c r="C19" s="15" t="str">
        <f>Main!C19</f>
        <v>Celebrities</v>
      </c>
      <c r="D19" s="15">
        <v>0.1</v>
      </c>
      <c r="F19" s="99">
        <f>$D19-vlookup(Summary!$C19,Summary!$C$2:$Q$103,3+counta($F$1:F$1),false)</f>
        <v>-0.2</v>
      </c>
      <c r="G19" s="99">
        <f>$D19-vlookup(Summary!$C19,Summary!$C$2:$Q$103,3+counta($F$1:G$1),false)</f>
        <v>-0.1</v>
      </c>
      <c r="H19" s="99">
        <f>$D19-vlookup(Summary!$C19,Summary!$C$2:$Q$103,3+counta($F$1:H$1),false)</f>
        <v>-0.6</v>
      </c>
      <c r="I19" s="99">
        <f>$D19-vlookup(Summary!$C19,Summary!$C$2:$Q$103,3+counta($F$1:I$1),false)</f>
        <v>0</v>
      </c>
      <c r="J19" s="99">
        <f>$D19-vlookup(Summary!$C19,Summary!$C$2:$Q$103,3+counta($F$1:J$1),false)</f>
        <v>-0.3</v>
      </c>
      <c r="K19" s="99">
        <f>$D19-vlookup(Summary!$C19,Summary!$C$2:$Q$103,3+counta($F$1:K$1),false)</f>
        <v>-0.1</v>
      </c>
      <c r="L19" s="99">
        <f>$D19-vlookup(Summary!$C19,Summary!$C$2:$Q$103,3+counta($F$1:L$1),false)</f>
        <v>0</v>
      </c>
      <c r="M19" s="99">
        <f>$D19-vlookup(Summary!$C19,Summary!$C$2:$Q$103,3+counta($F$1:M$1),false)</f>
        <v>0.05</v>
      </c>
      <c r="N19" s="99">
        <f>$D19-vlookup(Summary!$C19,Summary!$C$2:$Q$103,3+counta($F$1:N$1),false)</f>
        <v>0</v>
      </c>
      <c r="O19" s="99">
        <f>$D19-vlookup(Summary!$C19,Summary!$C$2:$Q$103,3+counta($F$1:O$1),false)</f>
        <v>-0.05</v>
      </c>
      <c r="P19" s="99">
        <f>$D19-vlookup(Summary!$C19,Summary!$C$2:$Q$103,3+counta($F$1:P$1),false)</f>
        <v>0</v>
      </c>
      <c r="Q19" s="99">
        <f>$D19-vlookup(Summary!$C19,Summary!$C$2:$Q$103,3+counta($F$1:Q$1),false)</f>
        <v>-0.1</v>
      </c>
    </row>
    <row r="20" ht="15.75" customHeight="1">
      <c r="A20" s="15">
        <f>Main!A20</f>
        <v>19</v>
      </c>
      <c r="B20" s="15" t="str">
        <f>Main!B20</f>
        <v>News Ltd will report on the emergence of a conspiracy theory relating to the Queen's death: that the palace is either secretly concealing her death or her continuing life</v>
      </c>
      <c r="C20" s="15" t="str">
        <f>Main!C20</f>
        <v>Celebrities</v>
      </c>
      <c r="D20" s="15">
        <v>0.1</v>
      </c>
      <c r="F20" s="99">
        <f>$D20-vlookup(Summary!$C20,Summary!$C$2:$Q$103,3+counta($F$1:F$1),false)</f>
        <v>-0.15</v>
      </c>
      <c r="G20" s="99">
        <f>$D20-vlookup(Summary!$C20,Summary!$C$2:$Q$103,3+counta($F$1:G$1),false)</f>
        <v>-0.3</v>
      </c>
      <c r="H20" s="99">
        <f>$D20-vlookup(Summary!$C20,Summary!$C$2:$Q$103,3+counta($F$1:H$1),false)</f>
        <v>-0.7</v>
      </c>
      <c r="I20" s="99">
        <f>$D20-vlookup(Summary!$C20,Summary!$C$2:$Q$103,3+counta($F$1:I$1),false)</f>
        <v>0.05</v>
      </c>
      <c r="J20" s="99">
        <f>$D20-vlookup(Summary!$C20,Summary!$C$2:$Q$103,3+counta($F$1:J$1),false)</f>
        <v>-0.4</v>
      </c>
      <c r="K20" s="99">
        <f>$D20-vlookup(Summary!$C20,Summary!$C$2:$Q$103,3+counta($F$1:K$1),false)</f>
        <v>-0.75</v>
      </c>
      <c r="L20" s="99">
        <f>$D20-vlookup(Summary!$C20,Summary!$C$2:$Q$103,3+counta($F$1:L$1),false)</f>
        <v>0.05</v>
      </c>
      <c r="M20" s="99">
        <f>$D20-vlookup(Summary!$C20,Summary!$C$2:$Q$103,3+counta($F$1:M$1),false)</f>
        <v>-0.7</v>
      </c>
      <c r="N20" s="99">
        <f>$D20-vlookup(Summary!$C20,Summary!$C$2:$Q$103,3+counta($F$1:N$1),false)</f>
        <v>0</v>
      </c>
      <c r="O20" s="99">
        <f>$D20-vlookup(Summary!$C20,Summary!$C$2:$Q$103,3+counta($F$1:O$1),false)</f>
        <v>0.099</v>
      </c>
      <c r="P20" s="99">
        <f>$D20-vlookup(Summary!$C20,Summary!$C$2:$Q$103,3+counta($F$1:P$1),false)</f>
        <v>0</v>
      </c>
      <c r="Q20" s="99">
        <f>$D20-vlookup(Summary!$C20,Summary!$C$2:$Q$103,3+counta($F$1:Q$1),false)</f>
        <v>-0.4</v>
      </c>
    </row>
    <row r="21" ht="15.75" customHeight="1">
      <c r="A21" s="15">
        <f>Main!A21</f>
        <v>20</v>
      </c>
      <c r="B21" s="15" t="str">
        <f>Main!B21</f>
        <v>Julian Assange will be located in Australia</v>
      </c>
      <c r="C21" s="15" t="str">
        <f>Main!C21</f>
        <v>Celebrities</v>
      </c>
      <c r="D21" s="15">
        <v>0.1</v>
      </c>
      <c r="F21" s="99">
        <f>$D21-vlookup(Summary!$C21,Summary!$C$2:$Q$103,3+counta($F$1:F$1),false)</f>
        <v>-0.1</v>
      </c>
      <c r="G21" s="99">
        <f>$D21-vlookup(Summary!$C21,Summary!$C$2:$Q$103,3+counta($F$1:G$1),false)</f>
        <v>-0.1</v>
      </c>
      <c r="H21" s="99">
        <f>$D21-vlookup(Summary!$C21,Summary!$C$2:$Q$103,3+counta($F$1:H$1),false)</f>
        <v>0</v>
      </c>
      <c r="I21" s="99">
        <f>$D21-vlookup(Summary!$C21,Summary!$C$2:$Q$103,3+counta($F$1:I$1),false)</f>
        <v>0.05</v>
      </c>
      <c r="J21" s="99">
        <f>$D21-vlookup(Summary!$C21,Summary!$C$2:$Q$103,3+counta($F$1:J$1),false)</f>
        <v>-0.2</v>
      </c>
      <c r="K21" s="99">
        <f>$D21-vlookup(Summary!$C21,Summary!$C$2:$Q$103,3+counta($F$1:K$1),false)</f>
        <v>-0.45</v>
      </c>
      <c r="L21" s="99">
        <f>$D21-vlookup(Summary!$C21,Summary!$C$2:$Q$103,3+counta($F$1:L$1),false)</f>
        <v>-0.1</v>
      </c>
      <c r="M21" s="99">
        <f>$D21-vlookup(Summary!$C21,Summary!$C$2:$Q$103,3+counta($F$1:M$1),false)</f>
        <v>0</v>
      </c>
      <c r="N21" s="99">
        <f>$D21-vlookup(Summary!$C21,Summary!$C$2:$Q$103,3+counta($F$1:N$1),false)</f>
        <v>-0.1</v>
      </c>
      <c r="O21" s="99">
        <f>$D21-vlookup(Summary!$C21,Summary!$C$2:$Q$103,3+counta($F$1:O$1),false)</f>
        <v>-0.05</v>
      </c>
      <c r="P21" s="99">
        <f>$D21-vlookup(Summary!$C21,Summary!$C$2:$Q$103,3+counta($F$1:P$1),false)</f>
        <v>0</v>
      </c>
      <c r="Q21" s="99">
        <f>$D21-vlookup(Summary!$C21,Summary!$C$2:$Q$103,3+counta($F$1:Q$1),false)</f>
        <v>-0.2</v>
      </c>
    </row>
    <row r="22" ht="15.75" customHeight="1">
      <c r="A22" s="15">
        <f>Main!A22</f>
        <v>21</v>
      </c>
      <c r="B22" s="15" t="str">
        <f>Main!B22</f>
        <v>An alleged sexual predator will recieve an Emmy or Oscar by mainstream media (Andrew’s system)</v>
      </c>
      <c r="C22" s="15" t="str">
        <f>Main!C22</f>
        <v>Celebrities</v>
      </c>
      <c r="D22" s="15">
        <v>0.1</v>
      </c>
      <c r="F22" s="99">
        <f>$D22-vlookup(Summary!$C22,Summary!$C$2:$Q$103,3+counta($F$1:F$1),false)</f>
        <v>-0.3</v>
      </c>
      <c r="G22" s="99">
        <f>$D22-vlookup(Summary!$C22,Summary!$C$2:$Q$103,3+counta($F$1:G$1),false)</f>
        <v>-0.2</v>
      </c>
      <c r="H22" s="99">
        <f>$D22-vlookup(Summary!$C22,Summary!$C$2:$Q$103,3+counta($F$1:H$1),false)</f>
        <v>-0.2</v>
      </c>
      <c r="I22" s="99">
        <f>$D22-vlookup(Summary!$C22,Summary!$C$2:$Q$103,3+counta($F$1:I$1),false)</f>
        <v>-0.1</v>
      </c>
      <c r="J22" s="99">
        <f>$D22-vlookup(Summary!$C22,Summary!$C$2:$Q$103,3+counta($F$1:J$1),false)</f>
        <v>-0.5</v>
      </c>
      <c r="K22" s="99">
        <f>$D22-vlookup(Summary!$C22,Summary!$C$2:$Q$103,3+counta($F$1:K$1),false)</f>
        <v>-0.6</v>
      </c>
      <c r="L22" s="99">
        <f>$D22-vlookup(Summary!$C22,Summary!$C$2:$Q$103,3+counta($F$1:L$1),false)</f>
        <v>-0.1</v>
      </c>
      <c r="M22" s="99">
        <f>$D22-vlookup(Summary!$C22,Summary!$C$2:$Q$103,3+counta($F$1:M$1),false)</f>
        <v>-0.2</v>
      </c>
      <c r="N22" s="99">
        <f>$D22-vlookup(Summary!$C22,Summary!$C$2:$Q$103,3+counta($F$1:N$1),false)</f>
        <v>-0.7</v>
      </c>
      <c r="O22" s="99">
        <f>$D22-vlookup(Summary!$C22,Summary!$C$2:$Q$103,3+counta($F$1:O$1),false)</f>
        <v>-0.55</v>
      </c>
      <c r="P22" s="99">
        <f>$D22-vlookup(Summary!$C22,Summary!$C$2:$Q$103,3+counta($F$1:P$1),false)</f>
        <v>0</v>
      </c>
      <c r="Q22" s="99">
        <f>$D22-vlookup(Summary!$C22,Summary!$C$2:$Q$103,3+counta($F$1:Q$1),false)</f>
        <v>-0.5</v>
      </c>
    </row>
    <row r="23" ht="15.75" customHeight="1">
      <c r="A23" s="15">
        <f>Main!A23</f>
        <v>22</v>
      </c>
      <c r="B23" s="15" t="str">
        <f>Main!B23</f>
        <v>The Queen will die</v>
      </c>
      <c r="C23" s="15" t="str">
        <f>Main!C23</f>
        <v>Celebrities</v>
      </c>
      <c r="D23" s="15">
        <v>0.1</v>
      </c>
      <c r="F23" s="99">
        <f>$D23-vlookup(Summary!$C23,Summary!$C$2:$Q$103,3+counta($F$1:F$1),false)</f>
        <v>-0.3</v>
      </c>
      <c r="G23" s="99">
        <f>$D23-vlookup(Summary!$C23,Summary!$C$2:$Q$103,3+counta($F$1:G$1),false)</f>
        <v>-0.1</v>
      </c>
      <c r="H23" s="99">
        <f>$D23-vlookup(Summary!$C23,Summary!$C$2:$Q$103,3+counta($F$1:H$1),false)</f>
        <v>-0.8</v>
      </c>
      <c r="I23" s="99">
        <f>$D23-vlookup(Summary!$C23,Summary!$C$2:$Q$103,3+counta($F$1:I$1),false)</f>
        <v>-0.2</v>
      </c>
      <c r="J23" s="99">
        <f>$D23-vlookup(Summary!$C23,Summary!$C$2:$Q$103,3+counta($F$1:J$1),false)</f>
        <v>-0.6</v>
      </c>
      <c r="K23" s="99">
        <f>$D23-vlookup(Summary!$C23,Summary!$C$2:$Q$103,3+counta($F$1:K$1),false)</f>
        <v>-0.6</v>
      </c>
      <c r="L23" s="99">
        <f>$D23-vlookup(Summary!$C23,Summary!$C$2:$Q$103,3+counta($F$1:L$1),false)</f>
        <v>0.05</v>
      </c>
      <c r="M23" s="99">
        <f>$D23-vlookup(Summary!$C23,Summary!$C$2:$Q$103,3+counta($F$1:M$1),false)</f>
        <v>-0.8</v>
      </c>
      <c r="N23" s="99">
        <f>$D23-vlookup(Summary!$C23,Summary!$C$2:$Q$103,3+counta($F$1:N$1),false)</f>
        <v>-0.8</v>
      </c>
      <c r="O23" s="99">
        <f>$D23-vlookup(Summary!$C23,Summary!$C$2:$Q$103,3+counta($F$1:O$1),false)</f>
        <v>-0.25</v>
      </c>
      <c r="P23" s="99">
        <f>$D23-vlookup(Summary!$C23,Summary!$C$2:$Q$103,3+counta($F$1:P$1),false)</f>
        <v>0</v>
      </c>
      <c r="Q23" s="99">
        <f>$D23-vlookup(Summary!$C23,Summary!$C$2:$Q$103,3+counta($F$1:Q$1),false)</f>
        <v>-0.2</v>
      </c>
    </row>
    <row r="24" ht="15.75" customHeight="1">
      <c r="A24" s="15">
        <f>Main!A24</f>
        <v>23</v>
      </c>
      <c r="B24" s="15" t="str">
        <f>Main!B24</f>
        <v>Ghislaine Maxwell will successfully strike a plea deal and reduce her aggregate sentence to no greater than 10 years with parole no greater than 5 years.</v>
      </c>
      <c r="C24" s="15" t="str">
        <f>Main!C24</f>
        <v>Celebrities</v>
      </c>
      <c r="D24" s="15">
        <v>0.7</v>
      </c>
      <c r="F24" s="99">
        <f>$D24-vlookup(Summary!$C24,Summary!$C$2:$Q$103,3+counta($F$1:F$1),false)</f>
        <v>0.25</v>
      </c>
      <c r="G24" s="99">
        <f>$D24-vlookup(Summary!$C24,Summary!$C$2:$Q$103,3+counta($F$1:G$1),false)</f>
        <v>0</v>
      </c>
      <c r="H24" s="99">
        <f>$D24-vlookup(Summary!$C24,Summary!$C$2:$Q$103,3+counta($F$1:H$1),false)</f>
        <v>0</v>
      </c>
      <c r="I24" s="99">
        <f>$D24-vlookup(Summary!$C24,Summary!$C$2:$Q$103,3+counta($F$1:I$1),false)</f>
        <v>0.6</v>
      </c>
      <c r="J24" s="99">
        <f>$D24-vlookup(Summary!$C24,Summary!$C$2:$Q$103,3+counta($F$1:J$1),false)</f>
        <v>-0.2</v>
      </c>
      <c r="K24" s="99">
        <f>$D24-vlookup(Summary!$C24,Summary!$C$2:$Q$103,3+counta($F$1:K$1),false)</f>
        <v>0.05</v>
      </c>
      <c r="L24" s="99">
        <f>$D24-vlookup(Summary!$C24,Summary!$C$2:$Q$103,3+counta($F$1:L$1),false)</f>
        <v>0.5</v>
      </c>
      <c r="M24" s="99">
        <f>$D24-vlookup(Summary!$C24,Summary!$C$2:$Q$103,3+counta($F$1:M$1),false)</f>
        <v>0</v>
      </c>
      <c r="N24" s="99">
        <f>$D24-vlookup(Summary!$C24,Summary!$C$2:$Q$103,3+counta($F$1:N$1),false)</f>
        <v>0.6</v>
      </c>
      <c r="O24" s="99">
        <f>$D24-vlookup(Summary!$C24,Summary!$C$2:$Q$103,3+counta($F$1:O$1),false)</f>
        <v>0.05</v>
      </c>
      <c r="P24" s="99">
        <f>$D24-vlookup(Summary!$C24,Summary!$C$2:$Q$103,3+counta($F$1:P$1),false)</f>
        <v>0</v>
      </c>
      <c r="Q24" s="99">
        <f>$D24-vlookup(Summary!$C24,Summary!$C$2:$Q$103,3+counta($F$1:Q$1),false)</f>
        <v>0.2</v>
      </c>
    </row>
    <row r="25" ht="15.75" customHeight="1">
      <c r="A25" s="15">
        <f>Main!A25</f>
        <v>24</v>
      </c>
      <c r="B25" s="15" t="str">
        <f>Main!B25</f>
        <v>Formal criminal charges will be laid against Prince Andrew for sex offenses</v>
      </c>
      <c r="C25" s="15" t="str">
        <f>Main!C25</f>
        <v>Celebrities</v>
      </c>
      <c r="D25" s="15">
        <v>0.5</v>
      </c>
      <c r="E25" s="15" t="s">
        <v>207</v>
      </c>
      <c r="F25" s="99">
        <f>$D25-vlookup(Summary!$C25,Summary!$C$2:$Q$103,3+counta($F$1:F$1),false)</f>
        <v>-0.1</v>
      </c>
      <c r="G25" s="99">
        <f>$D25-vlookup(Summary!$C25,Summary!$C$2:$Q$103,3+counta($F$1:G$1),false)</f>
        <v>0.3</v>
      </c>
      <c r="H25" s="99">
        <f>$D25-vlookup(Summary!$C25,Summary!$C$2:$Q$103,3+counta($F$1:H$1),false)</f>
        <v>-0.2</v>
      </c>
      <c r="I25" s="99">
        <f>$D25-vlookup(Summary!$C25,Summary!$C$2:$Q$103,3+counta($F$1:I$1),false)</f>
        <v>-0.4</v>
      </c>
      <c r="J25" s="99">
        <f>$D25-vlookup(Summary!$C25,Summary!$C$2:$Q$103,3+counta($F$1:J$1),false)</f>
        <v>0.4</v>
      </c>
      <c r="K25" s="99">
        <f>$D25-vlookup(Summary!$C25,Summary!$C$2:$Q$103,3+counta($F$1:K$1),false)</f>
        <v>-0.15</v>
      </c>
      <c r="L25" s="99">
        <f>$D25-vlookup(Summary!$C25,Summary!$C$2:$Q$103,3+counta($F$1:L$1),false)</f>
        <v>0.35</v>
      </c>
      <c r="M25" s="99">
        <f>$D25-vlookup(Summary!$C25,Summary!$C$2:$Q$103,3+counta($F$1:M$1),false)</f>
        <v>-0.2</v>
      </c>
      <c r="N25" s="99">
        <f>$D25-vlookup(Summary!$C25,Summary!$C$2:$Q$103,3+counta($F$1:N$1),false)</f>
        <v>0.3</v>
      </c>
      <c r="O25" s="99">
        <f>$D25-vlookup(Summary!$C25,Summary!$C$2:$Q$103,3+counta($F$1:O$1),false)</f>
        <v>0.35</v>
      </c>
      <c r="P25" s="99">
        <f>$D25-vlookup(Summary!$C25,Summary!$C$2:$Q$103,3+counta($F$1:P$1),false)</f>
        <v>0</v>
      </c>
      <c r="Q25" s="99">
        <f>$D25-vlookup(Summary!$C25,Summary!$C$2:$Q$103,3+counta($F$1:Q$1),false)</f>
        <v>0</v>
      </c>
    </row>
    <row r="26" ht="15.75" customHeight="1">
      <c r="A26" s="15">
        <f>Main!A26</f>
        <v>25</v>
      </c>
      <c r="B26" s="15" t="str">
        <f>Main!B26</f>
        <v>Elizabeth Holmes will be sentenced to no greater than 15 years imprisonment.</v>
      </c>
      <c r="C26" s="15" t="str">
        <f>Main!C26</f>
        <v>Celebrities</v>
      </c>
      <c r="D26" s="15">
        <v>0.5</v>
      </c>
      <c r="F26" s="99">
        <f>$D26-vlookup(Summary!$C26,Summary!$C$2:$Q$103,3+counta($F$1:F$1),false)</f>
        <v>-0.1</v>
      </c>
      <c r="G26" s="99">
        <f>$D26-vlookup(Summary!$C26,Summary!$C$2:$Q$103,3+counta($F$1:G$1),false)</f>
        <v>-0.4</v>
      </c>
      <c r="H26" s="99">
        <f>$D26-vlookup(Summary!$C26,Summary!$C$2:$Q$103,3+counta($F$1:H$1),false)</f>
        <v>-0.3</v>
      </c>
      <c r="I26" s="99">
        <f>$D26-vlookup(Summary!$C26,Summary!$C$2:$Q$103,3+counta($F$1:I$1),false)</f>
        <v>0</v>
      </c>
      <c r="J26" s="99">
        <f>$D26-vlookup(Summary!$C26,Summary!$C$2:$Q$103,3+counta($F$1:J$1),false)</f>
        <v>-0.4</v>
      </c>
      <c r="K26" s="99">
        <f>$D26-vlookup(Summary!$C26,Summary!$C$2:$Q$103,3+counta($F$1:K$1),false)</f>
        <v>-0.2</v>
      </c>
      <c r="L26" s="99">
        <f>$D26-vlookup(Summary!$C26,Summary!$C$2:$Q$103,3+counta($F$1:L$1),false)</f>
        <v>-0.2</v>
      </c>
      <c r="M26" s="99">
        <f>$D26-vlookup(Summary!$C26,Summary!$C$2:$Q$103,3+counta($F$1:M$1),false)</f>
        <v>-0.3</v>
      </c>
      <c r="N26" s="99">
        <f>$D26-vlookup(Summary!$C26,Summary!$C$2:$Q$103,3+counta($F$1:N$1),false)</f>
        <v>-0.4</v>
      </c>
      <c r="O26" s="99">
        <f>$D26-vlookup(Summary!$C26,Summary!$C$2:$Q$103,3+counta($F$1:O$1),false)</f>
        <v>-0.35</v>
      </c>
      <c r="P26" s="99">
        <f>$D26-vlookup(Summary!$C26,Summary!$C$2:$Q$103,3+counta($F$1:P$1),false)</f>
        <v>0</v>
      </c>
      <c r="Q26" s="99">
        <f>$D26-vlookup(Summary!$C26,Summary!$C$2:$Q$103,3+counta($F$1:Q$1),false)</f>
        <v>-0.2</v>
      </c>
    </row>
    <row r="27" ht="15.75" customHeight="1">
      <c r="A27" s="15">
        <f>Main!A27</f>
        <v>26</v>
      </c>
      <c r="B27" s="15" t="str">
        <f>Main!B27</f>
        <v>Meghan and Harry will separate</v>
      </c>
      <c r="C27" s="15" t="str">
        <f>Main!C27</f>
        <v>Celebrities</v>
      </c>
      <c r="D27" s="15">
        <v>0.1</v>
      </c>
      <c r="F27" s="99">
        <f>$D27-vlookup(Summary!$C27,Summary!$C$2:$Q$103,3+counta($F$1:F$1),false)</f>
        <v>-0.1</v>
      </c>
      <c r="G27" s="99">
        <f>$D27-vlookup(Summary!$C27,Summary!$C$2:$Q$103,3+counta($F$1:G$1),false)</f>
        <v>0</v>
      </c>
      <c r="H27" s="99">
        <f>$D27-vlookup(Summary!$C27,Summary!$C$2:$Q$103,3+counta($F$1:H$1),false)</f>
        <v>-0.1</v>
      </c>
      <c r="I27" s="99">
        <f>$D27-vlookup(Summary!$C27,Summary!$C$2:$Q$103,3+counta($F$1:I$1),false)</f>
        <v>0</v>
      </c>
      <c r="J27" s="99">
        <f>$D27-vlookup(Summary!$C27,Summary!$C$2:$Q$103,3+counta($F$1:J$1),false)</f>
        <v>-0.4</v>
      </c>
      <c r="K27" s="99">
        <f>$D27-vlookup(Summary!$C27,Summary!$C$2:$Q$103,3+counta($F$1:K$1),false)</f>
        <v>-0.1</v>
      </c>
      <c r="L27" s="99">
        <f>$D27-vlookup(Summary!$C27,Summary!$C$2:$Q$103,3+counta($F$1:L$1),false)</f>
        <v>0.05</v>
      </c>
      <c r="M27" s="99">
        <f>$D27-vlookup(Summary!$C27,Summary!$C$2:$Q$103,3+counta($F$1:M$1),false)</f>
        <v>-0.1</v>
      </c>
      <c r="N27" s="99">
        <f>$D27-vlookup(Summary!$C27,Summary!$C$2:$Q$103,3+counta($F$1:N$1),false)</f>
        <v>-0.7</v>
      </c>
      <c r="O27" s="99">
        <f>$D27-vlookup(Summary!$C27,Summary!$C$2:$Q$103,3+counta($F$1:O$1),false)</f>
        <v>-0.05</v>
      </c>
      <c r="P27" s="99">
        <f>$D27-vlookup(Summary!$C27,Summary!$C$2:$Q$103,3+counta($F$1:P$1),false)</f>
        <v>0</v>
      </c>
      <c r="Q27" s="99">
        <f>$D27-vlookup(Summary!$C27,Summary!$C$2:$Q$103,3+counta($F$1:Q$1),false)</f>
        <v>-0.2</v>
      </c>
    </row>
    <row r="28" ht="15.75" customHeight="1">
      <c r="A28" s="15">
        <f>Main!A28</f>
        <v>27</v>
      </c>
      <c r="B28" s="15" t="str">
        <f>Main!B28</f>
        <v>Tom Holland and Zendaya will separate.</v>
      </c>
      <c r="C28" s="15" t="str">
        <f>Main!C28</f>
        <v>Celebrities</v>
      </c>
      <c r="D28" s="15">
        <v>0.5</v>
      </c>
      <c r="F28" s="99">
        <f>$D28-vlookup(Summary!$C28,Summary!$C$2:$Q$103,3+counta($F$1:F$1),false)</f>
        <v>-0.1</v>
      </c>
      <c r="G28" s="99">
        <f>$D28-vlookup(Summary!$C28,Summary!$C$2:$Q$103,3+counta($F$1:G$1),false)</f>
        <v>-0.1</v>
      </c>
      <c r="H28" s="99">
        <f>$D28-vlookup(Summary!$C28,Summary!$C$2:$Q$103,3+counta($F$1:H$1),false)</f>
        <v>0.3</v>
      </c>
      <c r="I28" s="99">
        <f>$D28-vlookup(Summary!$C28,Summary!$C$2:$Q$103,3+counta($F$1:I$1),false)</f>
        <v>0</v>
      </c>
      <c r="J28" s="99">
        <f>$D28-vlookup(Summary!$C28,Summary!$C$2:$Q$103,3+counta($F$1:J$1),false)</f>
        <v>0.1</v>
      </c>
      <c r="K28" s="99">
        <f>$D28-vlookup(Summary!$C28,Summary!$C$2:$Q$103,3+counta($F$1:K$1),false)</f>
        <v>-0.15</v>
      </c>
      <c r="L28" s="99">
        <f>$D28-vlookup(Summary!$C28,Summary!$C$2:$Q$103,3+counta($F$1:L$1),false)</f>
        <v>0.3</v>
      </c>
      <c r="M28" s="99">
        <f>$D28-vlookup(Summary!$C28,Summary!$C$2:$Q$103,3+counta($F$1:M$1),false)</f>
        <v>0.3</v>
      </c>
      <c r="N28" s="99">
        <f>$D28-vlookup(Summary!$C28,Summary!$C$2:$Q$103,3+counta($F$1:N$1),false)</f>
        <v>-0.4</v>
      </c>
      <c r="O28" s="99">
        <f>$D28-vlookup(Summary!$C28,Summary!$C$2:$Q$103,3+counta($F$1:O$1),false)</f>
        <v>0</v>
      </c>
      <c r="P28" s="99">
        <f>$D28-vlookup(Summary!$C28,Summary!$C$2:$Q$103,3+counta($F$1:P$1),false)</f>
        <v>0</v>
      </c>
      <c r="Q28" s="99">
        <f>$D28-vlookup(Summary!$C28,Summary!$C$2:$Q$103,3+counta($F$1:Q$1),false)</f>
        <v>0.1</v>
      </c>
    </row>
    <row r="29" ht="15.75" customHeight="1">
      <c r="A29" s="15">
        <f>Main!A29</f>
        <v>28</v>
      </c>
      <c r="B29" s="15" t="str">
        <f>Main!B29</f>
        <v>Donald Trump endorses on social media a movement that is called White Lives Matter</v>
      </c>
      <c r="C29" s="15" t="str">
        <f>Main!C29</f>
        <v>Celebrities</v>
      </c>
      <c r="D29" s="15">
        <v>0.1</v>
      </c>
      <c r="F29" s="99">
        <f>$D29-vlookup(Summary!$C29,Summary!$C$2:$Q$103,3+counta($F$1:F$1),false)</f>
        <v>-0.2</v>
      </c>
      <c r="G29" s="99">
        <f>$D29-vlookup(Summary!$C29,Summary!$C$2:$Q$103,3+counta($F$1:G$1),false)</f>
        <v>-0.2</v>
      </c>
      <c r="H29" s="99">
        <f>$D29-vlookup(Summary!$C29,Summary!$C$2:$Q$103,3+counta($F$1:H$1),false)</f>
        <v>-0.7</v>
      </c>
      <c r="I29" s="99">
        <f>$D29-vlookup(Summary!$C29,Summary!$C$2:$Q$103,3+counta($F$1:I$1),false)</f>
        <v>0</v>
      </c>
      <c r="J29" s="99">
        <f>$D29-vlookup(Summary!$C29,Summary!$C$2:$Q$103,3+counta($F$1:J$1),false)</f>
        <v>-0.8</v>
      </c>
      <c r="K29" s="99">
        <f>$D29-vlookup(Summary!$C29,Summary!$C$2:$Q$103,3+counta($F$1:K$1),false)</f>
        <v>-0.35</v>
      </c>
      <c r="L29" s="99">
        <f>$D29-vlookup(Summary!$C29,Summary!$C$2:$Q$103,3+counta($F$1:L$1),false)</f>
        <v>0.099</v>
      </c>
      <c r="M29" s="99">
        <f>$D29-vlookup(Summary!$C29,Summary!$C$2:$Q$103,3+counta($F$1:M$1),false)</f>
        <v>-0.7</v>
      </c>
      <c r="N29" s="99">
        <f>$D29-vlookup(Summary!$C29,Summary!$C$2:$Q$103,3+counta($F$1:N$1),false)</f>
        <v>-0.8</v>
      </c>
      <c r="O29" s="99">
        <f>$D29-vlookup(Summary!$C29,Summary!$C$2:$Q$103,3+counta($F$1:O$1),false)</f>
        <v>0.099</v>
      </c>
      <c r="P29" s="99">
        <f>$D29-vlookup(Summary!$C29,Summary!$C$2:$Q$103,3+counta($F$1:P$1),false)</f>
        <v>0</v>
      </c>
      <c r="Q29" s="99">
        <f>$D29-vlookup(Summary!$C29,Summary!$C$2:$Q$103,3+counta($F$1:Q$1),false)</f>
        <v>-0.45</v>
      </c>
    </row>
    <row r="30" ht="15.75" customHeight="1">
      <c r="A30" s="15">
        <f>Main!A30</f>
        <v>29</v>
      </c>
      <c r="B30" s="15" t="str">
        <f>Main!B30</f>
        <v>Britney Spears returns under conservatorship</v>
      </c>
      <c r="C30" s="15" t="str">
        <f>Main!C30</f>
        <v>Celebrities</v>
      </c>
      <c r="D30" s="15">
        <v>0.1</v>
      </c>
      <c r="F30" s="99">
        <f>$D30-vlookup(Summary!$C30,Summary!$C$2:$Q$103,3+counta($F$1:F$1),false)</f>
        <v>0</v>
      </c>
      <c r="G30" s="99">
        <f>$D30-vlookup(Summary!$C30,Summary!$C$2:$Q$103,3+counta($F$1:G$1),false)</f>
        <v>0</v>
      </c>
      <c r="H30" s="99">
        <f>$D30-vlookup(Summary!$C30,Summary!$C$2:$Q$103,3+counta($F$1:H$1),false)</f>
        <v>0.05</v>
      </c>
      <c r="I30" s="99">
        <f>$D30-vlookup(Summary!$C30,Summary!$C$2:$Q$103,3+counta($F$1:I$1),false)</f>
        <v>0.05</v>
      </c>
      <c r="J30" s="99">
        <f>$D30-vlookup(Summary!$C30,Summary!$C$2:$Q$103,3+counta($F$1:J$1),false)</f>
        <v>0</v>
      </c>
      <c r="K30" s="99">
        <f>$D30-vlookup(Summary!$C30,Summary!$C$2:$Q$103,3+counta($F$1:K$1),false)</f>
        <v>0.1</v>
      </c>
      <c r="L30" s="99">
        <f>$D30-vlookup(Summary!$C30,Summary!$C$2:$Q$103,3+counta($F$1:L$1),false)</f>
        <v>0.05</v>
      </c>
      <c r="M30" s="99">
        <f>$D30-vlookup(Summary!$C30,Summary!$C$2:$Q$103,3+counta($F$1:M$1),false)</f>
        <v>0.05</v>
      </c>
      <c r="N30" s="99">
        <f>$D30-vlookup(Summary!$C30,Summary!$C$2:$Q$103,3+counta($F$1:N$1),false)</f>
        <v>0</v>
      </c>
      <c r="O30" s="99">
        <f>$D30-vlookup(Summary!$C30,Summary!$C$2:$Q$103,3+counta($F$1:O$1),false)</f>
        <v>0.099</v>
      </c>
      <c r="P30" s="99">
        <f>$D30-vlookup(Summary!$C30,Summary!$C$2:$Q$103,3+counta($F$1:P$1),false)</f>
        <v>0</v>
      </c>
      <c r="Q30" s="99">
        <f>$D30-vlookup(Summary!$C30,Summary!$C$2:$Q$103,3+counta($F$1:Q$1),false)</f>
        <v>-0.4</v>
      </c>
    </row>
    <row r="31" ht="15.75" customHeight="1">
      <c r="A31" s="15">
        <f>Main!A31</f>
        <v>30</v>
      </c>
      <c r="B31" s="15" t="str">
        <f>Main!B31</f>
        <v>Taylor Swift and her partner separate, or announce they're expecting a child</v>
      </c>
      <c r="C31" s="15" t="str">
        <f>Main!C31</f>
        <v>Celebrities</v>
      </c>
      <c r="D31" s="15">
        <v>0.5</v>
      </c>
      <c r="F31" s="99">
        <f>$D31-vlookup(Summary!$C31,Summary!$C$2:$Q$103,3+counta($F$1:F$1),false)</f>
        <v>0.1</v>
      </c>
      <c r="G31" s="99">
        <f>$D31-vlookup(Summary!$C31,Summary!$C$2:$Q$103,3+counta($F$1:G$1),false)</f>
        <v>0.2</v>
      </c>
      <c r="H31" s="99">
        <f>$D31-vlookup(Summary!$C31,Summary!$C$2:$Q$103,3+counta($F$1:H$1),false)</f>
        <v>-0.2</v>
      </c>
      <c r="I31" s="99">
        <f>$D31-vlookup(Summary!$C31,Summary!$C$2:$Q$103,3+counta($F$1:I$1),false)</f>
        <v>0.4</v>
      </c>
      <c r="J31" s="99">
        <f>$D31-vlookup(Summary!$C31,Summary!$C$2:$Q$103,3+counta($F$1:J$1),false)</f>
        <v>-0.2</v>
      </c>
      <c r="K31" s="99">
        <f>$D31-vlookup(Summary!$C31,Summary!$C$2:$Q$103,3+counta($F$1:K$1),false)</f>
        <v>-0.1</v>
      </c>
      <c r="L31" s="99">
        <f>$D31-vlookup(Summary!$C31,Summary!$C$2:$Q$103,3+counta($F$1:L$1),false)</f>
        <v>0.4</v>
      </c>
      <c r="M31" s="99">
        <f>$D31-vlookup(Summary!$C31,Summary!$C$2:$Q$103,3+counta($F$1:M$1),false)</f>
        <v>-0.2</v>
      </c>
      <c r="N31" s="99">
        <f>$D31-vlookup(Summary!$C31,Summary!$C$2:$Q$103,3+counta($F$1:N$1),false)</f>
        <v>-0.4</v>
      </c>
      <c r="O31" s="99">
        <f>$D31-vlookup(Summary!$C31,Summary!$C$2:$Q$103,3+counta($F$1:O$1),false)</f>
        <v>0.35</v>
      </c>
      <c r="P31" s="99">
        <f>$D31-vlookup(Summary!$C31,Summary!$C$2:$Q$103,3+counta($F$1:P$1),false)</f>
        <v>0</v>
      </c>
      <c r="Q31" s="99">
        <f>$D31-vlookup(Summary!$C31,Summary!$C$2:$Q$103,3+counta($F$1:Q$1),false)</f>
        <v>0.3</v>
      </c>
    </row>
    <row r="32" ht="15.75" customHeight="1">
      <c r="A32" s="15">
        <f>Main!A32</f>
        <v>31</v>
      </c>
      <c r="B32" s="15" t="str">
        <f>Main!B32</f>
        <v>Aung San Suu Kyi dies or announces she has a terminal illness (terminal illness including cancer)</v>
      </c>
      <c r="C32" s="15" t="str">
        <f>Main!C32</f>
        <v>Celebrities</v>
      </c>
      <c r="D32" s="15">
        <v>0.1</v>
      </c>
      <c r="F32" s="99">
        <f>$D32-vlookup(Summary!$C32,Summary!$C$2:$Q$103,3+counta($F$1:F$1),false)</f>
        <v>-0.4</v>
      </c>
      <c r="G32" s="99">
        <f>$D32-vlookup(Summary!$C32,Summary!$C$2:$Q$103,3+counta($F$1:G$1),false)</f>
        <v>-0.3</v>
      </c>
      <c r="H32" s="99">
        <f>$D32-vlookup(Summary!$C32,Summary!$C$2:$Q$103,3+counta($F$1:H$1),false)</f>
        <v>-0.4</v>
      </c>
      <c r="I32" s="99">
        <f>$D32-vlookup(Summary!$C32,Summary!$C$2:$Q$103,3+counta($F$1:I$1),false)</f>
        <v>-0.1</v>
      </c>
      <c r="J32" s="99">
        <f>$D32-vlookup(Summary!$C32,Summary!$C$2:$Q$103,3+counta($F$1:J$1),false)</f>
        <v>-0.2</v>
      </c>
      <c r="K32" s="99">
        <f>$D32-vlookup(Summary!$C32,Summary!$C$2:$Q$103,3+counta($F$1:K$1),false)</f>
        <v>-0.35</v>
      </c>
      <c r="L32" s="99">
        <f>$D32-vlookup(Summary!$C32,Summary!$C$2:$Q$103,3+counta($F$1:L$1),false)</f>
        <v>-0.1</v>
      </c>
      <c r="M32" s="99">
        <f>$D32-vlookup(Summary!$C32,Summary!$C$2:$Q$103,3+counta($F$1:M$1),false)</f>
        <v>-0.4</v>
      </c>
      <c r="N32" s="99">
        <f>$D32-vlookup(Summary!$C32,Summary!$C$2:$Q$103,3+counta($F$1:N$1),false)</f>
        <v>0</v>
      </c>
      <c r="O32" s="99">
        <f>$D32-vlookup(Summary!$C32,Summary!$C$2:$Q$103,3+counta($F$1:O$1),false)</f>
        <v>-0.25</v>
      </c>
      <c r="P32" s="99">
        <f>$D32-vlookup(Summary!$C32,Summary!$C$2:$Q$103,3+counta($F$1:P$1),false)</f>
        <v>0</v>
      </c>
      <c r="Q32" s="99">
        <f>$D32-vlookup(Summary!$C32,Summary!$C$2:$Q$103,3+counta($F$1:Q$1),false)</f>
        <v>-0.4</v>
      </c>
    </row>
    <row r="33" ht="15.75" customHeight="1">
      <c r="A33" s="15">
        <f>Main!A33</f>
        <v>32</v>
      </c>
      <c r="B33" s="15" t="str">
        <f>Main!B33</f>
        <v>Henry Cavill marries</v>
      </c>
      <c r="C33" s="15" t="str">
        <f>Main!C33</f>
        <v>Celebrities</v>
      </c>
      <c r="D33" s="15">
        <v>0.5</v>
      </c>
      <c r="F33" s="99">
        <f>$D33-vlookup(Summary!$C33,Summary!$C$2:$Q$103,3+counta($F$1:F$1),false)</f>
        <v>-0.05</v>
      </c>
      <c r="G33" s="99">
        <f>$D33-vlookup(Summary!$C33,Summary!$C$2:$Q$103,3+counta($F$1:G$1),false)</f>
        <v>-0.1</v>
      </c>
      <c r="H33" s="99">
        <f>$D33-vlookup(Summary!$C33,Summary!$C$2:$Q$103,3+counta($F$1:H$1),false)</f>
        <v>0.4</v>
      </c>
      <c r="I33" s="99">
        <f>$D33-vlookup(Summary!$C33,Summary!$C$2:$Q$103,3+counta($F$1:I$1),false)</f>
        <v>0.3</v>
      </c>
      <c r="J33" s="99">
        <f>$D33-vlookup(Summary!$C33,Summary!$C$2:$Q$103,3+counta($F$1:J$1),false)</f>
        <v>0.1</v>
      </c>
      <c r="K33" s="99">
        <f>$D33-vlookup(Summary!$C33,Summary!$C$2:$Q$103,3+counta($F$1:K$1),false)</f>
        <v>0</v>
      </c>
      <c r="L33" s="99">
        <f>$D33-vlookup(Summary!$C33,Summary!$C$2:$Q$103,3+counta($F$1:L$1),false)</f>
        <v>0.3</v>
      </c>
      <c r="M33" s="99">
        <f>$D33-vlookup(Summary!$C33,Summary!$C$2:$Q$103,3+counta($F$1:M$1),false)</f>
        <v>0.4</v>
      </c>
      <c r="N33" s="99">
        <f>$D33-vlookup(Summary!$C33,Summary!$C$2:$Q$103,3+counta($F$1:N$1),false)</f>
        <v>0</v>
      </c>
      <c r="O33" s="99">
        <f>$D33-vlookup(Summary!$C33,Summary!$C$2:$Q$103,3+counta($F$1:O$1),false)</f>
        <v>0.35</v>
      </c>
      <c r="P33" s="99">
        <f>$D33-vlookup(Summary!$C33,Summary!$C$2:$Q$103,3+counta($F$1:P$1),false)</f>
        <v>0</v>
      </c>
      <c r="Q33" s="99">
        <f>$D33-vlookup(Summary!$C33,Summary!$C$2:$Q$103,3+counta($F$1:Q$1),false)</f>
        <v>0.1</v>
      </c>
    </row>
    <row r="34" ht="15.75" customHeight="1">
      <c r="A34" s="15">
        <f>Main!A34</f>
        <v>33</v>
      </c>
      <c r="B34" s="15" t="str">
        <f>Main!B34</f>
        <v>Daily COVID cases in Australia will reach 150,000 at least once</v>
      </c>
      <c r="C34" s="15" t="str">
        <f>Main!C34</f>
        <v>Covid</v>
      </c>
      <c r="D34" s="15">
        <v>0.9</v>
      </c>
      <c r="F34" s="99">
        <f>$D34-vlookup(Summary!$C34,Summary!$C$2:$Q$103,3+counta($F$1:F$1),false)</f>
        <v>0.8</v>
      </c>
      <c r="G34" s="99">
        <f>$D34-vlookup(Summary!$C34,Summary!$C$2:$Q$103,3+counta($F$1:G$1),false)</f>
        <v>0.7</v>
      </c>
      <c r="H34" s="99">
        <f>$D34-vlookup(Summary!$C34,Summary!$C$2:$Q$103,3+counta($F$1:H$1),false)</f>
        <v>0.89</v>
      </c>
      <c r="I34" s="99">
        <f>$D34-vlookup(Summary!$C34,Summary!$C$2:$Q$103,3+counta($F$1:I$1),false)</f>
        <v>0.8</v>
      </c>
      <c r="J34" s="99">
        <f>$D34-vlookup(Summary!$C34,Summary!$C$2:$Q$103,3+counta($F$1:J$1),false)</f>
        <v>0</v>
      </c>
      <c r="K34" s="99">
        <f>$D34-vlookup(Summary!$C34,Summary!$C$2:$Q$103,3+counta($F$1:K$1),false)</f>
        <v>0.3</v>
      </c>
      <c r="L34" s="99">
        <f>$D34-vlookup(Summary!$C34,Summary!$C$2:$Q$103,3+counta($F$1:L$1),false)</f>
        <v>0.85</v>
      </c>
      <c r="M34" s="99">
        <f>$D34-vlookup(Summary!$C34,Summary!$C$2:$Q$103,3+counta($F$1:M$1),false)</f>
        <v>0.89</v>
      </c>
      <c r="N34" s="99">
        <f>$D34-vlookup(Summary!$C34,Summary!$C$2:$Q$103,3+counta($F$1:N$1),false)</f>
        <v>0.5</v>
      </c>
      <c r="O34" s="99">
        <f>$D34-vlookup(Summary!$C34,Summary!$C$2:$Q$103,3+counta($F$1:O$1),false)</f>
        <v>0.75</v>
      </c>
      <c r="P34" s="99">
        <f>$D34-vlookup(Summary!$C34,Summary!$C$2:$Q$103,3+counta($F$1:P$1),false)</f>
        <v>0</v>
      </c>
      <c r="Q34" s="99">
        <f>$D34-vlookup(Summary!$C34,Summary!$C$2:$Q$103,3+counta($F$1:Q$1),false)</f>
        <v>0</v>
      </c>
    </row>
    <row r="35" ht="15.75" customHeight="1">
      <c r="A35" s="15">
        <f>Main!A35</f>
        <v>34</v>
      </c>
      <c r="B35" s="15" t="str">
        <f>Main!B35</f>
        <v>More deaths will be attributed to Omicron by the WHO than all other covid variants combined</v>
      </c>
      <c r="C35" s="15" t="str">
        <f>Main!C35</f>
        <v>Covid</v>
      </c>
      <c r="D35" s="15">
        <v>0.5</v>
      </c>
      <c r="F35" s="99">
        <f>$D35-vlookup(Summary!$C35,Summary!$C$2:$Q$103,3+counta($F$1:F$1),false)</f>
        <v>0.2</v>
      </c>
      <c r="G35" s="99">
        <f>$D35-vlookup(Summary!$C35,Summary!$C$2:$Q$103,3+counta($F$1:G$1),false)</f>
        <v>0.4</v>
      </c>
      <c r="H35" s="99">
        <f>$D35-vlookup(Summary!$C35,Summary!$C$2:$Q$103,3+counta($F$1:H$1),false)</f>
        <v>-0.3</v>
      </c>
      <c r="I35" s="99">
        <f>$D35-vlookup(Summary!$C35,Summary!$C$2:$Q$103,3+counta($F$1:I$1),false)</f>
        <v>0.4</v>
      </c>
      <c r="J35" s="99">
        <f>$D35-vlookup(Summary!$C35,Summary!$C$2:$Q$103,3+counta($F$1:J$1),false)</f>
        <v>0.1</v>
      </c>
      <c r="K35" s="99">
        <f>$D35-vlookup(Summary!$C35,Summary!$C$2:$Q$103,3+counta($F$1:K$1),false)</f>
        <v>-0.25</v>
      </c>
      <c r="L35" s="99">
        <f>$D35-vlookup(Summary!$C35,Summary!$C$2:$Q$103,3+counta($F$1:L$1),false)</f>
        <v>0.499</v>
      </c>
      <c r="M35" s="99">
        <f>$D35-vlookup(Summary!$C35,Summary!$C$2:$Q$103,3+counta($F$1:M$1),false)</f>
        <v>-0.3</v>
      </c>
      <c r="N35" s="99">
        <f>$D35-vlookup(Summary!$C35,Summary!$C$2:$Q$103,3+counta($F$1:N$1),false)</f>
        <v>0.2</v>
      </c>
      <c r="O35" s="99">
        <f>$D35-vlookup(Summary!$C35,Summary!$C$2:$Q$103,3+counta($F$1:O$1),false)</f>
        <v>-0.35</v>
      </c>
      <c r="P35" s="99">
        <f>$D35-vlookup(Summary!$C35,Summary!$C$2:$Q$103,3+counta($F$1:P$1),false)</f>
        <v>0</v>
      </c>
      <c r="Q35" s="99">
        <f>$D35-vlookup(Summary!$C35,Summary!$C$2:$Q$103,3+counta($F$1:Q$1),false)</f>
        <v>-0.2</v>
      </c>
    </row>
    <row r="36" ht="15.75" customHeight="1">
      <c r="A36" s="15">
        <f>Main!A36</f>
        <v>35</v>
      </c>
      <c r="B36" s="15" t="str">
        <f>Main!B36</f>
        <v>The average number of covid vaccinations per person amongst members of Xmas eve 2022 will be &gt; 3</v>
      </c>
      <c r="C36" s="15" t="str">
        <f>Main!C36</f>
        <v>Covid</v>
      </c>
      <c r="D36" s="15">
        <v>0.9</v>
      </c>
      <c r="F36" s="99">
        <f>$D36-vlookup(Summary!$C36,Summary!$C$2:$Q$103,3+counta($F$1:F$1),false)</f>
        <v>0.1</v>
      </c>
      <c r="G36" s="99">
        <f>$D36-vlookup(Summary!$C36,Summary!$C$2:$Q$103,3+counta($F$1:G$1),false)</f>
        <v>0</v>
      </c>
      <c r="H36" s="99">
        <f>$D36-vlookup(Summary!$C36,Summary!$C$2:$Q$103,3+counta($F$1:H$1),false)</f>
        <v>0</v>
      </c>
      <c r="I36" s="99">
        <f>$D36-vlookup(Summary!$C36,Summary!$C$2:$Q$103,3+counta($F$1:I$1),false)</f>
        <v>0.4</v>
      </c>
      <c r="J36" s="99">
        <f>$D36-vlookup(Summary!$C36,Summary!$C$2:$Q$103,3+counta($F$1:J$1),false)</f>
        <v>0.5</v>
      </c>
      <c r="K36" s="99">
        <f>$D36-vlookup(Summary!$C36,Summary!$C$2:$Q$103,3+counta($F$1:K$1),false)</f>
        <v>0.1</v>
      </c>
      <c r="L36" s="99">
        <f>$D36-vlookup(Summary!$C36,Summary!$C$2:$Q$103,3+counta($F$1:L$1),false)</f>
        <v>-0.099</v>
      </c>
      <c r="M36" s="99">
        <f>$D36-vlookup(Summary!$C36,Summary!$C$2:$Q$103,3+counta($F$1:M$1),false)</f>
        <v>0</v>
      </c>
      <c r="N36" s="99">
        <f>$D36-vlookup(Summary!$C36,Summary!$C$2:$Q$103,3+counta($F$1:N$1),false)</f>
        <v>0</v>
      </c>
      <c r="O36" s="99">
        <f>$D36-vlookup(Summary!$C36,Summary!$C$2:$Q$103,3+counta($F$1:O$1),false)</f>
        <v>0.05</v>
      </c>
      <c r="P36" s="99">
        <f>$D36-vlookup(Summary!$C36,Summary!$C$2:$Q$103,3+counta($F$1:P$1),false)</f>
        <v>0</v>
      </c>
      <c r="Q36" s="99">
        <f>$D36-vlookup(Summary!$C36,Summary!$C$2:$Q$103,3+counta($F$1:Q$1),false)</f>
        <v>0.5</v>
      </c>
    </row>
    <row r="37" ht="15.75" customHeight="1">
      <c r="A37" s="15">
        <f>Main!A37</f>
        <v>36</v>
      </c>
      <c r="B37" s="15" t="str">
        <f>Main!B37</f>
        <v>2 new variants of Covid will be invented/discovered during 2022</v>
      </c>
      <c r="C37" s="15" t="str">
        <f>Main!C37</f>
        <v>Covid</v>
      </c>
      <c r="D37" s="15">
        <v>0.9</v>
      </c>
      <c r="F37" s="99">
        <f>$D37-vlookup(Summary!$C37,Summary!$C$2:$Q$103,3+counta($F$1:F$1),false)</f>
        <v>0.6</v>
      </c>
      <c r="G37" s="99">
        <f>$D37-vlookup(Summary!$C37,Summary!$C$2:$Q$103,3+counta($F$1:G$1),false)</f>
        <v>0.6</v>
      </c>
      <c r="H37" s="99">
        <f>$D37-vlookup(Summary!$C37,Summary!$C$2:$Q$103,3+counta($F$1:H$1),false)</f>
        <v>0.1</v>
      </c>
      <c r="I37" s="99">
        <f>$D37-vlookup(Summary!$C37,Summary!$C$2:$Q$103,3+counta($F$1:I$1),false)</f>
        <v>0.6</v>
      </c>
      <c r="J37" s="99">
        <f>$D37-vlookup(Summary!$C37,Summary!$C$2:$Q$103,3+counta($F$1:J$1),false)</f>
        <v>0</v>
      </c>
      <c r="K37" s="99">
        <f>$D37-vlookup(Summary!$C37,Summary!$C$2:$Q$103,3+counta($F$1:K$1),false)</f>
        <v>0.05</v>
      </c>
      <c r="L37" s="99">
        <f>$D37-vlookup(Summary!$C37,Summary!$C$2:$Q$103,3+counta($F$1:L$1),false)</f>
        <v>0.899</v>
      </c>
      <c r="M37" s="99">
        <f>$D37-vlookup(Summary!$C37,Summary!$C$2:$Q$103,3+counta($F$1:M$1),false)</f>
        <v>0.1</v>
      </c>
      <c r="N37" s="99">
        <f>$D37-vlookup(Summary!$C37,Summary!$C$2:$Q$103,3+counta($F$1:N$1),false)</f>
        <v>0</v>
      </c>
      <c r="O37" s="99">
        <f>$D37-vlookup(Summary!$C37,Summary!$C$2:$Q$103,3+counta($F$1:O$1),false)</f>
        <v>0.55</v>
      </c>
      <c r="P37" s="99">
        <f>$D37-vlookup(Summary!$C37,Summary!$C$2:$Q$103,3+counta($F$1:P$1),false)</f>
        <v>0</v>
      </c>
      <c r="Q37" s="99">
        <f>$D37-vlookup(Summary!$C37,Summary!$C$2:$Q$103,3+counta($F$1:Q$1),false)</f>
        <v>0.5</v>
      </c>
    </row>
    <row r="38" ht="15.75" customHeight="1">
      <c r="A38" s="15">
        <f>Main!A38</f>
        <v>37</v>
      </c>
      <c r="B38" s="15" t="str">
        <f>Main!B38</f>
        <v>Tasmania will have experienced at least 10,000 new cases in 1 day</v>
      </c>
      <c r="C38" s="15" t="str">
        <f>Main!C38</f>
        <v>Covid</v>
      </c>
      <c r="D38" s="15">
        <v>0.5</v>
      </c>
      <c r="F38" s="99">
        <f>$D38-vlookup(Summary!$C38,Summary!$C$2:$Q$103,3+counta($F$1:F$1),false)</f>
        <v>0.35</v>
      </c>
      <c r="G38" s="99">
        <f>$D38-vlookup(Summary!$C38,Summary!$C$2:$Q$103,3+counta($F$1:G$1),false)</f>
        <v>0.4</v>
      </c>
      <c r="H38" s="99">
        <f>$D38-vlookup(Summary!$C38,Summary!$C$2:$Q$103,3+counta($F$1:H$1),false)</f>
        <v>0.45</v>
      </c>
      <c r="I38" s="99">
        <f>$D38-vlookup(Summary!$C38,Summary!$C$2:$Q$103,3+counta($F$1:I$1),false)</f>
        <v>0.4</v>
      </c>
      <c r="J38" s="99">
        <f>$D38-vlookup(Summary!$C38,Summary!$C$2:$Q$103,3+counta($F$1:J$1),false)</f>
        <v>0.2</v>
      </c>
      <c r="K38" s="99">
        <f>$D38-vlookup(Summary!$C38,Summary!$C$2:$Q$103,3+counta($F$1:K$1),false)</f>
        <v>0.05</v>
      </c>
      <c r="L38" s="99">
        <f>$D38-vlookup(Summary!$C38,Summary!$C$2:$Q$103,3+counta($F$1:L$1),false)</f>
        <v>0.499</v>
      </c>
      <c r="M38" s="99">
        <f>$D38-vlookup(Summary!$C38,Summary!$C$2:$Q$103,3+counta($F$1:M$1),false)</f>
        <v>0.48</v>
      </c>
      <c r="N38" s="99">
        <f>$D38-vlookup(Summary!$C38,Summary!$C$2:$Q$103,3+counta($F$1:N$1),false)</f>
        <v>0.4</v>
      </c>
      <c r="O38" s="99">
        <f>$D38-vlookup(Summary!$C38,Summary!$C$2:$Q$103,3+counta($F$1:O$1),false)</f>
        <v>0.499</v>
      </c>
      <c r="P38" s="99">
        <f>$D38-vlookup(Summary!$C38,Summary!$C$2:$Q$103,3+counta($F$1:P$1),false)</f>
        <v>0</v>
      </c>
      <c r="Q38" s="99">
        <f>$D38-vlookup(Summary!$C38,Summary!$C$2:$Q$103,3+counta($F$1:Q$1),false)</f>
        <v>-0.05</v>
      </c>
    </row>
    <row r="39" ht="15.75" customHeight="1">
      <c r="A39" s="15">
        <f>Main!A39</f>
        <v>38</v>
      </c>
      <c r="B39" s="15" t="str">
        <f>Main!B39</f>
        <v>WHO switches to another alphabet than the Greek alphabet for Covid variants</v>
      </c>
      <c r="C39" s="15" t="str">
        <f>Main!C39</f>
        <v>Covid</v>
      </c>
      <c r="D39" s="15">
        <v>0.1</v>
      </c>
      <c r="F39" s="99">
        <f>$D39-vlookup(Summary!$C39,Summary!$C$2:$Q$103,3+counta($F$1:F$1),false)</f>
        <v>-0.35</v>
      </c>
      <c r="G39" s="99">
        <f>$D39-vlookup(Summary!$C39,Summary!$C$2:$Q$103,3+counta($F$1:G$1),false)</f>
        <v>-0.7</v>
      </c>
      <c r="H39" s="99">
        <f>$D39-vlookup(Summary!$C39,Summary!$C$2:$Q$103,3+counta($F$1:H$1),false)</f>
        <v>-0.1</v>
      </c>
      <c r="I39" s="99">
        <f>$D39-vlookup(Summary!$C39,Summary!$C$2:$Q$103,3+counta($F$1:I$1),false)</f>
        <v>0</v>
      </c>
      <c r="J39" s="99">
        <f>$D39-vlookup(Summary!$C39,Summary!$C$2:$Q$103,3+counta($F$1:J$1),false)</f>
        <v>-0.4</v>
      </c>
      <c r="K39" s="99">
        <f>$D39-vlookup(Summary!$C39,Summary!$C$2:$Q$103,3+counta($F$1:K$1),false)</f>
        <v>-0.8</v>
      </c>
      <c r="L39" s="99">
        <f>$D39-vlookup(Summary!$C39,Summary!$C$2:$Q$103,3+counta($F$1:L$1),false)</f>
        <v>-0.4</v>
      </c>
      <c r="M39" s="99">
        <f>$D39-vlookup(Summary!$C39,Summary!$C$2:$Q$103,3+counta($F$1:M$1),false)</f>
        <v>-0.1</v>
      </c>
      <c r="N39" s="99">
        <f>$D39-vlookup(Summary!$C39,Summary!$C$2:$Q$103,3+counta($F$1:N$1),false)</f>
        <v>-0.8</v>
      </c>
      <c r="O39" s="99">
        <f>$D39-vlookup(Summary!$C39,Summary!$C$2:$Q$103,3+counta($F$1:O$1),false)</f>
        <v>-0.05</v>
      </c>
      <c r="P39" s="99">
        <f>$D39-vlookup(Summary!$C39,Summary!$C$2:$Q$103,3+counta($F$1:P$1),false)</f>
        <v>0</v>
      </c>
      <c r="Q39" s="99">
        <f>$D39-vlookup(Summary!$C39,Summary!$C$2:$Q$103,3+counta($F$1:Q$1),false)</f>
        <v>-0.25</v>
      </c>
    </row>
    <row r="40" ht="15.75" customHeight="1">
      <c r="A40" s="15">
        <f>Main!A40</f>
        <v>39</v>
      </c>
      <c r="B40" s="15" t="str">
        <f>Main!B40</f>
        <v>Lachy and Jac's extension will be completed</v>
      </c>
      <c r="C40" s="15" t="str">
        <f>Main!C40</f>
        <v>Family</v>
      </c>
      <c r="D40" s="15">
        <v>0.5</v>
      </c>
      <c r="F40" s="99">
        <f>$D40-vlookup(Summary!$C40,Summary!$C$2:$Q$103,3+counta($F$1:F$1),false)</f>
        <v>-0.2</v>
      </c>
      <c r="G40" s="99">
        <f>$D40-vlookup(Summary!$C40,Summary!$C$2:$Q$103,3+counta($F$1:G$1),false)</f>
        <v>-0.3</v>
      </c>
      <c r="H40" s="99">
        <f>$D40-vlookup(Summary!$C40,Summary!$C$2:$Q$103,3+counta($F$1:H$1),false)</f>
        <v>0.4</v>
      </c>
      <c r="I40" s="99">
        <f>$D40-vlookup(Summary!$C40,Summary!$C$2:$Q$103,3+counta($F$1:I$1),false)</f>
        <v>0</v>
      </c>
      <c r="J40" s="99">
        <f>$D40-vlookup(Summary!$C40,Summary!$C$2:$Q$103,3+counta($F$1:J$1),false)</f>
        <v>-0.3</v>
      </c>
      <c r="K40" s="99">
        <f>$D40-vlookup(Summary!$C40,Summary!$C$2:$Q$103,3+counta($F$1:K$1),false)</f>
        <v>0.1</v>
      </c>
      <c r="L40" s="99">
        <f>$D40-vlookup(Summary!$C40,Summary!$C$2:$Q$103,3+counta($F$1:L$1),false)</f>
        <v>0</v>
      </c>
      <c r="M40" s="99">
        <f>$D40-vlookup(Summary!$C40,Summary!$C$2:$Q$103,3+counta($F$1:M$1),false)</f>
        <v>0.5</v>
      </c>
      <c r="N40" s="99">
        <f>$D40-vlookup(Summary!$C40,Summary!$C$2:$Q$103,3+counta($F$1:N$1),false)</f>
        <v>-0.4</v>
      </c>
      <c r="O40" s="99">
        <f>$D40-vlookup(Summary!$C40,Summary!$C$2:$Q$103,3+counta($F$1:O$1),false)</f>
        <v>-0.35</v>
      </c>
      <c r="P40" s="99">
        <f>$D40-vlookup(Summary!$C40,Summary!$C$2:$Q$103,3+counta($F$1:P$1),false)</f>
        <v>0</v>
      </c>
      <c r="Q40" s="99">
        <f>$D40-vlookup(Summary!$C40,Summary!$C$2:$Q$103,3+counta($F$1:Q$1),false)</f>
        <v>0.35</v>
      </c>
    </row>
    <row r="41" ht="15.75" customHeight="1">
      <c r="A41" s="15">
        <f>Main!A41</f>
        <v>40</v>
      </c>
      <c r="B41" s="15" t="str">
        <f>Main!B41</f>
        <v>Rohan will work for two different employers (not his own family members)</v>
      </c>
      <c r="C41" s="15" t="str">
        <f>Main!C41</f>
        <v>Family</v>
      </c>
      <c r="D41" s="15">
        <v>0.5</v>
      </c>
      <c r="F41" s="99">
        <f>$D41-vlookup(Summary!$C41,Summary!$C$2:$Q$103,3+counta($F$1:F$1),false)</f>
        <v>0.1</v>
      </c>
      <c r="G41" s="99">
        <f>$D41-vlookup(Summary!$C41,Summary!$C$2:$Q$103,3+counta($F$1:G$1),false)</f>
        <v>-0.1</v>
      </c>
      <c r="H41" s="99">
        <f>$D41-vlookup(Summary!$C41,Summary!$C$2:$Q$103,3+counta($F$1:H$1),false)</f>
        <v>0.4</v>
      </c>
      <c r="I41" s="99">
        <f>$D41-vlookup(Summary!$C41,Summary!$C$2:$Q$103,3+counta($F$1:I$1),false)</f>
        <v>0.2</v>
      </c>
      <c r="J41" s="99">
        <f>$D41-vlookup(Summary!$C41,Summary!$C$2:$Q$103,3+counta($F$1:J$1),false)</f>
        <v>0</v>
      </c>
      <c r="K41" s="99">
        <f>$D41-vlookup(Summary!$C41,Summary!$C$2:$Q$103,3+counta($F$1:K$1),false)</f>
        <v>0.2</v>
      </c>
      <c r="L41" s="99">
        <f>$D41-vlookup(Summary!$C41,Summary!$C$2:$Q$103,3+counta($F$1:L$1),false)</f>
        <v>0.2</v>
      </c>
      <c r="M41" s="99">
        <f>$D41-vlookup(Summary!$C41,Summary!$C$2:$Q$103,3+counta($F$1:M$1),false)</f>
        <v>0.4</v>
      </c>
      <c r="N41" s="99">
        <f>$D41-vlookup(Summary!$C41,Summary!$C$2:$Q$103,3+counta($F$1:N$1),false)</f>
        <v>-0.1</v>
      </c>
      <c r="O41" s="99">
        <f>$D41-vlookup(Summary!$C41,Summary!$C$2:$Q$103,3+counta($F$1:O$1),false)</f>
        <v>0.35</v>
      </c>
      <c r="P41" s="99">
        <f>$D41-vlookup(Summary!$C41,Summary!$C$2:$Q$103,3+counta($F$1:P$1),false)</f>
        <v>0</v>
      </c>
      <c r="Q41" s="99">
        <f>$D41-vlookup(Summary!$C41,Summary!$C$2:$Q$103,3+counta($F$1:Q$1),false)</f>
        <v>0.2</v>
      </c>
    </row>
    <row r="42" ht="15.75" customHeight="1">
      <c r="A42" s="15">
        <f>Main!A42</f>
        <v>41</v>
      </c>
      <c r="B42" s="15" t="str">
        <f>Main!B42</f>
        <v>Kate will swim the Broulee Bay to Breakers in March 2022 and improve her position from 9th in the 40s women’s age group</v>
      </c>
      <c r="C42" s="15" t="str">
        <f>Main!C42</f>
        <v>Family</v>
      </c>
      <c r="D42" s="15">
        <v>0.9</v>
      </c>
      <c r="F42" s="99">
        <f>$D42-vlookup(Summary!$C42,Summary!$C$2:$Q$103,3+counta($F$1:F$1),false)</f>
        <v>0.3</v>
      </c>
      <c r="G42" s="99">
        <f>$D42-vlookup(Summary!$C42,Summary!$C$2:$Q$103,3+counta($F$1:G$1),false)</f>
        <v>0.1</v>
      </c>
      <c r="H42" s="99">
        <f>$D42-vlookup(Summary!$C42,Summary!$C$2:$Q$103,3+counta($F$1:H$1),false)</f>
        <v>0</v>
      </c>
      <c r="I42" s="99">
        <f>$D42-vlookup(Summary!$C42,Summary!$C$2:$Q$103,3+counta($F$1:I$1),false)</f>
        <v>0.4</v>
      </c>
      <c r="J42" s="99">
        <f>$D42-vlookup(Summary!$C42,Summary!$C$2:$Q$103,3+counta($F$1:J$1),false)</f>
        <v>0</v>
      </c>
      <c r="K42" s="99">
        <f>$D42-vlookup(Summary!$C42,Summary!$C$2:$Q$103,3+counta($F$1:K$1),false)</f>
        <v>0.2</v>
      </c>
      <c r="L42" s="99">
        <f>$D42-vlookup(Summary!$C42,Summary!$C$2:$Q$103,3+counta($F$1:L$1),false)</f>
        <v>0.3</v>
      </c>
      <c r="M42" s="99">
        <f>$D42-vlookup(Summary!$C42,Summary!$C$2:$Q$103,3+counta($F$1:M$1),false)</f>
        <v>0</v>
      </c>
      <c r="N42" s="99">
        <f>$D42-vlookup(Summary!$C42,Summary!$C$2:$Q$103,3+counta($F$1:N$1),false)</f>
        <v>0.7</v>
      </c>
      <c r="O42" s="99">
        <f>$D42-vlookup(Summary!$C42,Summary!$C$2:$Q$103,3+counta($F$1:O$1),false)</f>
        <v>0.05</v>
      </c>
      <c r="P42" s="99">
        <f>$D42-vlookup(Summary!$C42,Summary!$C$2:$Q$103,3+counta($F$1:P$1),false)</f>
        <v>0</v>
      </c>
      <c r="Q42" s="99">
        <f>$D42-vlookup(Summary!$C42,Summary!$C$2:$Q$103,3+counta($F$1:Q$1),false)</f>
        <v>0.4</v>
      </c>
    </row>
    <row r="43" ht="15.75" customHeight="1">
      <c r="A43" s="15">
        <f>Main!A43</f>
        <v>42</v>
      </c>
      <c r="B43" s="15" t="str">
        <f>Main!B43</f>
        <v>Rohan will be at least 6ft tall</v>
      </c>
      <c r="C43" s="15" t="str">
        <f>Main!C43</f>
        <v>Family</v>
      </c>
      <c r="D43" s="15">
        <v>0.9</v>
      </c>
      <c r="F43" s="99">
        <f>$D43-vlookup(Summary!$C43,Summary!$C$2:$Q$103,3+counta($F$1:F$1),false)</f>
        <v>0.4</v>
      </c>
      <c r="G43" s="99">
        <f>$D43-vlookup(Summary!$C43,Summary!$C$2:$Q$103,3+counta($F$1:G$1),false)</f>
        <v>0</v>
      </c>
      <c r="H43" s="99">
        <f>$D43-vlookup(Summary!$C43,Summary!$C$2:$Q$103,3+counta($F$1:H$1),false)</f>
        <v>0</v>
      </c>
      <c r="I43" s="99">
        <f>$D43-vlookup(Summary!$C43,Summary!$C$2:$Q$103,3+counta($F$1:I$1),false)</f>
        <v>0.5</v>
      </c>
      <c r="J43" s="99">
        <f>$D43-vlookup(Summary!$C43,Summary!$C$2:$Q$103,3+counta($F$1:J$1),false)</f>
        <v>0</v>
      </c>
      <c r="K43" s="99">
        <f>$D43-vlookup(Summary!$C43,Summary!$C$2:$Q$103,3+counta($F$1:K$1),false)</f>
        <v>0.899</v>
      </c>
      <c r="L43" s="99">
        <f>$D43-vlookup(Summary!$C43,Summary!$C$2:$Q$103,3+counta($F$1:L$1),false)</f>
        <v>-0.09999</v>
      </c>
      <c r="M43" s="99">
        <f>$D43-vlookup(Summary!$C43,Summary!$C$2:$Q$103,3+counta($F$1:M$1),false)</f>
        <v>0</v>
      </c>
      <c r="N43" s="99">
        <f>$D43-vlookup(Summary!$C43,Summary!$C$2:$Q$103,3+counta($F$1:N$1),false)</f>
        <v>0</v>
      </c>
      <c r="O43" s="99">
        <f>$D43-vlookup(Summary!$C43,Summary!$C$2:$Q$103,3+counta($F$1:O$1),false)</f>
        <v>-0.099</v>
      </c>
      <c r="P43" s="99">
        <f>$D43-vlookup(Summary!$C43,Summary!$C$2:$Q$103,3+counta($F$1:P$1),false)</f>
        <v>0</v>
      </c>
      <c r="Q43" s="99">
        <f>$D43-vlookup(Summary!$C43,Summary!$C$2:$Q$103,3+counta($F$1:Q$1),false)</f>
        <v>-0.09</v>
      </c>
    </row>
    <row r="44" ht="15.75" customHeight="1">
      <c r="A44" s="15">
        <f>Main!A44</f>
        <v>43</v>
      </c>
      <c r="B44" s="15" t="str">
        <f>Main!B44</f>
        <v>A participant in the prediction game will get a dog or another dog </v>
      </c>
      <c r="C44" s="15" t="str">
        <f>Main!C44</f>
        <v>Family</v>
      </c>
      <c r="D44" s="15">
        <v>0.5</v>
      </c>
      <c r="F44" s="99">
        <f>$D44-vlookup(Summary!$C44,Summary!$C$2:$Q$103,3+counta($F$1:F$1),false)</f>
        <v>0</v>
      </c>
      <c r="G44" s="99">
        <f>$D44-vlookup(Summary!$C44,Summary!$C$2:$Q$103,3+counta($F$1:G$1),false)</f>
        <v>-0.45</v>
      </c>
      <c r="H44" s="99">
        <f>$D44-vlookup(Summary!$C44,Summary!$C$2:$Q$103,3+counta($F$1:H$1),false)</f>
        <v>0.4</v>
      </c>
      <c r="I44" s="99">
        <f>$D44-vlookup(Summary!$C44,Summary!$C$2:$Q$103,3+counta($F$1:I$1),false)</f>
        <v>0.4</v>
      </c>
      <c r="J44" s="99">
        <f>$D44-vlookup(Summary!$C44,Summary!$C$2:$Q$103,3+counta($F$1:J$1),false)</f>
        <v>-0.4</v>
      </c>
      <c r="K44" s="99">
        <f>$D44-vlookup(Summary!$C44,Summary!$C$2:$Q$103,3+counta($F$1:K$1),false)</f>
        <v>-0.25</v>
      </c>
      <c r="L44" s="99">
        <f>$D44-vlookup(Summary!$C44,Summary!$C$2:$Q$103,3+counta($F$1:L$1),false)</f>
        <v>0.3</v>
      </c>
      <c r="M44" s="99">
        <f>$D44-vlookup(Summary!$C44,Summary!$C$2:$Q$103,3+counta($F$1:M$1),false)</f>
        <v>0.4</v>
      </c>
      <c r="N44" s="99">
        <f>$D44-vlookup(Summary!$C44,Summary!$C$2:$Q$103,3+counta($F$1:N$1),false)</f>
        <v>0.4</v>
      </c>
      <c r="O44" s="99">
        <f>$D44-vlookup(Summary!$C44,Summary!$C$2:$Q$103,3+counta($F$1:O$1),false)</f>
        <v>0.499</v>
      </c>
      <c r="P44" s="99">
        <f>$D44-vlookup(Summary!$C44,Summary!$C$2:$Q$103,3+counta($F$1:P$1),false)</f>
        <v>0</v>
      </c>
      <c r="Q44" s="99">
        <f>$D44-vlookup(Summary!$C44,Summary!$C$2:$Q$103,3+counta($F$1:Q$1),false)</f>
        <v>0.25</v>
      </c>
    </row>
    <row r="45" ht="15.75" customHeight="1">
      <c r="A45" s="15">
        <f>Main!A45</f>
        <v>44</v>
      </c>
      <c r="B45" s="15" t="str">
        <f>Main!B45</f>
        <v>There will be a flow of water into the Lake Eyre basin in 2022</v>
      </c>
      <c r="C45" s="15" t="str">
        <f>Main!C45</f>
        <v>Natural world</v>
      </c>
      <c r="D45" s="15">
        <v>0.9</v>
      </c>
      <c r="F45" s="99">
        <f>$D45-vlookup(Summary!$C45,Summary!$C$2:$Q$103,3+counta($F$1:F$1),false)</f>
        <v>0.15</v>
      </c>
      <c r="G45" s="99">
        <f>$D45-vlookup(Summary!$C45,Summary!$C$2:$Q$103,3+counta($F$1:G$1),false)</f>
        <v>0.1</v>
      </c>
      <c r="H45" s="99">
        <f>$D45-vlookup(Summary!$C45,Summary!$C$2:$Q$103,3+counta($F$1:H$1),false)</f>
        <v>0.4</v>
      </c>
      <c r="I45" s="99">
        <f>$D45-vlookup(Summary!$C45,Summary!$C$2:$Q$103,3+counta($F$1:I$1),false)</f>
        <v>0.4</v>
      </c>
      <c r="J45" s="99">
        <f>$D45-vlookup(Summary!$C45,Summary!$C$2:$Q$103,3+counta($F$1:J$1),false)</f>
        <v>0.6</v>
      </c>
      <c r="K45" s="99">
        <f>$D45-vlookup(Summary!$C45,Summary!$C$2:$Q$103,3+counta($F$1:K$1),false)</f>
        <v>0.2</v>
      </c>
      <c r="L45" s="99">
        <f>$D45-vlookup(Summary!$C45,Summary!$C$2:$Q$103,3+counta($F$1:L$1),false)</f>
        <v>0.1</v>
      </c>
      <c r="M45" s="99">
        <f>$D45-vlookup(Summary!$C45,Summary!$C$2:$Q$103,3+counta($F$1:M$1),false)</f>
        <v>0.4</v>
      </c>
      <c r="N45" s="99">
        <f>$D45-vlookup(Summary!$C45,Summary!$C$2:$Q$103,3+counta($F$1:N$1),false)</f>
        <v>0.3</v>
      </c>
      <c r="O45" s="99">
        <f>$D45-vlookup(Summary!$C45,Summary!$C$2:$Q$103,3+counta($F$1:O$1),false)</f>
        <v>0.25</v>
      </c>
      <c r="P45" s="99">
        <f>$D45-vlookup(Summary!$C45,Summary!$C$2:$Q$103,3+counta($F$1:P$1),false)</f>
        <v>0</v>
      </c>
      <c r="Q45" s="99">
        <f>$D45-vlookup(Summary!$C45,Summary!$C$2:$Q$103,3+counta($F$1:Q$1),false)</f>
        <v>0.4</v>
      </c>
    </row>
    <row r="46" ht="15.75" customHeight="1">
      <c r="A46" s="15">
        <f>Main!A46</f>
        <v>45</v>
      </c>
      <c r="B46" s="15" t="str">
        <f>Main!B46</f>
        <v>Water from the Paroo will spill into the Darling in 2022</v>
      </c>
      <c r="C46" s="15" t="str">
        <f>Main!C46</f>
        <v>Natural world</v>
      </c>
      <c r="D46" s="15">
        <v>0.1</v>
      </c>
      <c r="F46" s="99">
        <f>$D46-vlookup(Summary!$C46,Summary!$C$2:$Q$103,3+counta($F$1:F$1),false)</f>
        <v>-0.4</v>
      </c>
      <c r="G46" s="99">
        <f>$D46-vlookup(Summary!$C46,Summary!$C$2:$Q$103,3+counta($F$1:G$1),false)</f>
        <v>-0.6</v>
      </c>
      <c r="H46" s="99">
        <f>$D46-vlookup(Summary!$C46,Summary!$C$2:$Q$103,3+counta($F$1:H$1),false)</f>
        <v>-0.4</v>
      </c>
      <c r="I46" s="99">
        <f>$D46-vlookup(Summary!$C46,Summary!$C$2:$Q$103,3+counta($F$1:I$1),false)</f>
        <v>-0.4</v>
      </c>
      <c r="J46" s="99">
        <f>$D46-vlookup(Summary!$C46,Summary!$C$2:$Q$103,3+counta($F$1:J$1),false)</f>
        <v>-0.5</v>
      </c>
      <c r="K46" s="99">
        <f>$D46-vlookup(Summary!$C46,Summary!$C$2:$Q$103,3+counta($F$1:K$1),false)</f>
        <v>-0.5</v>
      </c>
      <c r="L46" s="99">
        <f>$D46-vlookup(Summary!$C46,Summary!$C$2:$Q$103,3+counta($F$1:L$1),false)</f>
        <v>-0.7</v>
      </c>
      <c r="M46" s="99">
        <f>$D46-vlookup(Summary!$C46,Summary!$C$2:$Q$103,3+counta($F$1:M$1),false)</f>
        <v>-0.4</v>
      </c>
      <c r="N46" s="99">
        <f>$D46-vlookup(Summary!$C46,Summary!$C$2:$Q$103,3+counta($F$1:N$1),false)</f>
        <v>-0.5</v>
      </c>
      <c r="O46" s="99">
        <f>$D46-vlookup(Summary!$C46,Summary!$C$2:$Q$103,3+counta($F$1:O$1),false)</f>
        <v>-0.4</v>
      </c>
      <c r="P46" s="99">
        <f>$D46-vlookup(Summary!$C46,Summary!$C$2:$Q$103,3+counta($F$1:P$1),false)</f>
        <v>0</v>
      </c>
      <c r="Q46" s="99">
        <f>$D46-vlookup(Summary!$C46,Summary!$C$2:$Q$103,3+counta($F$1:Q$1),false)</f>
        <v>-0.4</v>
      </c>
    </row>
    <row r="47" ht="15.75" customHeight="1">
      <c r="A47" s="15">
        <f>Main!A47</f>
        <v>46</v>
      </c>
      <c r="B47" s="15" t="str">
        <f>Main!B47</f>
        <v>In the Antarctic the Thwaites Glacier ice-shelf will collapse in 2022</v>
      </c>
      <c r="C47" s="15" t="str">
        <f>Main!C47</f>
        <v>Natural world</v>
      </c>
      <c r="D47" s="15">
        <v>0.5</v>
      </c>
      <c r="F47" s="99">
        <f>$D47-vlookup(Summary!$C47,Summary!$C$2:$Q$103,3+counta($F$1:F$1),false)</f>
        <v>0</v>
      </c>
      <c r="G47" s="99">
        <f>$D47-vlookup(Summary!$C47,Summary!$C$2:$Q$103,3+counta($F$1:G$1),false)</f>
        <v>0.25</v>
      </c>
      <c r="H47" s="99">
        <f>$D47-vlookup(Summary!$C47,Summary!$C$2:$Q$103,3+counta($F$1:H$1),false)</f>
        <v>-0.2</v>
      </c>
      <c r="I47" s="99">
        <f>$D47-vlookup(Summary!$C47,Summary!$C$2:$Q$103,3+counta($F$1:I$1),false)</f>
        <v>0</v>
      </c>
      <c r="J47" s="99">
        <f>$D47-vlookup(Summary!$C47,Summary!$C$2:$Q$103,3+counta($F$1:J$1),false)</f>
        <v>-0.2</v>
      </c>
      <c r="K47" s="99">
        <f>$D47-vlookup(Summary!$C47,Summary!$C$2:$Q$103,3+counta($F$1:K$1),false)</f>
        <v>-0.2</v>
      </c>
      <c r="L47" s="99">
        <f>$D47-vlookup(Summary!$C47,Summary!$C$2:$Q$103,3+counta($F$1:L$1),false)</f>
        <v>0.4</v>
      </c>
      <c r="M47" s="99">
        <f>$D47-vlookup(Summary!$C47,Summary!$C$2:$Q$103,3+counta($F$1:M$1),false)</f>
        <v>-0.2</v>
      </c>
      <c r="N47" s="99">
        <f>$D47-vlookup(Summary!$C47,Summary!$C$2:$Q$103,3+counta($F$1:N$1),false)</f>
        <v>0.3</v>
      </c>
      <c r="O47" s="99">
        <f>$D47-vlookup(Summary!$C47,Summary!$C$2:$Q$103,3+counta($F$1:O$1),false)</f>
        <v>0.15</v>
      </c>
      <c r="P47" s="99">
        <f>$D47-vlookup(Summary!$C47,Summary!$C$2:$Q$103,3+counta($F$1:P$1),false)</f>
        <v>0</v>
      </c>
      <c r="Q47" s="99">
        <f>$D47-vlookup(Summary!$C47,Summary!$C$2:$Q$103,3+counta($F$1:Q$1),false)</f>
        <v>0</v>
      </c>
    </row>
    <row r="48" ht="15.75" customHeight="1">
      <c r="A48" s="15">
        <f>Main!A48</f>
        <v>47</v>
      </c>
      <c r="B48" s="15" t="str">
        <f>Main!B48</f>
        <v>At least three quarters of the Great Barrier Reef will be bleached as a result of warming seas.</v>
      </c>
      <c r="C48" s="15" t="str">
        <f>Main!C48</f>
        <v>Natural world</v>
      </c>
      <c r="D48" s="15">
        <v>0.5</v>
      </c>
      <c r="F48" s="99">
        <f>$D48-vlookup(Summary!$C48,Summary!$C$2:$Q$103,3+counta($F$1:F$1),false)</f>
        <v>0</v>
      </c>
      <c r="G48" s="99">
        <f>$D48-vlookup(Summary!$C48,Summary!$C$2:$Q$103,3+counta($F$1:G$1),false)</f>
        <v>-0.3</v>
      </c>
      <c r="H48" s="99">
        <f>$D48-vlookup(Summary!$C48,Summary!$C$2:$Q$103,3+counta($F$1:H$1),false)</f>
        <v>-0.2</v>
      </c>
      <c r="I48" s="99">
        <f>$D48-vlookup(Summary!$C48,Summary!$C$2:$Q$103,3+counta($F$1:I$1),false)</f>
        <v>0</v>
      </c>
      <c r="J48" s="99">
        <f>$D48-vlookup(Summary!$C48,Summary!$C$2:$Q$103,3+counta($F$1:J$1),false)</f>
        <v>-0.3</v>
      </c>
      <c r="K48" s="99">
        <f>$D48-vlookup(Summary!$C48,Summary!$C$2:$Q$103,3+counta($F$1:K$1),false)</f>
        <v>-0.35</v>
      </c>
      <c r="L48" s="99">
        <f>$D48-vlookup(Summary!$C48,Summary!$C$2:$Q$103,3+counta($F$1:L$1),false)</f>
        <v>0</v>
      </c>
      <c r="M48" s="99">
        <f>$D48-vlookup(Summary!$C48,Summary!$C$2:$Q$103,3+counta($F$1:M$1),false)</f>
        <v>-0.2</v>
      </c>
      <c r="N48" s="99">
        <f>$D48-vlookup(Summary!$C48,Summary!$C$2:$Q$103,3+counta($F$1:N$1),false)</f>
        <v>-0.2</v>
      </c>
      <c r="O48" s="99">
        <f>$D48-vlookup(Summary!$C48,Summary!$C$2:$Q$103,3+counta($F$1:O$1),false)</f>
        <v>0.15</v>
      </c>
      <c r="P48" s="99">
        <f>$D48-vlookup(Summary!$C48,Summary!$C$2:$Q$103,3+counta($F$1:P$1),false)</f>
        <v>0</v>
      </c>
      <c r="Q48" s="99">
        <f>$D48-vlookup(Summary!$C48,Summary!$C$2:$Q$103,3+counta($F$1:Q$1),false)</f>
        <v>0.1</v>
      </c>
    </row>
    <row r="49" ht="15.75" customHeight="1">
      <c r="A49" s="15">
        <f>Main!A49</f>
        <v>48</v>
      </c>
      <c r="B49" s="15" t="str">
        <f>Main!B49</f>
        <v>Sabine Hoffstader will release a Youtube video explaining that the nature of dark matter has been confirmed experimentally</v>
      </c>
      <c r="C49" s="15" t="str">
        <f>Main!C49</f>
        <v>Natural world</v>
      </c>
      <c r="D49" s="15">
        <v>0.5</v>
      </c>
      <c r="F49" s="99">
        <f>$D49-vlookup(Summary!$C49,Summary!$C$2:$Q$103,3+counta($F$1:F$1),false)</f>
        <v>0</v>
      </c>
      <c r="G49" s="99">
        <f>$D49-vlookup(Summary!$C49,Summary!$C$2:$Q$103,3+counta($F$1:G$1),false)</f>
        <v>0.25</v>
      </c>
      <c r="H49" s="99">
        <f>$D49-vlookup(Summary!$C49,Summary!$C$2:$Q$103,3+counta($F$1:H$1),false)</f>
        <v>0.4</v>
      </c>
      <c r="I49" s="99">
        <f>$D49-vlookup(Summary!$C49,Summary!$C$2:$Q$103,3+counta($F$1:I$1),false)</f>
        <v>0</v>
      </c>
      <c r="J49" s="99">
        <f>$D49-vlookup(Summary!$C49,Summary!$C$2:$Q$103,3+counta($F$1:J$1),false)</f>
        <v>0</v>
      </c>
      <c r="K49" s="99">
        <f>$D49-vlookup(Summary!$C49,Summary!$C$2:$Q$103,3+counta($F$1:K$1),false)</f>
        <v>-0.15</v>
      </c>
      <c r="L49" s="99">
        <f>$D49-vlookup(Summary!$C49,Summary!$C$2:$Q$103,3+counta($F$1:L$1),false)</f>
        <v>-0.1</v>
      </c>
      <c r="M49" s="99">
        <f>$D49-vlookup(Summary!$C49,Summary!$C$2:$Q$103,3+counta($F$1:M$1),false)</f>
        <v>0.4</v>
      </c>
      <c r="N49" s="99">
        <f>$D49-vlookup(Summary!$C49,Summary!$C$2:$Q$103,3+counta($F$1:N$1),false)</f>
        <v>0</v>
      </c>
      <c r="O49" s="99">
        <f>$D49-vlookup(Summary!$C49,Summary!$C$2:$Q$103,3+counta($F$1:O$1),false)</f>
        <v>0.499</v>
      </c>
      <c r="P49" s="99">
        <f>$D49-vlookup(Summary!$C49,Summary!$C$2:$Q$103,3+counta($F$1:P$1),false)</f>
        <v>0</v>
      </c>
      <c r="Q49" s="99">
        <f>$D49-vlookup(Summary!$C49,Summary!$C$2:$Q$103,3+counta($F$1:Q$1),false)</f>
        <v>0</v>
      </c>
    </row>
    <row r="50" ht="15.75" customHeight="1">
      <c r="A50" s="15">
        <f>Main!A50</f>
        <v>49</v>
      </c>
      <c r="B50" s="15" t="str">
        <f>Main!B50</f>
        <v>2022 will be the hottest year on record globally (via NASA)</v>
      </c>
      <c r="C50" s="15" t="str">
        <f>Main!C50</f>
        <v>Natural world</v>
      </c>
      <c r="D50" s="15">
        <v>0.6</v>
      </c>
      <c r="F50" s="99">
        <f>$D50-vlookup(Summary!$C50,Summary!$C$2:$Q$103,3+counta($F$1:F$1),false)</f>
        <v>0.3</v>
      </c>
      <c r="G50" s="99">
        <f>$D50-vlookup(Summary!$C50,Summary!$C$2:$Q$103,3+counta($F$1:G$1),false)</f>
        <v>0.15</v>
      </c>
      <c r="H50" s="99">
        <f>$D50-vlookup(Summary!$C50,Summary!$C$2:$Q$103,3+counta($F$1:H$1),false)</f>
        <v>-0.35</v>
      </c>
      <c r="I50" s="99">
        <f>$D50-vlookup(Summary!$C50,Summary!$C$2:$Q$103,3+counta($F$1:I$1),false)</f>
        <v>0.3</v>
      </c>
      <c r="J50" s="99">
        <f>$D50-vlookup(Summary!$C50,Summary!$C$2:$Q$103,3+counta($F$1:J$1),false)</f>
        <v>-0.2</v>
      </c>
      <c r="K50" s="99">
        <f>$D50-vlookup(Summary!$C50,Summary!$C$2:$Q$103,3+counta($F$1:K$1),false)</f>
        <v>-0.22</v>
      </c>
      <c r="L50" s="99">
        <f>$D50-vlookup(Summary!$C50,Summary!$C$2:$Q$103,3+counta($F$1:L$1),false)</f>
        <v>0.4</v>
      </c>
      <c r="M50" s="99">
        <f>$D50-vlookup(Summary!$C50,Summary!$C$2:$Q$103,3+counta($F$1:M$1),false)</f>
        <v>-0.35</v>
      </c>
      <c r="N50" s="99">
        <f>$D50-vlookup(Summary!$C50,Summary!$C$2:$Q$103,3+counta($F$1:N$1),false)</f>
        <v>0.3</v>
      </c>
      <c r="O50" s="99">
        <f>$D50-vlookup(Summary!$C50,Summary!$C$2:$Q$103,3+counta($F$1:O$1),false)</f>
        <v>0.45</v>
      </c>
      <c r="P50" s="99">
        <f>$D50-vlookup(Summary!$C50,Summary!$C$2:$Q$103,3+counta($F$1:P$1),false)</f>
        <v>0</v>
      </c>
      <c r="Q50" s="99">
        <f>$D50-vlookup(Summary!$C50,Summary!$C$2:$Q$103,3+counta($F$1:Q$1),false)</f>
        <v>0.2</v>
      </c>
    </row>
    <row r="51" ht="15.75" customHeight="1">
      <c r="A51" s="15">
        <f>Main!A51</f>
        <v>50</v>
      </c>
      <c r="B51" s="15" t="str">
        <f>Main!B51</f>
        <v>A cultivated chilli will replace the Carolina Reaper as the world’s hottest, as measured in scoville units (GWR seems to be the source of this currently)</v>
      </c>
      <c r="C51" s="15" t="str">
        <f>Main!C51</f>
        <v>Natural world</v>
      </c>
      <c r="D51" s="15">
        <v>0.5</v>
      </c>
      <c r="F51" s="99">
        <f>$D51-vlookup(Summary!$C51,Summary!$C$2:$Q$103,3+counta($F$1:F$1),false)</f>
        <v>-0.1</v>
      </c>
      <c r="G51" s="99">
        <f>$D51-vlookup(Summary!$C51,Summary!$C$2:$Q$103,3+counta($F$1:G$1),false)</f>
        <v>-0.01</v>
      </c>
      <c r="H51" s="99">
        <f>$D51-vlookup(Summary!$C51,Summary!$C$2:$Q$103,3+counta($F$1:H$1),false)</f>
        <v>-0.2</v>
      </c>
      <c r="I51" s="99">
        <f>$D51-vlookup(Summary!$C51,Summary!$C$2:$Q$103,3+counta($F$1:I$1),false)</f>
        <v>-0.3</v>
      </c>
      <c r="J51" s="99">
        <f>$D51-vlookup(Summary!$C51,Summary!$C$2:$Q$103,3+counta($F$1:J$1),false)</f>
        <v>0.3</v>
      </c>
      <c r="K51" s="99">
        <f>$D51-vlookup(Summary!$C51,Summary!$C$2:$Q$103,3+counta($F$1:K$1),false)</f>
        <v>-0.25</v>
      </c>
      <c r="L51" s="99">
        <f>$D51-vlookup(Summary!$C51,Summary!$C$2:$Q$103,3+counta($F$1:L$1),false)</f>
        <v>0</v>
      </c>
      <c r="M51" s="99">
        <f>$D51-vlookup(Summary!$C51,Summary!$C$2:$Q$103,3+counta($F$1:M$1),false)</f>
        <v>-0.2</v>
      </c>
      <c r="N51" s="99">
        <f>$D51-vlookup(Summary!$C51,Summary!$C$2:$Q$103,3+counta($F$1:N$1),false)</f>
        <v>-0.3</v>
      </c>
      <c r="O51" s="99">
        <f>$D51-vlookup(Summary!$C51,Summary!$C$2:$Q$103,3+counta($F$1:O$1),false)</f>
        <v>-0.15</v>
      </c>
      <c r="P51" s="99">
        <f>$D51-vlookup(Summary!$C51,Summary!$C$2:$Q$103,3+counta($F$1:P$1),false)</f>
        <v>0</v>
      </c>
      <c r="Q51" s="99">
        <f>$D51-vlookup(Summary!$C51,Summary!$C$2:$Q$103,3+counta($F$1:Q$1),false)</f>
        <v>-0.3</v>
      </c>
    </row>
    <row r="52" ht="15.75" customHeight="1">
      <c r="A52" s="15">
        <f>Main!A52</f>
        <v>51</v>
      </c>
      <c r="B52" s="15" t="str">
        <f>Main!B52</f>
        <v>Christchurch will experience an earthquake of at least 4 on the Richter scale</v>
      </c>
      <c r="C52" s="15" t="str">
        <f>Main!C52</f>
        <v>Natural world</v>
      </c>
      <c r="D52" s="15">
        <v>0.1</v>
      </c>
      <c r="F52" s="99">
        <f>$D52-vlookup(Summary!$C52,Summary!$C$2:$Q$103,3+counta($F$1:F$1),false)</f>
        <v>-0.3</v>
      </c>
      <c r="G52" s="99">
        <f>$D52-vlookup(Summary!$C52,Summary!$C$2:$Q$103,3+counta($F$1:G$1),false)</f>
        <v>-0.15</v>
      </c>
      <c r="H52" s="99">
        <f>$D52-vlookup(Summary!$C52,Summary!$C$2:$Q$103,3+counta($F$1:H$1),false)</f>
        <v>-0.6</v>
      </c>
      <c r="I52" s="99">
        <f>$D52-vlookup(Summary!$C52,Summary!$C$2:$Q$103,3+counta($F$1:I$1),false)</f>
        <v>-0.6</v>
      </c>
      <c r="J52" s="99">
        <f>$D52-vlookup(Summary!$C52,Summary!$C$2:$Q$103,3+counta($F$1:J$1),false)</f>
        <v>-0.4</v>
      </c>
      <c r="K52" s="99">
        <f>$D52-vlookup(Summary!$C52,Summary!$C$2:$Q$103,3+counta($F$1:K$1),false)</f>
        <v>-0.55</v>
      </c>
      <c r="L52" s="99">
        <f>$D52-vlookup(Summary!$C52,Summary!$C$2:$Q$103,3+counta($F$1:L$1),false)</f>
        <v>-0.2</v>
      </c>
      <c r="M52" s="99">
        <f>$D52-vlookup(Summary!$C52,Summary!$C$2:$Q$103,3+counta($F$1:M$1),false)</f>
        <v>-0.6</v>
      </c>
      <c r="N52" s="99">
        <f>$D52-vlookup(Summary!$C52,Summary!$C$2:$Q$103,3+counta($F$1:N$1),false)</f>
        <v>-0.3</v>
      </c>
      <c r="O52" s="99">
        <f>$D52-vlookup(Summary!$C52,Summary!$C$2:$Q$103,3+counta($F$1:O$1),false)</f>
        <v>-0.55</v>
      </c>
      <c r="P52" s="99">
        <f>$D52-vlookup(Summary!$C52,Summary!$C$2:$Q$103,3+counta($F$1:P$1),false)</f>
        <v>0</v>
      </c>
      <c r="Q52" s="99">
        <f>$D52-vlookup(Summary!$C52,Summary!$C$2:$Q$103,3+counta($F$1:Q$1),false)</f>
        <v>-0.4</v>
      </c>
    </row>
    <row r="53" ht="15.75" customHeight="1">
      <c r="A53" s="15">
        <f>Main!A53</f>
        <v>52</v>
      </c>
      <c r="B53" s="15" t="str">
        <f>Main!B53</f>
        <v>Pope Francis will condemn the metaverse or warn of its potential damage</v>
      </c>
      <c r="C53" s="15" t="str">
        <f>Main!C53</f>
        <v>Society</v>
      </c>
      <c r="D53" s="15">
        <v>0.5</v>
      </c>
      <c r="F53" s="99">
        <f>$D53-vlookup(Summary!$C53,Summary!$C$2:$Q$103,3+counta($F$1:F$1),false)</f>
        <v>-0.1</v>
      </c>
      <c r="G53" s="99">
        <f>$D53-vlookup(Summary!$C53,Summary!$C$2:$Q$103,3+counta($F$1:G$1),false)</f>
        <v>0.3</v>
      </c>
      <c r="H53" s="99">
        <f>$D53-vlookup(Summary!$C53,Summary!$C$2:$Q$103,3+counta($F$1:H$1),false)</f>
        <v>0.2</v>
      </c>
      <c r="I53" s="99">
        <f>$D53-vlookup(Summary!$C53,Summary!$C$2:$Q$103,3+counta($F$1:I$1),false)</f>
        <v>0</v>
      </c>
      <c r="J53" s="99">
        <f>$D53-vlookup(Summary!$C53,Summary!$C$2:$Q$103,3+counta($F$1:J$1),false)</f>
        <v>-0.4</v>
      </c>
      <c r="K53" s="99">
        <f>$D53-vlookup(Summary!$C53,Summary!$C$2:$Q$103,3+counta($F$1:K$1),false)</f>
        <v>-0.3</v>
      </c>
      <c r="L53" s="99">
        <f>$D53-vlookup(Summary!$C53,Summary!$C$2:$Q$103,3+counta($F$1:L$1),false)</f>
        <v>0</v>
      </c>
      <c r="M53" s="99">
        <f>$D53-vlookup(Summary!$C53,Summary!$C$2:$Q$103,3+counta($F$1:M$1),false)</f>
        <v>0.2</v>
      </c>
      <c r="N53" s="99">
        <f>$D53-vlookup(Summary!$C53,Summary!$C$2:$Q$103,3+counta($F$1:N$1),false)</f>
        <v>0.4</v>
      </c>
      <c r="O53" s="99">
        <f>$D53-vlookup(Summary!$C53,Summary!$C$2:$Q$103,3+counta($F$1:O$1),false)</f>
        <v>0.15</v>
      </c>
      <c r="P53" s="99">
        <f>$D53-vlookup(Summary!$C53,Summary!$C$2:$Q$103,3+counta($F$1:P$1),false)</f>
        <v>0</v>
      </c>
      <c r="Q53" s="99">
        <f>$D53-vlookup(Summary!$C53,Summary!$C$2:$Q$103,3+counta($F$1:Q$1),false)</f>
        <v>0.3</v>
      </c>
    </row>
    <row r="54" ht="15.75" customHeight="1">
      <c r="A54" s="15">
        <f>Main!A54</f>
        <v>53</v>
      </c>
      <c r="B54" s="15" t="str">
        <f>Main!B54</f>
        <v>The 4th most popular baby name for girls in Australia will be Isla according to the NSW Government popular baby names site</v>
      </c>
      <c r="C54" s="15" t="str">
        <f>Main!C54</f>
        <v>Society</v>
      </c>
      <c r="D54" s="15">
        <v>0.1</v>
      </c>
      <c r="F54" s="99">
        <f>$D54-vlookup(Summary!$C54,Summary!$C$2:$Q$103,3+counta($F$1:F$1),false)</f>
        <v>-0.25</v>
      </c>
      <c r="G54" s="99">
        <f>$D54-vlookup(Summary!$C54,Summary!$C$2:$Q$103,3+counta($F$1:G$1),false)</f>
        <v>-0.3</v>
      </c>
      <c r="H54" s="99">
        <f>$D54-vlookup(Summary!$C54,Summary!$C$2:$Q$103,3+counta($F$1:H$1),false)</f>
        <v>-0.4</v>
      </c>
      <c r="I54" s="99">
        <f>$D54-vlookup(Summary!$C54,Summary!$C$2:$Q$103,3+counta($F$1:I$1),false)</f>
        <v>0</v>
      </c>
      <c r="J54" s="99">
        <f>$D54-vlookup(Summary!$C54,Summary!$C$2:$Q$103,3+counta($F$1:J$1),false)</f>
        <v>-0.7</v>
      </c>
      <c r="K54" s="99">
        <f>$D54-vlookup(Summary!$C54,Summary!$C$2:$Q$103,3+counta($F$1:K$1),false)</f>
        <v>-0.8</v>
      </c>
      <c r="L54" s="99">
        <f>$D54-vlookup(Summary!$C54,Summary!$C$2:$Q$103,3+counta($F$1:L$1),false)</f>
        <v>-0.1</v>
      </c>
      <c r="M54" s="99">
        <f>$D54-vlookup(Summary!$C54,Summary!$C$2:$Q$103,3+counta($F$1:M$1),false)</f>
        <v>-0.4</v>
      </c>
      <c r="N54" s="99">
        <f>$D54-vlookup(Summary!$C54,Summary!$C$2:$Q$103,3+counta($F$1:N$1),false)</f>
        <v>-0.8</v>
      </c>
      <c r="O54" s="99">
        <f>$D54-vlookup(Summary!$C54,Summary!$C$2:$Q$103,3+counta($F$1:O$1),false)</f>
        <v>-0.25</v>
      </c>
      <c r="P54" s="99">
        <f>$D54-vlookup(Summary!$C54,Summary!$C$2:$Q$103,3+counta($F$1:P$1),false)</f>
        <v>0</v>
      </c>
      <c r="Q54" s="99">
        <f>$D54-vlookup(Summary!$C54,Summary!$C$2:$Q$103,3+counta($F$1:Q$1),false)</f>
        <v>-0.7</v>
      </c>
    </row>
    <row r="55" ht="15.75" customHeight="1">
      <c r="A55" s="15">
        <f>Main!A55</f>
        <v>54</v>
      </c>
      <c r="B55" s="15" t="str">
        <f>Main!B55</f>
        <v>The 4th most popular baby name for boys in Australia will be Leo according to the NSW Government popular baby names site</v>
      </c>
      <c r="C55" s="15" t="str">
        <f>Main!C55</f>
        <v>Society</v>
      </c>
      <c r="D55" s="15">
        <v>0.1</v>
      </c>
      <c r="F55" s="99">
        <f>$D55-vlookup(Summary!$C55,Summary!$C$2:$Q$103,3+counta($F$1:F$1),false)</f>
        <v>-0.25</v>
      </c>
      <c r="G55" s="99">
        <f>$D55-vlookup(Summary!$C55,Summary!$C$2:$Q$103,3+counta($F$1:G$1),false)</f>
        <v>-0.3</v>
      </c>
      <c r="H55" s="99">
        <f>$D55-vlookup(Summary!$C55,Summary!$C$2:$Q$103,3+counta($F$1:H$1),false)</f>
        <v>-0.4</v>
      </c>
      <c r="I55" s="99">
        <f>$D55-vlookup(Summary!$C55,Summary!$C$2:$Q$103,3+counta($F$1:I$1),false)</f>
        <v>0</v>
      </c>
      <c r="J55" s="99">
        <f>$D55-vlookup(Summary!$C55,Summary!$C$2:$Q$103,3+counta($F$1:J$1),false)</f>
        <v>-0.6</v>
      </c>
      <c r="K55" s="99">
        <f>$D55-vlookup(Summary!$C55,Summary!$C$2:$Q$103,3+counta($F$1:K$1),false)</f>
        <v>-0.8</v>
      </c>
      <c r="L55" s="99">
        <f>$D55-vlookup(Summary!$C55,Summary!$C$2:$Q$103,3+counta($F$1:L$1),false)</f>
        <v>-0.1</v>
      </c>
      <c r="M55" s="99">
        <f>$D55-vlookup(Summary!$C55,Summary!$C$2:$Q$103,3+counta($F$1:M$1),false)</f>
        <v>-0.4</v>
      </c>
      <c r="N55" s="99">
        <f>$D55-vlookup(Summary!$C55,Summary!$C$2:$Q$103,3+counta($F$1:N$1),false)</f>
        <v>-0.1</v>
      </c>
      <c r="O55" s="99">
        <f>$D55-vlookup(Summary!$C55,Summary!$C$2:$Q$103,3+counta($F$1:O$1),false)</f>
        <v>-0.25</v>
      </c>
      <c r="P55" s="99">
        <f>$D55-vlookup(Summary!$C55,Summary!$C$2:$Q$103,3+counta($F$1:P$1),false)</f>
        <v>0</v>
      </c>
      <c r="Q55" s="99">
        <f>$D55-vlookup(Summary!$C55,Summary!$C$2:$Q$103,3+counta($F$1:Q$1),false)</f>
        <v>-0.1</v>
      </c>
    </row>
    <row r="56" ht="15.75" customHeight="1">
      <c r="A56" s="15">
        <f>Main!A56</f>
        <v>55</v>
      </c>
      <c r="B56" s="15" t="str">
        <f>Main!B56</f>
        <v>A statue in Australia will be removed because of negative associations with its history or colonial ties.</v>
      </c>
      <c r="C56" s="15" t="str">
        <f>Main!C56</f>
        <v>Society</v>
      </c>
      <c r="D56" s="15">
        <v>0.7</v>
      </c>
      <c r="F56" s="99">
        <f>$D56-vlookup(Summary!$C56,Summary!$C$2:$Q$103,3+counta($F$1:F$1),false)</f>
        <v>0.5</v>
      </c>
      <c r="G56" s="99">
        <f>$D56-vlookup(Summary!$C56,Summary!$C$2:$Q$103,3+counta($F$1:G$1),false)</f>
        <v>-0.2</v>
      </c>
      <c r="H56" s="99">
        <f>$D56-vlookup(Summary!$C56,Summary!$C$2:$Q$103,3+counta($F$1:H$1),false)</f>
        <v>-0.1</v>
      </c>
      <c r="I56" s="99">
        <f>$D56-vlookup(Summary!$C56,Summary!$C$2:$Q$103,3+counta($F$1:I$1),false)</f>
        <v>0.5</v>
      </c>
      <c r="J56" s="99">
        <f>$D56-vlookup(Summary!$C56,Summary!$C$2:$Q$103,3+counta($F$1:J$1),false)</f>
        <v>-0.1</v>
      </c>
      <c r="K56" s="99">
        <f>$D56-vlookup(Summary!$C56,Summary!$C$2:$Q$103,3+counta($F$1:K$1),false)</f>
        <v>0.1</v>
      </c>
      <c r="L56" s="99">
        <f>$D56-vlookup(Summary!$C56,Summary!$C$2:$Q$103,3+counta($F$1:L$1),false)</f>
        <v>0.3</v>
      </c>
      <c r="M56" s="99">
        <f>$D56-vlookup(Summary!$C56,Summary!$C$2:$Q$103,3+counta($F$1:M$1),false)</f>
        <v>-0.1</v>
      </c>
      <c r="N56" s="99">
        <f>$D56-vlookup(Summary!$C56,Summary!$C$2:$Q$103,3+counta($F$1:N$1),false)</f>
        <v>0.6</v>
      </c>
      <c r="O56" s="99">
        <f>$D56-vlookup(Summary!$C56,Summary!$C$2:$Q$103,3+counta($F$1:O$1),false)</f>
        <v>0.55</v>
      </c>
      <c r="P56" s="99">
        <f>$D56-vlookup(Summary!$C56,Summary!$C$2:$Q$103,3+counta($F$1:P$1),false)</f>
        <v>0</v>
      </c>
      <c r="Q56" s="99">
        <f>$D56-vlookup(Summary!$C56,Summary!$C$2:$Q$103,3+counta($F$1:Q$1),false)</f>
        <v>0.1</v>
      </c>
    </row>
    <row r="57" ht="15.75" customHeight="1">
      <c r="A57" s="15">
        <f>Main!A57</f>
        <v>56</v>
      </c>
      <c r="B57" s="15" t="str">
        <f>Main!B57</f>
        <v>Dave Chapelle’s special ‘The Closer’ will be available to watch on Netflix (Aus or US)</v>
      </c>
      <c r="C57" s="15" t="str">
        <f>Main!C57</f>
        <v>Society</v>
      </c>
      <c r="D57" s="15">
        <v>0.5</v>
      </c>
      <c r="F57" s="99">
        <f>$D57-vlookup(Summary!$C57,Summary!$C$2:$Q$103,3+counta($F$1:F$1),false)</f>
        <v>-0.3</v>
      </c>
      <c r="G57" s="99">
        <f>$D57-vlookup(Summary!$C57,Summary!$C$2:$Q$103,3+counta($F$1:G$1),false)</f>
        <v>-0.1</v>
      </c>
      <c r="H57" s="99">
        <f>$D57-vlookup(Summary!$C57,Summary!$C$2:$Q$103,3+counta($F$1:H$1),false)</f>
        <v>0</v>
      </c>
      <c r="I57" s="99">
        <f>$D57-vlookup(Summary!$C57,Summary!$C$2:$Q$103,3+counta($F$1:I$1),false)</f>
        <v>-0.3</v>
      </c>
      <c r="J57" s="99">
        <f>$D57-vlookup(Summary!$C57,Summary!$C$2:$Q$103,3+counta($F$1:J$1),false)</f>
        <v>-0.1</v>
      </c>
      <c r="K57" s="99">
        <f>$D57-vlookup(Summary!$C57,Summary!$C$2:$Q$103,3+counta($F$1:K$1),false)</f>
        <v>0</v>
      </c>
      <c r="L57" s="99">
        <f>$D57-vlookup(Summary!$C57,Summary!$C$2:$Q$103,3+counta($F$1:L$1),false)</f>
        <v>-0.1</v>
      </c>
      <c r="M57" s="99">
        <f>$D57-vlookup(Summary!$C57,Summary!$C$2:$Q$103,3+counta($F$1:M$1),false)</f>
        <v>0</v>
      </c>
      <c r="N57" s="99">
        <f>$D57-vlookup(Summary!$C57,Summary!$C$2:$Q$103,3+counta($F$1:N$1),false)</f>
        <v>0.3</v>
      </c>
      <c r="O57" s="99">
        <f>$D57-vlookup(Summary!$C57,Summary!$C$2:$Q$103,3+counta($F$1:O$1),false)</f>
        <v>-0.499</v>
      </c>
      <c r="P57" s="99">
        <f>$D57-vlookup(Summary!$C57,Summary!$C$2:$Q$103,3+counta($F$1:P$1),false)</f>
        <v>0</v>
      </c>
      <c r="Q57" s="99">
        <f>$D57-vlookup(Summary!$C57,Summary!$C$2:$Q$103,3+counta($F$1:Q$1),false)</f>
        <v>0</v>
      </c>
    </row>
    <row r="58" ht="15.75" customHeight="1">
      <c r="A58" s="15">
        <f>Main!A58</f>
        <v>57</v>
      </c>
      <c r="B58" s="15" t="str">
        <f>Main!B58</f>
        <v>An actor in a Disney film or TV show will have their contract ‘cancelled’ due to social pressure related to a social media post or opinion they have expressed publicly.</v>
      </c>
      <c r="C58" s="15" t="str">
        <f>Main!C58</f>
        <v>Society</v>
      </c>
      <c r="D58" s="15">
        <v>0.5</v>
      </c>
      <c r="F58" s="99">
        <f>$D58-vlookup(Summary!$C58,Summary!$C$2:$Q$103,3+counta($F$1:F$1),false)</f>
        <v>-0.2</v>
      </c>
      <c r="G58" s="99">
        <f>$D58-vlookup(Summary!$C58,Summary!$C$2:$Q$103,3+counta($F$1:G$1),false)</f>
        <v>0.1</v>
      </c>
      <c r="H58" s="99">
        <f>$D58-vlookup(Summary!$C58,Summary!$C$2:$Q$103,3+counta($F$1:H$1),false)</f>
        <v>-0.1</v>
      </c>
      <c r="I58" s="99">
        <f>$D58-vlookup(Summary!$C58,Summary!$C$2:$Q$103,3+counta($F$1:I$1),false)</f>
        <v>-0.3</v>
      </c>
      <c r="J58" s="99">
        <f>$D58-vlookup(Summary!$C58,Summary!$C$2:$Q$103,3+counta($F$1:J$1),false)</f>
        <v>-0.3</v>
      </c>
      <c r="K58" s="99">
        <f>$D58-vlookup(Summary!$C58,Summary!$C$2:$Q$103,3+counta($F$1:K$1),false)</f>
        <v>-0.2</v>
      </c>
      <c r="L58" s="99">
        <f>$D58-vlookup(Summary!$C58,Summary!$C$2:$Q$103,3+counta($F$1:L$1),false)</f>
        <v>0</v>
      </c>
      <c r="M58" s="99">
        <f>$D58-vlookup(Summary!$C58,Summary!$C$2:$Q$103,3+counta($F$1:M$1),false)</f>
        <v>-0.1</v>
      </c>
      <c r="N58" s="99">
        <f>$D58-vlookup(Summary!$C58,Summary!$C$2:$Q$103,3+counta($F$1:N$1),false)</f>
        <v>-0.3</v>
      </c>
      <c r="O58" s="99">
        <f>$D58-vlookup(Summary!$C58,Summary!$C$2:$Q$103,3+counta($F$1:O$1),false)</f>
        <v>-0.15</v>
      </c>
      <c r="P58" s="99">
        <f>$D58-vlookup(Summary!$C58,Summary!$C$2:$Q$103,3+counta($F$1:P$1),false)</f>
        <v>0</v>
      </c>
      <c r="Q58" s="99">
        <f>$D58-vlookup(Summary!$C58,Summary!$C$2:$Q$103,3+counta($F$1:Q$1),false)</f>
        <v>0.1</v>
      </c>
    </row>
    <row r="59" ht="15.75" customHeight="1">
      <c r="A59" s="15">
        <f>Main!A59</f>
        <v>58</v>
      </c>
      <c r="B59" s="15" t="str">
        <f>Main!B59</f>
        <v>An Australian company or department will mandate the inclusion or visibility of preferred gender pronouns, whether through an HR directory or email signatures.</v>
      </c>
      <c r="C59" s="15" t="str">
        <f>Main!C59</f>
        <v>Society</v>
      </c>
      <c r="D59" s="15">
        <v>0.5</v>
      </c>
      <c r="F59" s="99">
        <f>$D59-vlookup(Summary!$C59,Summary!$C$2:$Q$103,3+counta($F$1:F$1),false)</f>
        <v>-0.15</v>
      </c>
      <c r="G59" s="99">
        <f>$D59-vlookup(Summary!$C59,Summary!$C$2:$Q$103,3+counta($F$1:G$1),false)</f>
        <v>-0.45</v>
      </c>
      <c r="H59" s="99">
        <f>$D59-vlookup(Summary!$C59,Summary!$C$2:$Q$103,3+counta($F$1:H$1),false)</f>
        <v>-0.1</v>
      </c>
      <c r="I59" s="99">
        <f>$D59-vlookup(Summary!$C59,Summary!$C$2:$Q$103,3+counta($F$1:I$1),false)</f>
        <v>-0.3</v>
      </c>
      <c r="J59" s="99">
        <f>$D59-vlookup(Summary!$C59,Summary!$C$2:$Q$103,3+counta($F$1:J$1),false)</f>
        <v>0</v>
      </c>
      <c r="K59" s="99">
        <f>$D59-vlookup(Summary!$C59,Summary!$C$2:$Q$103,3+counta($F$1:K$1),false)</f>
        <v>-0.25</v>
      </c>
      <c r="L59" s="99">
        <f>$D59-vlookup(Summary!$C59,Summary!$C$2:$Q$103,3+counta($F$1:L$1),false)</f>
        <v>0</v>
      </c>
      <c r="M59" s="99">
        <f>$D59-vlookup(Summary!$C59,Summary!$C$2:$Q$103,3+counta($F$1:M$1),false)</f>
        <v>-0.1</v>
      </c>
      <c r="N59" s="99">
        <f>$D59-vlookup(Summary!$C59,Summary!$C$2:$Q$103,3+counta($F$1:N$1),false)</f>
        <v>-0.3</v>
      </c>
      <c r="O59" s="99">
        <f>$D59-vlookup(Summary!$C59,Summary!$C$2:$Q$103,3+counta($F$1:O$1),false)</f>
        <v>0.15</v>
      </c>
      <c r="P59" s="99">
        <f>$D59-vlookup(Summary!$C59,Summary!$C$2:$Q$103,3+counta($F$1:P$1),false)</f>
        <v>0</v>
      </c>
      <c r="Q59" s="99">
        <f>$D59-vlookup(Summary!$C59,Summary!$C$2:$Q$103,3+counta($F$1:Q$1),false)</f>
        <v>0.1</v>
      </c>
    </row>
    <row r="60" ht="15.75" customHeight="1">
      <c r="A60" s="15">
        <f>Main!A60</f>
        <v>59</v>
      </c>
      <c r="B60" s="15" t="str">
        <f>Main!B60</f>
        <v>More than 30% of Australians will have been born overseas (currently 29.8%)</v>
      </c>
      <c r="C60" s="15" t="str">
        <f>Main!C60</f>
        <v>Society</v>
      </c>
      <c r="D60" s="15">
        <v>0.1</v>
      </c>
      <c r="F60" s="99">
        <f>$D60-vlookup(Summary!$C60,Summary!$C$2:$Q$103,3+counta($F$1:F$1),false)</f>
        <v>-0.1</v>
      </c>
      <c r="G60" s="99">
        <f>$D60-vlookup(Summary!$C60,Summary!$C$2:$Q$103,3+counta($F$1:G$1),false)</f>
        <v>-0.5</v>
      </c>
      <c r="H60" s="99">
        <f>$D60-vlookup(Summary!$C60,Summary!$C$2:$Q$103,3+counta($F$1:H$1),false)</f>
        <v>0</v>
      </c>
      <c r="I60" s="99">
        <f>$D60-vlookup(Summary!$C60,Summary!$C$2:$Q$103,3+counta($F$1:I$1),false)</f>
        <v>-0.5</v>
      </c>
      <c r="J60" s="99">
        <f>$D60-vlookup(Summary!$C60,Summary!$C$2:$Q$103,3+counta($F$1:J$1),false)</f>
        <v>-0.8</v>
      </c>
      <c r="K60" s="99">
        <f>$D60-vlookup(Summary!$C60,Summary!$C$2:$Q$103,3+counta($F$1:K$1),false)</f>
        <v>-0.8</v>
      </c>
      <c r="L60" s="99">
        <f>$D60-vlookup(Summary!$C60,Summary!$C$2:$Q$103,3+counta($F$1:L$1),false)</f>
        <v>-0.2</v>
      </c>
      <c r="M60" s="99">
        <f>$D60-vlookup(Summary!$C60,Summary!$C$2:$Q$103,3+counta($F$1:M$1),false)</f>
        <v>0</v>
      </c>
      <c r="N60" s="99">
        <f>$D60-vlookup(Summary!$C60,Summary!$C$2:$Q$103,3+counta($F$1:N$1),false)</f>
        <v>-0.1</v>
      </c>
      <c r="O60" s="99">
        <f>$D60-vlookup(Summary!$C60,Summary!$C$2:$Q$103,3+counta($F$1:O$1),false)</f>
        <v>-0.55</v>
      </c>
      <c r="P60" s="99">
        <f>$D60-vlookup(Summary!$C60,Summary!$C$2:$Q$103,3+counta($F$1:P$1),false)</f>
        <v>0</v>
      </c>
      <c r="Q60" s="99">
        <f>$D60-vlookup(Summary!$C60,Summary!$C$2:$Q$103,3+counta($F$1:Q$1),false)</f>
        <v>-0.45</v>
      </c>
    </row>
    <row r="61" ht="15.75" customHeight="1">
      <c r="A61" s="15">
        <f>Main!A61</f>
        <v>60</v>
      </c>
      <c r="B61" s="15" t="str">
        <f>Main!B61</f>
        <v>LGBTIQ+ will be the acronym in widespread usage throughout Australia, as determined by the definition from LGBTIQ+ Health Australia (the peak body org for health and research related to that community)</v>
      </c>
      <c r="C61" s="15" t="str">
        <f>Main!C61</f>
        <v>Society</v>
      </c>
      <c r="D61" s="15">
        <v>0.5</v>
      </c>
      <c r="F61" s="99">
        <f>$D61-vlookup(Summary!$C61,Summary!$C$2:$Q$103,3+counta($F$1:F$1),false)</f>
        <v>0.05</v>
      </c>
      <c r="G61" s="99">
        <f>$D61-vlookup(Summary!$C61,Summary!$C$2:$Q$103,3+counta($F$1:G$1),false)</f>
        <v>-0.2</v>
      </c>
      <c r="H61" s="99">
        <f>$D61-vlookup(Summary!$C61,Summary!$C$2:$Q$103,3+counta($F$1:H$1),false)</f>
        <v>0</v>
      </c>
      <c r="I61" s="99">
        <f>$D61-vlookup(Summary!$C61,Summary!$C$2:$Q$103,3+counta($F$1:I$1),false)</f>
        <v>-0.2</v>
      </c>
      <c r="J61" s="99">
        <f>$D61-vlookup(Summary!$C61,Summary!$C$2:$Q$103,3+counta($F$1:J$1),false)</f>
        <v>-0.2</v>
      </c>
      <c r="K61" s="99">
        <f>$D61-vlookup(Summary!$C61,Summary!$C$2:$Q$103,3+counta($F$1:K$1),false)</f>
        <v>-0.25</v>
      </c>
      <c r="L61" s="99">
        <f>$D61-vlookup(Summary!$C61,Summary!$C$2:$Q$103,3+counta($F$1:L$1),false)</f>
        <v>-0.4</v>
      </c>
      <c r="M61" s="99">
        <f>$D61-vlookup(Summary!$C61,Summary!$C$2:$Q$103,3+counta($F$1:M$1),false)</f>
        <v>0</v>
      </c>
      <c r="N61" s="99">
        <f>$D61-vlookup(Summary!$C61,Summary!$C$2:$Q$103,3+counta($F$1:N$1),false)</f>
        <v>0.3</v>
      </c>
      <c r="O61" s="99">
        <f>$D61-vlookup(Summary!$C61,Summary!$C$2:$Q$103,3+counta($F$1:O$1),false)</f>
        <v>-0.499</v>
      </c>
      <c r="P61" s="99">
        <f>$D61-vlookup(Summary!$C61,Summary!$C$2:$Q$103,3+counta($F$1:P$1),false)</f>
        <v>0</v>
      </c>
      <c r="Q61" s="99">
        <f>$D61-vlookup(Summary!$C61,Summary!$C$2:$Q$103,3+counta($F$1:Q$1),false)</f>
        <v>0.2</v>
      </c>
    </row>
    <row r="62" ht="15.75" customHeight="1">
      <c r="A62" s="15">
        <f>Main!A62</f>
        <v>61</v>
      </c>
      <c r="B62" s="15" t="str">
        <f>Main!B62</f>
        <v>The meat industry in Australia and/or the US will succeed in controlling the use of ‘meat terms’ (meat, beef etc.) for non-animal protein products</v>
      </c>
      <c r="C62" s="15" t="str">
        <f>Main!C62</f>
        <v>Society</v>
      </c>
      <c r="D62" s="15">
        <v>0.8</v>
      </c>
      <c r="F62" s="99">
        <f>$D62-vlookup(Summary!$C62,Summary!$C$2:$Q$103,3+counta($F$1:F$1),false)</f>
        <v>0.45</v>
      </c>
      <c r="G62" s="99">
        <f>$D62-vlookup(Summary!$C62,Summary!$C$2:$Q$103,3+counta($F$1:G$1),false)</f>
        <v>0.2</v>
      </c>
      <c r="H62" s="99">
        <f>$D62-vlookup(Summary!$C62,Summary!$C$2:$Q$103,3+counta($F$1:H$1),false)</f>
        <v>0.6</v>
      </c>
      <c r="I62" s="99">
        <f>$D62-vlookup(Summary!$C62,Summary!$C$2:$Q$103,3+counta($F$1:I$1),false)</f>
        <v>0.2</v>
      </c>
      <c r="J62" s="99">
        <f>$D62-vlookup(Summary!$C62,Summary!$C$2:$Q$103,3+counta($F$1:J$1),false)</f>
        <v>0</v>
      </c>
      <c r="K62" s="99">
        <f>$D62-vlookup(Summary!$C62,Summary!$C$2:$Q$103,3+counta($F$1:K$1),false)</f>
        <v>0.06</v>
      </c>
      <c r="L62" s="99">
        <f>$D62-vlookup(Summary!$C62,Summary!$C$2:$Q$103,3+counta($F$1:L$1),false)</f>
        <v>0.7</v>
      </c>
      <c r="M62" s="99">
        <f>$D62-vlookup(Summary!$C62,Summary!$C$2:$Q$103,3+counta($F$1:M$1),false)</f>
        <v>0.6</v>
      </c>
      <c r="N62" s="99">
        <f>$D62-vlookup(Summary!$C62,Summary!$C$2:$Q$103,3+counta($F$1:N$1),false)</f>
        <v>0.7</v>
      </c>
      <c r="O62" s="99">
        <f>$D62-vlookup(Summary!$C62,Summary!$C$2:$Q$103,3+counta($F$1:O$1),false)</f>
        <v>-0.199</v>
      </c>
      <c r="P62" s="99">
        <f>$D62-vlookup(Summary!$C62,Summary!$C$2:$Q$103,3+counta($F$1:P$1),false)</f>
        <v>0</v>
      </c>
      <c r="Q62" s="99">
        <f>$D62-vlookup(Summary!$C62,Summary!$C$2:$Q$103,3+counta($F$1:Q$1),false)</f>
        <v>0.3</v>
      </c>
    </row>
    <row r="63" ht="15.75" customHeight="1">
      <c r="A63" s="15">
        <f>Main!A63</f>
        <v>62</v>
      </c>
      <c r="B63" s="15" t="str">
        <f>Main!B63</f>
        <v>The median house price in Canberra will be over $1,200,000 (currently $1,015,833)</v>
      </c>
      <c r="C63" s="15" t="str">
        <f>Main!C63</f>
        <v>Society</v>
      </c>
      <c r="D63" s="15">
        <v>0.6</v>
      </c>
      <c r="F63" s="99">
        <f>$D63-vlookup(Summary!$C63,Summary!$C$2:$Q$103,3+counta($F$1:F$1),false)</f>
        <v>-0.1</v>
      </c>
      <c r="G63" s="99">
        <f>$D63-vlookup(Summary!$C63,Summary!$C$2:$Q$103,3+counta($F$1:G$1),false)</f>
        <v>0.4</v>
      </c>
      <c r="H63" s="99">
        <f>$D63-vlookup(Summary!$C63,Summary!$C$2:$Q$103,3+counta($F$1:H$1),false)</f>
        <v>0.4</v>
      </c>
      <c r="I63" s="99">
        <f>$D63-vlookup(Summary!$C63,Summary!$C$2:$Q$103,3+counta($F$1:I$1),false)</f>
        <v>-0.2</v>
      </c>
      <c r="J63" s="99">
        <f>$D63-vlookup(Summary!$C63,Summary!$C$2:$Q$103,3+counta($F$1:J$1),false)</f>
        <v>-0.2</v>
      </c>
      <c r="K63" s="99">
        <f>$D63-vlookup(Summary!$C63,Summary!$C$2:$Q$103,3+counta($F$1:K$1),false)</f>
        <v>-0.2</v>
      </c>
      <c r="L63" s="99">
        <f>$D63-vlookup(Summary!$C63,Summary!$C$2:$Q$103,3+counta($F$1:L$1),false)</f>
        <v>-0.39999</v>
      </c>
      <c r="M63" s="99">
        <f>$D63-vlookup(Summary!$C63,Summary!$C$2:$Q$103,3+counta($F$1:M$1),false)</f>
        <v>0.4</v>
      </c>
      <c r="N63" s="99">
        <f>$D63-vlookup(Summary!$C63,Summary!$C$2:$Q$103,3+counta($F$1:N$1),false)</f>
        <v>-0.3</v>
      </c>
      <c r="O63" s="99">
        <f>$D63-vlookup(Summary!$C63,Summary!$C$2:$Q$103,3+counta($F$1:O$1),false)</f>
        <v>0.45</v>
      </c>
      <c r="P63" s="99">
        <f>$D63-vlookup(Summary!$C63,Summary!$C$2:$Q$103,3+counta($F$1:P$1),false)</f>
        <v>0</v>
      </c>
      <c r="Q63" s="99">
        <f>$D63-vlookup(Summary!$C63,Summary!$C$2:$Q$103,3+counta($F$1:Q$1),false)</f>
        <v>0.15</v>
      </c>
    </row>
    <row r="64" ht="15.75" customHeight="1">
      <c r="A64" s="15">
        <f>Main!A64</f>
        <v>63</v>
      </c>
      <c r="B64" s="15" t="str">
        <f>Main!B64</f>
        <v>An artist or band on the Rock and Roll Hall of Fame has a performance using digital avatar (source https://en.wikipedia.org/wiki/List_of_Rock_and_Roll_Hall_of_Fame_inductees)</v>
      </c>
      <c r="C64" s="15" t="str">
        <f>Main!C64</f>
        <v>Society</v>
      </c>
      <c r="D64" s="15">
        <v>0.1</v>
      </c>
      <c r="F64" s="99">
        <f>$D64-vlookup(Summary!$C64,Summary!$C$2:$Q$103,3+counta($F$1:F$1),false)</f>
        <v>-0.3</v>
      </c>
      <c r="G64" s="99">
        <f>$D64-vlookup(Summary!$C64,Summary!$C$2:$Q$103,3+counta($F$1:G$1),false)</f>
        <v>-0.5</v>
      </c>
      <c r="H64" s="99">
        <f>$D64-vlookup(Summary!$C64,Summary!$C$2:$Q$103,3+counta($F$1:H$1),false)</f>
        <v>-0.6</v>
      </c>
      <c r="I64" s="99">
        <f>$D64-vlookup(Summary!$C64,Summary!$C$2:$Q$103,3+counta($F$1:I$1),false)</f>
        <v>-0.2</v>
      </c>
      <c r="J64" s="99">
        <f>$D64-vlookup(Summary!$C64,Summary!$C$2:$Q$103,3+counta($F$1:J$1),false)</f>
        <v>-0.4</v>
      </c>
      <c r="K64" s="99">
        <f>$D64-vlookup(Summary!$C64,Summary!$C$2:$Q$103,3+counta($F$1:K$1),false)</f>
        <v>-0.5</v>
      </c>
      <c r="L64" s="99">
        <f>$D64-vlookup(Summary!$C64,Summary!$C$2:$Q$103,3+counta($F$1:L$1),false)</f>
        <v>-0.5</v>
      </c>
      <c r="M64" s="99">
        <f>$D64-vlookup(Summary!$C64,Summary!$C$2:$Q$103,3+counta($F$1:M$1),false)</f>
        <v>-0.6</v>
      </c>
      <c r="N64" s="99">
        <f>$D64-vlookup(Summary!$C64,Summary!$C$2:$Q$103,3+counta($F$1:N$1),false)</f>
        <v>-0.1</v>
      </c>
      <c r="O64" s="99">
        <f>$D64-vlookup(Summary!$C64,Summary!$C$2:$Q$103,3+counta($F$1:O$1),false)</f>
        <v>-0.05</v>
      </c>
      <c r="P64" s="99">
        <f>$D64-vlookup(Summary!$C64,Summary!$C$2:$Q$103,3+counta($F$1:P$1),false)</f>
        <v>0</v>
      </c>
      <c r="Q64" s="99">
        <f>$D64-vlookup(Summary!$C64,Summary!$C$2:$Q$103,3+counta($F$1:Q$1),false)</f>
        <v>-0.4</v>
      </c>
    </row>
    <row r="65" ht="15.75" customHeight="1">
      <c r="A65" s="15">
        <f>Main!A65</f>
        <v>64</v>
      </c>
      <c r="B65" s="15" t="str">
        <f>Main!B65</f>
        <v>No Australian tennis player will win a senior Championship event at the Australian Open in 2022</v>
      </c>
      <c r="C65" s="15" t="str">
        <f>Main!C65</f>
        <v>Sport</v>
      </c>
      <c r="D65" s="15">
        <v>0.5</v>
      </c>
      <c r="E65" s="15" t="s">
        <v>208</v>
      </c>
      <c r="F65" s="99">
        <f>$D65-vlookup(Summary!$C65,Summary!$C$2:$Q$103,3+counta($F$1:F$1),false)</f>
        <v>0.5</v>
      </c>
      <c r="G65" s="99">
        <f>$D65-vlookup(Summary!$C65,Summary!$C$2:$Q$103,3+counta($F$1:G$1),false)</f>
        <v>0.5</v>
      </c>
      <c r="H65" s="99">
        <f>$D65-vlookup(Summary!$C65,Summary!$C$2:$Q$103,3+counta($F$1:H$1),false)</f>
        <v>0.5</v>
      </c>
      <c r="I65" s="99">
        <f>$D65-vlookup(Summary!$C65,Summary!$C$2:$Q$103,3+counta($F$1:I$1),false)</f>
        <v>0.5</v>
      </c>
      <c r="J65" s="99">
        <f>$D65-vlookup(Summary!$C65,Summary!$C$2:$Q$103,3+counta($F$1:J$1),false)</f>
        <v>-0.1</v>
      </c>
      <c r="K65" s="99">
        <f>$D65-vlookup(Summary!$C65,Summary!$C$2:$Q$103,3+counta($F$1:K$1),false)</f>
        <v>0.5</v>
      </c>
      <c r="L65" s="99">
        <f>$D65-vlookup(Summary!$C65,Summary!$C$2:$Q$103,3+counta($F$1:L$1),false)</f>
        <v>0.5</v>
      </c>
      <c r="M65" s="99">
        <f>$D65-vlookup(Summary!$C65,Summary!$C$2:$Q$103,3+counta($F$1:M$1),false)</f>
        <v>0.5</v>
      </c>
      <c r="N65" s="99">
        <f>$D65-vlookup(Summary!$C65,Summary!$C$2:$Q$103,3+counta($F$1:N$1),false)</f>
        <v>0.4</v>
      </c>
      <c r="O65" s="99">
        <f>$D65-vlookup(Summary!$C65,Summary!$C$2:$Q$103,3+counta($F$1:O$1),false)</f>
        <v>0.5</v>
      </c>
      <c r="P65" s="99">
        <f>$D65-vlookup(Summary!$C65,Summary!$C$2:$Q$103,3+counta($F$1:P$1),false)</f>
        <v>0</v>
      </c>
      <c r="Q65" s="99">
        <f>$D65-vlookup(Summary!$C65,Summary!$C$2:$Q$103,3+counta($F$1:Q$1),false)</f>
        <v>0.3</v>
      </c>
    </row>
    <row r="66" ht="15.75" customHeight="1">
      <c r="A66" s="15">
        <f>Main!A66</f>
        <v>65</v>
      </c>
      <c r="B66" s="15" t="str">
        <f>Main!B66</f>
        <v>Daniel Ricciardo will win the Australian GP in 2022.</v>
      </c>
      <c r="C66" s="15" t="str">
        <f>Main!C66</f>
        <v>Sport</v>
      </c>
      <c r="D66" s="15">
        <v>0.1</v>
      </c>
      <c r="F66" s="99">
        <f>$D66-vlookup(Summary!$C66,Summary!$C$2:$Q$103,3+counta($F$1:F$1),false)</f>
        <v>-0.4</v>
      </c>
      <c r="G66" s="99">
        <f>$D66-vlookup(Summary!$C66,Summary!$C$2:$Q$103,3+counta($F$1:G$1),false)</f>
        <v>0</v>
      </c>
      <c r="H66" s="99">
        <f>$D66-vlookup(Summary!$C66,Summary!$C$2:$Q$103,3+counta($F$1:H$1),false)</f>
        <v>-0.4</v>
      </c>
      <c r="I66" s="99">
        <f>$D66-vlookup(Summary!$C66,Summary!$C$2:$Q$103,3+counta($F$1:I$1),false)</f>
        <v>-0.4</v>
      </c>
      <c r="J66" s="99">
        <f>$D66-vlookup(Summary!$C66,Summary!$C$2:$Q$103,3+counta($F$1:J$1),false)</f>
        <v>-0.2</v>
      </c>
      <c r="K66" s="99">
        <f>$D66-vlookup(Summary!$C66,Summary!$C$2:$Q$103,3+counta($F$1:K$1),false)</f>
        <v>-0.5</v>
      </c>
      <c r="L66" s="99">
        <f>$D66-vlookup(Summary!$C66,Summary!$C$2:$Q$103,3+counta($F$1:L$1),false)</f>
        <v>-0.1</v>
      </c>
      <c r="M66" s="99">
        <f>$D66-vlookup(Summary!$C66,Summary!$C$2:$Q$103,3+counta($F$1:M$1),false)</f>
        <v>-0.4</v>
      </c>
      <c r="N66" s="99">
        <f>$D66-vlookup(Summary!$C66,Summary!$C$2:$Q$103,3+counta($F$1:N$1),false)</f>
        <v>0</v>
      </c>
      <c r="O66" s="99">
        <f>$D66-vlookup(Summary!$C66,Summary!$C$2:$Q$103,3+counta($F$1:O$1),false)</f>
        <v>-0.4</v>
      </c>
      <c r="P66" s="99">
        <f>$D66-vlookup(Summary!$C66,Summary!$C$2:$Q$103,3+counta($F$1:P$1),false)</f>
        <v>0</v>
      </c>
      <c r="Q66" s="99">
        <f>$D66-vlookup(Summary!$C66,Summary!$C$2:$Q$103,3+counta($F$1:Q$1),false)</f>
        <v>0</v>
      </c>
    </row>
    <row r="67" ht="15.75" customHeight="1">
      <c r="A67" s="15">
        <f>Main!A67</f>
        <v>66</v>
      </c>
      <c r="B67" s="15" t="str">
        <f>Main!B67</f>
        <v>Collingwood will make it into the top 8 at the end of the footy season</v>
      </c>
      <c r="C67" s="15" t="str">
        <f>Main!C67</f>
        <v>Sport</v>
      </c>
      <c r="D67" s="15">
        <v>0.1</v>
      </c>
      <c r="F67" s="99">
        <f>$D67-vlookup(Summary!$C67,Summary!$C$2:$Q$103,3+counta($F$1:F$1),false)</f>
        <v>-0.4</v>
      </c>
      <c r="G67" s="99">
        <f>$D67-vlookup(Summary!$C67,Summary!$C$2:$Q$103,3+counta($F$1:G$1),false)</f>
        <v>0</v>
      </c>
      <c r="H67" s="99">
        <f>$D67-vlookup(Summary!$C67,Summary!$C$2:$Q$103,3+counta($F$1:H$1),false)</f>
        <v>-0.35</v>
      </c>
      <c r="I67" s="99">
        <f>$D67-vlookup(Summary!$C67,Summary!$C$2:$Q$103,3+counta($F$1:I$1),false)</f>
        <v>-0.4</v>
      </c>
      <c r="J67" s="99">
        <f>$D67-vlookup(Summary!$C67,Summary!$C$2:$Q$103,3+counta($F$1:J$1),false)</f>
        <v>-0.5</v>
      </c>
      <c r="K67" s="99">
        <f>$D67-vlookup(Summary!$C67,Summary!$C$2:$Q$103,3+counta($F$1:K$1),false)</f>
        <v>-0.5</v>
      </c>
      <c r="L67" s="99">
        <f>$D67-vlookup(Summary!$C67,Summary!$C$2:$Q$103,3+counta($F$1:L$1),false)</f>
        <v>-0.4</v>
      </c>
      <c r="M67" s="99">
        <f>$D67-vlookup(Summary!$C67,Summary!$C$2:$Q$103,3+counta($F$1:M$1),false)</f>
        <v>-0.35</v>
      </c>
      <c r="N67" s="99">
        <f>$D67-vlookup(Summary!$C67,Summary!$C$2:$Q$103,3+counta($F$1:N$1),false)</f>
        <v>-0.6</v>
      </c>
      <c r="O67" s="99">
        <f>$D67-vlookup(Summary!$C67,Summary!$C$2:$Q$103,3+counta($F$1:O$1),false)</f>
        <v>-0.4</v>
      </c>
      <c r="P67" s="99">
        <f>$D67-vlookup(Summary!$C67,Summary!$C$2:$Q$103,3+counta($F$1:P$1),false)</f>
        <v>0</v>
      </c>
      <c r="Q67" s="99">
        <f>$D67-vlookup(Summary!$C67,Summary!$C$2:$Q$103,3+counta($F$1:Q$1),false)</f>
        <v>-0.5</v>
      </c>
    </row>
    <row r="68" ht="15.75" customHeight="1">
      <c r="A68" s="15">
        <f>Main!A68</f>
        <v>67</v>
      </c>
      <c r="B68" s="15" t="str">
        <f>Main!B68</f>
        <v>Italy will defeat Portugal in their qualifying match and reach the finals of the Football World Cup</v>
      </c>
      <c r="C68" s="15" t="str">
        <f>Main!C68</f>
        <v>Sport</v>
      </c>
      <c r="D68" s="15">
        <v>0.9</v>
      </c>
      <c r="F68" s="99">
        <f>$D68-vlookup(Summary!$C68,Summary!$C$2:$Q$103,3+counta($F$1:F$1),false)</f>
        <v>0.4</v>
      </c>
      <c r="G68" s="99">
        <f>$D68-vlookup(Summary!$C68,Summary!$C$2:$Q$103,3+counta($F$1:G$1),false)</f>
        <v>0.3</v>
      </c>
      <c r="H68" s="99">
        <f>$D68-vlookup(Summary!$C68,Summary!$C$2:$Q$103,3+counta($F$1:H$1),false)</f>
        <v>0.2</v>
      </c>
      <c r="I68" s="99">
        <f>$D68-vlookup(Summary!$C68,Summary!$C$2:$Q$103,3+counta($F$1:I$1),false)</f>
        <v>0.4</v>
      </c>
      <c r="J68" s="99">
        <f>$D68-vlookup(Summary!$C68,Summary!$C$2:$Q$103,3+counta($F$1:J$1),false)</f>
        <v>0.4</v>
      </c>
      <c r="K68" s="99">
        <f>$D68-vlookup(Summary!$C68,Summary!$C$2:$Q$103,3+counta($F$1:K$1),false)</f>
        <v>0.05</v>
      </c>
      <c r="L68" s="99">
        <f>$D68-vlookup(Summary!$C68,Summary!$C$2:$Q$103,3+counta($F$1:L$1),false)</f>
        <v>0.85</v>
      </c>
      <c r="M68" s="99">
        <f>$D68-vlookup(Summary!$C68,Summary!$C$2:$Q$103,3+counta($F$1:M$1),false)</f>
        <v>0.2</v>
      </c>
      <c r="N68" s="99">
        <f>$D68-vlookup(Summary!$C68,Summary!$C$2:$Q$103,3+counta($F$1:N$1),false)</f>
        <v>0.4</v>
      </c>
      <c r="O68" s="99">
        <f>$D68-vlookup(Summary!$C68,Summary!$C$2:$Q$103,3+counta($F$1:O$1),false)</f>
        <v>0.4</v>
      </c>
      <c r="P68" s="99">
        <f>$D68-vlookup(Summary!$C68,Summary!$C$2:$Q$103,3+counta($F$1:P$1),false)</f>
        <v>0</v>
      </c>
      <c r="Q68" s="99">
        <f>$D68-vlookup(Summary!$C68,Summary!$C$2:$Q$103,3+counta($F$1:Q$1),false)</f>
        <v>0.1</v>
      </c>
    </row>
    <row r="69" ht="15.75" customHeight="1">
      <c r="A69" s="15">
        <f>Main!A69</f>
        <v>68</v>
      </c>
      <c r="B69" s="15" t="str">
        <f>Main!B69</f>
        <v>Ash Barty will be world number 1 in the WRA rankings after the US Open</v>
      </c>
      <c r="C69" s="15" t="str">
        <f>Main!C69</f>
        <v>Sport</v>
      </c>
      <c r="D69" s="15">
        <v>0.9</v>
      </c>
      <c r="F69" s="99">
        <f>$D69-vlookup(Summary!$C69,Summary!$C$2:$Q$103,3+counta($F$1:F$1),false)</f>
        <v>0.1</v>
      </c>
      <c r="G69" s="99">
        <f>$D69-vlookup(Summary!$C69,Summary!$C$2:$Q$103,3+counta($F$1:G$1),false)</f>
        <v>0</v>
      </c>
      <c r="H69" s="99">
        <f>$D69-vlookup(Summary!$C69,Summary!$C$2:$Q$103,3+counta($F$1:H$1),false)</f>
        <v>0.1</v>
      </c>
      <c r="I69" s="99">
        <f>$D69-vlookup(Summary!$C69,Summary!$C$2:$Q$103,3+counta($F$1:I$1),false)</f>
        <v>0.1</v>
      </c>
      <c r="J69" s="99">
        <f>$D69-vlookup(Summary!$C69,Summary!$C$2:$Q$103,3+counta($F$1:J$1),false)</f>
        <v>0.1</v>
      </c>
      <c r="K69" s="99">
        <f>$D69-vlookup(Summary!$C69,Summary!$C$2:$Q$103,3+counta($F$1:K$1),false)</f>
        <v>-0.08</v>
      </c>
      <c r="L69" s="99">
        <f>$D69-vlookup(Summary!$C69,Summary!$C$2:$Q$103,3+counta($F$1:L$1),false)</f>
        <v>-0.099</v>
      </c>
      <c r="M69" s="99">
        <f>$D69-vlookup(Summary!$C69,Summary!$C$2:$Q$103,3+counta($F$1:M$1),false)</f>
        <v>0.1</v>
      </c>
      <c r="N69" s="99">
        <f>$D69-vlookup(Summary!$C69,Summary!$C$2:$Q$103,3+counta($F$1:N$1),false)</f>
        <v>0</v>
      </c>
      <c r="O69" s="99">
        <f>$D69-vlookup(Summary!$C69,Summary!$C$2:$Q$103,3+counta($F$1:O$1),false)</f>
        <v>0.4</v>
      </c>
      <c r="P69" s="99">
        <f>$D69-vlookup(Summary!$C69,Summary!$C$2:$Q$103,3+counta($F$1:P$1),false)</f>
        <v>0</v>
      </c>
      <c r="Q69" s="99">
        <f>$D69-vlookup(Summary!$C69,Summary!$C$2:$Q$103,3+counta($F$1:Q$1),false)</f>
        <v>0.35</v>
      </c>
    </row>
    <row r="70" ht="15.75" customHeight="1">
      <c r="A70" s="15">
        <f>Main!A70</f>
        <v>69</v>
      </c>
      <c r="B70" s="15" t="str">
        <f>Main!B70</f>
        <v>Neither Roger Federer nor Serena Williams will win a Grand Slam tennis tournament</v>
      </c>
      <c r="C70" s="15" t="str">
        <f>Main!C70</f>
        <v>Sport</v>
      </c>
      <c r="D70" s="15">
        <v>0.1</v>
      </c>
      <c r="F70" s="99">
        <f>$D70-vlookup(Summary!$C70,Summary!$C$2:$Q$103,3+counta($F$1:F$1),false)</f>
        <v>-0.55</v>
      </c>
      <c r="G70" s="99">
        <f>$D70-vlookup(Summary!$C70,Summary!$C$2:$Q$103,3+counta($F$1:G$1),false)</f>
        <v>-0.7</v>
      </c>
      <c r="H70" s="99">
        <f>$D70-vlookup(Summary!$C70,Summary!$C$2:$Q$103,3+counta($F$1:H$1),false)</f>
        <v>-0.85</v>
      </c>
      <c r="I70" s="99">
        <f>$D70-vlookup(Summary!$C70,Summary!$C$2:$Q$103,3+counta($F$1:I$1),false)</f>
        <v>-0.3</v>
      </c>
      <c r="J70" s="99">
        <f>$D70-vlookup(Summary!$C70,Summary!$C$2:$Q$103,3+counta($F$1:J$1),false)</f>
        <v>-0.7</v>
      </c>
      <c r="K70" s="99">
        <f>$D70-vlookup(Summary!$C70,Summary!$C$2:$Q$103,3+counta($F$1:K$1),false)</f>
        <v>-0.8</v>
      </c>
      <c r="L70" s="99">
        <f>$D70-vlookup(Summary!$C70,Summary!$C$2:$Q$103,3+counta($F$1:L$1),false)</f>
        <v>-0.899</v>
      </c>
      <c r="M70" s="99">
        <f>$D70-vlookup(Summary!$C70,Summary!$C$2:$Q$103,3+counta($F$1:M$1),false)</f>
        <v>-0.85</v>
      </c>
      <c r="N70" s="99">
        <f>$D70-vlookup(Summary!$C70,Summary!$C$2:$Q$103,3+counta($F$1:N$1),false)</f>
        <v>-0.7</v>
      </c>
      <c r="O70" s="99">
        <f>$D70-vlookup(Summary!$C70,Summary!$C$2:$Q$103,3+counta($F$1:O$1),false)</f>
        <v>-0.75</v>
      </c>
      <c r="P70" s="99">
        <f>$D70-vlookup(Summary!$C70,Summary!$C$2:$Q$103,3+counta($F$1:P$1),false)</f>
        <v>0</v>
      </c>
      <c r="Q70" s="99">
        <f>$D70-vlookup(Summary!$C70,Summary!$C$2:$Q$103,3+counta($F$1:Q$1),false)</f>
        <v>-0.4</v>
      </c>
    </row>
    <row r="71" ht="15.75" customHeight="1">
      <c r="A71" s="15">
        <f>Main!A71</f>
        <v>70</v>
      </c>
      <c r="B71" s="15" t="str">
        <f>Main!B71</f>
        <v>The Football World Cup will not go ahead on the scheduled dates in Qatar</v>
      </c>
      <c r="C71" s="15" t="str">
        <f>Main!C71</f>
        <v>Sport</v>
      </c>
      <c r="D71" s="15">
        <v>0.9</v>
      </c>
      <c r="F71" s="99">
        <f>$D71-vlookup(Summary!$C71,Summary!$C$2:$Q$103,3+counta($F$1:F$1),false)</f>
        <v>0.5</v>
      </c>
      <c r="G71" s="99">
        <f>$D71-vlookup(Summary!$C71,Summary!$C$2:$Q$103,3+counta($F$1:G$1),false)</f>
        <v>0.65</v>
      </c>
      <c r="H71" s="99">
        <f>$D71-vlookup(Summary!$C71,Summary!$C$2:$Q$103,3+counta($F$1:H$1),false)</f>
        <v>0.8</v>
      </c>
      <c r="I71" s="99">
        <f>$D71-vlookup(Summary!$C71,Summary!$C$2:$Q$103,3+counta($F$1:I$1),false)</f>
        <v>0.4</v>
      </c>
      <c r="J71" s="99">
        <f>$D71-vlookup(Summary!$C71,Summary!$C$2:$Q$103,3+counta($F$1:J$1),false)</f>
        <v>0.4</v>
      </c>
      <c r="K71" s="99">
        <f>$D71-vlookup(Summary!$C71,Summary!$C$2:$Q$103,3+counta($F$1:K$1),false)</f>
        <v>0.6</v>
      </c>
      <c r="L71" s="99">
        <f>$D71-vlookup(Summary!$C71,Summary!$C$2:$Q$103,3+counta($F$1:L$1),false)</f>
        <v>0.35</v>
      </c>
      <c r="M71" s="99">
        <f>$D71-vlookup(Summary!$C71,Summary!$C$2:$Q$103,3+counta($F$1:M$1),false)</f>
        <v>0.8</v>
      </c>
      <c r="N71" s="99">
        <f>$D71-vlookup(Summary!$C71,Summary!$C$2:$Q$103,3+counta($F$1:N$1),false)</f>
        <v>0.8</v>
      </c>
      <c r="O71" s="99">
        <f>$D71-vlookup(Summary!$C71,Summary!$C$2:$Q$103,3+counta($F$1:O$1),false)</f>
        <v>0.25</v>
      </c>
      <c r="P71" s="99">
        <f>$D71-vlookup(Summary!$C71,Summary!$C$2:$Q$103,3+counta($F$1:P$1),false)</f>
        <v>0</v>
      </c>
      <c r="Q71" s="99">
        <f>$D71-vlookup(Summary!$C71,Summary!$C$2:$Q$103,3+counta($F$1:Q$1),false)</f>
        <v>0.7</v>
      </c>
    </row>
    <row r="72" ht="15.75" customHeight="1">
      <c r="A72" s="15">
        <f>Main!A72</f>
        <v>71</v>
      </c>
      <c r="B72" s="15" t="str">
        <f>Main!B72</f>
        <v>Lewis hamilton will win the 2022 world championship in Formula 1</v>
      </c>
      <c r="C72" s="15" t="str">
        <f>Main!C72</f>
        <v>Sport</v>
      </c>
      <c r="D72" s="15">
        <v>0.9</v>
      </c>
      <c r="F72" s="99">
        <f>$D72-vlookup(Summary!$C72,Summary!$C$2:$Q$103,3+counta($F$1:F$1),false)</f>
        <v>0.3</v>
      </c>
      <c r="G72" s="99">
        <f>$D72-vlookup(Summary!$C72,Summary!$C$2:$Q$103,3+counta($F$1:G$1),false)</f>
        <v>0.7</v>
      </c>
      <c r="H72" s="99">
        <f>$D72-vlookup(Summary!$C72,Summary!$C$2:$Q$103,3+counta($F$1:H$1),false)</f>
        <v>0.3</v>
      </c>
      <c r="I72" s="99">
        <f>$D72-vlookup(Summary!$C72,Summary!$C$2:$Q$103,3+counta($F$1:I$1),false)</f>
        <v>0.4</v>
      </c>
      <c r="J72" s="99">
        <f>$D72-vlookup(Summary!$C72,Summary!$C$2:$Q$103,3+counta($F$1:J$1),false)</f>
        <v>0.1</v>
      </c>
      <c r="K72" s="99">
        <f>$D72-vlookup(Summary!$C72,Summary!$C$2:$Q$103,3+counta($F$1:K$1),false)</f>
        <v>0.1</v>
      </c>
      <c r="L72" s="99">
        <f>$D72-vlookup(Summary!$C72,Summary!$C$2:$Q$103,3+counta($F$1:L$1),false)</f>
        <v>0.3</v>
      </c>
      <c r="M72" s="99">
        <f>$D72-vlookup(Summary!$C72,Summary!$C$2:$Q$103,3+counta($F$1:M$1),false)</f>
        <v>0.3</v>
      </c>
      <c r="N72" s="99">
        <f>$D72-vlookup(Summary!$C72,Summary!$C$2:$Q$103,3+counta($F$1:N$1),false)</f>
        <v>0.1</v>
      </c>
      <c r="O72" s="99">
        <f>$D72-vlookup(Summary!$C72,Summary!$C$2:$Q$103,3+counta($F$1:O$1),false)</f>
        <v>0.55</v>
      </c>
      <c r="P72" s="99">
        <f>$D72-vlookup(Summary!$C72,Summary!$C$2:$Q$103,3+counta($F$1:P$1),false)</f>
        <v>0</v>
      </c>
      <c r="Q72" s="99">
        <f>$D72-vlookup(Summary!$C72,Summary!$C$2:$Q$103,3+counta($F$1:Q$1),false)</f>
        <v>0.25</v>
      </c>
    </row>
    <row r="73" ht="15.75" customHeight="1">
      <c r="A73" s="15">
        <f>Main!A73</f>
        <v>72</v>
      </c>
      <c r="B73" s="15" t="str">
        <f>Main!B73</f>
        <v>The Haas F1 team will score 0 points in the 2022 season</v>
      </c>
      <c r="C73" s="15" t="str">
        <f>Main!C73</f>
        <v>Sport</v>
      </c>
      <c r="D73" s="15">
        <v>0.1</v>
      </c>
      <c r="F73" s="99">
        <f>$D73-vlookup(Summary!$C73,Summary!$C$2:$Q$103,3+counta($F$1:F$1),false)</f>
        <v>-0.4</v>
      </c>
      <c r="G73" s="99">
        <f>$D73-vlookup(Summary!$C73,Summary!$C$2:$Q$103,3+counta($F$1:G$1),false)</f>
        <v>-0.6</v>
      </c>
      <c r="H73" s="99">
        <f>$D73-vlookup(Summary!$C73,Summary!$C$2:$Q$103,3+counta($F$1:H$1),false)</f>
        <v>-0.4</v>
      </c>
      <c r="I73" s="99">
        <f>$D73-vlookup(Summary!$C73,Summary!$C$2:$Q$103,3+counta($F$1:I$1),false)</f>
        <v>-0.4</v>
      </c>
      <c r="J73" s="99">
        <f>$D73-vlookup(Summary!$C73,Summary!$C$2:$Q$103,3+counta($F$1:J$1),false)</f>
        <v>-0.2</v>
      </c>
      <c r="K73" s="99">
        <f>$D73-vlookup(Summary!$C73,Summary!$C$2:$Q$103,3+counta($F$1:K$1),false)</f>
        <v>-0.4</v>
      </c>
      <c r="L73" s="99">
        <f>$D73-vlookup(Summary!$C73,Summary!$C$2:$Q$103,3+counta($F$1:L$1),false)</f>
        <v>-0.4</v>
      </c>
      <c r="M73" s="99">
        <f>$D73-vlookup(Summary!$C73,Summary!$C$2:$Q$103,3+counta($F$1:M$1),false)</f>
        <v>-0.4</v>
      </c>
      <c r="N73" s="99">
        <f>$D73-vlookup(Summary!$C73,Summary!$C$2:$Q$103,3+counta($F$1:N$1),false)</f>
        <v>-0.4</v>
      </c>
      <c r="O73" s="99">
        <f>$D73-vlookup(Summary!$C73,Summary!$C$2:$Q$103,3+counta($F$1:O$1),false)</f>
        <v>-0.55</v>
      </c>
      <c r="P73" s="99">
        <f>$D73-vlookup(Summary!$C73,Summary!$C$2:$Q$103,3+counta($F$1:P$1),false)</f>
        <v>0</v>
      </c>
      <c r="Q73" s="99">
        <f>$D73-vlookup(Summary!$C73,Summary!$C$2:$Q$103,3+counta($F$1:Q$1),false)</f>
        <v>-0.5</v>
      </c>
    </row>
    <row r="74" ht="15.75" customHeight="1">
      <c r="A74" s="15">
        <f>Main!A74</f>
        <v>73</v>
      </c>
      <c r="B74" s="15" t="str">
        <f>Main!B74</f>
        <v>ULA's vulcan centaur will launch succesfully (places a payload into orbit)</v>
      </c>
      <c r="C74" s="15" t="str">
        <f>Main!C74</f>
        <v>Technology</v>
      </c>
      <c r="D74" s="15">
        <v>0.5</v>
      </c>
      <c r="F74" s="99">
        <f>$D74-vlookup(Summary!$C74,Summary!$C$2:$Q$103,3+counta($F$1:F$1),false)</f>
        <v>-0.1</v>
      </c>
      <c r="G74" s="99">
        <f>$D74-vlookup(Summary!$C74,Summary!$C$2:$Q$103,3+counta($F$1:G$1),false)</f>
        <v>-0.2</v>
      </c>
      <c r="H74" s="99">
        <f>$D74-vlookup(Summary!$C74,Summary!$C$2:$Q$103,3+counta($F$1:H$1),false)</f>
        <v>-0.2</v>
      </c>
      <c r="I74" s="99">
        <f>$D74-vlookup(Summary!$C74,Summary!$C$2:$Q$103,3+counta($F$1:I$1),false)</f>
        <v>-0.1</v>
      </c>
      <c r="J74" s="99">
        <f>$D74-vlookup(Summary!$C74,Summary!$C$2:$Q$103,3+counta($F$1:J$1),false)</f>
        <v>-0.1</v>
      </c>
      <c r="K74" s="99">
        <f>$D74-vlookup(Summary!$C74,Summary!$C$2:$Q$103,3+counta($F$1:K$1),false)</f>
        <v>-0.1</v>
      </c>
      <c r="L74" s="99">
        <f>$D74-vlookup(Summary!$C74,Summary!$C$2:$Q$103,3+counta($F$1:L$1),false)</f>
        <v>0.3</v>
      </c>
      <c r="M74" s="99">
        <f>$D74-vlookup(Summary!$C74,Summary!$C$2:$Q$103,3+counta($F$1:M$1),false)</f>
        <v>-0.2</v>
      </c>
      <c r="N74" s="99">
        <f>$D74-vlookup(Summary!$C74,Summary!$C$2:$Q$103,3+counta($F$1:N$1),false)</f>
        <v>0.1</v>
      </c>
      <c r="O74" s="99">
        <f>$D74-vlookup(Summary!$C74,Summary!$C$2:$Q$103,3+counta($F$1:O$1),false)</f>
        <v>-0.35</v>
      </c>
      <c r="P74" s="99">
        <f>$D74-vlookup(Summary!$C74,Summary!$C$2:$Q$103,3+counta($F$1:P$1),false)</f>
        <v>0</v>
      </c>
      <c r="Q74" s="99">
        <f>$D74-vlookup(Summary!$C74,Summary!$C$2:$Q$103,3+counta($F$1:Q$1),false)</f>
        <v>0</v>
      </c>
    </row>
    <row r="75" ht="15.75" customHeight="1">
      <c r="A75" s="15">
        <f>Main!A75</f>
        <v>74</v>
      </c>
      <c r="B75" s="15" t="str">
        <f>Main!B75</f>
        <v>NASA will declare its Artemis 1 mission a success</v>
      </c>
      <c r="C75" s="15" t="str">
        <f>Main!C75</f>
        <v>Technology</v>
      </c>
      <c r="D75" s="15">
        <v>0.5</v>
      </c>
      <c r="F75" s="99">
        <f>$D75-vlookup(Summary!$C75,Summary!$C$2:$Q$103,3+counta($F$1:F$1),false)</f>
        <v>-0.2</v>
      </c>
      <c r="G75" s="99">
        <f>$D75-vlookup(Summary!$C75,Summary!$C$2:$Q$103,3+counta($F$1:G$1),false)</f>
        <v>-0.3</v>
      </c>
      <c r="H75" s="99">
        <f>$D75-vlookup(Summary!$C75,Summary!$C$2:$Q$103,3+counta($F$1:H$1),false)</f>
        <v>-0.2</v>
      </c>
      <c r="I75" s="99">
        <f>$D75-vlookup(Summary!$C75,Summary!$C$2:$Q$103,3+counta($F$1:I$1),false)</f>
        <v>-0.2</v>
      </c>
      <c r="J75" s="99">
        <f>$D75-vlookup(Summary!$C75,Summary!$C$2:$Q$103,3+counta($F$1:J$1),false)</f>
        <v>-0.2</v>
      </c>
      <c r="K75" s="99">
        <f>$D75-vlookup(Summary!$C75,Summary!$C$2:$Q$103,3+counta($F$1:K$1),false)</f>
        <v>-0.3</v>
      </c>
      <c r="L75" s="99">
        <f>$D75-vlookup(Summary!$C75,Summary!$C$2:$Q$103,3+counta($F$1:L$1),false)</f>
        <v>-0.1</v>
      </c>
      <c r="M75" s="99">
        <f>$D75-vlookup(Summary!$C75,Summary!$C$2:$Q$103,3+counta($F$1:M$1),false)</f>
        <v>-0.2</v>
      </c>
      <c r="N75" s="99">
        <f>$D75-vlookup(Summary!$C75,Summary!$C$2:$Q$103,3+counta($F$1:N$1),false)</f>
        <v>0</v>
      </c>
      <c r="O75" s="99">
        <f>$D75-vlookup(Summary!$C75,Summary!$C$2:$Q$103,3+counta($F$1:O$1),false)</f>
        <v>-0.15</v>
      </c>
      <c r="P75" s="99">
        <f>$D75-vlookup(Summary!$C75,Summary!$C$2:$Q$103,3+counta($F$1:P$1),false)</f>
        <v>0</v>
      </c>
      <c r="Q75" s="99">
        <f>$D75-vlookup(Summary!$C75,Summary!$C$2:$Q$103,3+counta($F$1:Q$1),false)</f>
        <v>-0.2</v>
      </c>
    </row>
    <row r="76" ht="15.75" customHeight="1">
      <c r="A76" s="15">
        <f>Main!A76</f>
        <v>75</v>
      </c>
      <c r="B76" s="15" t="str">
        <f>Main!B76</f>
        <v>Starship/Superheavy will place Starship into a (partial) orbital trajectory</v>
      </c>
      <c r="C76" s="15" t="str">
        <f>Main!C76</f>
        <v>Technology</v>
      </c>
      <c r="D76" s="15">
        <v>0.5</v>
      </c>
      <c r="F76" s="99">
        <f>$D76-vlookup(Summary!$C76,Summary!$C$2:$Q$103,3+counta($F$1:F$1),false)</f>
        <v>-0.15</v>
      </c>
      <c r="G76" s="99">
        <f>$D76-vlookup(Summary!$C76,Summary!$C$2:$Q$103,3+counta($F$1:G$1),false)</f>
        <v>-0.1</v>
      </c>
      <c r="H76" s="99">
        <f>$D76-vlookup(Summary!$C76,Summary!$C$2:$Q$103,3+counta($F$1:H$1),false)</f>
        <v>-0.1</v>
      </c>
      <c r="I76" s="99">
        <f>$D76-vlookup(Summary!$C76,Summary!$C$2:$Q$103,3+counta($F$1:I$1),false)</f>
        <v>-0.15</v>
      </c>
      <c r="J76" s="99">
        <f>$D76-vlookup(Summary!$C76,Summary!$C$2:$Q$103,3+counta($F$1:J$1),false)</f>
        <v>-0.2</v>
      </c>
      <c r="K76" s="99">
        <f>$D76-vlookup(Summary!$C76,Summary!$C$2:$Q$103,3+counta($F$1:K$1),false)</f>
        <v>0</v>
      </c>
      <c r="L76" s="99">
        <f>$D76-vlookup(Summary!$C76,Summary!$C$2:$Q$103,3+counta($F$1:L$1),false)</f>
        <v>0</v>
      </c>
      <c r="M76" s="99">
        <f>$D76-vlookup(Summary!$C76,Summary!$C$2:$Q$103,3+counta($F$1:M$1),false)</f>
        <v>-0.1</v>
      </c>
      <c r="N76" s="99">
        <f>$D76-vlookup(Summary!$C76,Summary!$C$2:$Q$103,3+counta($F$1:N$1),false)</f>
        <v>0</v>
      </c>
      <c r="O76" s="99">
        <f>$D76-vlookup(Summary!$C76,Summary!$C$2:$Q$103,3+counta($F$1:O$1),false)</f>
        <v>-0.35</v>
      </c>
      <c r="P76" s="99">
        <f>$D76-vlookup(Summary!$C76,Summary!$C$2:$Q$103,3+counta($F$1:P$1),false)</f>
        <v>0</v>
      </c>
      <c r="Q76" s="99">
        <f>$D76-vlookup(Summary!$C76,Summary!$C$2:$Q$103,3+counta($F$1:Q$1),false)</f>
        <v>0</v>
      </c>
    </row>
    <row r="77" ht="15.75" customHeight="1">
      <c r="A77" s="15">
        <f>Main!A77</f>
        <v>76</v>
      </c>
      <c r="B77" s="15" t="str">
        <f>Main!B77</f>
        <v>James Webb telescope will deploy at L2 and 1 image from its Near-Infrared Camera (NIRCam) will be available on the internet for viewing by the public</v>
      </c>
      <c r="C77" s="15" t="str">
        <f>Main!C77</f>
        <v>Technology</v>
      </c>
      <c r="D77" s="15">
        <v>0.9</v>
      </c>
      <c r="F77" s="99">
        <f>$D77-vlookup(Summary!$C77,Summary!$C$2:$Q$103,3+counta($F$1:F$1),false)</f>
        <v>0.2</v>
      </c>
      <c r="G77" s="99">
        <f>$D77-vlookup(Summary!$C77,Summary!$C$2:$Q$103,3+counta($F$1:G$1),false)</f>
        <v>0.1</v>
      </c>
      <c r="H77" s="99">
        <f>$D77-vlookup(Summary!$C77,Summary!$C$2:$Q$103,3+counta($F$1:H$1),false)</f>
        <v>0</v>
      </c>
      <c r="I77" s="99">
        <f>$D77-vlookup(Summary!$C77,Summary!$C$2:$Q$103,3+counta($F$1:I$1),false)</f>
        <v>0.2</v>
      </c>
      <c r="J77" s="99">
        <f>$D77-vlookup(Summary!$C77,Summary!$C$2:$Q$103,3+counta($F$1:J$1),false)</f>
        <v>0.1</v>
      </c>
      <c r="K77" s="99">
        <f>$D77-vlookup(Summary!$C77,Summary!$C$2:$Q$103,3+counta($F$1:K$1),false)</f>
        <v>0.25</v>
      </c>
      <c r="L77" s="99">
        <f>$D77-vlookup(Summary!$C77,Summary!$C$2:$Q$103,3+counta($F$1:L$1),false)</f>
        <v>0.2</v>
      </c>
      <c r="M77" s="99">
        <f>$D77-vlookup(Summary!$C77,Summary!$C$2:$Q$103,3+counta($F$1:M$1),false)</f>
        <v>0</v>
      </c>
      <c r="N77" s="99">
        <f>$D77-vlookup(Summary!$C77,Summary!$C$2:$Q$103,3+counta($F$1:N$1),false)</f>
        <v>0.4</v>
      </c>
      <c r="O77" s="99">
        <f>$D77-vlookup(Summary!$C77,Summary!$C$2:$Q$103,3+counta($F$1:O$1),false)</f>
        <v>-0.099</v>
      </c>
      <c r="P77" s="99">
        <f>$D77-vlookup(Summary!$C77,Summary!$C$2:$Q$103,3+counta($F$1:P$1),false)</f>
        <v>0</v>
      </c>
      <c r="Q77" s="99">
        <f>$D77-vlookup(Summary!$C77,Summary!$C$2:$Q$103,3+counta($F$1:Q$1),false)</f>
        <v>0.4</v>
      </c>
    </row>
    <row r="78" ht="15.75" customHeight="1">
      <c r="A78" s="15">
        <f>Main!A78</f>
        <v>77</v>
      </c>
      <c r="B78" s="15" t="str">
        <f>Main!B78</f>
        <v>Facebook connect 2022 (or its 'meta' equivalent) will be hosted in virtual reality / a ('the'?) metaverse</v>
      </c>
      <c r="C78" s="15" t="str">
        <f>Main!C78</f>
        <v>Technology</v>
      </c>
      <c r="D78" s="15">
        <v>0.5</v>
      </c>
      <c r="F78" s="99">
        <f>$D78-vlookup(Summary!$C78,Summary!$C$2:$Q$103,3+counta($F$1:F$1),false)</f>
        <v>0.2</v>
      </c>
      <c r="G78" s="99">
        <f>$D78-vlookup(Summary!$C78,Summary!$C$2:$Q$103,3+counta($F$1:G$1),false)</f>
        <v>-0.1</v>
      </c>
      <c r="H78" s="99">
        <f>$D78-vlookup(Summary!$C78,Summary!$C$2:$Q$103,3+counta($F$1:H$1),false)</f>
        <v>-0.4</v>
      </c>
      <c r="I78" s="99">
        <f>$D78-vlookup(Summary!$C78,Summary!$C$2:$Q$103,3+counta($F$1:I$1),false)</f>
        <v>0.4</v>
      </c>
      <c r="J78" s="99">
        <f>$D78-vlookup(Summary!$C78,Summary!$C$2:$Q$103,3+counta($F$1:J$1),false)</f>
        <v>-0.4</v>
      </c>
      <c r="K78" s="99">
        <f>$D78-vlookup(Summary!$C78,Summary!$C$2:$Q$103,3+counta($F$1:K$1),false)</f>
        <v>0</v>
      </c>
      <c r="L78" s="99">
        <f>$D78-vlookup(Summary!$C78,Summary!$C$2:$Q$103,3+counta($F$1:L$1),false)</f>
        <v>0</v>
      </c>
      <c r="M78" s="99">
        <f>$D78-vlookup(Summary!$C78,Summary!$C$2:$Q$103,3+counta($F$1:M$1),false)</f>
        <v>-0.4</v>
      </c>
      <c r="N78" s="99">
        <f>$D78-vlookup(Summary!$C78,Summary!$C$2:$Q$103,3+counta($F$1:N$1),false)</f>
        <v>0.3</v>
      </c>
      <c r="O78" s="99">
        <f>$D78-vlookup(Summary!$C78,Summary!$C$2:$Q$103,3+counta($F$1:O$1),false)</f>
        <v>0.15</v>
      </c>
      <c r="P78" s="99">
        <f>$D78-vlookup(Summary!$C78,Summary!$C$2:$Q$103,3+counta($F$1:P$1),false)</f>
        <v>0</v>
      </c>
      <c r="Q78" s="99">
        <f>$D78-vlookup(Summary!$C78,Summary!$C$2:$Q$103,3+counta($F$1:Q$1),false)</f>
        <v>-0.2</v>
      </c>
    </row>
    <row r="79" ht="15.75" customHeight="1">
      <c r="A79" s="15">
        <f>Main!A79</f>
        <v>78</v>
      </c>
      <c r="B79" s="15" t="str">
        <f>Main!B79</f>
        <v>Apple will announce mixed reality glasses</v>
      </c>
      <c r="C79" s="15" t="str">
        <f>Main!C79</f>
        <v>Technology</v>
      </c>
      <c r="D79" s="15">
        <v>0.1</v>
      </c>
      <c r="F79" s="99">
        <f>$D79-vlookup(Summary!$C79,Summary!$C$2:$Q$103,3+counta($F$1:F$1),false)</f>
        <v>-0.15</v>
      </c>
      <c r="G79" s="99">
        <f>$D79-vlookup(Summary!$C79,Summary!$C$2:$Q$103,3+counta($F$1:G$1),false)</f>
        <v>-0.3</v>
      </c>
      <c r="H79" s="99">
        <f>$D79-vlookup(Summary!$C79,Summary!$C$2:$Q$103,3+counta($F$1:H$1),false)</f>
        <v>-0.1</v>
      </c>
      <c r="I79" s="99">
        <f>$D79-vlookup(Summary!$C79,Summary!$C$2:$Q$103,3+counta($F$1:I$1),false)</f>
        <v>0</v>
      </c>
      <c r="J79" s="99">
        <f>$D79-vlookup(Summary!$C79,Summary!$C$2:$Q$103,3+counta($F$1:J$1),false)</f>
        <v>-0.8</v>
      </c>
      <c r="K79" s="99">
        <f>$D79-vlookup(Summary!$C79,Summary!$C$2:$Q$103,3+counta($F$1:K$1),false)</f>
        <v>-0.575</v>
      </c>
      <c r="L79" s="99">
        <f>$D79-vlookup(Summary!$C79,Summary!$C$2:$Q$103,3+counta($F$1:L$1),false)</f>
        <v>-0.35</v>
      </c>
      <c r="M79" s="99">
        <f>$D79-vlookup(Summary!$C79,Summary!$C$2:$Q$103,3+counta($F$1:M$1),false)</f>
        <v>-0.1</v>
      </c>
      <c r="N79" s="99">
        <f>$D79-vlookup(Summary!$C79,Summary!$C$2:$Q$103,3+counta($F$1:N$1),false)</f>
        <v>-0.6</v>
      </c>
      <c r="O79" s="99">
        <f>$D79-vlookup(Summary!$C79,Summary!$C$2:$Q$103,3+counta($F$1:O$1),false)</f>
        <v>-0.25</v>
      </c>
      <c r="P79" s="99">
        <f>$D79-vlookup(Summary!$C79,Summary!$C$2:$Q$103,3+counta($F$1:P$1),false)</f>
        <v>0</v>
      </c>
      <c r="Q79" s="99">
        <f>$D79-vlookup(Summary!$C79,Summary!$C$2:$Q$103,3+counta($F$1:Q$1),false)</f>
        <v>-0.7</v>
      </c>
    </row>
    <row r="80" ht="15.75" customHeight="1">
      <c r="A80" s="15">
        <f>Main!A80</f>
        <v>79</v>
      </c>
      <c r="B80" s="15" t="str">
        <f>Main!B80</f>
        <v> In-app purchases of Kindle books will be possible in the Kindle iphone app</v>
      </c>
      <c r="C80" s="15" t="str">
        <f>Main!C80</f>
        <v>Technology</v>
      </c>
      <c r="D80" s="15">
        <v>0.5</v>
      </c>
      <c r="F80" s="99">
        <f>$D80-vlookup(Summary!$C80,Summary!$C$2:$Q$103,3+counta($F$1:F$1),false)</f>
        <v>0</v>
      </c>
      <c r="G80" s="99">
        <f>$D80-vlookup(Summary!$C80,Summary!$C$2:$Q$103,3+counta($F$1:G$1),false)</f>
        <v>-0.05</v>
      </c>
      <c r="H80" s="99">
        <f>$D80-vlookup(Summary!$C80,Summary!$C$2:$Q$103,3+counta($F$1:H$1),false)</f>
        <v>0.3</v>
      </c>
      <c r="I80" s="99">
        <f>$D80-vlookup(Summary!$C80,Summary!$C$2:$Q$103,3+counta($F$1:I$1),false)</f>
        <v>0</v>
      </c>
      <c r="J80" s="99">
        <f>$D80-vlookup(Summary!$C80,Summary!$C$2:$Q$103,3+counta($F$1:J$1),false)</f>
        <v>-0.4</v>
      </c>
      <c r="K80" s="99">
        <f>$D80-vlookup(Summary!$C80,Summary!$C$2:$Q$103,3+counta($F$1:K$1),false)</f>
        <v>-0.35</v>
      </c>
      <c r="L80" s="99">
        <f>$D80-vlookup(Summary!$C80,Summary!$C$2:$Q$103,3+counta($F$1:L$1),false)</f>
        <v>0.3</v>
      </c>
      <c r="M80" s="99">
        <f>$D80-vlookup(Summary!$C80,Summary!$C$2:$Q$103,3+counta($F$1:M$1),false)</f>
        <v>0.3</v>
      </c>
      <c r="N80" s="99">
        <f>$D80-vlookup(Summary!$C80,Summary!$C$2:$Q$103,3+counta($F$1:N$1),false)</f>
        <v>-0.3</v>
      </c>
      <c r="O80" s="99">
        <f>$D80-vlookup(Summary!$C80,Summary!$C$2:$Q$103,3+counta($F$1:O$1),false)</f>
        <v>0.35</v>
      </c>
      <c r="P80" s="99">
        <f>$D80-vlookup(Summary!$C80,Summary!$C$2:$Q$103,3+counta($F$1:P$1),false)</f>
        <v>0</v>
      </c>
      <c r="Q80" s="99">
        <f>$D80-vlookup(Summary!$C80,Summary!$C$2:$Q$103,3+counta($F$1:Q$1),false)</f>
        <v>0</v>
      </c>
    </row>
    <row r="81" ht="15.75" customHeight="1">
      <c r="A81" s="15">
        <f>Main!A81</f>
        <v>80</v>
      </c>
      <c r="B81" s="15" t="str">
        <f>Main!B81</f>
        <v>It will be possible for at least one of the prediction participants to have food delivered by drone to their place of residence as a mainstream service, without it being part of a specific trial.</v>
      </c>
      <c r="C81" s="15" t="str">
        <f>Main!C81</f>
        <v>Technology</v>
      </c>
      <c r="D81" s="15">
        <v>0.9</v>
      </c>
      <c r="F81" s="99">
        <f>$D81-vlookup(Summary!$C81,Summary!$C$2:$Q$103,3+counta($F$1:F$1),false)</f>
        <v>0.7</v>
      </c>
      <c r="G81" s="99">
        <f>$D81-vlookup(Summary!$C81,Summary!$C$2:$Q$103,3+counta($F$1:G$1),false)</f>
        <v>0.6</v>
      </c>
      <c r="H81" s="99">
        <f>$D81-vlookup(Summary!$C81,Summary!$C$2:$Q$103,3+counta($F$1:H$1),false)</f>
        <v>0.8</v>
      </c>
      <c r="I81" s="99">
        <f>$D81-vlookup(Summary!$C81,Summary!$C$2:$Q$103,3+counta($F$1:I$1),false)</f>
        <v>0.8</v>
      </c>
      <c r="J81" s="99">
        <f>$D81-vlookup(Summary!$C81,Summary!$C$2:$Q$103,3+counta($F$1:J$1),false)</f>
        <v>0.5</v>
      </c>
      <c r="K81" s="99">
        <f>$D81-vlookup(Summary!$C81,Summary!$C$2:$Q$103,3+counta($F$1:K$1),false)</f>
        <v>0.25</v>
      </c>
      <c r="L81" s="99">
        <f>$D81-vlookup(Summary!$C81,Summary!$C$2:$Q$103,3+counta($F$1:L$1),false)</f>
        <v>0.4</v>
      </c>
      <c r="M81" s="99">
        <f>$D81-vlookup(Summary!$C81,Summary!$C$2:$Q$103,3+counta($F$1:M$1),false)</f>
        <v>0.8</v>
      </c>
      <c r="N81" s="99">
        <f>$D81-vlookup(Summary!$C81,Summary!$C$2:$Q$103,3+counta($F$1:N$1),false)</f>
        <v>0.2</v>
      </c>
      <c r="O81" s="99">
        <f>$D81-vlookup(Summary!$C81,Summary!$C$2:$Q$103,3+counta($F$1:O$1),false)</f>
        <v>0.25</v>
      </c>
      <c r="P81" s="99">
        <f>$D81-vlookup(Summary!$C81,Summary!$C$2:$Q$103,3+counta($F$1:P$1),false)</f>
        <v>0</v>
      </c>
      <c r="Q81" s="99">
        <f>$D81-vlookup(Summary!$C81,Summary!$C$2:$Q$103,3+counta($F$1:Q$1),false)</f>
        <v>0.25</v>
      </c>
    </row>
    <row r="82" ht="15.75" customHeight="1">
      <c r="A82" s="15">
        <f>Main!A82</f>
        <v>81</v>
      </c>
      <c r="B82" s="15" t="str">
        <f>Main!B82</f>
        <v>TMTG, the company that owns Trump’s “TRUTH Social” platform, will have a market cap of over $20 billion USD. (Twitter is around 35b)</v>
      </c>
      <c r="C82" s="15" t="str">
        <f>Main!C82</f>
        <v>Technology</v>
      </c>
      <c r="D82" s="15">
        <v>0.5</v>
      </c>
      <c r="F82" s="99">
        <f>$D82-vlookup(Summary!$C82,Summary!$C$2:$Q$103,3+counta($F$1:F$1),false)</f>
        <v>-0.4</v>
      </c>
      <c r="G82" s="99">
        <f>$D82-vlookup(Summary!$C82,Summary!$C$2:$Q$103,3+counta($F$1:G$1),false)</f>
        <v>-0.49</v>
      </c>
      <c r="H82" s="99">
        <f>$D82-vlookup(Summary!$C82,Summary!$C$2:$Q$103,3+counta($F$1:H$1),false)</f>
        <v>0.3</v>
      </c>
      <c r="I82" s="99">
        <f>$D82-vlookup(Summary!$C82,Summary!$C$2:$Q$103,3+counta($F$1:I$1),false)</f>
        <v>-0.4</v>
      </c>
      <c r="J82" s="99">
        <f>$D82-vlookup(Summary!$C82,Summary!$C$2:$Q$103,3+counta($F$1:J$1),false)</f>
        <v>0.2</v>
      </c>
      <c r="K82" s="99">
        <f>$D82-vlookup(Summary!$C82,Summary!$C$2:$Q$103,3+counta($F$1:K$1),false)</f>
        <v>-0.3</v>
      </c>
      <c r="L82" s="99">
        <f>$D82-vlookup(Summary!$C82,Summary!$C$2:$Q$103,3+counta($F$1:L$1),false)</f>
        <v>0.3</v>
      </c>
      <c r="M82" s="99">
        <f>$D82-vlookup(Summary!$C82,Summary!$C$2:$Q$103,3+counta($F$1:M$1),false)</f>
        <v>0.3</v>
      </c>
      <c r="N82" s="99">
        <f>$D82-vlookup(Summary!$C82,Summary!$C$2:$Q$103,3+counta($F$1:N$1),false)</f>
        <v>0.4</v>
      </c>
      <c r="O82" s="99">
        <f>$D82-vlookup(Summary!$C82,Summary!$C$2:$Q$103,3+counta($F$1:O$1),false)</f>
        <v>0.35</v>
      </c>
      <c r="P82" s="99">
        <f>$D82-vlookup(Summary!$C82,Summary!$C$2:$Q$103,3+counta($F$1:P$1),false)</f>
        <v>0</v>
      </c>
      <c r="Q82" s="99">
        <f>$D82-vlookup(Summary!$C82,Summary!$C$2:$Q$103,3+counta($F$1:Q$1),false)</f>
        <v>0.2</v>
      </c>
    </row>
    <row r="83" ht="15.75" customHeight="1">
      <c r="A83" s="15">
        <f>Main!A83</f>
        <v>82</v>
      </c>
      <c r="B83" s="15" t="str">
        <f>Main!B83</f>
        <v>It will not be financially viable to mine ethereum using commercial GPUs.</v>
      </c>
      <c r="C83" s="15" t="str">
        <f>Main!C83</f>
        <v>Technology</v>
      </c>
      <c r="D83" s="15">
        <v>0.5</v>
      </c>
      <c r="F83" s="99">
        <f>$D83-vlookup(Summary!$C83,Summary!$C$2:$Q$103,3+counta($F$1:F$1),false)</f>
        <v>-0.15</v>
      </c>
      <c r="G83" s="99">
        <f>$D83-vlookup(Summary!$C83,Summary!$C$2:$Q$103,3+counta($F$1:G$1),false)</f>
        <v>-0.3</v>
      </c>
      <c r="H83" s="99">
        <f>$D83-vlookup(Summary!$C83,Summary!$C$2:$Q$103,3+counta($F$1:H$1),false)</f>
        <v>-0.4</v>
      </c>
      <c r="I83" s="99">
        <f>$D83-vlookup(Summary!$C83,Summary!$C$2:$Q$103,3+counta($F$1:I$1),false)</f>
        <v>0</v>
      </c>
      <c r="J83" s="99">
        <f>$D83-vlookup(Summary!$C83,Summary!$C$2:$Q$103,3+counta($F$1:J$1),false)</f>
        <v>0</v>
      </c>
      <c r="K83" s="99">
        <f>$D83-vlookup(Summary!$C83,Summary!$C$2:$Q$103,3+counta($F$1:K$1),false)</f>
        <v>0</v>
      </c>
      <c r="L83" s="99">
        <f>$D83-vlookup(Summary!$C83,Summary!$C$2:$Q$103,3+counta($F$1:L$1),false)</f>
        <v>0.05</v>
      </c>
      <c r="M83" s="99">
        <f>$D83-vlookup(Summary!$C83,Summary!$C$2:$Q$103,3+counta($F$1:M$1),false)</f>
        <v>-0.4</v>
      </c>
      <c r="N83" s="99">
        <f>$D83-vlookup(Summary!$C83,Summary!$C$2:$Q$103,3+counta($F$1:N$1),false)</f>
        <v>-0.3</v>
      </c>
      <c r="O83" s="99">
        <f>$D83-vlookup(Summary!$C83,Summary!$C$2:$Q$103,3+counta($F$1:O$1),false)</f>
        <v>-0.35</v>
      </c>
      <c r="P83" s="99">
        <f>$D83-vlookup(Summary!$C83,Summary!$C$2:$Q$103,3+counta($F$1:P$1),false)</f>
        <v>0</v>
      </c>
      <c r="Q83" s="99">
        <f>$D83-vlookup(Summary!$C83,Summary!$C$2:$Q$103,3+counta($F$1:Q$1),false)</f>
        <v>-0.1</v>
      </c>
    </row>
    <row r="84" ht="15.75" customHeight="1">
      <c r="A84" s="15">
        <f>Main!A84</f>
        <v>83</v>
      </c>
      <c r="B84" s="15" t="str">
        <f>Main!B84</f>
        <v>China will have more than 800 satellites in orbit (currently around 500)</v>
      </c>
      <c r="C84" s="15" t="str">
        <f>Main!C84</f>
        <v>Technology</v>
      </c>
      <c r="D84" s="15">
        <v>0.5</v>
      </c>
      <c r="F84" s="99">
        <f>$D84-vlookup(Summary!$C84,Summary!$C$2:$Q$103,3+counta($F$1:F$1),false)</f>
        <v>0.1</v>
      </c>
      <c r="G84" s="99">
        <f>$D84-vlookup(Summary!$C84,Summary!$C$2:$Q$103,3+counta($F$1:G$1),false)</f>
        <v>-0.15</v>
      </c>
      <c r="H84" s="99">
        <f>$D84-vlookup(Summary!$C84,Summary!$C$2:$Q$103,3+counta($F$1:H$1),false)</f>
        <v>0.45</v>
      </c>
      <c r="I84" s="99">
        <f>$D84-vlookup(Summary!$C84,Summary!$C$2:$Q$103,3+counta($F$1:I$1),false)</f>
        <v>0.3</v>
      </c>
      <c r="J84" s="99">
        <f>$D84-vlookup(Summary!$C84,Summary!$C$2:$Q$103,3+counta($F$1:J$1),false)</f>
        <v>-0.2</v>
      </c>
      <c r="K84" s="99">
        <f>$D84-vlookup(Summary!$C84,Summary!$C$2:$Q$103,3+counta($F$1:K$1),false)</f>
        <v>-0.35</v>
      </c>
      <c r="L84" s="99">
        <f>$D84-vlookup(Summary!$C84,Summary!$C$2:$Q$103,3+counta($F$1:L$1),false)</f>
        <v>0.499</v>
      </c>
      <c r="M84" s="99">
        <f>$D84-vlookup(Summary!$C84,Summary!$C$2:$Q$103,3+counta($F$1:M$1),false)</f>
        <v>0.45</v>
      </c>
      <c r="N84" s="99">
        <f>$D84-vlookup(Summary!$C84,Summary!$C$2:$Q$103,3+counta($F$1:N$1),false)</f>
        <v>0.4</v>
      </c>
      <c r="O84" s="99">
        <f>$D84-vlookup(Summary!$C84,Summary!$C$2:$Q$103,3+counta($F$1:O$1),false)</f>
        <v>0.499</v>
      </c>
      <c r="P84" s="99">
        <f>$D84-vlookup(Summary!$C84,Summary!$C$2:$Q$103,3+counta($F$1:P$1),false)</f>
        <v>0</v>
      </c>
      <c r="Q84" s="99">
        <f>$D84-vlookup(Summary!$C84,Summary!$C$2:$Q$103,3+counta($F$1:Q$1),false)</f>
        <v>-0.15</v>
      </c>
    </row>
    <row r="85" ht="15.75" customHeight="1">
      <c r="A85" s="15">
        <f>Main!A85</f>
        <v>84</v>
      </c>
      <c r="B85" s="15" t="str">
        <f>Main!B85</f>
        <v>Australia will be in the top 40 countries for broadband speed (as tracked in wiki page)</v>
      </c>
      <c r="C85" s="15" t="str">
        <f>Main!C85</f>
        <v>Technology</v>
      </c>
      <c r="D85" s="15">
        <v>0.8</v>
      </c>
      <c r="F85" s="99">
        <f>$D85-vlookup(Summary!$C85,Summary!$C$2:$Q$103,3+counta($F$1:F$1),false)</f>
        <v>0.6</v>
      </c>
      <c r="G85" s="99">
        <f>$D85-vlookup(Summary!$C85,Summary!$C$2:$Q$103,3+counta($F$1:G$1),false)</f>
        <v>-0.1</v>
      </c>
      <c r="H85" s="99">
        <f>$D85-vlookup(Summary!$C85,Summary!$C$2:$Q$103,3+counta($F$1:H$1),false)</f>
        <v>0.75</v>
      </c>
      <c r="I85" s="99">
        <f>$D85-vlookup(Summary!$C85,Summary!$C$2:$Q$103,3+counta($F$1:I$1),false)</f>
        <v>0.5</v>
      </c>
      <c r="J85" s="99">
        <f>$D85-vlookup(Summary!$C85,Summary!$C$2:$Q$103,3+counta($F$1:J$1),false)</f>
        <v>0.6</v>
      </c>
      <c r="K85" s="99">
        <f>$D85-vlookup(Summary!$C85,Summary!$C$2:$Q$103,3+counta($F$1:K$1),false)</f>
        <v>0.1</v>
      </c>
      <c r="L85" s="99">
        <f>$D85-vlookup(Summary!$C85,Summary!$C$2:$Q$103,3+counta($F$1:L$1),false)</f>
        <v>0.75</v>
      </c>
      <c r="M85" s="99">
        <f>$D85-vlookup(Summary!$C85,Summary!$C$2:$Q$103,3+counta($F$1:M$1),false)</f>
        <v>0.75</v>
      </c>
      <c r="N85" s="99">
        <f>$D85-vlookup(Summary!$C85,Summary!$C$2:$Q$103,3+counta($F$1:N$1),false)</f>
        <v>0.1</v>
      </c>
      <c r="O85" s="99">
        <f>$D85-vlookup(Summary!$C85,Summary!$C$2:$Q$103,3+counta($F$1:O$1),false)</f>
        <v>0.65</v>
      </c>
      <c r="P85" s="99">
        <f>$D85-vlookup(Summary!$C85,Summary!$C$2:$Q$103,3+counta($F$1:P$1),false)</f>
        <v>0</v>
      </c>
      <c r="Q85" s="99">
        <f>$D85-vlookup(Summary!$C85,Summary!$C$2:$Q$103,3+counta($F$1:Q$1),false)</f>
        <v>0.1</v>
      </c>
    </row>
    <row r="86" ht="15.75" customHeight="1">
      <c r="A86" s="15">
        <f>Main!A86</f>
        <v>85</v>
      </c>
      <c r="B86" s="15" t="str">
        <f>Main!B86</f>
        <v>India will produce more total CO2 emissions than the US</v>
      </c>
      <c r="C86" s="15" t="str">
        <f>Main!C86</f>
        <v>Technology</v>
      </c>
      <c r="D86" s="15">
        <v>0.8</v>
      </c>
      <c r="F86" s="99">
        <f>$D86-vlookup(Summary!$C86,Summary!$C$2:$Q$103,3+counta($F$1:F$1),false)</f>
        <v>0.5</v>
      </c>
      <c r="G86" s="99">
        <f>$D86-vlookup(Summary!$C86,Summary!$C$2:$Q$103,3+counta($F$1:G$1),false)</f>
        <v>0.6</v>
      </c>
      <c r="H86" s="99">
        <f>$D86-vlookup(Summary!$C86,Summary!$C$2:$Q$103,3+counta($F$1:H$1),false)</f>
        <v>0.7</v>
      </c>
      <c r="I86" s="99">
        <f>$D86-vlookup(Summary!$C86,Summary!$C$2:$Q$103,3+counta($F$1:I$1),false)</f>
        <v>0.7</v>
      </c>
      <c r="J86" s="99">
        <f>$D86-vlookup(Summary!$C86,Summary!$C$2:$Q$103,3+counta($F$1:J$1),false)</f>
        <v>0.3</v>
      </c>
      <c r="K86" s="99">
        <f>$D86-vlookup(Summary!$C86,Summary!$C$2:$Q$103,3+counta($F$1:K$1),false)</f>
        <v>0</v>
      </c>
      <c r="L86" s="99">
        <f>$D86-vlookup(Summary!$C86,Summary!$C$2:$Q$103,3+counta($F$1:L$1),false)</f>
        <v>0.799</v>
      </c>
      <c r="M86" s="99">
        <f>$D86-vlookup(Summary!$C86,Summary!$C$2:$Q$103,3+counta($F$1:M$1),false)</f>
        <v>0.7</v>
      </c>
      <c r="N86" s="99">
        <f>$D86-vlookup(Summary!$C86,Summary!$C$2:$Q$103,3+counta($F$1:N$1),false)</f>
        <v>0</v>
      </c>
      <c r="O86" s="99">
        <f>$D86-vlookup(Summary!$C86,Summary!$C$2:$Q$103,3+counta($F$1:O$1),false)</f>
        <v>0.45</v>
      </c>
      <c r="P86" s="99">
        <f>$D86-vlookup(Summary!$C86,Summary!$C$2:$Q$103,3+counta($F$1:P$1),false)</f>
        <v>0</v>
      </c>
      <c r="Q86" s="99">
        <f>$D86-vlookup(Summary!$C86,Summary!$C$2:$Q$103,3+counta($F$1:Q$1),false)</f>
        <v>0.2</v>
      </c>
    </row>
    <row r="87" ht="15.75" customHeight="1">
      <c r="A87" s="15">
        <f>Main!A87</f>
        <v>86</v>
      </c>
      <c r="B87" s="15" t="str">
        <f>Main!B87</f>
        <v>The number of electric vehicles under $50K (excl on road costs) grows 67% or more in Australia, as listed on carsguide.com.au. Currently there are three cars: Hyundai Ioniq, Nissan Leaf and MG ZS EV</v>
      </c>
      <c r="C87" s="15" t="str">
        <f>Main!C87</f>
        <v>Technology</v>
      </c>
      <c r="D87" s="15">
        <v>0.7</v>
      </c>
      <c r="F87" s="99">
        <f>$D87-vlookup(Summary!$C87,Summary!$C$2:$Q$103,3+counta($F$1:F$1),false)</f>
        <v>0.3</v>
      </c>
      <c r="G87" s="99">
        <f>$D87-vlookup(Summary!$C87,Summary!$C$2:$Q$103,3+counta($F$1:G$1),false)</f>
        <v>-0.1</v>
      </c>
      <c r="H87" s="99">
        <f>$D87-vlookup(Summary!$C87,Summary!$C$2:$Q$103,3+counta($F$1:H$1),false)</f>
        <v>0</v>
      </c>
      <c r="I87" s="99">
        <f>$D87-vlookup(Summary!$C87,Summary!$C$2:$Q$103,3+counta($F$1:I$1),false)</f>
        <v>0.5</v>
      </c>
      <c r="J87" s="99">
        <f>$D87-vlookup(Summary!$C87,Summary!$C$2:$Q$103,3+counta($F$1:J$1),false)</f>
        <v>0.4</v>
      </c>
      <c r="K87" s="99">
        <f>$D87-vlookup(Summary!$C87,Summary!$C$2:$Q$103,3+counta($F$1:K$1),false)</f>
        <v>0.05</v>
      </c>
      <c r="L87" s="99">
        <f>$D87-vlookup(Summary!$C87,Summary!$C$2:$Q$103,3+counta($F$1:L$1),false)</f>
        <v>0.15</v>
      </c>
      <c r="M87" s="99">
        <f>$D87-vlookup(Summary!$C87,Summary!$C$2:$Q$103,3+counta($F$1:M$1),false)</f>
        <v>0</v>
      </c>
      <c r="N87" s="99">
        <f>$D87-vlookup(Summary!$C87,Summary!$C$2:$Q$103,3+counta($F$1:N$1),false)</f>
        <v>-0.2</v>
      </c>
      <c r="O87" s="99">
        <f>$D87-vlookup(Summary!$C87,Summary!$C$2:$Q$103,3+counta($F$1:O$1),false)</f>
        <v>0.35</v>
      </c>
      <c r="P87" s="99">
        <f>$D87-vlookup(Summary!$C87,Summary!$C$2:$Q$103,3+counta($F$1:P$1),false)</f>
        <v>0</v>
      </c>
      <c r="Q87" s="99">
        <f>$D87-vlookup(Summary!$C87,Summary!$C$2:$Q$103,3+counta($F$1:Q$1),false)</f>
        <v>0.35</v>
      </c>
    </row>
    <row r="88" ht="15.75" customHeight="1">
      <c r="A88" s="15">
        <f>Main!A88</f>
        <v>87</v>
      </c>
      <c r="B88" s="15" t="str">
        <f>Main!B88</f>
        <v>Boris Johnson will be replaced as Prime Minister by the Tory Party</v>
      </c>
      <c r="C88" s="15" t="str">
        <f>Main!C88</f>
        <v>World Politics</v>
      </c>
      <c r="D88" s="15">
        <v>0.9</v>
      </c>
      <c r="F88" s="99">
        <f>$D88-vlookup(Summary!$C88,Summary!$C$2:$Q$103,3+counta($F$1:F$1),false)</f>
        <v>0.05</v>
      </c>
      <c r="G88" s="99">
        <f>$D88-vlookup(Summary!$C88,Summary!$C$2:$Q$103,3+counta($F$1:G$1),false)</f>
        <v>0.1</v>
      </c>
      <c r="H88" s="99">
        <f>$D88-vlookup(Summary!$C88,Summary!$C$2:$Q$103,3+counta($F$1:H$1),false)</f>
        <v>0.6</v>
      </c>
      <c r="I88" s="99">
        <f>$D88-vlookup(Summary!$C88,Summary!$C$2:$Q$103,3+counta($F$1:I$1),false)</f>
        <v>0.1</v>
      </c>
      <c r="J88" s="99">
        <f>$D88-vlookup(Summary!$C88,Summary!$C$2:$Q$103,3+counta($F$1:J$1),false)</f>
        <v>0.5</v>
      </c>
      <c r="K88" s="99">
        <f>$D88-vlookup(Summary!$C88,Summary!$C$2:$Q$103,3+counta($F$1:K$1),false)</f>
        <v>0.05</v>
      </c>
      <c r="L88" s="99">
        <f>$D88-vlookup(Summary!$C88,Summary!$C$2:$Q$103,3+counta($F$1:L$1),false)</f>
        <v>0.8</v>
      </c>
      <c r="M88" s="99">
        <f>$D88-vlookup(Summary!$C88,Summary!$C$2:$Q$103,3+counta($F$1:M$1),false)</f>
        <v>0.6</v>
      </c>
      <c r="N88" s="99">
        <f>$D88-vlookup(Summary!$C88,Summary!$C$2:$Q$103,3+counta($F$1:N$1),false)</f>
        <v>0</v>
      </c>
      <c r="O88" s="99">
        <f>$D88-vlookup(Summary!$C88,Summary!$C$2:$Q$103,3+counta($F$1:O$1),false)</f>
        <v>0.25</v>
      </c>
      <c r="P88" s="99">
        <f>$D88-vlookup(Summary!$C88,Summary!$C$2:$Q$103,3+counta($F$1:P$1),false)</f>
        <v>0</v>
      </c>
      <c r="Q88" s="99">
        <f>$D88-vlookup(Summary!$C88,Summary!$C$2:$Q$103,3+counta($F$1:Q$1),false)</f>
        <v>0.4</v>
      </c>
    </row>
    <row r="89" ht="15.75" customHeight="1">
      <c r="A89" s="15">
        <f>Main!A89</f>
        <v>88</v>
      </c>
      <c r="B89" s="15" t="str">
        <f>Main!B89</f>
        <v>Boris Johnson will be the Prime Minister of the UK</v>
      </c>
      <c r="C89" s="15" t="str">
        <f>Main!C89</f>
        <v>World Politics</v>
      </c>
      <c r="D89" s="15">
        <v>0.1</v>
      </c>
      <c r="F89" s="99">
        <f>$D89-vlookup(Summary!$C89,Summary!$C$2:$Q$103,3+counta($F$1:F$1),false)</f>
        <v>-0.05</v>
      </c>
      <c r="G89" s="99">
        <f>$D89-vlookup(Summary!$C89,Summary!$C$2:$Q$103,3+counta($F$1:G$1),false)</f>
        <v>-0.1</v>
      </c>
      <c r="H89" s="99">
        <f>$D89-vlookup(Summary!$C89,Summary!$C$2:$Q$103,3+counta($F$1:H$1),false)</f>
        <v>-0.6</v>
      </c>
      <c r="I89" s="99">
        <f>$D89-vlookup(Summary!$C89,Summary!$C$2:$Q$103,3+counta($F$1:I$1),false)</f>
        <v>-0.1</v>
      </c>
      <c r="J89" s="99">
        <f>$D89-vlookup(Summary!$C89,Summary!$C$2:$Q$103,3+counta($F$1:J$1),false)</f>
        <v>-0.5</v>
      </c>
      <c r="K89" s="99">
        <f>$D89-vlookup(Summary!$C89,Summary!$C$2:$Q$103,3+counta($F$1:K$1),false)</f>
        <v>-0.15</v>
      </c>
      <c r="L89" s="99">
        <f>$D89-vlookup(Summary!$C89,Summary!$C$2:$Q$103,3+counta($F$1:L$1),false)</f>
        <v>-0.75</v>
      </c>
      <c r="M89" s="99">
        <f>$D89-vlookup(Summary!$C89,Summary!$C$2:$Q$103,3+counta($F$1:M$1),false)</f>
        <v>-0.6</v>
      </c>
      <c r="N89" s="99">
        <f>$D89-vlookup(Summary!$C89,Summary!$C$2:$Q$103,3+counta($F$1:N$1),false)</f>
        <v>-0.1</v>
      </c>
      <c r="O89" s="99">
        <f>$D89-vlookup(Summary!$C89,Summary!$C$2:$Q$103,3+counta($F$1:O$1),false)</f>
        <v>-0.25</v>
      </c>
      <c r="P89" s="99">
        <f>$D89-vlookup(Summary!$C89,Summary!$C$2:$Q$103,3+counta($F$1:P$1),false)</f>
        <v>0</v>
      </c>
      <c r="Q89" s="99">
        <f>$D89-vlookup(Summary!$C89,Summary!$C$2:$Q$103,3+counta($F$1:Q$1),false)</f>
        <v>-0.3</v>
      </c>
    </row>
    <row r="90" ht="15.75" customHeight="1">
      <c r="A90" s="15">
        <f>Main!A90</f>
        <v>89</v>
      </c>
      <c r="B90" s="15" t="str">
        <f>Main!B90</f>
        <v>At least some American states will resort to proclaimed and violent civil war rather that accept democratic elections</v>
      </c>
      <c r="C90" s="15" t="str">
        <f>Main!C90</f>
        <v>World Politics</v>
      </c>
      <c r="D90" s="15">
        <v>0.1</v>
      </c>
      <c r="F90" s="99">
        <f>$D90-vlookup(Summary!$C90,Summary!$C$2:$Q$103,3+counta($F$1:F$1),false)</f>
        <v>-0.2</v>
      </c>
      <c r="G90" s="99">
        <f>$D90-vlookup(Summary!$C90,Summary!$C$2:$Q$103,3+counta($F$1:G$1),false)</f>
        <v>0</v>
      </c>
      <c r="H90" s="99">
        <f>$D90-vlookup(Summary!$C90,Summary!$C$2:$Q$103,3+counta($F$1:H$1),false)</f>
        <v>0</v>
      </c>
      <c r="I90" s="99">
        <f>$D90-vlookup(Summary!$C90,Summary!$C$2:$Q$103,3+counta($F$1:I$1),false)</f>
        <v>0</v>
      </c>
      <c r="J90" s="99">
        <f>$D90-vlookup(Summary!$C90,Summary!$C$2:$Q$103,3+counta($F$1:J$1),false)</f>
        <v>-0.6</v>
      </c>
      <c r="K90" s="99">
        <f>$D90-vlookup(Summary!$C90,Summary!$C$2:$Q$103,3+counta($F$1:K$1),false)</f>
        <v>-0.1</v>
      </c>
      <c r="L90" s="99">
        <f>$D90-vlookup(Summary!$C90,Summary!$C$2:$Q$103,3+counta($F$1:L$1),false)</f>
        <v>0.05</v>
      </c>
      <c r="M90" s="99">
        <f>$D90-vlookup(Summary!$C90,Summary!$C$2:$Q$103,3+counta($F$1:M$1),false)</f>
        <v>0</v>
      </c>
      <c r="N90" s="99">
        <f>$D90-vlookup(Summary!$C90,Summary!$C$2:$Q$103,3+counta($F$1:N$1),false)</f>
        <v>0</v>
      </c>
      <c r="O90" s="99">
        <f>$D90-vlookup(Summary!$C90,Summary!$C$2:$Q$103,3+counta($F$1:O$1),false)</f>
        <v>0.099</v>
      </c>
      <c r="P90" s="99">
        <f>$D90-vlookup(Summary!$C90,Summary!$C$2:$Q$103,3+counta($F$1:P$1),false)</f>
        <v>0</v>
      </c>
      <c r="Q90" s="99">
        <f>$D90-vlookup(Summary!$C90,Summary!$C$2:$Q$103,3+counta($F$1:Q$1),false)</f>
        <v>-0.15</v>
      </c>
    </row>
    <row r="91" ht="15.75" customHeight="1">
      <c r="A91" s="15">
        <f>Main!A91</f>
        <v>90</v>
      </c>
      <c r="B91" s="15" t="str">
        <f>Main!B91</f>
        <v>Democrats will lose control of the US House of Representatives at the midterm elections</v>
      </c>
      <c r="C91" s="15" t="str">
        <f>Main!C91</f>
        <v>World Politics</v>
      </c>
      <c r="D91" s="15">
        <v>0.1</v>
      </c>
      <c r="F91" s="99">
        <f>$D91-vlookup(Summary!$C91,Summary!$C$2:$Q$103,3+counta($F$1:F$1),false)</f>
        <v>-0.7</v>
      </c>
      <c r="G91" s="99">
        <f>$D91-vlookup(Summary!$C91,Summary!$C$2:$Q$103,3+counta($F$1:G$1),false)</f>
        <v>-0.8</v>
      </c>
      <c r="H91" s="99">
        <f>$D91-vlookup(Summary!$C91,Summary!$C$2:$Q$103,3+counta($F$1:H$1),false)</f>
        <v>-0.6</v>
      </c>
      <c r="I91" s="99">
        <f>$D91-vlookup(Summary!$C91,Summary!$C$2:$Q$103,3+counta($F$1:I$1),false)</f>
        <v>-0.5</v>
      </c>
      <c r="J91" s="99">
        <f>$D91-vlookup(Summary!$C91,Summary!$C$2:$Q$103,3+counta($F$1:J$1),false)</f>
        <v>-0.8</v>
      </c>
      <c r="K91" s="99">
        <f>$D91-vlookup(Summary!$C91,Summary!$C$2:$Q$103,3+counta($F$1:K$1),false)</f>
        <v>-0.6</v>
      </c>
      <c r="L91" s="99">
        <f>$D91-vlookup(Summary!$C91,Summary!$C$2:$Q$103,3+counta($F$1:L$1),false)</f>
        <v>-0.6</v>
      </c>
      <c r="M91" s="99">
        <f>$D91-vlookup(Summary!$C91,Summary!$C$2:$Q$103,3+counta($F$1:M$1),false)</f>
        <v>-0.6</v>
      </c>
      <c r="N91" s="99">
        <f>$D91-vlookup(Summary!$C91,Summary!$C$2:$Q$103,3+counta($F$1:N$1),false)</f>
        <v>-0.7</v>
      </c>
      <c r="O91" s="99">
        <f>$D91-vlookup(Summary!$C91,Summary!$C$2:$Q$103,3+counta($F$1:O$1),false)</f>
        <v>-0.899</v>
      </c>
      <c r="P91" s="99">
        <f>$D91-vlookup(Summary!$C91,Summary!$C$2:$Q$103,3+counta($F$1:P$1),false)</f>
        <v>0</v>
      </c>
      <c r="Q91" s="99">
        <f>$D91-vlookup(Summary!$C91,Summary!$C$2:$Q$103,3+counta($F$1:Q$1),false)</f>
        <v>-0.3</v>
      </c>
    </row>
    <row r="92" ht="15.75" customHeight="1">
      <c r="A92" s="15">
        <f>Main!A92</f>
        <v>91</v>
      </c>
      <c r="B92" s="15" t="str">
        <f>Main!B92</f>
        <v>Democrats will not have control of the US Senate after the midterm election</v>
      </c>
      <c r="C92" s="15" t="str">
        <f>Main!C92</f>
        <v>World Politics</v>
      </c>
      <c r="D92" s="15">
        <v>0.1</v>
      </c>
      <c r="F92" s="99">
        <f>$D92-vlookup(Summary!$C92,Summary!$C$2:$Q$103,3+counta($F$1:F$1),false)</f>
        <v>-0.7</v>
      </c>
      <c r="G92" s="99">
        <f>$D92-vlookup(Summary!$C92,Summary!$C$2:$Q$103,3+counta($F$1:G$1),false)</f>
        <v>-0.8</v>
      </c>
      <c r="H92" s="99">
        <f>$D92-vlookup(Summary!$C92,Summary!$C$2:$Q$103,3+counta($F$1:H$1),false)</f>
        <v>-0.6</v>
      </c>
      <c r="I92" s="99">
        <f>$D92-vlookup(Summary!$C92,Summary!$C$2:$Q$103,3+counta($F$1:I$1),false)</f>
        <v>-0.5</v>
      </c>
      <c r="J92" s="99">
        <f>$D92-vlookup(Summary!$C92,Summary!$C$2:$Q$103,3+counta($F$1:J$1),false)</f>
        <v>-0.8</v>
      </c>
      <c r="K92" s="99">
        <f>$D92-vlookup(Summary!$C92,Summary!$C$2:$Q$103,3+counta($F$1:K$1),false)</f>
        <v>-0.7</v>
      </c>
      <c r="L92" s="99">
        <f>$D92-vlookup(Summary!$C92,Summary!$C$2:$Q$103,3+counta($F$1:L$1),false)</f>
        <v>-0.7</v>
      </c>
      <c r="M92" s="99">
        <f>$D92-vlookup(Summary!$C92,Summary!$C$2:$Q$103,3+counta($F$1:M$1),false)</f>
        <v>-0.6</v>
      </c>
      <c r="N92" s="99">
        <f>$D92-vlookup(Summary!$C92,Summary!$C$2:$Q$103,3+counta($F$1:N$1),false)</f>
        <v>-0.7</v>
      </c>
      <c r="O92" s="99">
        <f>$D92-vlookup(Summary!$C92,Summary!$C$2:$Q$103,3+counta($F$1:O$1),false)</f>
        <v>-0.899</v>
      </c>
      <c r="P92" s="99">
        <f>$D92-vlookup(Summary!$C92,Summary!$C$2:$Q$103,3+counta($F$1:P$1),false)</f>
        <v>0</v>
      </c>
      <c r="Q92" s="99">
        <f>$D92-vlookup(Summary!$C92,Summary!$C$2:$Q$103,3+counta($F$1:Q$1),false)</f>
        <v>-0.1</v>
      </c>
    </row>
    <row r="93" ht="15.75" customHeight="1">
      <c r="A93" s="15">
        <f>Main!A93</f>
        <v>92</v>
      </c>
      <c r="B93" s="15" t="str">
        <f>Main!B93</f>
        <v>Donald Trump will recieve at least 1 vote in the selection of the Speaker of the US house of Representatives (Congress)</v>
      </c>
      <c r="C93" s="15" t="str">
        <f>Main!C93</f>
        <v>World Politics</v>
      </c>
      <c r="D93" s="15">
        <v>0.1</v>
      </c>
      <c r="F93" s="99">
        <f>$D93-vlookup(Summary!$C93,Summary!$C$2:$Q$103,3+counta($F$1:F$1),false)</f>
        <v>-0.2</v>
      </c>
      <c r="G93" s="99">
        <f>$D93-vlookup(Summary!$C93,Summary!$C$2:$Q$103,3+counta($F$1:G$1),false)</f>
        <v>-0.2</v>
      </c>
      <c r="H93" s="99">
        <f>$D93-vlookup(Summary!$C93,Summary!$C$2:$Q$103,3+counta($F$1:H$1),false)</f>
        <v>-0.6</v>
      </c>
      <c r="I93" s="99">
        <f>$D93-vlookup(Summary!$C93,Summary!$C$2:$Q$103,3+counta($F$1:I$1),false)</f>
        <v>0</v>
      </c>
      <c r="J93" s="99">
        <f>$D93-vlookup(Summary!$C93,Summary!$C$2:$Q$103,3+counta($F$1:J$1),false)</f>
        <v>-0.8</v>
      </c>
      <c r="K93" s="99">
        <f>$D93-vlookup(Summary!$C93,Summary!$C$2:$Q$103,3+counta($F$1:K$1),false)</f>
        <v>-0.25</v>
      </c>
      <c r="L93" s="99">
        <f>$D93-vlookup(Summary!$C93,Summary!$C$2:$Q$103,3+counta($F$1:L$1),false)</f>
        <v>-0.6</v>
      </c>
      <c r="M93" s="99">
        <f>$D93-vlookup(Summary!$C93,Summary!$C$2:$Q$103,3+counta($F$1:M$1),false)</f>
        <v>-0.6</v>
      </c>
      <c r="N93" s="99">
        <f>$D93-vlookup(Summary!$C93,Summary!$C$2:$Q$103,3+counta($F$1:N$1),false)</f>
        <v>-0.8</v>
      </c>
      <c r="O93" s="99">
        <f>$D93-vlookup(Summary!$C93,Summary!$C$2:$Q$103,3+counta($F$1:O$1),false)</f>
        <v>-0.55</v>
      </c>
      <c r="P93" s="99">
        <f>$D93-vlookup(Summary!$C93,Summary!$C$2:$Q$103,3+counta($F$1:P$1),false)</f>
        <v>0</v>
      </c>
      <c r="Q93" s="99">
        <f>$D93-vlookup(Summary!$C93,Summary!$C$2:$Q$103,3+counta($F$1:Q$1),false)</f>
        <v>-0.4</v>
      </c>
    </row>
    <row r="94" ht="15.75" customHeight="1">
      <c r="A94" s="15">
        <f>Main!A94</f>
        <v>93</v>
      </c>
      <c r="B94" s="15" t="str">
        <f>Main!B94</f>
        <v>Donald Trump will release a book in 2022</v>
      </c>
      <c r="C94" s="15" t="str">
        <f>Main!C94</f>
        <v>World Politics</v>
      </c>
      <c r="D94" s="15">
        <v>0.5</v>
      </c>
      <c r="F94" s="99">
        <f>$D94-vlookup(Summary!$C94,Summary!$C$2:$Q$103,3+counta($F$1:F$1),false)</f>
        <v>-0.05</v>
      </c>
      <c r="G94" s="99">
        <f>$D94-vlookup(Summary!$C94,Summary!$C$2:$Q$103,3+counta($F$1:G$1),false)</f>
        <v>-0.2</v>
      </c>
      <c r="H94" s="99">
        <f>$D94-vlookup(Summary!$C94,Summary!$C$2:$Q$103,3+counta($F$1:H$1),false)</f>
        <v>-0.3</v>
      </c>
      <c r="I94" s="99">
        <f>$D94-vlookup(Summary!$C94,Summary!$C$2:$Q$103,3+counta($F$1:I$1),false)</f>
        <v>0.3</v>
      </c>
      <c r="J94" s="99">
        <f>$D94-vlookup(Summary!$C94,Summary!$C$2:$Q$103,3+counta($F$1:J$1),false)</f>
        <v>-0.4</v>
      </c>
      <c r="K94" s="99">
        <f>$D94-vlookup(Summary!$C94,Summary!$C$2:$Q$103,3+counta($F$1:K$1),false)</f>
        <v>-0.3</v>
      </c>
      <c r="L94" s="99">
        <f>$D94-vlookup(Summary!$C94,Summary!$C$2:$Q$103,3+counta($F$1:L$1),false)</f>
        <v>-0.05</v>
      </c>
      <c r="M94" s="99">
        <f>$D94-vlookup(Summary!$C94,Summary!$C$2:$Q$103,3+counta($F$1:M$1),false)</f>
        <v>-0.3</v>
      </c>
      <c r="N94" s="99">
        <f>$D94-vlookup(Summary!$C94,Summary!$C$2:$Q$103,3+counta($F$1:N$1),false)</f>
        <v>-0.4</v>
      </c>
      <c r="O94" s="99">
        <f>$D94-vlookup(Summary!$C94,Summary!$C$2:$Q$103,3+counta($F$1:O$1),false)</f>
        <v>0.35</v>
      </c>
      <c r="P94" s="99">
        <f>$D94-vlookup(Summary!$C94,Summary!$C$2:$Q$103,3+counta($F$1:P$1),false)</f>
        <v>0</v>
      </c>
      <c r="Q94" s="99">
        <f>$D94-vlookup(Summary!$C94,Summary!$C$2:$Q$103,3+counta($F$1:Q$1),false)</f>
        <v>-0.05</v>
      </c>
    </row>
    <row r="95" ht="15.75" customHeight="1">
      <c r="A95" s="15">
        <f>Main!A95</f>
        <v>94</v>
      </c>
      <c r="B95" s="15" t="str">
        <f>Main!B95</f>
        <v>Trump will announce he will contest the Republican presidential candidacy and launch an NFT</v>
      </c>
      <c r="C95" s="15" t="str">
        <f>Main!C95</f>
        <v>World Politics</v>
      </c>
      <c r="D95" s="15">
        <v>0.5</v>
      </c>
      <c r="F95" s="99">
        <f>$D95-vlookup(Summary!$C95,Summary!$C$2:$Q$103,3+counta($F$1:F$1),false)</f>
        <v>0.2</v>
      </c>
      <c r="G95" s="99">
        <f>$D95-vlookup(Summary!$C95,Summary!$C$2:$Q$103,3+counta($F$1:G$1),false)</f>
        <v>0.1</v>
      </c>
      <c r="H95" s="99">
        <f>$D95-vlookup(Summary!$C95,Summary!$C$2:$Q$103,3+counta($F$1:H$1),false)</f>
        <v>-0.2</v>
      </c>
      <c r="I95" s="99">
        <f>$D95-vlookup(Summary!$C95,Summary!$C$2:$Q$103,3+counta($F$1:I$1),false)</f>
        <v>0.45</v>
      </c>
      <c r="J95" s="99">
        <f>$D95-vlookup(Summary!$C95,Summary!$C$2:$Q$103,3+counta($F$1:J$1),false)</f>
        <v>-0.1</v>
      </c>
      <c r="K95" s="99">
        <f>$D95-vlookup(Summary!$C95,Summary!$C$2:$Q$103,3+counta($F$1:K$1),false)</f>
        <v>-0.4</v>
      </c>
      <c r="L95" s="99">
        <f>$D95-vlookup(Summary!$C95,Summary!$C$2:$Q$103,3+counta($F$1:L$1),false)</f>
        <v>0</v>
      </c>
      <c r="M95" s="99">
        <f>$D95-vlookup(Summary!$C95,Summary!$C$2:$Q$103,3+counta($F$1:M$1),false)</f>
        <v>-0.2</v>
      </c>
      <c r="N95" s="99">
        <f>$D95-vlookup(Summary!$C95,Summary!$C$2:$Q$103,3+counta($F$1:N$1),false)</f>
        <v>0.3</v>
      </c>
      <c r="O95" s="99">
        <f>$D95-vlookup(Summary!$C95,Summary!$C$2:$Q$103,3+counta($F$1:O$1),false)</f>
        <v>0.499</v>
      </c>
      <c r="P95" s="99">
        <f>$D95-vlookup(Summary!$C95,Summary!$C$2:$Q$103,3+counta($F$1:P$1),false)</f>
        <v>0</v>
      </c>
      <c r="Q95" s="99">
        <f>$D95-vlookup(Summary!$C95,Summary!$C$2:$Q$103,3+counta($F$1:Q$1),false)</f>
        <v>0.4</v>
      </c>
    </row>
    <row r="96" ht="15.75" customHeight="1">
      <c r="A96" s="15">
        <f>Main!A96</f>
        <v>95</v>
      </c>
      <c r="B96" s="15" t="str">
        <f>Main!B96</f>
        <v>China will invade Taiwan</v>
      </c>
      <c r="C96" s="15" t="str">
        <f>Main!C96</f>
        <v>World Politics</v>
      </c>
      <c r="D96" s="15">
        <v>0.1</v>
      </c>
      <c r="F96" s="99">
        <f>$D96-vlookup(Summary!$C96,Summary!$C$2:$Q$103,3+counta($F$1:F$1),false)</f>
        <v>-0.25</v>
      </c>
      <c r="G96" s="99">
        <f>$D96-vlookup(Summary!$C96,Summary!$C$2:$Q$103,3+counta($F$1:G$1),false)</f>
        <v>-0.1</v>
      </c>
      <c r="H96" s="99">
        <f>$D96-vlookup(Summary!$C96,Summary!$C$2:$Q$103,3+counta($F$1:H$1),false)</f>
        <v>-0.6</v>
      </c>
      <c r="I96" s="99">
        <f>$D96-vlookup(Summary!$C96,Summary!$C$2:$Q$103,3+counta($F$1:I$1),false)</f>
        <v>-0.5</v>
      </c>
      <c r="J96" s="99">
        <f>$D96-vlookup(Summary!$C96,Summary!$C$2:$Q$103,3+counta($F$1:J$1),false)</f>
        <v>-0.6</v>
      </c>
      <c r="K96" s="99">
        <f>$D96-vlookup(Summary!$C96,Summary!$C$2:$Q$103,3+counta($F$1:K$1),false)</f>
        <v>-0.3</v>
      </c>
      <c r="L96" s="99">
        <f>$D96-vlookup(Summary!$C96,Summary!$C$2:$Q$103,3+counta($F$1:L$1),false)</f>
        <v>0.05</v>
      </c>
      <c r="M96" s="99">
        <f>$D96-vlookup(Summary!$C96,Summary!$C$2:$Q$103,3+counta($F$1:M$1),false)</f>
        <v>-0.6</v>
      </c>
      <c r="N96" s="99">
        <f>$D96-vlookup(Summary!$C96,Summary!$C$2:$Q$103,3+counta($F$1:N$1),false)</f>
        <v>-0.1</v>
      </c>
      <c r="O96" s="99">
        <f>$D96-vlookup(Summary!$C96,Summary!$C$2:$Q$103,3+counta($F$1:O$1),false)</f>
        <v>0.099</v>
      </c>
      <c r="P96" s="99">
        <f>$D96-vlookup(Summary!$C96,Summary!$C$2:$Q$103,3+counta($F$1:P$1),false)</f>
        <v>0</v>
      </c>
      <c r="Q96" s="99">
        <f>$D96-vlookup(Summary!$C96,Summary!$C$2:$Q$103,3+counta($F$1:Q$1),false)</f>
        <v>-0.4</v>
      </c>
    </row>
    <row r="97" ht="15.75" customHeight="1">
      <c r="A97" s="15">
        <f>Main!A97</f>
        <v>96</v>
      </c>
      <c r="B97" s="15" t="str">
        <f>Main!B97</f>
        <v>A nuclear weapon will be detonated for any purpose (including a test) somewhere on earth or in space</v>
      </c>
      <c r="C97" s="15" t="str">
        <f>Main!C97</f>
        <v>World Politics</v>
      </c>
      <c r="D97" s="15">
        <v>0.5</v>
      </c>
      <c r="F97" s="99">
        <f>$D97-vlookup(Summary!$C97,Summary!$C$2:$Q$103,3+counta($F$1:F$1),false)</f>
        <v>0.4</v>
      </c>
      <c r="G97" s="99">
        <f>$D97-vlookup(Summary!$C97,Summary!$C$2:$Q$103,3+counta($F$1:G$1),false)</f>
        <v>0.1</v>
      </c>
      <c r="H97" s="99">
        <f>$D97-vlookup(Summary!$C97,Summary!$C$2:$Q$103,3+counta($F$1:H$1),false)</f>
        <v>0.4</v>
      </c>
      <c r="I97" s="99">
        <f>$D97-vlookup(Summary!$C97,Summary!$C$2:$Q$103,3+counta($F$1:I$1),false)</f>
        <v>0.3</v>
      </c>
      <c r="J97" s="99">
        <f>$D97-vlookup(Summary!$C97,Summary!$C$2:$Q$103,3+counta($F$1:J$1),false)</f>
        <v>-0.3</v>
      </c>
      <c r="K97" s="99">
        <f>$D97-vlookup(Summary!$C97,Summary!$C$2:$Q$103,3+counta($F$1:K$1),false)</f>
        <v>-0.2</v>
      </c>
      <c r="L97" s="99">
        <f>$D97-vlookup(Summary!$C97,Summary!$C$2:$Q$103,3+counta($F$1:L$1),false)</f>
        <v>0.2</v>
      </c>
      <c r="M97" s="99">
        <f>$D97-vlookup(Summary!$C97,Summary!$C$2:$Q$103,3+counta($F$1:M$1),false)</f>
        <v>0.4</v>
      </c>
      <c r="N97" s="99">
        <f>$D97-vlookup(Summary!$C97,Summary!$C$2:$Q$103,3+counta($F$1:N$1),false)</f>
        <v>0.4</v>
      </c>
      <c r="O97" s="99">
        <f>$D97-vlookup(Summary!$C97,Summary!$C$2:$Q$103,3+counta($F$1:O$1),false)</f>
        <v>0.35</v>
      </c>
      <c r="P97" s="99">
        <f>$D97-vlookup(Summary!$C97,Summary!$C$2:$Q$103,3+counta($F$1:P$1),false)</f>
        <v>0</v>
      </c>
      <c r="Q97" s="99">
        <f>$D97-vlookup(Summary!$C97,Summary!$C$2:$Q$103,3+counta($F$1:Q$1),false)</f>
        <v>-0.1</v>
      </c>
    </row>
    <row r="98" ht="15.75" customHeight="1">
      <c r="A98" s="15">
        <f>Main!A98</f>
        <v>97</v>
      </c>
      <c r="B98" s="15" t="str">
        <f>Main!B98</f>
        <v>Iran will announce it has produced a nuclear weapon</v>
      </c>
      <c r="C98" s="15" t="str">
        <f>Main!C98</f>
        <v>World Politics</v>
      </c>
      <c r="D98" s="15">
        <v>0.5</v>
      </c>
      <c r="F98" s="99">
        <f>$D98-vlookup(Summary!$C98,Summary!$C$2:$Q$103,3+counta($F$1:F$1),false)</f>
        <v>0.05</v>
      </c>
      <c r="G98" s="99">
        <f>$D98-vlookup(Summary!$C98,Summary!$C$2:$Q$103,3+counta($F$1:G$1),false)</f>
        <v>0.2</v>
      </c>
      <c r="H98" s="99">
        <f>$D98-vlookup(Summary!$C98,Summary!$C$2:$Q$103,3+counta($F$1:H$1),false)</f>
        <v>0.4</v>
      </c>
      <c r="I98" s="99">
        <f>$D98-vlookup(Summary!$C98,Summary!$C$2:$Q$103,3+counta($F$1:I$1),false)</f>
        <v>0.3</v>
      </c>
      <c r="J98" s="99">
        <f>$D98-vlookup(Summary!$C98,Summary!$C$2:$Q$103,3+counta($F$1:J$1),false)</f>
        <v>-0.1</v>
      </c>
      <c r="K98" s="99">
        <f>$D98-vlookup(Summary!$C98,Summary!$C$2:$Q$103,3+counta($F$1:K$1),false)</f>
        <v>-0.2</v>
      </c>
      <c r="L98" s="99">
        <f>$D98-vlookup(Summary!$C98,Summary!$C$2:$Q$103,3+counta($F$1:L$1),false)</f>
        <v>0.2</v>
      </c>
      <c r="M98" s="99">
        <f>$D98-vlookup(Summary!$C98,Summary!$C$2:$Q$103,3+counta($F$1:M$1),false)</f>
        <v>0.4</v>
      </c>
      <c r="N98" s="99">
        <f>$D98-vlookup(Summary!$C98,Summary!$C$2:$Q$103,3+counta($F$1:N$1),false)</f>
        <v>0.4</v>
      </c>
      <c r="O98" s="99">
        <f>$D98-vlookup(Summary!$C98,Summary!$C$2:$Q$103,3+counta($F$1:O$1),false)</f>
        <v>0.35</v>
      </c>
      <c r="P98" s="99">
        <f>$D98-vlookup(Summary!$C98,Summary!$C$2:$Q$103,3+counta($F$1:P$1),false)</f>
        <v>0</v>
      </c>
      <c r="Q98" s="99">
        <f>$D98-vlookup(Summary!$C98,Summary!$C$2:$Q$103,3+counta($F$1:Q$1),false)</f>
        <v>-0.1</v>
      </c>
    </row>
    <row r="99" ht="15.75" customHeight="1">
      <c r="A99" s="15">
        <f>Main!A99</f>
        <v>98</v>
      </c>
      <c r="B99" s="15" t="str">
        <f>Main!B99</f>
        <v>One or more of the G12 member countries will have diplomatically recognised Taiwan</v>
      </c>
      <c r="C99" s="15" t="str">
        <f>Main!C99</f>
        <v>World Politics</v>
      </c>
      <c r="D99" s="15">
        <v>0.5</v>
      </c>
      <c r="F99" s="99">
        <f>$D99-vlookup(Summary!$C99,Summary!$C$2:$Q$103,3+counta($F$1:F$1),false)</f>
        <v>0.35</v>
      </c>
      <c r="G99" s="99">
        <f>$D99-vlookup(Summary!$C99,Summary!$C$2:$Q$103,3+counta($F$1:G$1),false)</f>
        <v>0.3</v>
      </c>
      <c r="H99" s="99">
        <f>$D99-vlookup(Summary!$C99,Summary!$C$2:$Q$103,3+counta($F$1:H$1),false)</f>
        <v>0.4</v>
      </c>
      <c r="I99" s="99">
        <f>$D99-vlookup(Summary!$C99,Summary!$C$2:$Q$103,3+counta($F$1:I$1),false)</f>
        <v>0.3</v>
      </c>
      <c r="J99" s="99">
        <f>$D99-vlookup(Summary!$C99,Summary!$C$2:$Q$103,3+counta($F$1:J$1),false)</f>
        <v>0.1</v>
      </c>
      <c r="K99" s="99">
        <f>$D99-vlookup(Summary!$C99,Summary!$C$2:$Q$103,3+counta($F$1:K$1),false)</f>
        <v>-0.25</v>
      </c>
      <c r="L99" s="99">
        <f>$D99-vlookup(Summary!$C99,Summary!$C$2:$Q$103,3+counta($F$1:L$1),false)</f>
        <v>0.2</v>
      </c>
      <c r="M99" s="99">
        <f>$D99-vlookup(Summary!$C99,Summary!$C$2:$Q$103,3+counta($F$1:M$1),false)</f>
        <v>0.4</v>
      </c>
      <c r="N99" s="99">
        <f>$D99-vlookup(Summary!$C99,Summary!$C$2:$Q$103,3+counta($F$1:N$1),false)</f>
        <v>-0.1</v>
      </c>
      <c r="O99" s="99">
        <f>$D99-vlookup(Summary!$C99,Summary!$C$2:$Q$103,3+counta($F$1:O$1),false)</f>
        <v>0.35</v>
      </c>
      <c r="P99" s="99">
        <f>$D99-vlookup(Summary!$C99,Summary!$C$2:$Q$103,3+counta($F$1:P$1),false)</f>
        <v>0</v>
      </c>
      <c r="Q99" s="99">
        <f>$D99-vlookup(Summary!$C99,Summary!$C$2:$Q$103,3+counta($F$1:Q$1),false)</f>
        <v>-0.1</v>
      </c>
    </row>
    <row r="100" ht="15.75" customHeight="1">
      <c r="A100" s="15">
        <f>Main!A100</f>
        <v>99</v>
      </c>
      <c r="B100" s="15" t="str">
        <f>Main!B100</f>
        <v>Russia will have invaded Ukraine (as reported by CNN, BBC, Guardian or NYT)</v>
      </c>
      <c r="C100" s="15" t="str">
        <f>Main!C100</f>
        <v>World Politics</v>
      </c>
      <c r="D100" s="15">
        <v>0.1</v>
      </c>
      <c r="F100" s="99">
        <f>$D100-vlookup(Summary!$C100,Summary!$C$2:$Q$103,3+counta($F$1:F$1),false)</f>
        <v>-0.5</v>
      </c>
      <c r="G100" s="99">
        <f>$D100-vlookup(Summary!$C100,Summary!$C$2:$Q$103,3+counta($F$1:G$1),false)</f>
        <v>-0.3</v>
      </c>
      <c r="H100" s="99">
        <f>$D100-vlookup(Summary!$C100,Summary!$C$2:$Q$103,3+counta($F$1:H$1),false)</f>
        <v>-0.85</v>
      </c>
      <c r="I100" s="99">
        <f>$D100-vlookup(Summary!$C100,Summary!$C$2:$Q$103,3+counta($F$1:I$1),false)</f>
        <v>-0.7</v>
      </c>
      <c r="J100" s="99">
        <f>$D100-vlookup(Summary!$C100,Summary!$C$2:$Q$103,3+counta($F$1:J$1),false)</f>
        <v>-0.7</v>
      </c>
      <c r="K100" s="99">
        <f>$D100-vlookup(Summary!$C100,Summary!$C$2:$Q$103,3+counta($F$1:K$1),false)</f>
        <v>-0.6</v>
      </c>
      <c r="L100" s="99">
        <f>$D100-vlookup(Summary!$C100,Summary!$C$2:$Q$103,3+counta($F$1:L$1),false)</f>
        <v>-0.7</v>
      </c>
      <c r="M100" s="99">
        <f>$D100-vlookup(Summary!$C100,Summary!$C$2:$Q$103,3+counta($F$1:M$1),false)</f>
        <v>-0.85</v>
      </c>
      <c r="N100" s="99">
        <f>$D100-vlookup(Summary!$C100,Summary!$C$2:$Q$103,3+counta($F$1:N$1),false)</f>
        <v>-0.6</v>
      </c>
      <c r="O100" s="99">
        <f>$D100-vlookup(Summary!$C100,Summary!$C$2:$Q$103,3+counta($F$1:O$1),false)</f>
        <v>-0.55</v>
      </c>
      <c r="P100" s="99">
        <f>$D100-vlookup(Summary!$C100,Summary!$C$2:$Q$103,3+counta($F$1:P$1),false)</f>
        <v>0</v>
      </c>
      <c r="Q100" s="99">
        <f>$D100-vlookup(Summary!$C100,Summary!$C$2:$Q$103,3+counta($F$1:Q$1),false)</f>
        <v>-0.5</v>
      </c>
    </row>
    <row r="101" ht="15.75" customHeight="1">
      <c r="A101" s="15">
        <f>Main!A101</f>
        <v>100</v>
      </c>
      <c r="B101" s="15" t="str">
        <f>Main!B101</f>
        <v>The US will have gone to battle with China or Russia ( nuclear battle acceptable) agreed upon by at least half the people attending 2022 predictions</v>
      </c>
      <c r="C101" s="15" t="str">
        <f>Main!C101</f>
        <v>World Politics</v>
      </c>
      <c r="D101" s="15">
        <v>0.1</v>
      </c>
      <c r="F101" s="99">
        <f>$D101-vlookup(Summary!$C101,Summary!$C$2:$Q$103,3+counta($F$1:F$1),false)</f>
        <v>-0.2</v>
      </c>
      <c r="G101" s="99">
        <f>$D101-vlookup(Summary!$C101,Summary!$C$2:$Q$103,3+counta($F$1:G$1),false)</f>
        <v>0</v>
      </c>
      <c r="H101" s="99">
        <f>$D101-vlookup(Summary!$C101,Summary!$C$2:$Q$103,3+counta($F$1:H$1),false)</f>
        <v>0</v>
      </c>
      <c r="I101" s="99">
        <f>$D101-vlookup(Summary!$C101,Summary!$C$2:$Q$103,3+counta($F$1:I$1),false)</f>
        <v>0</v>
      </c>
      <c r="J101" s="99">
        <f>$D101-vlookup(Summary!$C101,Summary!$C$2:$Q$103,3+counta($F$1:J$1),false)</f>
        <v>-0.4</v>
      </c>
      <c r="K101" s="99">
        <f>$D101-vlookup(Summary!$C101,Summary!$C$2:$Q$103,3+counta($F$1:K$1),false)</f>
        <v>-0.5</v>
      </c>
      <c r="L101" s="99">
        <f>$D101-vlookup(Summary!$C101,Summary!$C$2:$Q$103,3+counta($F$1:L$1),false)</f>
        <v>0</v>
      </c>
      <c r="M101" s="99">
        <f>$D101-vlookup(Summary!$C101,Summary!$C$2:$Q$103,3+counta($F$1:M$1),false)</f>
        <v>0</v>
      </c>
      <c r="N101" s="99">
        <f>$D101-vlookup(Summary!$C101,Summary!$C$2:$Q$103,3+counta($F$1:N$1),false)</f>
        <v>-0.1</v>
      </c>
      <c r="O101" s="99">
        <f>$D101-vlookup(Summary!$C101,Summary!$C$2:$Q$103,3+counta($F$1:O$1),false)</f>
        <v>0.099</v>
      </c>
      <c r="P101" s="99">
        <f>$D101-vlookup(Summary!$C101,Summary!$C$2:$Q$103,3+counta($F$1:P$1),false)</f>
        <v>0</v>
      </c>
      <c r="Q101" s="99">
        <f>$D101-vlookup(Summary!$C101,Summary!$C$2:$Q$103,3+counta($F$1:Q$1),false)</f>
        <v>-0.1</v>
      </c>
    </row>
    <row r="102" ht="15.75" customHeight="1">
      <c r="A102" s="15">
        <f>Main!A102</f>
        <v>101</v>
      </c>
      <c r="B102" s="15" t="str">
        <f>Main!B102</f>
        <v>There is an assassination attempt on Xi Jinping as reported in The Guardian</v>
      </c>
      <c r="C102" s="15" t="str">
        <f>Main!C102</f>
        <v>World Politics</v>
      </c>
      <c r="D102" s="15">
        <v>0.1</v>
      </c>
      <c r="F102" s="99">
        <f>$D102-vlookup(Summary!$C102,Summary!$C$2:$Q$103,3+counta($F$1:F$1),false)</f>
        <v>-0.05</v>
      </c>
      <c r="G102" s="99">
        <f>$D102-vlookup(Summary!$C102,Summary!$C$2:$Q$103,3+counta($F$1:G$1),false)</f>
        <v>-0.3</v>
      </c>
      <c r="H102" s="99">
        <f>$D102-vlookup(Summary!$C102,Summary!$C$2:$Q$103,3+counta($F$1:H$1),false)</f>
        <v>0.05</v>
      </c>
      <c r="I102" s="99">
        <f>$D102-vlookup(Summary!$C102,Summary!$C$2:$Q$103,3+counta($F$1:I$1),false)</f>
        <v>0</v>
      </c>
      <c r="J102" s="99">
        <f>$D102-vlookup(Summary!$C102,Summary!$C$2:$Q$103,3+counta($F$1:J$1),false)</f>
        <v>-0.2</v>
      </c>
      <c r="K102" s="99">
        <f>$D102-vlookup(Summary!$C102,Summary!$C$2:$Q$103,3+counta($F$1:K$1),false)</f>
        <v>-0.25</v>
      </c>
      <c r="L102" s="99">
        <f>$D102-vlookup(Summary!$C102,Summary!$C$2:$Q$103,3+counta($F$1:L$1),false)</f>
        <v>-0.4</v>
      </c>
      <c r="M102" s="99">
        <f>$D102-vlookup(Summary!$C102,Summary!$C$2:$Q$103,3+counta($F$1:M$1),false)</f>
        <v>0.05</v>
      </c>
      <c r="N102" s="99">
        <f>$D102-vlookup(Summary!$C102,Summary!$C$2:$Q$103,3+counta($F$1:N$1),false)</f>
        <v>0</v>
      </c>
      <c r="O102" s="99">
        <f>$D102-vlookup(Summary!$C102,Summary!$C$2:$Q$103,3+counta($F$1:O$1),false)</f>
        <v>0.099</v>
      </c>
      <c r="P102" s="99">
        <f>$D102-vlookup(Summary!$C102,Summary!$C$2:$Q$103,3+counta($F$1:P$1),false)</f>
        <v>0</v>
      </c>
      <c r="Q102" s="99">
        <f>$D102-vlookup(Summary!$C102,Summary!$C$2:$Q$103,3+counta($F$1:Q$1),false)</f>
        <v>-0.35</v>
      </c>
    </row>
    <row r="103" ht="15.75" customHeight="1">
      <c r="A103" s="15">
        <f>Main!A103</f>
        <v>102</v>
      </c>
      <c r="B103" s="15" t="str">
        <f>Main!B103</f>
        <v>Bolsanaro wins the next Brazilian elections</v>
      </c>
      <c r="C103" s="15" t="str">
        <f>Main!C103</f>
        <v>World Politics</v>
      </c>
      <c r="D103" s="15">
        <v>0.1</v>
      </c>
      <c r="F103" s="99">
        <f>$D103-vlookup(Summary!$C103,Summary!$C$2:$Q$103,3+counta($F$1:F$1),false)</f>
        <v>-0.3</v>
      </c>
      <c r="G103" s="99">
        <f>$D103-vlookup(Summary!$C103,Summary!$C$2:$Q$103,3+counta($F$1:G$1),false)</f>
        <v>-0.2</v>
      </c>
      <c r="H103" s="99">
        <f>$D103-vlookup(Summary!$C103,Summary!$C$2:$Q$103,3+counta($F$1:H$1),false)</f>
        <v>-0.3</v>
      </c>
      <c r="I103" s="99">
        <f>$D103-vlookup(Summary!$C103,Summary!$C$2:$Q$103,3+counta($F$1:I$1),false)</f>
        <v>-0.3</v>
      </c>
      <c r="J103" s="99">
        <f>$D103-vlookup(Summary!$C103,Summary!$C$2:$Q$103,3+counta($F$1:J$1),false)</f>
        <v>-0.7</v>
      </c>
      <c r="K103" s="99">
        <f>$D103-vlookup(Summary!$C103,Summary!$C$2:$Q$103,3+counta($F$1:K$1),false)</f>
        <v>-0.65</v>
      </c>
      <c r="L103" s="99">
        <f>$D103-vlookup(Summary!$C103,Summary!$C$2:$Q$103,3+counta($F$1:L$1),false)</f>
        <v>-0.2</v>
      </c>
      <c r="M103" s="99">
        <f>$D103-vlookup(Summary!$C103,Summary!$C$2:$Q$103,3+counta($F$1:M$1),false)</f>
        <v>-0.3</v>
      </c>
      <c r="N103" s="99">
        <f>$D103-vlookup(Summary!$C103,Summary!$C$2:$Q$103,3+counta($F$1:N$1),false)</f>
        <v>-0.1</v>
      </c>
      <c r="O103" s="99">
        <f>$D103-vlookup(Summary!$C103,Summary!$C$2:$Q$103,3+counta($F$1:O$1),false)</f>
        <v>-0.55</v>
      </c>
      <c r="P103" s="99">
        <f>$D103-vlookup(Summary!$C103,Summary!$C$2:$Q$103,3+counta($F$1:P$1),false)</f>
        <v>0</v>
      </c>
      <c r="Q103" s="99">
        <f>$D103-vlookup(Summary!$C103,Summary!$C$2:$Q$103,3+counta($F$1:Q$1),false)</f>
        <v>-0.5</v>
      </c>
    </row>
    <row r="104" ht="15.75" customHeight="1">
      <c r="A104" s="15" t="str">
        <f>Main!A104</f>
        <v/>
      </c>
      <c r="B104" s="15" t="str">
        <f>Main!B104</f>
        <v/>
      </c>
      <c r="C104" s="15" t="str">
        <f>Main!C104</f>
        <v/>
      </c>
      <c r="E104" s="104" t="s">
        <v>197</v>
      </c>
      <c r="F104" s="101">
        <f t="shared" ref="F104:Q104" si="1">countif(F$2:F$103,"&gt;=0.5")+countif(F$2:F$103,"&lt;=-0.5")</f>
        <v>12</v>
      </c>
      <c r="G104" s="101">
        <f t="shared" si="1"/>
        <v>17</v>
      </c>
      <c r="H104" s="101">
        <f t="shared" si="1"/>
        <v>24</v>
      </c>
      <c r="I104" s="101">
        <f t="shared" si="1"/>
        <v>19</v>
      </c>
      <c r="J104" s="103">
        <f t="shared" si="1"/>
        <v>26</v>
      </c>
      <c r="K104" s="101">
        <f t="shared" si="1"/>
        <v>23</v>
      </c>
      <c r="L104" s="101">
        <f t="shared" si="1"/>
        <v>21</v>
      </c>
      <c r="M104" s="101">
        <f t="shared" si="1"/>
        <v>24</v>
      </c>
      <c r="N104" s="101">
        <f t="shared" si="1"/>
        <v>22</v>
      </c>
      <c r="O104" s="101">
        <f t="shared" si="1"/>
        <v>16</v>
      </c>
      <c r="P104" s="101">
        <f t="shared" si="1"/>
        <v>0</v>
      </c>
      <c r="Q104" s="102">
        <f t="shared" si="1"/>
        <v>11</v>
      </c>
    </row>
    <row r="105" ht="15.75" customHeight="1">
      <c r="A105" s="15" t="str">
        <f>Main!A105</f>
        <v/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14:B1000">
    <cfRule type="notContainsBlanks" dxfId="2" priority="1">
      <formula>LEN(TRIM(B114))&gt;0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135.38"/>
    <col customWidth="1" min="3" max="3" width="12.63"/>
    <col customWidth="1" min="4" max="4" width="19.75"/>
    <col customWidth="1" min="5" max="5" width="19.88"/>
    <col customWidth="1" min="6" max="7" width="12.63"/>
  </cols>
  <sheetData>
    <row r="1" ht="15.75" customHeight="1">
      <c r="A1" s="92" t="s">
        <v>4</v>
      </c>
      <c r="B1" s="92" t="s">
        <v>6</v>
      </c>
      <c r="C1" s="92" t="s">
        <v>5</v>
      </c>
      <c r="D1" s="92" t="s">
        <v>194</v>
      </c>
      <c r="E1" s="92" t="s">
        <v>195</v>
      </c>
      <c r="F1" s="8" t="s">
        <v>9</v>
      </c>
      <c r="G1" s="10" t="s">
        <v>21</v>
      </c>
      <c r="H1" s="8" t="s">
        <v>11</v>
      </c>
      <c r="I1" s="10" t="s">
        <v>12</v>
      </c>
      <c r="J1" s="8" t="s">
        <v>13</v>
      </c>
      <c r="K1" s="98" t="s">
        <v>196</v>
      </c>
      <c r="L1" s="8" t="s">
        <v>15</v>
      </c>
      <c r="M1" s="10" t="s">
        <v>16</v>
      </c>
      <c r="N1" s="8" t="s">
        <v>17</v>
      </c>
      <c r="O1" s="10" t="s">
        <v>18</v>
      </c>
      <c r="P1" s="8" t="s">
        <v>19</v>
      </c>
      <c r="Q1" s="10" t="s">
        <v>20</v>
      </c>
    </row>
    <row r="2" ht="15.75" customHeight="1">
      <c r="A2" s="15">
        <f>Main!A2</f>
        <v>1</v>
      </c>
      <c r="B2" s="15" t="str">
        <f>Main!B2</f>
        <v>That there will be a hung parliament at the next election and Labor will take office</v>
      </c>
      <c r="C2" s="15" t="str">
        <f>Main!C2</f>
        <v>Aus Politics</v>
      </c>
      <c r="D2" s="15">
        <v>0.45</v>
      </c>
      <c r="F2" s="99">
        <f>$D2-vlookup(Summary!$C2,Summary!$C$2:$Q$103,3+counta($F$1:F$1),false)</f>
        <v>0.05</v>
      </c>
      <c r="G2" s="99">
        <f>$D2-vlookup(Summary!$C2,Summary!$C$2:$Q$103,3+counta($F$1:G$1),false)</f>
        <v>-0.25</v>
      </c>
      <c r="H2" s="99">
        <f>$D2-vlookup(Summary!$C2,Summary!$C$2:$Q$103,3+counta($F$1:H$1),false)</f>
        <v>0.35</v>
      </c>
      <c r="I2" s="99">
        <f>$D2-vlookup(Summary!$C2,Summary!$C$2:$Q$103,3+counta($F$1:I$1),false)</f>
        <v>0.25</v>
      </c>
      <c r="J2" s="99">
        <f>$D2-vlookup(Summary!$C2,Summary!$C$2:$Q$103,3+counta($F$1:J$1),false)</f>
        <v>-0.05</v>
      </c>
      <c r="K2" s="99">
        <f>$D2-vlookup(Summary!$C2,Summary!$C$2:$Q$103,3+counta($F$1:K$1),false)</f>
        <v>-0.2</v>
      </c>
      <c r="L2" s="99">
        <f>$D2-vlookup(Summary!$C2,Summary!$C$2:$Q$103,3+counta($F$1:L$1),false)</f>
        <v>0.25</v>
      </c>
      <c r="M2" s="99">
        <f>$D2-vlookup(Summary!$C2,Summary!$C$2:$Q$103,3+counta($F$1:M$1),false)</f>
        <v>0.35</v>
      </c>
      <c r="N2" s="99">
        <f>$D2-vlookup(Summary!$C2,Summary!$C$2:$Q$103,3+counta($F$1:N$1),false)</f>
        <v>-0.35</v>
      </c>
      <c r="O2" s="99">
        <f>$D2-vlookup(Summary!$C2,Summary!$C$2:$Q$103,3+counta($F$1:O$1),false)</f>
        <v>0.1</v>
      </c>
      <c r="P2" s="99">
        <f>$D2-vlookup(Summary!$C2,Summary!$C$2:$Q$103,3+counta($F$1:P$1),false)</f>
        <v>0.35</v>
      </c>
      <c r="Q2" s="99">
        <f>$D2-vlookup(Summary!$C2,Summary!$C$2:$Q$103,3+counta($F$1:Q$1),false)</f>
        <v>0</v>
      </c>
    </row>
    <row r="3" ht="15.75" customHeight="1">
      <c r="A3" s="15">
        <f>Main!A3</f>
        <v>2</v>
      </c>
      <c r="B3" s="15" t="str">
        <f>Main!B3</f>
        <v>Dan Andrews will become leader of the Australian Labor Party</v>
      </c>
      <c r="C3" s="15" t="str">
        <f>Main!C3</f>
        <v>Aus Politics</v>
      </c>
      <c r="D3" s="15">
        <v>0.01</v>
      </c>
      <c r="F3" s="99">
        <f>$D3-vlookup(Summary!$C3,Summary!$C$2:$Q$103,3+counta($F$1:F$1),false)</f>
        <v>-0.19</v>
      </c>
      <c r="G3" s="99">
        <f>$D3-vlookup(Summary!$C3,Summary!$C$2:$Q$103,3+counta($F$1:G$1),false)</f>
        <v>-0.09</v>
      </c>
      <c r="H3" s="99">
        <f>$D3-vlookup(Summary!$C3,Summary!$C$2:$Q$103,3+counta($F$1:H$1),false)</f>
        <v>-0.04</v>
      </c>
      <c r="I3" s="99">
        <f>$D3-vlookup(Summary!$C3,Summary!$C$2:$Q$103,3+counta($F$1:I$1),false)</f>
        <v>-0.19</v>
      </c>
      <c r="J3" s="99">
        <f>$D3-vlookup(Summary!$C3,Summary!$C$2:$Q$103,3+counta($F$1:J$1),false)</f>
        <v>-0.09</v>
      </c>
      <c r="K3" s="99">
        <f>$D3-vlookup(Summary!$C3,Summary!$C$2:$Q$103,3+counta($F$1:K$1),false)</f>
        <v>0.01</v>
      </c>
      <c r="L3" s="99">
        <f>$D3-vlookup(Summary!$C3,Summary!$C$2:$Q$103,3+counta($F$1:L$1),false)</f>
        <v>0.009</v>
      </c>
      <c r="M3" s="99">
        <f>$D3-vlookup(Summary!$C3,Summary!$C$2:$Q$103,3+counta($F$1:M$1),false)</f>
        <v>-0.04</v>
      </c>
      <c r="N3" s="99">
        <f>$D3-vlookup(Summary!$C3,Summary!$C$2:$Q$103,3+counta($F$1:N$1),false)</f>
        <v>-0.09</v>
      </c>
      <c r="O3" s="99">
        <f>$D3-vlookup(Summary!$C3,Summary!$C$2:$Q$103,3+counta($F$1:O$1),false)</f>
        <v>0.009</v>
      </c>
      <c r="P3" s="99">
        <f>$D3-vlookup(Summary!$C3,Summary!$C$2:$Q$103,3+counta($F$1:P$1),false)</f>
        <v>-0.09</v>
      </c>
      <c r="Q3" s="99">
        <f>$D3-vlookup(Summary!$C3,Summary!$C$2:$Q$103,3+counta($F$1:Q$1),false)</f>
        <v>0</v>
      </c>
    </row>
    <row r="4" ht="15.75" customHeight="1">
      <c r="A4" s="15">
        <f>Main!A4</f>
        <v>3</v>
      </c>
      <c r="B4" s="15" t="str">
        <f>Main!B4</f>
        <v>The Greens will get more than 9 senators in the next federal election</v>
      </c>
      <c r="C4" s="15" t="str">
        <f>Main!C4</f>
        <v>Aus Politics</v>
      </c>
      <c r="D4" s="15">
        <v>0.55</v>
      </c>
      <c r="F4" s="99">
        <f>$D4-vlookup(Summary!$C4,Summary!$C$2:$Q$103,3+counta($F$1:F$1),false)</f>
        <v>-0.05</v>
      </c>
      <c r="G4" s="99">
        <f>$D4-vlookup(Summary!$C4,Summary!$C$2:$Q$103,3+counta($F$1:G$1),false)</f>
        <v>0.25</v>
      </c>
      <c r="H4" s="99">
        <f>$D4-vlookup(Summary!$C4,Summary!$C$2:$Q$103,3+counta($F$1:H$1),false)</f>
        <v>0.45</v>
      </c>
      <c r="I4" s="99">
        <f>$D4-vlookup(Summary!$C4,Summary!$C$2:$Q$103,3+counta($F$1:I$1),false)</f>
        <v>-0.05</v>
      </c>
      <c r="J4" s="99">
        <f>$D4-vlookup(Summary!$C4,Summary!$C$2:$Q$103,3+counta($F$1:J$1),false)</f>
        <v>-0.15</v>
      </c>
      <c r="K4" s="99">
        <f>$D4-vlookup(Summary!$C4,Summary!$C$2:$Q$103,3+counta($F$1:K$1),false)</f>
        <v>-0.05</v>
      </c>
      <c r="L4" s="99">
        <f>$D4-vlookup(Summary!$C4,Summary!$C$2:$Q$103,3+counta($F$1:L$1),false)</f>
        <v>-0.15</v>
      </c>
      <c r="M4" s="99">
        <f>$D4-vlookup(Summary!$C4,Summary!$C$2:$Q$103,3+counta($F$1:M$1),false)</f>
        <v>0.45</v>
      </c>
      <c r="N4" s="99">
        <f>$D4-vlookup(Summary!$C4,Summary!$C$2:$Q$103,3+counta($F$1:N$1),false)</f>
        <v>0.45</v>
      </c>
      <c r="O4" s="99">
        <f>$D4-vlookup(Summary!$C4,Summary!$C$2:$Q$103,3+counta($F$1:O$1),false)</f>
        <v>0.05</v>
      </c>
      <c r="P4" s="99">
        <f>$D4-vlookup(Summary!$C4,Summary!$C$2:$Q$103,3+counta($F$1:P$1),false)</f>
        <v>0.05</v>
      </c>
      <c r="Q4" s="99">
        <f>$D4-vlookup(Summary!$C4,Summary!$C$2:$Q$103,3+counta($F$1:Q$1),false)</f>
        <v>0</v>
      </c>
    </row>
    <row r="5" ht="15.75" customHeight="1">
      <c r="A5" s="15">
        <f>Main!A5</f>
        <v>4</v>
      </c>
      <c r="B5" s="15" t="str">
        <f>Main!B5</f>
        <v>The House of Reps will include 5 independents by the end of the federal election</v>
      </c>
      <c r="C5" s="15" t="str">
        <f>Main!C5</f>
        <v>Aus Politics</v>
      </c>
      <c r="D5" s="15">
        <v>0.7</v>
      </c>
      <c r="F5" s="99">
        <f>$D5-vlookup(Summary!$C5,Summary!$C$2:$Q$103,3+counta($F$1:F$1),false)</f>
        <v>0</v>
      </c>
      <c r="G5" s="99">
        <f>$D5-vlookup(Summary!$C5,Summary!$C$2:$Q$103,3+counta($F$1:G$1),false)</f>
        <v>0.4</v>
      </c>
      <c r="H5" s="99">
        <f>$D5-vlookup(Summary!$C5,Summary!$C$2:$Q$103,3+counta($F$1:H$1),false)</f>
        <v>0.6</v>
      </c>
      <c r="I5" s="99">
        <f>$D5-vlookup(Summary!$C5,Summary!$C$2:$Q$103,3+counta($F$1:I$1),false)</f>
        <v>0</v>
      </c>
      <c r="J5" s="99">
        <f>$D5-vlookup(Summary!$C5,Summary!$C$2:$Q$103,3+counta($F$1:J$1),false)</f>
        <v>-0.2</v>
      </c>
      <c r="K5" s="99">
        <f>$D5-vlookup(Summary!$C5,Summary!$C$2:$Q$103,3+counta($F$1:K$1),false)</f>
        <v>-0.05</v>
      </c>
      <c r="L5" s="99">
        <f>$D5-vlookup(Summary!$C5,Summary!$C$2:$Q$103,3+counta($F$1:L$1),false)</f>
        <v>0.699</v>
      </c>
      <c r="M5" s="99">
        <f>$D5-vlookup(Summary!$C5,Summary!$C$2:$Q$103,3+counta($F$1:M$1),false)</f>
        <v>0.6</v>
      </c>
      <c r="N5" s="99">
        <f>$D5-vlookup(Summary!$C5,Summary!$C$2:$Q$103,3+counta($F$1:N$1),false)</f>
        <v>-0.2</v>
      </c>
      <c r="O5" s="99">
        <f>$D5-vlookup(Summary!$C5,Summary!$C$2:$Q$103,3+counta($F$1:O$1),false)</f>
        <v>0.2</v>
      </c>
      <c r="P5" s="99">
        <f>$D5-vlookup(Summary!$C5,Summary!$C$2:$Q$103,3+counta($F$1:P$1),false)</f>
        <v>-0.1</v>
      </c>
      <c r="Q5" s="99">
        <f>$D5-vlookup(Summary!$C5,Summary!$C$2:$Q$103,3+counta($F$1:Q$1),false)</f>
        <v>0</v>
      </c>
    </row>
    <row r="6" ht="15.75" customHeight="1">
      <c r="A6" s="15">
        <f>Main!A6</f>
        <v>5</v>
      </c>
      <c r="B6" s="15" t="str">
        <f>Main!B6</f>
        <v>The Australian Labor Party will not pledge to reverse the uni fee structure introduced in 2020</v>
      </c>
      <c r="C6" s="15" t="str">
        <f>Main!C6</f>
        <v>Aus Politics</v>
      </c>
      <c r="D6" s="15">
        <v>0.75</v>
      </c>
      <c r="F6" s="99">
        <f>$D6-vlookup(Summary!$C6,Summary!$C$2:$Q$103,3+counta($F$1:F$1),false)</f>
        <v>0.15</v>
      </c>
      <c r="G6" s="99">
        <f>$D6-vlookup(Summary!$C6,Summary!$C$2:$Q$103,3+counta($F$1:G$1),false)</f>
        <v>-0.05</v>
      </c>
      <c r="H6" s="99">
        <f>$D6-vlookup(Summary!$C6,Summary!$C$2:$Q$103,3+counta($F$1:H$1),false)</f>
        <v>-0.15</v>
      </c>
      <c r="I6" s="99">
        <f>$D6-vlookup(Summary!$C6,Summary!$C$2:$Q$103,3+counta($F$1:I$1),false)</f>
        <v>0.05</v>
      </c>
      <c r="J6" s="99">
        <f>$D6-vlookup(Summary!$C6,Summary!$C$2:$Q$103,3+counta($F$1:J$1),false)</f>
        <v>0.25</v>
      </c>
      <c r="K6" s="99">
        <f>$D6-vlookup(Summary!$C6,Summary!$C$2:$Q$103,3+counta($F$1:K$1),false)</f>
        <v>-0.1</v>
      </c>
      <c r="L6" s="99">
        <f>$D6-vlookup(Summary!$C6,Summary!$C$2:$Q$103,3+counta($F$1:L$1),false)</f>
        <v>-0.15</v>
      </c>
      <c r="M6" s="99">
        <f>$D6-vlookup(Summary!$C6,Summary!$C$2:$Q$103,3+counta($F$1:M$1),false)</f>
        <v>-0.15</v>
      </c>
      <c r="N6" s="99">
        <f>$D6-vlookup(Summary!$C6,Summary!$C$2:$Q$103,3+counta($F$1:N$1),false)</f>
        <v>-0.15</v>
      </c>
      <c r="O6" s="99">
        <f>$D6-vlookup(Summary!$C6,Summary!$C$2:$Q$103,3+counta($F$1:O$1),false)</f>
        <v>-0.1</v>
      </c>
      <c r="P6" s="99">
        <f>$D6-vlookup(Summary!$C6,Summary!$C$2:$Q$103,3+counta($F$1:P$1),false)</f>
        <v>-0.05</v>
      </c>
      <c r="Q6" s="99">
        <f>$D6-vlookup(Summary!$C6,Summary!$C$2:$Q$103,3+counta($F$1:Q$1),false)</f>
        <v>0</v>
      </c>
    </row>
    <row r="7" ht="15.75" customHeight="1">
      <c r="A7" s="15">
        <f>Main!A7</f>
        <v>6</v>
      </c>
      <c r="B7" s="15" t="str">
        <f>Main!B7</f>
        <v>Zali Steggal and Helen Haines will both retain their seats in Federal Parliament</v>
      </c>
      <c r="C7" s="15" t="str">
        <f>Main!C7</f>
        <v>Aus Politics</v>
      </c>
      <c r="D7" s="15">
        <v>0.5</v>
      </c>
      <c r="E7" s="15" t="s">
        <v>209</v>
      </c>
      <c r="F7" s="99">
        <f>$D7-vlookup(Summary!$C7,Summary!$C$2:$Q$103,3+counta($F$1:F$1),false)</f>
        <v>0</v>
      </c>
      <c r="G7" s="99">
        <f>$D7-vlookup(Summary!$C7,Summary!$C$2:$Q$103,3+counta($F$1:G$1),false)</f>
        <v>-0.4</v>
      </c>
      <c r="H7" s="99">
        <f>$D7-vlookup(Summary!$C7,Summary!$C$2:$Q$103,3+counta($F$1:H$1),false)</f>
        <v>0</v>
      </c>
      <c r="I7" s="99">
        <f>$D7-vlookup(Summary!$C7,Summary!$C$2:$Q$103,3+counta($F$1:I$1),false)</f>
        <v>-0.2</v>
      </c>
      <c r="J7" s="99">
        <f>$D7-vlookup(Summary!$C7,Summary!$C$2:$Q$103,3+counta($F$1:J$1),false)</f>
        <v>-0.4</v>
      </c>
      <c r="K7" s="99">
        <f>$D7-vlookup(Summary!$C7,Summary!$C$2:$Q$103,3+counta($F$1:K$1),false)</f>
        <v>-0.45</v>
      </c>
      <c r="L7" s="99">
        <f>$D7-vlookup(Summary!$C7,Summary!$C$2:$Q$103,3+counta($F$1:L$1),false)</f>
        <v>0.1</v>
      </c>
      <c r="M7" s="99">
        <f>$D7-vlookup(Summary!$C7,Summary!$C$2:$Q$103,3+counta($F$1:M$1),false)</f>
        <v>0</v>
      </c>
      <c r="N7" s="99">
        <f>$D7-vlookup(Summary!$C7,Summary!$C$2:$Q$103,3+counta($F$1:N$1),false)</f>
        <v>-0.4</v>
      </c>
      <c r="O7" s="99">
        <f>$D7-vlookup(Summary!$C7,Summary!$C$2:$Q$103,3+counta($F$1:O$1),false)</f>
        <v>-0.35</v>
      </c>
      <c r="P7" s="99">
        <f>$D7-vlookup(Summary!$C7,Summary!$C$2:$Q$103,3+counta($F$1:P$1),false)</f>
        <v>-0.4</v>
      </c>
      <c r="Q7" s="99">
        <f>$D7-vlookup(Summary!$C7,Summary!$C$2:$Q$103,3+counta($F$1:Q$1),false)</f>
        <v>0</v>
      </c>
    </row>
    <row r="8" ht="15.75" customHeight="1">
      <c r="A8" s="15">
        <f>Main!A8</f>
        <v>7</v>
      </c>
      <c r="B8" s="15" t="str">
        <f>Main!B8</f>
        <v>Scott Morrison will lose leadership of the Liberal Party at least once</v>
      </c>
      <c r="C8" s="15" t="str">
        <f>Main!C8</f>
        <v>Aus Politics</v>
      </c>
      <c r="D8" s="15">
        <v>0.9</v>
      </c>
      <c r="F8" s="99">
        <f>$D8-vlookup(Summary!$C8,Summary!$C$2:$Q$103,3+counta($F$1:F$1),false)</f>
        <v>0.1</v>
      </c>
      <c r="G8" s="99">
        <f>$D8-vlookup(Summary!$C8,Summary!$C$2:$Q$103,3+counta($F$1:G$1),false)</f>
        <v>0.2</v>
      </c>
      <c r="H8" s="99">
        <f>$D8-vlookup(Summary!$C8,Summary!$C$2:$Q$103,3+counta($F$1:H$1),false)</f>
        <v>0.75</v>
      </c>
      <c r="I8" s="99">
        <f>$D8-vlookup(Summary!$C8,Summary!$C$2:$Q$103,3+counta($F$1:I$1),false)</f>
        <v>0.6</v>
      </c>
      <c r="J8" s="99">
        <f>$D8-vlookup(Summary!$C8,Summary!$C$2:$Q$103,3+counta($F$1:J$1),false)</f>
        <v>0.3</v>
      </c>
      <c r="K8" s="99">
        <f>$D8-vlookup(Summary!$C8,Summary!$C$2:$Q$103,3+counta($F$1:K$1),false)</f>
        <v>0.15</v>
      </c>
      <c r="L8" s="99">
        <f>$D8-vlookup(Summary!$C8,Summary!$C$2:$Q$103,3+counta($F$1:L$1),false)</f>
        <v>0.4</v>
      </c>
      <c r="M8" s="99">
        <f>$D8-vlookup(Summary!$C8,Summary!$C$2:$Q$103,3+counta($F$1:M$1),false)</f>
        <v>0.85</v>
      </c>
      <c r="N8" s="99">
        <f>$D8-vlookup(Summary!$C8,Summary!$C$2:$Q$103,3+counta($F$1:N$1),false)</f>
        <v>0</v>
      </c>
      <c r="O8" s="99">
        <f>$D8-vlookup(Summary!$C8,Summary!$C$2:$Q$103,3+counta($F$1:O$1),false)</f>
        <v>0.55</v>
      </c>
      <c r="P8" s="99">
        <f>$D8-vlookup(Summary!$C8,Summary!$C$2:$Q$103,3+counta($F$1:P$1),false)</f>
        <v>0.2</v>
      </c>
      <c r="Q8" s="99">
        <f>$D8-vlookup(Summary!$C8,Summary!$C$2:$Q$103,3+counta($F$1:Q$1),false)</f>
        <v>0</v>
      </c>
    </row>
    <row r="9" ht="15.75" customHeight="1">
      <c r="A9" s="15">
        <f>Main!A9</f>
        <v>8</v>
      </c>
      <c r="B9" s="15" t="str">
        <f>Main!B9</f>
        <v>Anthony Albanese will be Prime Minister on at least one day</v>
      </c>
      <c r="C9" s="15" t="str">
        <f>Main!C9</f>
        <v>Aus Politics</v>
      </c>
      <c r="D9" s="15">
        <v>0.4</v>
      </c>
      <c r="F9" s="99">
        <f>$D9-vlookup(Summary!$C9,Summary!$C$2:$Q$103,3+counta($F$1:F$1),false)</f>
        <v>-0.2</v>
      </c>
      <c r="G9" s="99">
        <f>$D9-vlookup(Summary!$C9,Summary!$C$2:$Q$103,3+counta($F$1:G$1),false)</f>
        <v>-0.5</v>
      </c>
      <c r="H9" s="99">
        <f>$D9-vlookup(Summary!$C9,Summary!$C$2:$Q$103,3+counta($F$1:H$1),false)</f>
        <v>0.35</v>
      </c>
      <c r="I9" s="99">
        <f>$D9-vlookup(Summary!$C9,Summary!$C$2:$Q$103,3+counta($F$1:I$1),false)</f>
        <v>0.1</v>
      </c>
      <c r="J9" s="99">
        <f>$D9-vlookup(Summary!$C9,Summary!$C$2:$Q$103,3+counta($F$1:J$1),false)</f>
        <v>0.3</v>
      </c>
      <c r="K9" s="99">
        <f>$D9-vlookup(Summary!$C9,Summary!$C$2:$Q$103,3+counta($F$1:K$1),false)</f>
        <v>-0.35</v>
      </c>
      <c r="L9" s="99">
        <f>$D9-vlookup(Summary!$C9,Summary!$C$2:$Q$103,3+counta($F$1:L$1),false)</f>
        <v>0.1</v>
      </c>
      <c r="M9" s="99">
        <f>$D9-vlookup(Summary!$C9,Summary!$C$2:$Q$103,3+counta($F$1:M$1),false)</f>
        <v>0.35</v>
      </c>
      <c r="N9" s="99">
        <f>$D9-vlookup(Summary!$C9,Summary!$C$2:$Q$103,3+counta($F$1:N$1),false)</f>
        <v>-0.5</v>
      </c>
      <c r="O9" s="99">
        <f>$D9-vlookup(Summary!$C9,Summary!$C$2:$Q$103,3+counta($F$1:O$1),false)</f>
        <v>0.05</v>
      </c>
      <c r="P9" s="99">
        <f>$D9-vlookup(Summary!$C9,Summary!$C$2:$Q$103,3+counta($F$1:P$1),false)</f>
        <v>-0.4</v>
      </c>
      <c r="Q9" s="99">
        <f>$D9-vlookup(Summary!$C9,Summary!$C$2:$Q$103,3+counta($F$1:Q$1),false)</f>
        <v>0</v>
      </c>
    </row>
    <row r="10" ht="15.75" customHeight="1">
      <c r="A10" s="15">
        <f>Main!A10</f>
        <v>9</v>
      </c>
      <c r="B10" s="15" t="str">
        <f>Main!B10</f>
        <v>A sitting MP will make allegations of possible voter fraud or election 'rigging' in the 2022 Australian federal election</v>
      </c>
      <c r="C10" s="15" t="str">
        <f>Main!C10</f>
        <v>Aus Politics</v>
      </c>
      <c r="D10" s="15">
        <v>0.8</v>
      </c>
      <c r="F10" s="99">
        <f>$D10-vlookup(Summary!$C10,Summary!$C$2:$Q$103,3+counta($F$1:F$1),false)</f>
        <v>0.25</v>
      </c>
      <c r="G10" s="99">
        <f>$D10-vlookup(Summary!$C10,Summary!$C$2:$Q$103,3+counta($F$1:G$1),false)</f>
        <v>0.5</v>
      </c>
      <c r="H10" s="99">
        <f>$D10-vlookup(Summary!$C10,Summary!$C$2:$Q$103,3+counta($F$1:H$1),false)</f>
        <v>0.5</v>
      </c>
      <c r="I10" s="99">
        <f>$D10-vlookup(Summary!$C10,Summary!$C$2:$Q$103,3+counta($F$1:I$1),false)</f>
        <v>0.4</v>
      </c>
      <c r="J10" s="99">
        <f>$D10-vlookup(Summary!$C10,Summary!$C$2:$Q$103,3+counta($F$1:J$1),false)</f>
        <v>-0.1</v>
      </c>
      <c r="K10" s="99">
        <f>$D10-vlookup(Summary!$C10,Summary!$C$2:$Q$103,3+counta($F$1:K$1),false)</f>
        <v>0.45</v>
      </c>
      <c r="L10" s="99">
        <f>$D10-vlookup(Summary!$C10,Summary!$C$2:$Q$103,3+counta($F$1:L$1),false)</f>
        <v>-0.1</v>
      </c>
      <c r="M10" s="99">
        <f>$D10-vlookup(Summary!$C10,Summary!$C$2:$Q$103,3+counta($F$1:M$1),false)</f>
        <v>0.5</v>
      </c>
      <c r="N10" s="99">
        <f>$D10-vlookup(Summary!$C10,Summary!$C$2:$Q$103,3+counta($F$1:N$1),false)</f>
        <v>0.1</v>
      </c>
      <c r="O10" s="99">
        <f>$D10-vlookup(Summary!$C10,Summary!$C$2:$Q$103,3+counta($F$1:O$1),false)</f>
        <v>-0.05</v>
      </c>
      <c r="P10" s="99">
        <f>$D10-vlookup(Summary!$C10,Summary!$C$2:$Q$103,3+counta($F$1:P$1),false)</f>
        <v>0.4</v>
      </c>
      <c r="Q10" s="99">
        <f>$D10-vlookup(Summary!$C10,Summary!$C$2:$Q$103,3+counta($F$1:Q$1),false)</f>
        <v>0</v>
      </c>
    </row>
    <row r="11" ht="15.75" customHeight="1">
      <c r="A11" s="15">
        <f>Main!A11</f>
        <v>10</v>
      </c>
      <c r="B11" s="15" t="str">
        <f>Main!B11</f>
        <v>The Australian Intelligence Community will release a statement contradicting a Government minister or MP during the 2022 election campaign</v>
      </c>
      <c r="C11" s="15" t="str">
        <f>Main!C11</f>
        <v>Aus Politics</v>
      </c>
      <c r="D11" s="15">
        <v>0.75</v>
      </c>
      <c r="F11" s="99">
        <f>$D11-vlookup(Summary!$C11,Summary!$C$2:$Q$103,3+counta($F$1:F$1),false)</f>
        <v>0.35</v>
      </c>
      <c r="G11" s="99">
        <f>$D11-vlookup(Summary!$C11,Summary!$C$2:$Q$103,3+counta($F$1:G$1),false)</f>
        <v>0.55</v>
      </c>
      <c r="H11" s="99">
        <f>$D11-vlookup(Summary!$C11,Summary!$C$2:$Q$103,3+counta($F$1:H$1),false)</f>
        <v>0.65</v>
      </c>
      <c r="I11" s="99">
        <f>$D11-vlookup(Summary!$C11,Summary!$C$2:$Q$103,3+counta($F$1:I$1),false)</f>
        <v>0.55</v>
      </c>
      <c r="J11" s="99">
        <f>$D11-vlookup(Summary!$C11,Summary!$C$2:$Q$103,3+counta($F$1:J$1),false)</f>
        <v>0.65</v>
      </c>
      <c r="K11" s="99">
        <f>$D11-vlookup(Summary!$C11,Summary!$C$2:$Q$103,3+counta($F$1:K$1),false)</f>
        <v>0.2</v>
      </c>
      <c r="L11" s="99">
        <f>$D11-vlookup(Summary!$C11,Summary!$C$2:$Q$103,3+counta($F$1:L$1),false)</f>
        <v>0.6</v>
      </c>
      <c r="M11" s="99">
        <f>$D11-vlookup(Summary!$C11,Summary!$C$2:$Q$103,3+counta($F$1:M$1),false)</f>
        <v>0.65</v>
      </c>
      <c r="N11" s="99">
        <f>$D11-vlookup(Summary!$C11,Summary!$C$2:$Q$103,3+counta($F$1:N$1),false)</f>
        <v>-0.15</v>
      </c>
      <c r="O11" s="99">
        <f>$D11-vlookup(Summary!$C11,Summary!$C$2:$Q$103,3+counta($F$1:O$1),false)</f>
        <v>0.749</v>
      </c>
      <c r="P11" s="99">
        <f>$D11-vlookup(Summary!$C11,Summary!$C$2:$Q$103,3+counta($F$1:P$1),false)</f>
        <v>0.65</v>
      </c>
      <c r="Q11" s="99">
        <f>$D11-vlookup(Summary!$C11,Summary!$C$2:$Q$103,3+counta($F$1:Q$1),false)</f>
        <v>0</v>
      </c>
    </row>
    <row r="12" ht="15.75" customHeight="1">
      <c r="A12" s="15">
        <f>Main!A12</f>
        <v>11</v>
      </c>
      <c r="B12" s="15" t="str">
        <f>Main!B12</f>
        <v>Scott Morrison will still be the Prime Minister of Australia</v>
      </c>
      <c r="C12" s="15" t="str">
        <f>Main!C12</f>
        <v>Aus Politics</v>
      </c>
      <c r="D12" s="15">
        <v>0.1</v>
      </c>
      <c r="F12" s="99">
        <f>$D12-vlookup(Summary!$C12,Summary!$C$2:$Q$103,3+counta($F$1:F$1),false)</f>
        <v>-0.3</v>
      </c>
      <c r="G12" s="99">
        <f>$D12-vlookup(Summary!$C12,Summary!$C$2:$Q$103,3+counta($F$1:G$1),false)</f>
        <v>-0.1</v>
      </c>
      <c r="H12" s="99">
        <f>$D12-vlookup(Summary!$C12,Summary!$C$2:$Q$103,3+counta($F$1:H$1),false)</f>
        <v>-0.1</v>
      </c>
      <c r="I12" s="99">
        <f>$D12-vlookup(Summary!$C12,Summary!$C$2:$Q$103,3+counta($F$1:I$1),false)</f>
        <v>-0.7</v>
      </c>
      <c r="J12" s="99">
        <f>$D12-vlookup(Summary!$C12,Summary!$C$2:$Q$103,3+counta($F$1:J$1),false)</f>
        <v>-0.4</v>
      </c>
      <c r="K12" s="99">
        <f>$D12-vlookup(Summary!$C12,Summary!$C$2:$Q$103,3+counta($F$1:K$1),false)</f>
        <v>-0.65</v>
      </c>
      <c r="L12" s="99">
        <f>$D12-vlookup(Summary!$C12,Summary!$C$2:$Q$103,3+counta($F$1:L$1),false)</f>
        <v>-0.6</v>
      </c>
      <c r="M12" s="99">
        <f>$D12-vlookup(Summary!$C12,Summary!$C$2:$Q$103,3+counta($F$1:M$1),false)</f>
        <v>0.05</v>
      </c>
      <c r="N12" s="99">
        <f>$D12-vlookup(Summary!$C12,Summary!$C$2:$Q$103,3+counta($F$1:N$1),false)</f>
        <v>0</v>
      </c>
      <c r="O12" s="99">
        <f>$D12-vlookup(Summary!$C12,Summary!$C$2:$Q$103,3+counta($F$1:O$1),false)</f>
        <v>-0.55</v>
      </c>
      <c r="P12" s="99">
        <f>$D12-vlookup(Summary!$C12,Summary!$C$2:$Q$103,3+counta($F$1:P$1),false)</f>
        <v>-0.2</v>
      </c>
      <c r="Q12" s="99">
        <f>$D12-vlookup(Summary!$C12,Summary!$C$2:$Q$103,3+counta($F$1:Q$1),false)</f>
        <v>0</v>
      </c>
    </row>
    <row r="13" ht="15.75" customHeight="1">
      <c r="A13" s="15">
        <f>Main!A13</f>
        <v>12</v>
      </c>
      <c r="B13" s="15" t="str">
        <f>Main!B13</f>
        <v>An Australian federal Minister will step down from their position due to direct involvement (proven or otherwise) in sexual misconduct at some point in the year.</v>
      </c>
      <c r="C13" s="15" t="str">
        <f>Main!C13</f>
        <v>Aus Politics</v>
      </c>
      <c r="D13" s="15">
        <v>0.6</v>
      </c>
      <c r="F13" s="99">
        <f>$D13-vlookup(Summary!$C13,Summary!$C$2:$Q$103,3+counta($F$1:F$1),false)</f>
        <v>-0.05</v>
      </c>
      <c r="G13" s="99">
        <f>$D13-vlookup(Summary!$C13,Summary!$C$2:$Q$103,3+counta($F$1:G$1),false)</f>
        <v>0.2</v>
      </c>
      <c r="H13" s="99">
        <f>$D13-vlookup(Summary!$C13,Summary!$C$2:$Q$103,3+counta($F$1:H$1),false)</f>
        <v>0.5</v>
      </c>
      <c r="I13" s="99">
        <f>$D13-vlookup(Summary!$C13,Summary!$C$2:$Q$103,3+counta($F$1:I$1),false)</f>
        <v>-0.3</v>
      </c>
      <c r="J13" s="99">
        <f>$D13-vlookup(Summary!$C13,Summary!$C$2:$Q$103,3+counta($F$1:J$1),false)</f>
        <v>-0.3</v>
      </c>
      <c r="K13" s="99">
        <f>$D13-vlookup(Summary!$C13,Summary!$C$2:$Q$103,3+counta($F$1:K$1),false)</f>
        <v>0.25</v>
      </c>
      <c r="L13" s="99">
        <f>$D13-vlookup(Summary!$C13,Summary!$C$2:$Q$103,3+counta($F$1:L$1),false)</f>
        <v>0.4</v>
      </c>
      <c r="M13" s="99">
        <f>$D13-vlookup(Summary!$C13,Summary!$C$2:$Q$103,3+counta($F$1:M$1),false)</f>
        <v>0.5</v>
      </c>
      <c r="N13" s="99">
        <f>$D13-vlookup(Summary!$C13,Summary!$C$2:$Q$103,3+counta($F$1:N$1),false)</f>
        <v>0</v>
      </c>
      <c r="O13" s="99">
        <f>$D13-vlookup(Summary!$C13,Summary!$C$2:$Q$103,3+counta($F$1:O$1),false)</f>
        <v>0.45</v>
      </c>
      <c r="P13" s="99">
        <f>$D13-vlookup(Summary!$C13,Summary!$C$2:$Q$103,3+counta($F$1:P$1),false)</f>
        <v>0.3</v>
      </c>
      <c r="Q13" s="99">
        <f>$D13-vlookup(Summary!$C13,Summary!$C$2:$Q$103,3+counta($F$1:Q$1),false)</f>
        <v>0</v>
      </c>
    </row>
    <row r="14" ht="15.75" customHeight="1">
      <c r="A14" s="15">
        <f>Main!A14</f>
        <v>13</v>
      </c>
      <c r="B14" s="15" t="str">
        <f>Main!B14</f>
        <v>Friendlyjordies, or evidence he has brought to light, will feature in a court case or ICAC inquiry.</v>
      </c>
      <c r="C14" s="15" t="str">
        <f>Main!C14</f>
        <v>Aus Politics</v>
      </c>
      <c r="D14" s="15">
        <v>0.5</v>
      </c>
      <c r="F14" s="99">
        <f>$D14-vlookup(Summary!$C14,Summary!$C$2:$Q$103,3+counta($F$1:F$1),false)</f>
        <v>-0.05</v>
      </c>
      <c r="G14" s="99">
        <f>$D14-vlookup(Summary!$C14,Summary!$C$2:$Q$103,3+counta($F$1:G$1),false)</f>
        <v>-0.2</v>
      </c>
      <c r="H14" s="99">
        <f>$D14-vlookup(Summary!$C14,Summary!$C$2:$Q$103,3+counta($F$1:H$1),false)</f>
        <v>0.2</v>
      </c>
      <c r="I14" s="99">
        <f>$D14-vlookup(Summary!$C14,Summary!$C$2:$Q$103,3+counta($F$1:I$1),false)</f>
        <v>-0.1</v>
      </c>
      <c r="J14" s="99">
        <f>$D14-vlookup(Summary!$C14,Summary!$C$2:$Q$103,3+counta($F$1:J$1),false)</f>
        <v>-0.2</v>
      </c>
      <c r="K14" s="99">
        <f>$D14-vlookup(Summary!$C14,Summary!$C$2:$Q$103,3+counta($F$1:K$1),false)</f>
        <v>-0.15</v>
      </c>
      <c r="L14" s="99">
        <f>$D14-vlookup(Summary!$C14,Summary!$C$2:$Q$103,3+counta($F$1:L$1),false)</f>
        <v>0</v>
      </c>
      <c r="M14" s="99">
        <f>$D14-vlookup(Summary!$C14,Summary!$C$2:$Q$103,3+counta($F$1:M$1),false)</f>
        <v>0.2</v>
      </c>
      <c r="N14" s="99">
        <f>$D14-vlookup(Summary!$C14,Summary!$C$2:$Q$103,3+counta($F$1:N$1),false)</f>
        <v>0.4</v>
      </c>
      <c r="O14" s="99">
        <f>$D14-vlookup(Summary!$C14,Summary!$C$2:$Q$103,3+counta($F$1:O$1),false)</f>
        <v>0.35</v>
      </c>
      <c r="P14" s="99">
        <f>$D14-vlookup(Summary!$C14,Summary!$C$2:$Q$103,3+counta($F$1:P$1),false)</f>
        <v>0</v>
      </c>
      <c r="Q14" s="99">
        <f>$D14-vlookup(Summary!$C14,Summary!$C$2:$Q$103,3+counta($F$1:Q$1),false)</f>
        <v>0</v>
      </c>
    </row>
    <row r="15" ht="15.75" customHeight="1">
      <c r="A15" s="15">
        <f>Main!A15</f>
        <v>14</v>
      </c>
      <c r="B15" s="15" t="str">
        <f>Main!B15</f>
        <v>At least one person commits suicide as an effect of the Royal Commission into Defence and Veteran Suicide, as reported in The Guardian</v>
      </c>
      <c r="C15" s="15" t="str">
        <f>Main!C15</f>
        <v>Aus Politics</v>
      </c>
      <c r="D15" s="15">
        <v>0.4</v>
      </c>
      <c r="F15" s="99">
        <f>$D15-vlookup(Summary!$C15,Summary!$C$2:$Q$103,3+counta($F$1:F$1),false)</f>
        <v>0</v>
      </c>
      <c r="G15" s="99">
        <f>$D15-vlookup(Summary!$C15,Summary!$C$2:$Q$103,3+counta($F$1:G$1),false)</f>
        <v>-0.4</v>
      </c>
      <c r="H15" s="99">
        <f>$D15-vlookup(Summary!$C15,Summary!$C$2:$Q$103,3+counta($F$1:H$1),false)</f>
        <v>-0.3</v>
      </c>
      <c r="I15" s="99">
        <f>$D15-vlookup(Summary!$C15,Summary!$C$2:$Q$103,3+counta($F$1:I$1),false)</f>
        <v>0</v>
      </c>
      <c r="J15" s="99">
        <f>$D15-vlookup(Summary!$C15,Summary!$C$2:$Q$103,3+counta($F$1:J$1),false)</f>
        <v>0.1</v>
      </c>
      <c r="K15" s="99">
        <f>$D15-vlookup(Summary!$C15,Summary!$C$2:$Q$103,3+counta($F$1:K$1),false)</f>
        <v>-0.45</v>
      </c>
      <c r="L15" s="99">
        <f>$D15-vlookup(Summary!$C15,Summary!$C$2:$Q$103,3+counta($F$1:L$1),false)</f>
        <v>-0.2</v>
      </c>
      <c r="M15" s="99">
        <f>$D15-vlookup(Summary!$C15,Summary!$C$2:$Q$103,3+counta($F$1:M$1),false)</f>
        <v>-0.3</v>
      </c>
      <c r="N15" s="99">
        <f>$D15-vlookup(Summary!$C15,Summary!$C$2:$Q$103,3+counta($F$1:N$1),false)</f>
        <v>-0.5</v>
      </c>
      <c r="O15" s="99">
        <f>$D15-vlookup(Summary!$C15,Summary!$C$2:$Q$103,3+counta($F$1:O$1),false)</f>
        <v>0.25</v>
      </c>
      <c r="P15" s="99">
        <f>$D15-vlookup(Summary!$C15,Summary!$C$2:$Q$103,3+counta($F$1:P$1),false)</f>
        <v>-0.1</v>
      </c>
      <c r="Q15" s="99">
        <f>$D15-vlookup(Summary!$C15,Summary!$C$2:$Q$103,3+counta($F$1:Q$1),false)</f>
        <v>0</v>
      </c>
    </row>
    <row r="16" ht="15.75" customHeight="1">
      <c r="A16" s="15">
        <f>Main!A16</f>
        <v>15</v>
      </c>
      <c r="B16" s="15" t="str">
        <f>Main!B16</f>
        <v>Taylor Swift will get married</v>
      </c>
      <c r="C16" s="15" t="str">
        <f>Main!C16</f>
        <v>Celebrities</v>
      </c>
      <c r="D16" s="15">
        <v>0.01</v>
      </c>
      <c r="F16" s="99">
        <f>$D16-vlookup(Summary!$C16,Summary!$C$2:$Q$103,3+counta($F$1:F$1),false)</f>
        <v>-0.54</v>
      </c>
      <c r="G16" s="99">
        <f>$D16-vlookup(Summary!$C16,Summary!$C$2:$Q$103,3+counta($F$1:G$1),false)</f>
        <v>-0.39</v>
      </c>
      <c r="H16" s="99">
        <f>$D16-vlookup(Summary!$C16,Summary!$C$2:$Q$103,3+counta($F$1:H$1),false)</f>
        <v>-0.69</v>
      </c>
      <c r="I16" s="99">
        <f>$D16-vlookup(Summary!$C16,Summary!$C$2:$Q$103,3+counta($F$1:I$1),false)</f>
        <v>-0.14</v>
      </c>
      <c r="J16" s="99">
        <f>$D16-vlookup(Summary!$C16,Summary!$C$2:$Q$103,3+counta($F$1:J$1),false)</f>
        <v>-0.59</v>
      </c>
      <c r="K16" s="99">
        <f>$D16-vlookup(Summary!$C16,Summary!$C$2:$Q$103,3+counta($F$1:K$1),false)</f>
        <v>-0.79</v>
      </c>
      <c r="L16" s="99">
        <f>$D16-vlookup(Summary!$C16,Summary!$C$2:$Q$103,3+counta($F$1:L$1),false)</f>
        <v>-0.19</v>
      </c>
      <c r="M16" s="99">
        <f>$D16-vlookup(Summary!$C16,Summary!$C$2:$Q$103,3+counta($F$1:M$1),false)</f>
        <v>-0.69</v>
      </c>
      <c r="N16" s="99">
        <f>$D16-vlookup(Summary!$C16,Summary!$C$2:$Q$103,3+counta($F$1:N$1),false)</f>
        <v>-0.79</v>
      </c>
      <c r="O16" s="99">
        <f>$D16-vlookup(Summary!$C16,Summary!$C$2:$Q$103,3+counta($F$1:O$1),false)</f>
        <v>-0.14</v>
      </c>
      <c r="P16" s="99">
        <f>$D16-vlookup(Summary!$C16,Summary!$C$2:$Q$103,3+counta($F$1:P$1),false)</f>
        <v>-0.49</v>
      </c>
      <c r="Q16" s="99">
        <f>$D16-vlookup(Summary!$C16,Summary!$C$2:$Q$103,3+counta($F$1:Q$1),false)</f>
        <v>0</v>
      </c>
    </row>
    <row r="17" ht="15.75" customHeight="1">
      <c r="A17" s="15">
        <f>Main!A17</f>
        <v>16</v>
      </c>
      <c r="B17" s="15" t="str">
        <f>Main!B17</f>
        <v>Jane Campion will win the Oscar for Best Director</v>
      </c>
      <c r="C17" s="15" t="str">
        <f>Main!C17</f>
        <v>Celebrities</v>
      </c>
      <c r="D17" s="15">
        <v>0.3</v>
      </c>
      <c r="F17" s="99">
        <f>$D17-vlookup(Summary!$C17,Summary!$C$2:$Q$103,3+counta($F$1:F$1),false)</f>
        <v>-0.5</v>
      </c>
      <c r="G17" s="99">
        <f>$D17-vlookup(Summary!$C17,Summary!$C$2:$Q$103,3+counta($F$1:G$1),false)</f>
        <v>-0.3</v>
      </c>
      <c r="H17" s="99">
        <f>$D17-vlookup(Summary!$C17,Summary!$C$2:$Q$103,3+counta($F$1:H$1),false)</f>
        <v>0.1</v>
      </c>
      <c r="I17" s="99">
        <f>$D17-vlookup(Summary!$C17,Summary!$C$2:$Q$103,3+counta($F$1:I$1),false)</f>
        <v>-0.6</v>
      </c>
      <c r="J17" s="99">
        <f>$D17-vlookup(Summary!$C17,Summary!$C$2:$Q$103,3+counta($F$1:J$1),false)</f>
        <v>-0.6</v>
      </c>
      <c r="K17" s="99">
        <f>$D17-vlookup(Summary!$C17,Summary!$C$2:$Q$103,3+counta($F$1:K$1),false)</f>
        <v>-0.65</v>
      </c>
      <c r="L17" s="99">
        <f>$D17-vlookup(Summary!$C17,Summary!$C$2:$Q$103,3+counta($F$1:L$1),false)</f>
        <v>-0.4</v>
      </c>
      <c r="M17" s="99">
        <f>$D17-vlookup(Summary!$C17,Summary!$C$2:$Q$103,3+counta($F$1:M$1),false)</f>
        <v>0.1</v>
      </c>
      <c r="N17" s="99">
        <f>$D17-vlookup(Summary!$C17,Summary!$C$2:$Q$103,3+counta($F$1:N$1),false)</f>
        <v>0.2</v>
      </c>
      <c r="O17" s="99">
        <f>$D17-vlookup(Summary!$C17,Summary!$C$2:$Q$103,3+counta($F$1:O$1),false)</f>
        <v>-0.2</v>
      </c>
      <c r="P17" s="99">
        <f>$D17-vlookup(Summary!$C17,Summary!$C$2:$Q$103,3+counta($F$1:P$1),false)</f>
        <v>-0.2</v>
      </c>
      <c r="Q17" s="99">
        <f>$D17-vlookup(Summary!$C17,Summary!$C$2:$Q$103,3+counta($F$1:Q$1),false)</f>
        <v>0</v>
      </c>
    </row>
    <row r="18" ht="15.75" customHeight="1">
      <c r="A18" s="15">
        <f>Main!A18</f>
        <v>17</v>
      </c>
      <c r="B18" s="15" t="str">
        <f>Main!B18</f>
        <v>Harry and Megan's animated series "Pearl" will be released and have over 50% on Rotten Tomatoes</v>
      </c>
      <c r="C18" s="15" t="str">
        <f>Main!C18</f>
        <v>Celebrities</v>
      </c>
      <c r="D18" s="15">
        <v>0.4</v>
      </c>
      <c r="F18" s="99">
        <f>$D18-vlookup(Summary!$C18,Summary!$C$2:$Q$103,3+counta($F$1:F$1),false)</f>
        <v>0</v>
      </c>
      <c r="G18" s="99">
        <f>$D18-vlookup(Summary!$C18,Summary!$C$2:$Q$103,3+counta($F$1:G$1),false)</f>
        <v>0.1</v>
      </c>
      <c r="H18" s="99">
        <f>$D18-vlookup(Summary!$C18,Summary!$C$2:$Q$103,3+counta($F$1:H$1),false)</f>
        <v>-0.4</v>
      </c>
      <c r="I18" s="99">
        <f>$D18-vlookup(Summary!$C18,Summary!$C$2:$Q$103,3+counta($F$1:I$1),false)</f>
        <v>0</v>
      </c>
      <c r="J18" s="99">
        <f>$D18-vlookup(Summary!$C18,Summary!$C$2:$Q$103,3+counta($F$1:J$1),false)</f>
        <v>0.3</v>
      </c>
      <c r="K18" s="99">
        <f>$D18-vlookup(Summary!$C18,Summary!$C$2:$Q$103,3+counta($F$1:K$1),false)</f>
        <v>-0.4</v>
      </c>
      <c r="L18" s="99">
        <f>$D18-vlookup(Summary!$C18,Summary!$C$2:$Q$103,3+counta($F$1:L$1),false)</f>
        <v>0.2</v>
      </c>
      <c r="M18" s="99">
        <f>$D18-vlookup(Summary!$C18,Summary!$C$2:$Q$103,3+counta($F$1:M$1),false)</f>
        <v>-0.4</v>
      </c>
      <c r="N18" s="99">
        <f>$D18-vlookup(Summary!$C18,Summary!$C$2:$Q$103,3+counta($F$1:N$1),false)</f>
        <v>-0.4</v>
      </c>
      <c r="O18" s="99">
        <f>$D18-vlookup(Summary!$C18,Summary!$C$2:$Q$103,3+counta($F$1:O$1),false)</f>
        <v>0.25</v>
      </c>
      <c r="P18" s="99">
        <f>$D18-vlookup(Summary!$C18,Summary!$C$2:$Q$103,3+counta($F$1:P$1),false)</f>
        <v>-0.1</v>
      </c>
      <c r="Q18" s="99">
        <f>$D18-vlookup(Summary!$C18,Summary!$C$2:$Q$103,3+counta($F$1:Q$1),false)</f>
        <v>0</v>
      </c>
    </row>
    <row r="19" ht="15.75" customHeight="1">
      <c r="A19" s="15">
        <f>Main!A19</f>
        <v>18</v>
      </c>
      <c r="B19" s="15" t="str">
        <f>Main!B19</f>
        <v>Prince Andrew will enter or exit a courtroom wearing an oxygen mask and/or sitting in a wheelchair</v>
      </c>
      <c r="C19" s="15" t="str">
        <f>Main!C19</f>
        <v>Celebrities</v>
      </c>
      <c r="D19" s="15">
        <v>0.2</v>
      </c>
      <c r="F19" s="99">
        <f>$D19-vlookup(Summary!$C19,Summary!$C$2:$Q$103,3+counta($F$1:F$1),false)</f>
        <v>-0.1</v>
      </c>
      <c r="G19" s="99">
        <f>$D19-vlookup(Summary!$C19,Summary!$C$2:$Q$103,3+counta($F$1:G$1),false)</f>
        <v>0</v>
      </c>
      <c r="H19" s="99">
        <f>$D19-vlookup(Summary!$C19,Summary!$C$2:$Q$103,3+counta($F$1:H$1),false)</f>
        <v>-0.5</v>
      </c>
      <c r="I19" s="99">
        <f>$D19-vlookup(Summary!$C19,Summary!$C$2:$Q$103,3+counta($F$1:I$1),false)</f>
        <v>0.1</v>
      </c>
      <c r="J19" s="99">
        <f>$D19-vlookup(Summary!$C19,Summary!$C$2:$Q$103,3+counta($F$1:J$1),false)</f>
        <v>-0.2</v>
      </c>
      <c r="K19" s="99">
        <f>$D19-vlookup(Summary!$C19,Summary!$C$2:$Q$103,3+counta($F$1:K$1),false)</f>
        <v>0</v>
      </c>
      <c r="L19" s="99">
        <f>$D19-vlookup(Summary!$C19,Summary!$C$2:$Q$103,3+counta($F$1:L$1),false)</f>
        <v>0.1</v>
      </c>
      <c r="M19" s="99">
        <f>$D19-vlookup(Summary!$C19,Summary!$C$2:$Q$103,3+counta($F$1:M$1),false)</f>
        <v>0.15</v>
      </c>
      <c r="N19" s="99">
        <f>$D19-vlookup(Summary!$C19,Summary!$C$2:$Q$103,3+counta($F$1:N$1),false)</f>
        <v>0.1</v>
      </c>
      <c r="O19" s="99">
        <f>$D19-vlookup(Summary!$C19,Summary!$C$2:$Q$103,3+counta($F$1:O$1),false)</f>
        <v>0.05</v>
      </c>
      <c r="P19" s="99">
        <f>$D19-vlookup(Summary!$C19,Summary!$C$2:$Q$103,3+counta($F$1:P$1),false)</f>
        <v>0.1</v>
      </c>
      <c r="Q19" s="99">
        <f>$D19-vlookup(Summary!$C19,Summary!$C$2:$Q$103,3+counta($F$1:Q$1),false)</f>
        <v>0</v>
      </c>
    </row>
    <row r="20" ht="15.75" customHeight="1">
      <c r="A20" s="15">
        <f>Main!A20</f>
        <v>19</v>
      </c>
      <c r="B20" s="15" t="str">
        <f>Main!B20</f>
        <v>News Ltd will report on the emergence of a conspiracy theory relating to the Queen's death: that the palace is either secretly concealing her death or her continuing life</v>
      </c>
      <c r="C20" s="15" t="str">
        <f>Main!C20</f>
        <v>Celebrities</v>
      </c>
      <c r="D20" s="15">
        <v>0.5</v>
      </c>
      <c r="F20" s="99">
        <f>$D20-vlookup(Summary!$C20,Summary!$C$2:$Q$103,3+counta($F$1:F$1),false)</f>
        <v>0.25</v>
      </c>
      <c r="G20" s="99">
        <f>$D20-vlookup(Summary!$C20,Summary!$C$2:$Q$103,3+counta($F$1:G$1),false)</f>
        <v>0.1</v>
      </c>
      <c r="H20" s="99">
        <f>$D20-vlookup(Summary!$C20,Summary!$C$2:$Q$103,3+counta($F$1:H$1),false)</f>
        <v>-0.3</v>
      </c>
      <c r="I20" s="99">
        <f>$D20-vlookup(Summary!$C20,Summary!$C$2:$Q$103,3+counta($F$1:I$1),false)</f>
        <v>0.45</v>
      </c>
      <c r="J20" s="99">
        <f>$D20-vlookup(Summary!$C20,Summary!$C$2:$Q$103,3+counta($F$1:J$1),false)</f>
        <v>0</v>
      </c>
      <c r="K20" s="99">
        <f>$D20-vlookup(Summary!$C20,Summary!$C$2:$Q$103,3+counta($F$1:K$1),false)</f>
        <v>-0.35</v>
      </c>
      <c r="L20" s="99">
        <f>$D20-vlookup(Summary!$C20,Summary!$C$2:$Q$103,3+counta($F$1:L$1),false)</f>
        <v>0.45</v>
      </c>
      <c r="M20" s="99">
        <f>$D20-vlookup(Summary!$C20,Summary!$C$2:$Q$103,3+counta($F$1:M$1),false)</f>
        <v>-0.3</v>
      </c>
      <c r="N20" s="99">
        <f>$D20-vlookup(Summary!$C20,Summary!$C$2:$Q$103,3+counta($F$1:N$1),false)</f>
        <v>0.4</v>
      </c>
      <c r="O20" s="99">
        <f>$D20-vlookup(Summary!$C20,Summary!$C$2:$Q$103,3+counta($F$1:O$1),false)</f>
        <v>0.499</v>
      </c>
      <c r="P20" s="99">
        <f>$D20-vlookup(Summary!$C20,Summary!$C$2:$Q$103,3+counta($F$1:P$1),false)</f>
        <v>0.4</v>
      </c>
      <c r="Q20" s="99">
        <f>$D20-vlookup(Summary!$C20,Summary!$C$2:$Q$103,3+counta($F$1:Q$1),false)</f>
        <v>0</v>
      </c>
    </row>
    <row r="21" ht="15.75" customHeight="1">
      <c r="A21" s="15">
        <f>Main!A21</f>
        <v>20</v>
      </c>
      <c r="B21" s="15" t="str">
        <f>Main!B21</f>
        <v>Julian Assange will be located in Australia</v>
      </c>
      <c r="C21" s="15" t="str">
        <f>Main!C21</f>
        <v>Celebrities</v>
      </c>
      <c r="D21" s="15">
        <v>0.3</v>
      </c>
      <c r="F21" s="99">
        <f>$D21-vlookup(Summary!$C21,Summary!$C$2:$Q$103,3+counta($F$1:F$1),false)</f>
        <v>0.1</v>
      </c>
      <c r="G21" s="99">
        <f>$D21-vlookup(Summary!$C21,Summary!$C$2:$Q$103,3+counta($F$1:G$1),false)</f>
        <v>0.1</v>
      </c>
      <c r="H21" s="99">
        <f>$D21-vlookup(Summary!$C21,Summary!$C$2:$Q$103,3+counta($F$1:H$1),false)</f>
        <v>0.2</v>
      </c>
      <c r="I21" s="99">
        <f>$D21-vlookup(Summary!$C21,Summary!$C$2:$Q$103,3+counta($F$1:I$1),false)</f>
        <v>0.25</v>
      </c>
      <c r="J21" s="99">
        <f>$D21-vlookup(Summary!$C21,Summary!$C$2:$Q$103,3+counta($F$1:J$1),false)</f>
        <v>0</v>
      </c>
      <c r="K21" s="99">
        <f>$D21-vlookup(Summary!$C21,Summary!$C$2:$Q$103,3+counta($F$1:K$1),false)</f>
        <v>-0.25</v>
      </c>
      <c r="L21" s="99">
        <f>$D21-vlookup(Summary!$C21,Summary!$C$2:$Q$103,3+counta($F$1:L$1),false)</f>
        <v>0.1</v>
      </c>
      <c r="M21" s="99">
        <f>$D21-vlookup(Summary!$C21,Summary!$C$2:$Q$103,3+counta($F$1:M$1),false)</f>
        <v>0.2</v>
      </c>
      <c r="N21" s="99">
        <f>$D21-vlookup(Summary!$C21,Summary!$C$2:$Q$103,3+counta($F$1:N$1),false)</f>
        <v>0.1</v>
      </c>
      <c r="O21" s="99">
        <f>$D21-vlookup(Summary!$C21,Summary!$C$2:$Q$103,3+counta($F$1:O$1),false)</f>
        <v>0.15</v>
      </c>
      <c r="P21" s="99">
        <f>$D21-vlookup(Summary!$C21,Summary!$C$2:$Q$103,3+counta($F$1:P$1),false)</f>
        <v>0.2</v>
      </c>
      <c r="Q21" s="99">
        <f>$D21-vlookup(Summary!$C21,Summary!$C$2:$Q$103,3+counta($F$1:Q$1),false)</f>
        <v>0</v>
      </c>
    </row>
    <row r="22" ht="15.75" customHeight="1">
      <c r="A22" s="15">
        <f>Main!A22</f>
        <v>21</v>
      </c>
      <c r="B22" s="15" t="str">
        <f>Main!B22</f>
        <v>An alleged sexual predator will recieve an Emmy or Oscar by mainstream media (Andrew’s system)</v>
      </c>
      <c r="C22" s="15" t="str">
        <f>Main!C22</f>
        <v>Celebrities</v>
      </c>
      <c r="D22" s="15">
        <v>0.6</v>
      </c>
      <c r="F22" s="99">
        <f>$D22-vlookup(Summary!$C22,Summary!$C$2:$Q$103,3+counta($F$1:F$1),false)</f>
        <v>0.2</v>
      </c>
      <c r="G22" s="99">
        <f>$D22-vlookup(Summary!$C22,Summary!$C$2:$Q$103,3+counta($F$1:G$1),false)</f>
        <v>0.3</v>
      </c>
      <c r="H22" s="99">
        <f>$D22-vlookup(Summary!$C22,Summary!$C$2:$Q$103,3+counta($F$1:H$1),false)</f>
        <v>0.3</v>
      </c>
      <c r="I22" s="99">
        <f>$D22-vlookup(Summary!$C22,Summary!$C$2:$Q$103,3+counta($F$1:I$1),false)</f>
        <v>0.4</v>
      </c>
      <c r="J22" s="99">
        <f>$D22-vlookup(Summary!$C22,Summary!$C$2:$Q$103,3+counta($F$1:J$1),false)</f>
        <v>0</v>
      </c>
      <c r="K22" s="99">
        <f>$D22-vlookup(Summary!$C22,Summary!$C$2:$Q$103,3+counta($F$1:K$1),false)</f>
        <v>-0.1</v>
      </c>
      <c r="L22" s="99">
        <f>$D22-vlookup(Summary!$C22,Summary!$C$2:$Q$103,3+counta($F$1:L$1),false)</f>
        <v>0.4</v>
      </c>
      <c r="M22" s="99">
        <f>$D22-vlookup(Summary!$C22,Summary!$C$2:$Q$103,3+counta($F$1:M$1),false)</f>
        <v>0.3</v>
      </c>
      <c r="N22" s="99">
        <f>$D22-vlookup(Summary!$C22,Summary!$C$2:$Q$103,3+counta($F$1:N$1),false)</f>
        <v>-0.2</v>
      </c>
      <c r="O22" s="99">
        <f>$D22-vlookup(Summary!$C22,Summary!$C$2:$Q$103,3+counta($F$1:O$1),false)</f>
        <v>-0.05</v>
      </c>
      <c r="P22" s="99">
        <f>$D22-vlookup(Summary!$C22,Summary!$C$2:$Q$103,3+counta($F$1:P$1),false)</f>
        <v>0.5</v>
      </c>
      <c r="Q22" s="99">
        <f>$D22-vlookup(Summary!$C22,Summary!$C$2:$Q$103,3+counta($F$1:Q$1),false)</f>
        <v>0</v>
      </c>
    </row>
    <row r="23" ht="15.75" customHeight="1">
      <c r="A23" s="15">
        <f>Main!A23</f>
        <v>22</v>
      </c>
      <c r="B23" s="15" t="str">
        <f>Main!B23</f>
        <v>The Queen will die</v>
      </c>
      <c r="C23" s="15" t="str">
        <f>Main!C23</f>
        <v>Celebrities</v>
      </c>
      <c r="D23" s="15">
        <v>0.3</v>
      </c>
      <c r="F23" s="99">
        <f>$D23-vlookup(Summary!$C23,Summary!$C$2:$Q$103,3+counta($F$1:F$1),false)</f>
        <v>-0.1</v>
      </c>
      <c r="G23" s="99">
        <f>$D23-vlookup(Summary!$C23,Summary!$C$2:$Q$103,3+counta($F$1:G$1),false)</f>
        <v>0.1</v>
      </c>
      <c r="H23" s="99">
        <f>$D23-vlookup(Summary!$C23,Summary!$C$2:$Q$103,3+counta($F$1:H$1),false)</f>
        <v>-0.6</v>
      </c>
      <c r="I23" s="99">
        <f>$D23-vlookup(Summary!$C23,Summary!$C$2:$Q$103,3+counta($F$1:I$1),false)</f>
        <v>0</v>
      </c>
      <c r="J23" s="99">
        <f>$D23-vlookup(Summary!$C23,Summary!$C$2:$Q$103,3+counta($F$1:J$1),false)</f>
        <v>-0.4</v>
      </c>
      <c r="K23" s="99">
        <f>$D23-vlookup(Summary!$C23,Summary!$C$2:$Q$103,3+counta($F$1:K$1),false)</f>
        <v>-0.4</v>
      </c>
      <c r="L23" s="99">
        <f>$D23-vlookup(Summary!$C23,Summary!$C$2:$Q$103,3+counta($F$1:L$1),false)</f>
        <v>0.25</v>
      </c>
      <c r="M23" s="99">
        <f>$D23-vlookup(Summary!$C23,Summary!$C$2:$Q$103,3+counta($F$1:M$1),false)</f>
        <v>-0.6</v>
      </c>
      <c r="N23" s="99">
        <f>$D23-vlookup(Summary!$C23,Summary!$C$2:$Q$103,3+counta($F$1:N$1),false)</f>
        <v>-0.6</v>
      </c>
      <c r="O23" s="99">
        <f>$D23-vlookup(Summary!$C23,Summary!$C$2:$Q$103,3+counta($F$1:O$1),false)</f>
        <v>-0.05</v>
      </c>
      <c r="P23" s="99">
        <f>$D23-vlookup(Summary!$C23,Summary!$C$2:$Q$103,3+counta($F$1:P$1),false)</f>
        <v>0.2</v>
      </c>
      <c r="Q23" s="99">
        <f>$D23-vlookup(Summary!$C23,Summary!$C$2:$Q$103,3+counta($F$1:Q$1),false)</f>
        <v>0</v>
      </c>
    </row>
    <row r="24" ht="15.75" customHeight="1">
      <c r="A24" s="15">
        <f>Main!A24</f>
        <v>23</v>
      </c>
      <c r="B24" s="15" t="str">
        <f>Main!B24</f>
        <v>Ghislaine Maxwell will successfully strike a plea deal and reduce her aggregate sentence to no greater than 10 years with parole no greater than 5 years.</v>
      </c>
      <c r="C24" s="15" t="str">
        <f>Main!C24</f>
        <v>Celebrities</v>
      </c>
      <c r="D24" s="15">
        <v>0.5</v>
      </c>
      <c r="F24" s="99">
        <f>$D24-vlookup(Summary!$C24,Summary!$C$2:$Q$103,3+counta($F$1:F$1),false)</f>
        <v>0.05</v>
      </c>
      <c r="G24" s="99">
        <f>$D24-vlookup(Summary!$C24,Summary!$C$2:$Q$103,3+counta($F$1:G$1),false)</f>
        <v>-0.2</v>
      </c>
      <c r="H24" s="99">
        <f>$D24-vlookup(Summary!$C24,Summary!$C$2:$Q$103,3+counta($F$1:H$1),false)</f>
        <v>-0.2</v>
      </c>
      <c r="I24" s="99">
        <f>$D24-vlookup(Summary!$C24,Summary!$C$2:$Q$103,3+counta($F$1:I$1),false)</f>
        <v>0.4</v>
      </c>
      <c r="J24" s="99">
        <f>$D24-vlookup(Summary!$C24,Summary!$C$2:$Q$103,3+counta($F$1:J$1),false)</f>
        <v>-0.4</v>
      </c>
      <c r="K24" s="99">
        <f>$D24-vlookup(Summary!$C24,Summary!$C$2:$Q$103,3+counta($F$1:K$1),false)</f>
        <v>-0.15</v>
      </c>
      <c r="L24" s="99">
        <f>$D24-vlookup(Summary!$C24,Summary!$C$2:$Q$103,3+counta($F$1:L$1),false)</f>
        <v>0.3</v>
      </c>
      <c r="M24" s="99">
        <f>$D24-vlookup(Summary!$C24,Summary!$C$2:$Q$103,3+counta($F$1:M$1),false)</f>
        <v>-0.2</v>
      </c>
      <c r="N24" s="99">
        <f>$D24-vlookup(Summary!$C24,Summary!$C$2:$Q$103,3+counta($F$1:N$1),false)</f>
        <v>0.4</v>
      </c>
      <c r="O24" s="99">
        <f>$D24-vlookup(Summary!$C24,Summary!$C$2:$Q$103,3+counta($F$1:O$1),false)</f>
        <v>-0.15</v>
      </c>
      <c r="P24" s="99">
        <f>$D24-vlookup(Summary!$C24,Summary!$C$2:$Q$103,3+counta($F$1:P$1),false)</f>
        <v>-0.2</v>
      </c>
      <c r="Q24" s="99">
        <f>$D24-vlookup(Summary!$C24,Summary!$C$2:$Q$103,3+counta($F$1:Q$1),false)</f>
        <v>0</v>
      </c>
    </row>
    <row r="25" ht="15.75" customHeight="1">
      <c r="A25" s="15">
        <f>Main!A25</f>
        <v>24</v>
      </c>
      <c r="B25" s="15" t="str">
        <f>Main!B25</f>
        <v>Formal criminal charges will be laid against Prince Andrew for sex offenses</v>
      </c>
      <c r="C25" s="15" t="str">
        <f>Main!C25</f>
        <v>Celebrities</v>
      </c>
      <c r="D25" s="15">
        <v>0.5</v>
      </c>
      <c r="F25" s="99">
        <f>$D25-vlookup(Summary!$C25,Summary!$C$2:$Q$103,3+counta($F$1:F$1),false)</f>
        <v>-0.1</v>
      </c>
      <c r="G25" s="99">
        <f>$D25-vlookup(Summary!$C25,Summary!$C$2:$Q$103,3+counta($F$1:G$1),false)</f>
        <v>0.3</v>
      </c>
      <c r="H25" s="99">
        <f>$D25-vlookup(Summary!$C25,Summary!$C$2:$Q$103,3+counta($F$1:H$1),false)</f>
        <v>-0.2</v>
      </c>
      <c r="I25" s="99">
        <f>$D25-vlookup(Summary!$C25,Summary!$C$2:$Q$103,3+counta($F$1:I$1),false)</f>
        <v>-0.4</v>
      </c>
      <c r="J25" s="99">
        <f>$D25-vlookup(Summary!$C25,Summary!$C$2:$Q$103,3+counta($F$1:J$1),false)</f>
        <v>0.4</v>
      </c>
      <c r="K25" s="99">
        <f>$D25-vlookup(Summary!$C25,Summary!$C$2:$Q$103,3+counta($F$1:K$1),false)</f>
        <v>-0.15</v>
      </c>
      <c r="L25" s="99">
        <f>$D25-vlookup(Summary!$C25,Summary!$C$2:$Q$103,3+counta($F$1:L$1),false)</f>
        <v>0.35</v>
      </c>
      <c r="M25" s="99">
        <f>$D25-vlookup(Summary!$C25,Summary!$C$2:$Q$103,3+counta($F$1:M$1),false)</f>
        <v>-0.2</v>
      </c>
      <c r="N25" s="99">
        <f>$D25-vlookup(Summary!$C25,Summary!$C$2:$Q$103,3+counta($F$1:N$1),false)</f>
        <v>0.3</v>
      </c>
      <c r="O25" s="99">
        <f>$D25-vlookup(Summary!$C25,Summary!$C$2:$Q$103,3+counta($F$1:O$1),false)</f>
        <v>0.35</v>
      </c>
      <c r="P25" s="99">
        <f>$D25-vlookup(Summary!$C25,Summary!$C$2:$Q$103,3+counta($F$1:P$1),false)</f>
        <v>0</v>
      </c>
      <c r="Q25" s="99">
        <f>$D25-vlookup(Summary!$C25,Summary!$C$2:$Q$103,3+counta($F$1:Q$1),false)</f>
        <v>0</v>
      </c>
    </row>
    <row r="26" ht="15.75" customHeight="1">
      <c r="A26" s="15">
        <f>Main!A26</f>
        <v>25</v>
      </c>
      <c r="B26" s="15" t="str">
        <f>Main!B26</f>
        <v>Elizabeth Holmes will be sentenced to no greater than 15 years imprisonment.</v>
      </c>
      <c r="C26" s="15" t="str">
        <f>Main!C26</f>
        <v>Celebrities</v>
      </c>
      <c r="D26" s="15">
        <v>0.7</v>
      </c>
      <c r="F26" s="99">
        <f>$D26-vlookup(Summary!$C26,Summary!$C$2:$Q$103,3+counta($F$1:F$1),false)</f>
        <v>0.1</v>
      </c>
      <c r="G26" s="99">
        <f>$D26-vlookup(Summary!$C26,Summary!$C$2:$Q$103,3+counta($F$1:G$1),false)</f>
        <v>-0.2</v>
      </c>
      <c r="H26" s="99">
        <f>$D26-vlookup(Summary!$C26,Summary!$C$2:$Q$103,3+counta($F$1:H$1),false)</f>
        <v>-0.1</v>
      </c>
      <c r="I26" s="99">
        <f>$D26-vlookup(Summary!$C26,Summary!$C$2:$Q$103,3+counta($F$1:I$1),false)</f>
        <v>0.2</v>
      </c>
      <c r="J26" s="99">
        <f>$D26-vlookup(Summary!$C26,Summary!$C$2:$Q$103,3+counta($F$1:J$1),false)</f>
        <v>-0.2</v>
      </c>
      <c r="K26" s="99">
        <f>$D26-vlookup(Summary!$C26,Summary!$C$2:$Q$103,3+counta($F$1:K$1),false)</f>
        <v>0</v>
      </c>
      <c r="L26" s="99">
        <f>$D26-vlookup(Summary!$C26,Summary!$C$2:$Q$103,3+counta($F$1:L$1),false)</f>
        <v>0</v>
      </c>
      <c r="M26" s="99">
        <f>$D26-vlookup(Summary!$C26,Summary!$C$2:$Q$103,3+counta($F$1:M$1),false)</f>
        <v>-0.1</v>
      </c>
      <c r="N26" s="99">
        <f>$D26-vlookup(Summary!$C26,Summary!$C$2:$Q$103,3+counta($F$1:N$1),false)</f>
        <v>-0.2</v>
      </c>
      <c r="O26" s="99">
        <f>$D26-vlookup(Summary!$C26,Summary!$C$2:$Q$103,3+counta($F$1:O$1),false)</f>
        <v>-0.15</v>
      </c>
      <c r="P26" s="99">
        <f>$D26-vlookup(Summary!$C26,Summary!$C$2:$Q$103,3+counta($F$1:P$1),false)</f>
        <v>0.2</v>
      </c>
      <c r="Q26" s="99">
        <f>$D26-vlookup(Summary!$C26,Summary!$C$2:$Q$103,3+counta($F$1:Q$1),false)</f>
        <v>0</v>
      </c>
    </row>
    <row r="27" ht="15.75" customHeight="1">
      <c r="A27" s="15">
        <f>Main!A27</f>
        <v>26</v>
      </c>
      <c r="B27" s="15" t="str">
        <f>Main!B27</f>
        <v>Meghan and Harry will separate</v>
      </c>
      <c r="C27" s="15" t="str">
        <f>Main!C27</f>
        <v>Celebrities</v>
      </c>
      <c r="D27" s="15">
        <v>0.3</v>
      </c>
      <c r="F27" s="99">
        <f>$D27-vlookup(Summary!$C27,Summary!$C$2:$Q$103,3+counta($F$1:F$1),false)</f>
        <v>0.1</v>
      </c>
      <c r="G27" s="99">
        <f>$D27-vlookup(Summary!$C27,Summary!$C$2:$Q$103,3+counta($F$1:G$1),false)</f>
        <v>0.2</v>
      </c>
      <c r="H27" s="99">
        <f>$D27-vlookup(Summary!$C27,Summary!$C$2:$Q$103,3+counta($F$1:H$1),false)</f>
        <v>0.1</v>
      </c>
      <c r="I27" s="99">
        <f>$D27-vlookup(Summary!$C27,Summary!$C$2:$Q$103,3+counta($F$1:I$1),false)</f>
        <v>0.2</v>
      </c>
      <c r="J27" s="99">
        <f>$D27-vlookup(Summary!$C27,Summary!$C$2:$Q$103,3+counta($F$1:J$1),false)</f>
        <v>-0.2</v>
      </c>
      <c r="K27" s="99">
        <f>$D27-vlookup(Summary!$C27,Summary!$C$2:$Q$103,3+counta($F$1:K$1),false)</f>
        <v>0.1</v>
      </c>
      <c r="L27" s="99">
        <f>$D27-vlookup(Summary!$C27,Summary!$C$2:$Q$103,3+counta($F$1:L$1),false)</f>
        <v>0.25</v>
      </c>
      <c r="M27" s="99">
        <f>$D27-vlookup(Summary!$C27,Summary!$C$2:$Q$103,3+counta($F$1:M$1),false)</f>
        <v>0.1</v>
      </c>
      <c r="N27" s="99">
        <f>$D27-vlookup(Summary!$C27,Summary!$C$2:$Q$103,3+counta($F$1:N$1),false)</f>
        <v>-0.5</v>
      </c>
      <c r="O27" s="99">
        <f>$D27-vlookup(Summary!$C27,Summary!$C$2:$Q$103,3+counta($F$1:O$1),false)</f>
        <v>0.15</v>
      </c>
      <c r="P27" s="99">
        <f>$D27-vlookup(Summary!$C27,Summary!$C$2:$Q$103,3+counta($F$1:P$1),false)</f>
        <v>0.2</v>
      </c>
      <c r="Q27" s="99">
        <f>$D27-vlookup(Summary!$C27,Summary!$C$2:$Q$103,3+counta($F$1:Q$1),false)</f>
        <v>0</v>
      </c>
    </row>
    <row r="28" ht="15.75" customHeight="1">
      <c r="A28" s="15">
        <f>Main!A28</f>
        <v>27</v>
      </c>
      <c r="B28" s="15" t="str">
        <f>Main!B28</f>
        <v>Tom Holland and Zendaya will separate.</v>
      </c>
      <c r="C28" s="15" t="str">
        <f>Main!C28</f>
        <v>Celebrities</v>
      </c>
      <c r="D28" s="15">
        <v>0.4</v>
      </c>
      <c r="F28" s="99">
        <f>$D28-vlookup(Summary!$C28,Summary!$C$2:$Q$103,3+counta($F$1:F$1),false)</f>
        <v>-0.2</v>
      </c>
      <c r="G28" s="99">
        <f>$D28-vlookup(Summary!$C28,Summary!$C$2:$Q$103,3+counta($F$1:G$1),false)</f>
        <v>-0.2</v>
      </c>
      <c r="H28" s="99">
        <f>$D28-vlookup(Summary!$C28,Summary!$C$2:$Q$103,3+counta($F$1:H$1),false)</f>
        <v>0.2</v>
      </c>
      <c r="I28" s="99">
        <f>$D28-vlookup(Summary!$C28,Summary!$C$2:$Q$103,3+counta($F$1:I$1),false)</f>
        <v>-0.1</v>
      </c>
      <c r="J28" s="99">
        <f>$D28-vlookup(Summary!$C28,Summary!$C$2:$Q$103,3+counta($F$1:J$1),false)</f>
        <v>0</v>
      </c>
      <c r="K28" s="99">
        <f>$D28-vlookup(Summary!$C28,Summary!$C$2:$Q$103,3+counta($F$1:K$1),false)</f>
        <v>-0.25</v>
      </c>
      <c r="L28" s="99">
        <f>$D28-vlookup(Summary!$C28,Summary!$C$2:$Q$103,3+counta($F$1:L$1),false)</f>
        <v>0.2</v>
      </c>
      <c r="M28" s="99">
        <f>$D28-vlookup(Summary!$C28,Summary!$C$2:$Q$103,3+counta($F$1:M$1),false)</f>
        <v>0.2</v>
      </c>
      <c r="N28" s="99">
        <f>$D28-vlookup(Summary!$C28,Summary!$C$2:$Q$103,3+counta($F$1:N$1),false)</f>
        <v>-0.5</v>
      </c>
      <c r="O28" s="99">
        <f>$D28-vlookup(Summary!$C28,Summary!$C$2:$Q$103,3+counta($F$1:O$1),false)</f>
        <v>-0.1</v>
      </c>
      <c r="P28" s="99">
        <f>$D28-vlookup(Summary!$C28,Summary!$C$2:$Q$103,3+counta($F$1:P$1),false)</f>
        <v>-0.1</v>
      </c>
      <c r="Q28" s="99">
        <f>$D28-vlookup(Summary!$C28,Summary!$C$2:$Q$103,3+counta($F$1:Q$1),false)</f>
        <v>0</v>
      </c>
    </row>
    <row r="29" ht="15.75" customHeight="1">
      <c r="A29" s="15">
        <f>Main!A29</f>
        <v>28</v>
      </c>
      <c r="B29" s="15" t="str">
        <f>Main!B29</f>
        <v>Donald Trump endorses on social media a movement that is called White Lives Matter</v>
      </c>
      <c r="C29" s="15" t="str">
        <f>Main!C29</f>
        <v>Celebrities</v>
      </c>
      <c r="D29" s="15">
        <v>0.55</v>
      </c>
      <c r="F29" s="99">
        <f>$D29-vlookup(Summary!$C29,Summary!$C$2:$Q$103,3+counta($F$1:F$1),false)</f>
        <v>0.25</v>
      </c>
      <c r="G29" s="99">
        <f>$D29-vlookup(Summary!$C29,Summary!$C$2:$Q$103,3+counta($F$1:G$1),false)</f>
        <v>0.25</v>
      </c>
      <c r="H29" s="99">
        <f>$D29-vlookup(Summary!$C29,Summary!$C$2:$Q$103,3+counta($F$1:H$1),false)</f>
        <v>-0.25</v>
      </c>
      <c r="I29" s="99">
        <f>$D29-vlookup(Summary!$C29,Summary!$C$2:$Q$103,3+counta($F$1:I$1),false)</f>
        <v>0.45</v>
      </c>
      <c r="J29" s="99">
        <f>$D29-vlookup(Summary!$C29,Summary!$C$2:$Q$103,3+counta($F$1:J$1),false)</f>
        <v>-0.35</v>
      </c>
      <c r="K29" s="99">
        <f>$D29-vlookup(Summary!$C29,Summary!$C$2:$Q$103,3+counta($F$1:K$1),false)</f>
        <v>0.1</v>
      </c>
      <c r="L29" s="99">
        <f>$D29-vlookup(Summary!$C29,Summary!$C$2:$Q$103,3+counta($F$1:L$1),false)</f>
        <v>0.549</v>
      </c>
      <c r="M29" s="99">
        <f>$D29-vlookup(Summary!$C29,Summary!$C$2:$Q$103,3+counta($F$1:M$1),false)</f>
        <v>-0.25</v>
      </c>
      <c r="N29" s="99">
        <f>$D29-vlookup(Summary!$C29,Summary!$C$2:$Q$103,3+counta($F$1:N$1),false)</f>
        <v>-0.35</v>
      </c>
      <c r="O29" s="99">
        <f>$D29-vlookup(Summary!$C29,Summary!$C$2:$Q$103,3+counta($F$1:O$1),false)</f>
        <v>0.549</v>
      </c>
      <c r="P29" s="99">
        <f>$D29-vlookup(Summary!$C29,Summary!$C$2:$Q$103,3+counta($F$1:P$1),false)</f>
        <v>0.45</v>
      </c>
      <c r="Q29" s="99">
        <f>$D29-vlookup(Summary!$C29,Summary!$C$2:$Q$103,3+counta($F$1:Q$1),false)</f>
        <v>0</v>
      </c>
    </row>
    <row r="30" ht="15.75" customHeight="1">
      <c r="A30" s="15">
        <f>Main!A30</f>
        <v>29</v>
      </c>
      <c r="B30" s="15" t="str">
        <f>Main!B30</f>
        <v>Britney Spears returns under conservatorship</v>
      </c>
      <c r="C30" s="15" t="str">
        <f>Main!C30</f>
        <v>Celebrities</v>
      </c>
      <c r="D30" s="15">
        <v>0.5</v>
      </c>
      <c r="F30" s="99">
        <f>$D30-vlookup(Summary!$C30,Summary!$C$2:$Q$103,3+counta($F$1:F$1),false)</f>
        <v>0.4</v>
      </c>
      <c r="G30" s="99">
        <f>$D30-vlookup(Summary!$C30,Summary!$C$2:$Q$103,3+counta($F$1:G$1),false)</f>
        <v>0.4</v>
      </c>
      <c r="H30" s="99">
        <f>$D30-vlookup(Summary!$C30,Summary!$C$2:$Q$103,3+counta($F$1:H$1),false)</f>
        <v>0.45</v>
      </c>
      <c r="I30" s="99">
        <f>$D30-vlookup(Summary!$C30,Summary!$C$2:$Q$103,3+counta($F$1:I$1),false)</f>
        <v>0.45</v>
      </c>
      <c r="J30" s="99">
        <f>$D30-vlookup(Summary!$C30,Summary!$C$2:$Q$103,3+counta($F$1:J$1),false)</f>
        <v>0.4</v>
      </c>
      <c r="K30" s="99">
        <f>$D30-vlookup(Summary!$C30,Summary!$C$2:$Q$103,3+counta($F$1:K$1),false)</f>
        <v>0.5</v>
      </c>
      <c r="L30" s="99">
        <f>$D30-vlookup(Summary!$C30,Summary!$C$2:$Q$103,3+counta($F$1:L$1),false)</f>
        <v>0.45</v>
      </c>
      <c r="M30" s="99">
        <f>$D30-vlookup(Summary!$C30,Summary!$C$2:$Q$103,3+counta($F$1:M$1),false)</f>
        <v>0.45</v>
      </c>
      <c r="N30" s="99">
        <f>$D30-vlookup(Summary!$C30,Summary!$C$2:$Q$103,3+counta($F$1:N$1),false)</f>
        <v>0.4</v>
      </c>
      <c r="O30" s="99">
        <f>$D30-vlookup(Summary!$C30,Summary!$C$2:$Q$103,3+counta($F$1:O$1),false)</f>
        <v>0.499</v>
      </c>
      <c r="P30" s="99">
        <f>$D30-vlookup(Summary!$C30,Summary!$C$2:$Q$103,3+counta($F$1:P$1),false)</f>
        <v>0.4</v>
      </c>
      <c r="Q30" s="99">
        <f>$D30-vlookup(Summary!$C30,Summary!$C$2:$Q$103,3+counta($F$1:Q$1),false)</f>
        <v>0</v>
      </c>
    </row>
    <row r="31" ht="15.75" customHeight="1">
      <c r="A31" s="15">
        <f>Main!A31</f>
        <v>30</v>
      </c>
      <c r="B31" s="15" t="str">
        <f>Main!B31</f>
        <v>Taylor Swift and her partner separate, or announce they're expecting a child</v>
      </c>
      <c r="C31" s="15" t="str">
        <f>Main!C31</f>
        <v>Celebrities</v>
      </c>
      <c r="D31" s="15">
        <v>0.2</v>
      </c>
      <c r="F31" s="99">
        <f>$D31-vlookup(Summary!$C31,Summary!$C$2:$Q$103,3+counta($F$1:F$1),false)</f>
        <v>-0.2</v>
      </c>
      <c r="G31" s="99">
        <f>$D31-vlookup(Summary!$C31,Summary!$C$2:$Q$103,3+counta($F$1:G$1),false)</f>
        <v>-0.1</v>
      </c>
      <c r="H31" s="99">
        <f>$D31-vlookup(Summary!$C31,Summary!$C$2:$Q$103,3+counta($F$1:H$1),false)</f>
        <v>-0.5</v>
      </c>
      <c r="I31" s="99">
        <f>$D31-vlookup(Summary!$C31,Summary!$C$2:$Q$103,3+counta($F$1:I$1),false)</f>
        <v>0.1</v>
      </c>
      <c r="J31" s="99">
        <f>$D31-vlookup(Summary!$C31,Summary!$C$2:$Q$103,3+counta($F$1:J$1),false)</f>
        <v>-0.5</v>
      </c>
      <c r="K31" s="99">
        <f>$D31-vlookup(Summary!$C31,Summary!$C$2:$Q$103,3+counta($F$1:K$1),false)</f>
        <v>-0.4</v>
      </c>
      <c r="L31" s="99">
        <f>$D31-vlookup(Summary!$C31,Summary!$C$2:$Q$103,3+counta($F$1:L$1),false)</f>
        <v>0.1</v>
      </c>
      <c r="M31" s="99">
        <f>$D31-vlookup(Summary!$C31,Summary!$C$2:$Q$103,3+counta($F$1:M$1),false)</f>
        <v>-0.5</v>
      </c>
      <c r="N31" s="99">
        <f>$D31-vlookup(Summary!$C31,Summary!$C$2:$Q$103,3+counta($F$1:N$1),false)</f>
        <v>-0.7</v>
      </c>
      <c r="O31" s="99">
        <f>$D31-vlookup(Summary!$C31,Summary!$C$2:$Q$103,3+counta($F$1:O$1),false)</f>
        <v>0.05</v>
      </c>
      <c r="P31" s="99">
        <f>$D31-vlookup(Summary!$C31,Summary!$C$2:$Q$103,3+counta($F$1:P$1),false)</f>
        <v>-0.3</v>
      </c>
      <c r="Q31" s="99">
        <f>$D31-vlookup(Summary!$C31,Summary!$C$2:$Q$103,3+counta($F$1:Q$1),false)</f>
        <v>0</v>
      </c>
    </row>
    <row r="32" ht="15.75" customHeight="1">
      <c r="A32" s="15">
        <f>Main!A32</f>
        <v>31</v>
      </c>
      <c r="B32" s="15" t="str">
        <f>Main!B32</f>
        <v>Aung San Suu Kyi dies or announces she has a terminal illness (terminal illness including cancer)</v>
      </c>
      <c r="C32" s="15" t="str">
        <f>Main!C32</f>
        <v>Celebrities</v>
      </c>
      <c r="D32" s="15">
        <v>0.5</v>
      </c>
      <c r="F32" s="99">
        <f>$D32-vlookup(Summary!$C32,Summary!$C$2:$Q$103,3+counta($F$1:F$1),false)</f>
        <v>0</v>
      </c>
      <c r="G32" s="99">
        <f>$D32-vlookup(Summary!$C32,Summary!$C$2:$Q$103,3+counta($F$1:G$1),false)</f>
        <v>0.1</v>
      </c>
      <c r="H32" s="99">
        <f>$D32-vlookup(Summary!$C32,Summary!$C$2:$Q$103,3+counta($F$1:H$1),false)</f>
        <v>0</v>
      </c>
      <c r="I32" s="99">
        <f>$D32-vlookup(Summary!$C32,Summary!$C$2:$Q$103,3+counta($F$1:I$1),false)</f>
        <v>0.3</v>
      </c>
      <c r="J32" s="99">
        <f>$D32-vlookup(Summary!$C32,Summary!$C$2:$Q$103,3+counta($F$1:J$1),false)</f>
        <v>0.2</v>
      </c>
      <c r="K32" s="99">
        <f>$D32-vlookup(Summary!$C32,Summary!$C$2:$Q$103,3+counta($F$1:K$1),false)</f>
        <v>0.05</v>
      </c>
      <c r="L32" s="99">
        <f>$D32-vlookup(Summary!$C32,Summary!$C$2:$Q$103,3+counta($F$1:L$1),false)</f>
        <v>0.3</v>
      </c>
      <c r="M32" s="99">
        <f>$D32-vlookup(Summary!$C32,Summary!$C$2:$Q$103,3+counta($F$1:M$1),false)</f>
        <v>0</v>
      </c>
      <c r="N32" s="99">
        <f>$D32-vlookup(Summary!$C32,Summary!$C$2:$Q$103,3+counta($F$1:N$1),false)</f>
        <v>0.4</v>
      </c>
      <c r="O32" s="99">
        <f>$D32-vlookup(Summary!$C32,Summary!$C$2:$Q$103,3+counta($F$1:O$1),false)</f>
        <v>0.15</v>
      </c>
      <c r="P32" s="99">
        <f>$D32-vlookup(Summary!$C32,Summary!$C$2:$Q$103,3+counta($F$1:P$1),false)</f>
        <v>0.4</v>
      </c>
      <c r="Q32" s="99">
        <f>$D32-vlookup(Summary!$C32,Summary!$C$2:$Q$103,3+counta($F$1:Q$1),false)</f>
        <v>0</v>
      </c>
    </row>
    <row r="33" ht="15.75" customHeight="1">
      <c r="A33" s="15">
        <f>Main!A33</f>
        <v>32</v>
      </c>
      <c r="B33" s="15" t="str">
        <f>Main!B33</f>
        <v>Henry Cavill marries</v>
      </c>
      <c r="C33" s="15" t="str">
        <f>Main!C33</f>
        <v>Celebrities</v>
      </c>
      <c r="D33" s="15">
        <v>0.4</v>
      </c>
      <c r="F33" s="99">
        <f>$D33-vlookup(Summary!$C33,Summary!$C$2:$Q$103,3+counta($F$1:F$1),false)</f>
        <v>-0.15</v>
      </c>
      <c r="G33" s="99">
        <f>$D33-vlookup(Summary!$C33,Summary!$C$2:$Q$103,3+counta($F$1:G$1),false)</f>
        <v>-0.2</v>
      </c>
      <c r="H33" s="99">
        <f>$D33-vlookup(Summary!$C33,Summary!$C$2:$Q$103,3+counta($F$1:H$1),false)</f>
        <v>0.3</v>
      </c>
      <c r="I33" s="99">
        <f>$D33-vlookup(Summary!$C33,Summary!$C$2:$Q$103,3+counta($F$1:I$1),false)</f>
        <v>0.2</v>
      </c>
      <c r="J33" s="99">
        <f>$D33-vlookup(Summary!$C33,Summary!$C$2:$Q$103,3+counta($F$1:J$1),false)</f>
        <v>0</v>
      </c>
      <c r="K33" s="99">
        <f>$D33-vlookup(Summary!$C33,Summary!$C$2:$Q$103,3+counta($F$1:K$1),false)</f>
        <v>-0.1</v>
      </c>
      <c r="L33" s="99">
        <f>$D33-vlookup(Summary!$C33,Summary!$C$2:$Q$103,3+counta($F$1:L$1),false)</f>
        <v>0.2</v>
      </c>
      <c r="M33" s="99">
        <f>$D33-vlookup(Summary!$C33,Summary!$C$2:$Q$103,3+counta($F$1:M$1),false)</f>
        <v>0.3</v>
      </c>
      <c r="N33" s="99">
        <f>$D33-vlookup(Summary!$C33,Summary!$C$2:$Q$103,3+counta($F$1:N$1),false)</f>
        <v>-0.1</v>
      </c>
      <c r="O33" s="99">
        <f>$D33-vlookup(Summary!$C33,Summary!$C$2:$Q$103,3+counta($F$1:O$1),false)</f>
        <v>0.25</v>
      </c>
      <c r="P33" s="99">
        <f>$D33-vlookup(Summary!$C33,Summary!$C$2:$Q$103,3+counta($F$1:P$1),false)</f>
        <v>-0.1</v>
      </c>
      <c r="Q33" s="99">
        <f>$D33-vlookup(Summary!$C33,Summary!$C$2:$Q$103,3+counta($F$1:Q$1),false)</f>
        <v>0</v>
      </c>
    </row>
    <row r="34" ht="15.75" customHeight="1">
      <c r="A34" s="15">
        <f>Main!A34</f>
        <v>33</v>
      </c>
      <c r="B34" s="15" t="str">
        <f>Main!B34</f>
        <v>Daily COVID cases in Australia will reach 150,000 at least once</v>
      </c>
      <c r="C34" s="15" t="str">
        <f>Main!C34</f>
        <v>Covid</v>
      </c>
      <c r="D34" s="15">
        <v>0.9</v>
      </c>
      <c r="F34" s="99">
        <f>$D34-vlookup(Summary!$C34,Summary!$C$2:$Q$103,3+counta($F$1:F$1),false)</f>
        <v>0.8</v>
      </c>
      <c r="G34" s="99">
        <f>$D34-vlookup(Summary!$C34,Summary!$C$2:$Q$103,3+counta($F$1:G$1),false)</f>
        <v>0.7</v>
      </c>
      <c r="H34" s="99">
        <f>$D34-vlookup(Summary!$C34,Summary!$C$2:$Q$103,3+counta($F$1:H$1),false)</f>
        <v>0.89</v>
      </c>
      <c r="I34" s="99">
        <f>$D34-vlookup(Summary!$C34,Summary!$C$2:$Q$103,3+counta($F$1:I$1),false)</f>
        <v>0.8</v>
      </c>
      <c r="J34" s="99">
        <f>$D34-vlookup(Summary!$C34,Summary!$C$2:$Q$103,3+counta($F$1:J$1),false)</f>
        <v>0</v>
      </c>
      <c r="K34" s="99">
        <f>$D34-vlookup(Summary!$C34,Summary!$C$2:$Q$103,3+counta($F$1:K$1),false)</f>
        <v>0.3</v>
      </c>
      <c r="L34" s="99">
        <f>$D34-vlookup(Summary!$C34,Summary!$C$2:$Q$103,3+counta($F$1:L$1),false)</f>
        <v>0.85</v>
      </c>
      <c r="M34" s="99">
        <f>$D34-vlookup(Summary!$C34,Summary!$C$2:$Q$103,3+counta($F$1:M$1),false)</f>
        <v>0.89</v>
      </c>
      <c r="N34" s="99">
        <f>$D34-vlookup(Summary!$C34,Summary!$C$2:$Q$103,3+counta($F$1:N$1),false)</f>
        <v>0.5</v>
      </c>
      <c r="O34" s="99">
        <f>$D34-vlookup(Summary!$C34,Summary!$C$2:$Q$103,3+counta($F$1:O$1),false)</f>
        <v>0.75</v>
      </c>
      <c r="P34" s="99">
        <f>$D34-vlookup(Summary!$C34,Summary!$C$2:$Q$103,3+counta($F$1:P$1),false)</f>
        <v>0</v>
      </c>
      <c r="Q34" s="99">
        <f>$D34-vlookup(Summary!$C34,Summary!$C$2:$Q$103,3+counta($F$1:Q$1),false)</f>
        <v>0</v>
      </c>
    </row>
    <row r="35" ht="15.75" customHeight="1">
      <c r="A35" s="15">
        <f>Main!A35</f>
        <v>34</v>
      </c>
      <c r="B35" s="15" t="str">
        <f>Main!B35</f>
        <v>More deaths will be attributed to Omicron by the WHO than all other covid variants combined</v>
      </c>
      <c r="C35" s="15" t="str">
        <f>Main!C35</f>
        <v>Covid</v>
      </c>
      <c r="D35" s="15">
        <v>0.7</v>
      </c>
      <c r="F35" s="99">
        <f>$D35-vlookup(Summary!$C35,Summary!$C$2:$Q$103,3+counta($F$1:F$1),false)</f>
        <v>0.4</v>
      </c>
      <c r="G35" s="99">
        <f>$D35-vlookup(Summary!$C35,Summary!$C$2:$Q$103,3+counta($F$1:G$1),false)</f>
        <v>0.6</v>
      </c>
      <c r="H35" s="99">
        <f>$D35-vlookup(Summary!$C35,Summary!$C$2:$Q$103,3+counta($F$1:H$1),false)</f>
        <v>-0.1</v>
      </c>
      <c r="I35" s="99">
        <f>$D35-vlookup(Summary!$C35,Summary!$C$2:$Q$103,3+counta($F$1:I$1),false)</f>
        <v>0.6</v>
      </c>
      <c r="J35" s="99">
        <f>$D35-vlookup(Summary!$C35,Summary!$C$2:$Q$103,3+counta($F$1:J$1),false)</f>
        <v>0.3</v>
      </c>
      <c r="K35" s="99">
        <f>$D35-vlookup(Summary!$C35,Summary!$C$2:$Q$103,3+counta($F$1:K$1),false)</f>
        <v>-0.05</v>
      </c>
      <c r="L35" s="99">
        <f>$D35-vlookup(Summary!$C35,Summary!$C$2:$Q$103,3+counta($F$1:L$1),false)</f>
        <v>0.699</v>
      </c>
      <c r="M35" s="99">
        <f>$D35-vlookup(Summary!$C35,Summary!$C$2:$Q$103,3+counta($F$1:M$1),false)</f>
        <v>-0.1</v>
      </c>
      <c r="N35" s="99">
        <f>$D35-vlookup(Summary!$C35,Summary!$C$2:$Q$103,3+counta($F$1:N$1),false)</f>
        <v>0.4</v>
      </c>
      <c r="O35" s="99">
        <f>$D35-vlookup(Summary!$C35,Summary!$C$2:$Q$103,3+counta($F$1:O$1),false)</f>
        <v>-0.15</v>
      </c>
      <c r="P35" s="99">
        <f>$D35-vlookup(Summary!$C35,Summary!$C$2:$Q$103,3+counta($F$1:P$1),false)</f>
        <v>0.2</v>
      </c>
      <c r="Q35" s="99">
        <f>$D35-vlookup(Summary!$C35,Summary!$C$2:$Q$103,3+counta($F$1:Q$1),false)</f>
        <v>0</v>
      </c>
    </row>
    <row r="36" ht="15.75" customHeight="1">
      <c r="A36" s="15">
        <f>Main!A36</f>
        <v>35</v>
      </c>
      <c r="B36" s="15" t="str">
        <f>Main!B36</f>
        <v>The average number of covid vaccinations per person amongst members of Xmas eve 2022 will be &gt; 3</v>
      </c>
      <c r="C36" s="15" t="str">
        <f>Main!C36</f>
        <v>Covid</v>
      </c>
      <c r="D36" s="15">
        <v>0.4</v>
      </c>
      <c r="F36" s="99">
        <f>$D36-vlookup(Summary!$C36,Summary!$C$2:$Q$103,3+counta($F$1:F$1),false)</f>
        <v>-0.4</v>
      </c>
      <c r="G36" s="99">
        <f>$D36-vlookup(Summary!$C36,Summary!$C$2:$Q$103,3+counta($F$1:G$1),false)</f>
        <v>-0.5</v>
      </c>
      <c r="H36" s="99">
        <f>$D36-vlookup(Summary!$C36,Summary!$C$2:$Q$103,3+counta($F$1:H$1),false)</f>
        <v>-0.5</v>
      </c>
      <c r="I36" s="99">
        <f>$D36-vlookup(Summary!$C36,Summary!$C$2:$Q$103,3+counta($F$1:I$1),false)</f>
        <v>-0.1</v>
      </c>
      <c r="J36" s="99">
        <f>$D36-vlookup(Summary!$C36,Summary!$C$2:$Q$103,3+counta($F$1:J$1),false)</f>
        <v>0</v>
      </c>
      <c r="K36" s="99">
        <f>$D36-vlookup(Summary!$C36,Summary!$C$2:$Q$103,3+counta($F$1:K$1),false)</f>
        <v>-0.4</v>
      </c>
      <c r="L36" s="99">
        <f>$D36-vlookup(Summary!$C36,Summary!$C$2:$Q$103,3+counta($F$1:L$1),false)</f>
        <v>-0.599</v>
      </c>
      <c r="M36" s="99">
        <f>$D36-vlookup(Summary!$C36,Summary!$C$2:$Q$103,3+counta($F$1:M$1),false)</f>
        <v>-0.5</v>
      </c>
      <c r="N36" s="99">
        <f>$D36-vlookup(Summary!$C36,Summary!$C$2:$Q$103,3+counta($F$1:N$1),false)</f>
        <v>-0.5</v>
      </c>
      <c r="O36" s="99">
        <f>$D36-vlookup(Summary!$C36,Summary!$C$2:$Q$103,3+counta($F$1:O$1),false)</f>
        <v>-0.45</v>
      </c>
      <c r="P36" s="99">
        <f>$D36-vlookup(Summary!$C36,Summary!$C$2:$Q$103,3+counta($F$1:P$1),false)</f>
        <v>-0.5</v>
      </c>
      <c r="Q36" s="99">
        <f>$D36-vlookup(Summary!$C36,Summary!$C$2:$Q$103,3+counta($F$1:Q$1),false)</f>
        <v>0</v>
      </c>
    </row>
    <row r="37" ht="15.75" customHeight="1">
      <c r="A37" s="15">
        <f>Main!A37</f>
        <v>36</v>
      </c>
      <c r="B37" s="15" t="str">
        <f>Main!B37</f>
        <v>2 new variants of Covid will be invented/discovered during 2022</v>
      </c>
      <c r="C37" s="15" t="str">
        <f>Main!C37</f>
        <v>Covid</v>
      </c>
      <c r="D37" s="15">
        <v>0.4</v>
      </c>
      <c r="F37" s="99">
        <f>$D37-vlookup(Summary!$C37,Summary!$C$2:$Q$103,3+counta($F$1:F$1),false)</f>
        <v>0.1</v>
      </c>
      <c r="G37" s="99">
        <f>$D37-vlookup(Summary!$C37,Summary!$C$2:$Q$103,3+counta($F$1:G$1),false)</f>
        <v>0.1</v>
      </c>
      <c r="H37" s="99">
        <f>$D37-vlookup(Summary!$C37,Summary!$C$2:$Q$103,3+counta($F$1:H$1),false)</f>
        <v>-0.4</v>
      </c>
      <c r="I37" s="99">
        <f>$D37-vlookup(Summary!$C37,Summary!$C$2:$Q$103,3+counta($F$1:I$1),false)</f>
        <v>0.1</v>
      </c>
      <c r="J37" s="99">
        <f>$D37-vlookup(Summary!$C37,Summary!$C$2:$Q$103,3+counta($F$1:J$1),false)</f>
        <v>-0.5</v>
      </c>
      <c r="K37" s="99">
        <f>$D37-vlookup(Summary!$C37,Summary!$C$2:$Q$103,3+counta($F$1:K$1),false)</f>
        <v>-0.45</v>
      </c>
      <c r="L37" s="99">
        <f>$D37-vlookup(Summary!$C37,Summary!$C$2:$Q$103,3+counta($F$1:L$1),false)</f>
        <v>0.399</v>
      </c>
      <c r="M37" s="99">
        <f>$D37-vlookup(Summary!$C37,Summary!$C$2:$Q$103,3+counta($F$1:M$1),false)</f>
        <v>-0.4</v>
      </c>
      <c r="N37" s="99">
        <f>$D37-vlookup(Summary!$C37,Summary!$C$2:$Q$103,3+counta($F$1:N$1),false)</f>
        <v>-0.5</v>
      </c>
      <c r="O37" s="99">
        <f>$D37-vlookup(Summary!$C37,Summary!$C$2:$Q$103,3+counta($F$1:O$1),false)</f>
        <v>0.05</v>
      </c>
      <c r="P37" s="99">
        <f>$D37-vlookup(Summary!$C37,Summary!$C$2:$Q$103,3+counta($F$1:P$1),false)</f>
        <v>-0.5</v>
      </c>
      <c r="Q37" s="99">
        <f>$D37-vlookup(Summary!$C37,Summary!$C$2:$Q$103,3+counta($F$1:Q$1),false)</f>
        <v>0</v>
      </c>
    </row>
    <row r="38" ht="15.75" customHeight="1">
      <c r="A38" s="15">
        <f>Main!A38</f>
        <v>37</v>
      </c>
      <c r="B38" s="15" t="str">
        <f>Main!B38</f>
        <v>Tasmania will have experienced at least 10,000 new cases in 1 day</v>
      </c>
      <c r="C38" s="15" t="str">
        <f>Main!C38</f>
        <v>Covid</v>
      </c>
      <c r="D38" s="15">
        <v>0.55</v>
      </c>
      <c r="F38" s="99">
        <f>$D38-vlookup(Summary!$C38,Summary!$C$2:$Q$103,3+counta($F$1:F$1),false)</f>
        <v>0.4</v>
      </c>
      <c r="G38" s="99">
        <f>$D38-vlookup(Summary!$C38,Summary!$C$2:$Q$103,3+counta($F$1:G$1),false)</f>
        <v>0.45</v>
      </c>
      <c r="H38" s="99">
        <f>$D38-vlookup(Summary!$C38,Summary!$C$2:$Q$103,3+counta($F$1:H$1),false)</f>
        <v>0.5</v>
      </c>
      <c r="I38" s="99">
        <f>$D38-vlookup(Summary!$C38,Summary!$C$2:$Q$103,3+counta($F$1:I$1),false)</f>
        <v>0.45</v>
      </c>
      <c r="J38" s="99">
        <f>$D38-vlookup(Summary!$C38,Summary!$C$2:$Q$103,3+counta($F$1:J$1),false)</f>
        <v>0.25</v>
      </c>
      <c r="K38" s="99">
        <f>$D38-vlookup(Summary!$C38,Summary!$C$2:$Q$103,3+counta($F$1:K$1),false)</f>
        <v>0.1</v>
      </c>
      <c r="L38" s="99">
        <f>$D38-vlookup(Summary!$C38,Summary!$C$2:$Q$103,3+counta($F$1:L$1),false)</f>
        <v>0.549</v>
      </c>
      <c r="M38" s="99">
        <f>$D38-vlookup(Summary!$C38,Summary!$C$2:$Q$103,3+counta($F$1:M$1),false)</f>
        <v>0.53</v>
      </c>
      <c r="N38" s="99">
        <f>$D38-vlookup(Summary!$C38,Summary!$C$2:$Q$103,3+counta($F$1:N$1),false)</f>
        <v>0.45</v>
      </c>
      <c r="O38" s="99">
        <f>$D38-vlookup(Summary!$C38,Summary!$C$2:$Q$103,3+counta($F$1:O$1),false)</f>
        <v>0.549</v>
      </c>
      <c r="P38" s="99">
        <f>$D38-vlookup(Summary!$C38,Summary!$C$2:$Q$103,3+counta($F$1:P$1),false)</f>
        <v>0.05</v>
      </c>
      <c r="Q38" s="99">
        <f>$D38-vlookup(Summary!$C38,Summary!$C$2:$Q$103,3+counta($F$1:Q$1),false)</f>
        <v>0</v>
      </c>
    </row>
    <row r="39" ht="15.75" customHeight="1">
      <c r="A39" s="15">
        <f>Main!A39</f>
        <v>38</v>
      </c>
      <c r="B39" s="15" t="str">
        <f>Main!B39</f>
        <v>WHO switches to another alphabet than the Greek alphabet for Covid variants</v>
      </c>
      <c r="C39" s="15" t="str">
        <f>Main!C39</f>
        <v>Covid</v>
      </c>
      <c r="D39" s="15">
        <v>0.35</v>
      </c>
      <c r="F39" s="99">
        <f>$D39-vlookup(Summary!$C39,Summary!$C$2:$Q$103,3+counta($F$1:F$1),false)</f>
        <v>-0.1</v>
      </c>
      <c r="G39" s="99">
        <f>$D39-vlookup(Summary!$C39,Summary!$C$2:$Q$103,3+counta($F$1:G$1),false)</f>
        <v>-0.45</v>
      </c>
      <c r="H39" s="99">
        <f>$D39-vlookup(Summary!$C39,Summary!$C$2:$Q$103,3+counta($F$1:H$1),false)</f>
        <v>0.15</v>
      </c>
      <c r="I39" s="99">
        <f>$D39-vlookup(Summary!$C39,Summary!$C$2:$Q$103,3+counta($F$1:I$1),false)</f>
        <v>0.25</v>
      </c>
      <c r="J39" s="99">
        <f>$D39-vlookup(Summary!$C39,Summary!$C$2:$Q$103,3+counta($F$1:J$1),false)</f>
        <v>-0.15</v>
      </c>
      <c r="K39" s="99">
        <f>$D39-vlookup(Summary!$C39,Summary!$C$2:$Q$103,3+counta($F$1:K$1),false)</f>
        <v>-0.55</v>
      </c>
      <c r="L39" s="99">
        <f>$D39-vlookup(Summary!$C39,Summary!$C$2:$Q$103,3+counta($F$1:L$1),false)</f>
        <v>-0.15</v>
      </c>
      <c r="M39" s="99">
        <f>$D39-vlookup(Summary!$C39,Summary!$C$2:$Q$103,3+counta($F$1:M$1),false)</f>
        <v>0.15</v>
      </c>
      <c r="N39" s="99">
        <f>$D39-vlookup(Summary!$C39,Summary!$C$2:$Q$103,3+counta($F$1:N$1),false)</f>
        <v>-0.55</v>
      </c>
      <c r="O39" s="99">
        <f>$D39-vlookup(Summary!$C39,Summary!$C$2:$Q$103,3+counta($F$1:O$1),false)</f>
        <v>0.2</v>
      </c>
      <c r="P39" s="99">
        <f>$D39-vlookup(Summary!$C39,Summary!$C$2:$Q$103,3+counta($F$1:P$1),false)</f>
        <v>0.25</v>
      </c>
      <c r="Q39" s="99">
        <f>$D39-vlookup(Summary!$C39,Summary!$C$2:$Q$103,3+counta($F$1:Q$1),false)</f>
        <v>0</v>
      </c>
    </row>
    <row r="40" ht="15.75" customHeight="1">
      <c r="A40" s="15">
        <f>Main!A40</f>
        <v>39</v>
      </c>
      <c r="B40" s="15" t="str">
        <f>Main!B40</f>
        <v>Lachy and Jac's extension will be completed</v>
      </c>
      <c r="C40" s="15" t="str">
        <f>Main!C40</f>
        <v>Family</v>
      </c>
      <c r="D40" s="15">
        <v>0.15</v>
      </c>
      <c r="F40" s="99">
        <f>$D40-vlookup(Summary!$C40,Summary!$C$2:$Q$103,3+counta($F$1:F$1),false)</f>
        <v>-0.55</v>
      </c>
      <c r="G40" s="99">
        <f>$D40-vlookup(Summary!$C40,Summary!$C$2:$Q$103,3+counta($F$1:G$1),false)</f>
        <v>-0.65</v>
      </c>
      <c r="H40" s="99">
        <f>$D40-vlookup(Summary!$C40,Summary!$C$2:$Q$103,3+counta($F$1:H$1),false)</f>
        <v>0.05</v>
      </c>
      <c r="I40" s="99">
        <f>$D40-vlookup(Summary!$C40,Summary!$C$2:$Q$103,3+counta($F$1:I$1),false)</f>
        <v>-0.35</v>
      </c>
      <c r="J40" s="99">
        <f>$D40-vlookup(Summary!$C40,Summary!$C$2:$Q$103,3+counta($F$1:J$1),false)</f>
        <v>-0.65</v>
      </c>
      <c r="K40" s="99">
        <f>$D40-vlookup(Summary!$C40,Summary!$C$2:$Q$103,3+counta($F$1:K$1),false)</f>
        <v>-0.25</v>
      </c>
      <c r="L40" s="99">
        <f>$D40-vlookup(Summary!$C40,Summary!$C$2:$Q$103,3+counta($F$1:L$1),false)</f>
        <v>-0.35</v>
      </c>
      <c r="M40" s="99">
        <f>$D40-vlookup(Summary!$C40,Summary!$C$2:$Q$103,3+counta($F$1:M$1),false)</f>
        <v>0.15</v>
      </c>
      <c r="N40" s="99">
        <f>$D40-vlookup(Summary!$C40,Summary!$C$2:$Q$103,3+counta($F$1:N$1),false)</f>
        <v>-0.75</v>
      </c>
      <c r="O40" s="99">
        <f>$D40-vlookup(Summary!$C40,Summary!$C$2:$Q$103,3+counta($F$1:O$1),false)</f>
        <v>-0.7</v>
      </c>
      <c r="P40" s="99">
        <f>$D40-vlookup(Summary!$C40,Summary!$C$2:$Q$103,3+counta($F$1:P$1),false)</f>
        <v>-0.35</v>
      </c>
      <c r="Q40" s="99">
        <f>$D40-vlookup(Summary!$C40,Summary!$C$2:$Q$103,3+counta($F$1:Q$1),false)</f>
        <v>0</v>
      </c>
    </row>
    <row r="41" ht="15.75" customHeight="1">
      <c r="A41" s="15">
        <f>Main!A41</f>
        <v>40</v>
      </c>
      <c r="B41" s="15" t="str">
        <f>Main!B41</f>
        <v>Rohan will work for two different employers (not his own family members)</v>
      </c>
      <c r="C41" s="15" t="str">
        <f>Main!C41</f>
        <v>Family</v>
      </c>
      <c r="D41" s="15">
        <v>0.3</v>
      </c>
      <c r="E41" s="15" t="s">
        <v>210</v>
      </c>
      <c r="F41" s="99">
        <f>$D41-vlookup(Summary!$C41,Summary!$C$2:$Q$103,3+counta($F$1:F$1),false)</f>
        <v>-0.1</v>
      </c>
      <c r="G41" s="99">
        <f>$D41-vlookup(Summary!$C41,Summary!$C$2:$Q$103,3+counta($F$1:G$1),false)</f>
        <v>-0.3</v>
      </c>
      <c r="H41" s="99">
        <f>$D41-vlookup(Summary!$C41,Summary!$C$2:$Q$103,3+counta($F$1:H$1),false)</f>
        <v>0.2</v>
      </c>
      <c r="I41" s="99">
        <f>$D41-vlookup(Summary!$C41,Summary!$C$2:$Q$103,3+counta($F$1:I$1),false)</f>
        <v>0</v>
      </c>
      <c r="J41" s="99">
        <f>$D41-vlookup(Summary!$C41,Summary!$C$2:$Q$103,3+counta($F$1:J$1),false)</f>
        <v>-0.2</v>
      </c>
      <c r="K41" s="99">
        <f>$D41-vlookup(Summary!$C41,Summary!$C$2:$Q$103,3+counta($F$1:K$1),false)</f>
        <v>0</v>
      </c>
      <c r="L41" s="99">
        <f>$D41-vlookup(Summary!$C41,Summary!$C$2:$Q$103,3+counta($F$1:L$1),false)</f>
        <v>0</v>
      </c>
      <c r="M41" s="99">
        <f>$D41-vlookup(Summary!$C41,Summary!$C$2:$Q$103,3+counta($F$1:M$1),false)</f>
        <v>0.2</v>
      </c>
      <c r="N41" s="99">
        <f>$D41-vlookup(Summary!$C41,Summary!$C$2:$Q$103,3+counta($F$1:N$1),false)</f>
        <v>-0.3</v>
      </c>
      <c r="O41" s="99">
        <f>$D41-vlookup(Summary!$C41,Summary!$C$2:$Q$103,3+counta($F$1:O$1),false)</f>
        <v>0.15</v>
      </c>
      <c r="P41" s="99">
        <f>$D41-vlookup(Summary!$C41,Summary!$C$2:$Q$103,3+counta($F$1:P$1),false)</f>
        <v>-0.2</v>
      </c>
      <c r="Q41" s="99">
        <f>$D41-vlookup(Summary!$C41,Summary!$C$2:$Q$103,3+counta($F$1:Q$1),false)</f>
        <v>0</v>
      </c>
    </row>
    <row r="42" ht="15.75" customHeight="1">
      <c r="A42" s="15">
        <f>Main!A42</f>
        <v>41</v>
      </c>
      <c r="B42" s="15" t="str">
        <f>Main!B42</f>
        <v>Kate will swim the Broulee Bay to Breakers in March 2022 and improve her position from 9th in the 40s women’s age group</v>
      </c>
      <c r="C42" s="15" t="str">
        <f>Main!C42</f>
        <v>Family</v>
      </c>
      <c r="D42" s="15">
        <v>0.5</v>
      </c>
      <c r="E42" s="15" t="s">
        <v>211</v>
      </c>
      <c r="F42" s="99">
        <f>$D42-vlookup(Summary!$C42,Summary!$C$2:$Q$103,3+counta($F$1:F$1),false)</f>
        <v>-0.1</v>
      </c>
      <c r="G42" s="99">
        <f>$D42-vlookup(Summary!$C42,Summary!$C$2:$Q$103,3+counta($F$1:G$1),false)</f>
        <v>-0.3</v>
      </c>
      <c r="H42" s="99">
        <f>$D42-vlookup(Summary!$C42,Summary!$C$2:$Q$103,3+counta($F$1:H$1),false)</f>
        <v>-0.4</v>
      </c>
      <c r="I42" s="99">
        <f>$D42-vlookup(Summary!$C42,Summary!$C$2:$Q$103,3+counta($F$1:I$1),false)</f>
        <v>0</v>
      </c>
      <c r="J42" s="99">
        <f>$D42-vlookup(Summary!$C42,Summary!$C$2:$Q$103,3+counta($F$1:J$1),false)</f>
        <v>-0.4</v>
      </c>
      <c r="K42" s="99">
        <f>$D42-vlookup(Summary!$C42,Summary!$C$2:$Q$103,3+counta($F$1:K$1),false)</f>
        <v>-0.2</v>
      </c>
      <c r="L42" s="99">
        <f>$D42-vlookup(Summary!$C42,Summary!$C$2:$Q$103,3+counta($F$1:L$1),false)</f>
        <v>-0.1</v>
      </c>
      <c r="M42" s="99">
        <f>$D42-vlookup(Summary!$C42,Summary!$C$2:$Q$103,3+counta($F$1:M$1),false)</f>
        <v>-0.4</v>
      </c>
      <c r="N42" s="99">
        <f>$D42-vlookup(Summary!$C42,Summary!$C$2:$Q$103,3+counta($F$1:N$1),false)</f>
        <v>0.3</v>
      </c>
      <c r="O42" s="99">
        <f>$D42-vlookup(Summary!$C42,Summary!$C$2:$Q$103,3+counta($F$1:O$1),false)</f>
        <v>-0.35</v>
      </c>
      <c r="P42" s="99">
        <f>$D42-vlookup(Summary!$C42,Summary!$C$2:$Q$103,3+counta($F$1:P$1),false)</f>
        <v>-0.4</v>
      </c>
      <c r="Q42" s="99">
        <f>$D42-vlookup(Summary!$C42,Summary!$C$2:$Q$103,3+counta($F$1:Q$1),false)</f>
        <v>0</v>
      </c>
    </row>
    <row r="43" ht="15.75" customHeight="1">
      <c r="A43" s="15">
        <f>Main!A43</f>
        <v>42</v>
      </c>
      <c r="B43" s="15" t="str">
        <f>Main!B43</f>
        <v>Rohan will be at least 6ft tall</v>
      </c>
      <c r="C43" s="15" t="str">
        <f>Main!C43</f>
        <v>Family</v>
      </c>
      <c r="D43" s="15">
        <v>0.99</v>
      </c>
      <c r="F43" s="99">
        <f>$D43-vlookup(Summary!$C43,Summary!$C$2:$Q$103,3+counta($F$1:F$1),false)</f>
        <v>0.49</v>
      </c>
      <c r="G43" s="99">
        <f>$D43-vlookup(Summary!$C43,Summary!$C$2:$Q$103,3+counta($F$1:G$1),false)</f>
        <v>0.09</v>
      </c>
      <c r="H43" s="99">
        <f>$D43-vlookup(Summary!$C43,Summary!$C$2:$Q$103,3+counta($F$1:H$1),false)</f>
        <v>0.09</v>
      </c>
      <c r="I43" s="99">
        <f>$D43-vlookup(Summary!$C43,Summary!$C$2:$Q$103,3+counta($F$1:I$1),false)</f>
        <v>0.59</v>
      </c>
      <c r="J43" s="99">
        <f>$D43-vlookup(Summary!$C43,Summary!$C$2:$Q$103,3+counta($F$1:J$1),false)</f>
        <v>0.09</v>
      </c>
      <c r="K43" s="99">
        <f>$D43-vlookup(Summary!$C43,Summary!$C$2:$Q$103,3+counta($F$1:K$1),false)</f>
        <v>0.989</v>
      </c>
      <c r="L43" s="99">
        <f>$D43-vlookup(Summary!$C43,Summary!$C$2:$Q$103,3+counta($F$1:L$1),false)</f>
        <v>-0.00999</v>
      </c>
      <c r="M43" s="99">
        <f>$D43-vlookup(Summary!$C43,Summary!$C$2:$Q$103,3+counta($F$1:M$1),false)</f>
        <v>0.09</v>
      </c>
      <c r="N43" s="99">
        <f>$D43-vlookup(Summary!$C43,Summary!$C$2:$Q$103,3+counta($F$1:N$1),false)</f>
        <v>0.09</v>
      </c>
      <c r="O43" s="99">
        <f>$D43-vlookup(Summary!$C43,Summary!$C$2:$Q$103,3+counta($F$1:O$1),false)</f>
        <v>-0.009</v>
      </c>
      <c r="P43" s="99">
        <f>$D43-vlookup(Summary!$C43,Summary!$C$2:$Q$103,3+counta($F$1:P$1),false)</f>
        <v>0.09</v>
      </c>
      <c r="Q43" s="99">
        <f>$D43-vlookup(Summary!$C43,Summary!$C$2:$Q$103,3+counta($F$1:Q$1),false)</f>
        <v>0</v>
      </c>
    </row>
    <row r="44" ht="15.75" customHeight="1">
      <c r="A44" s="15">
        <f>Main!A44</f>
        <v>43</v>
      </c>
      <c r="B44" s="15" t="str">
        <f>Main!B44</f>
        <v>A participant in the prediction game will get a dog or another dog </v>
      </c>
      <c r="C44" s="15" t="str">
        <f>Main!C44</f>
        <v>Family</v>
      </c>
      <c r="D44" s="15">
        <v>0.25</v>
      </c>
      <c r="F44" s="99">
        <f>$D44-vlookup(Summary!$C44,Summary!$C$2:$Q$103,3+counta($F$1:F$1),false)</f>
        <v>-0.25</v>
      </c>
      <c r="G44" s="99">
        <f>$D44-vlookup(Summary!$C44,Summary!$C$2:$Q$103,3+counta($F$1:G$1),false)</f>
        <v>-0.7</v>
      </c>
      <c r="H44" s="99">
        <f>$D44-vlookup(Summary!$C44,Summary!$C$2:$Q$103,3+counta($F$1:H$1),false)</f>
        <v>0.15</v>
      </c>
      <c r="I44" s="99">
        <f>$D44-vlookup(Summary!$C44,Summary!$C$2:$Q$103,3+counta($F$1:I$1),false)</f>
        <v>0.15</v>
      </c>
      <c r="J44" s="99">
        <f>$D44-vlookup(Summary!$C44,Summary!$C$2:$Q$103,3+counta($F$1:J$1),false)</f>
        <v>-0.65</v>
      </c>
      <c r="K44" s="99">
        <f>$D44-vlookup(Summary!$C44,Summary!$C$2:$Q$103,3+counta($F$1:K$1),false)</f>
        <v>-0.5</v>
      </c>
      <c r="L44" s="99">
        <f>$D44-vlookup(Summary!$C44,Summary!$C$2:$Q$103,3+counta($F$1:L$1),false)</f>
        <v>0.05</v>
      </c>
      <c r="M44" s="99">
        <f>$D44-vlookup(Summary!$C44,Summary!$C$2:$Q$103,3+counta($F$1:M$1),false)</f>
        <v>0.15</v>
      </c>
      <c r="N44" s="99">
        <f>$D44-vlookup(Summary!$C44,Summary!$C$2:$Q$103,3+counta($F$1:N$1),false)</f>
        <v>0.15</v>
      </c>
      <c r="O44" s="99">
        <f>$D44-vlookup(Summary!$C44,Summary!$C$2:$Q$103,3+counta($F$1:O$1),false)</f>
        <v>0.249</v>
      </c>
      <c r="P44" s="99">
        <f>$D44-vlookup(Summary!$C44,Summary!$C$2:$Q$103,3+counta($F$1:P$1),false)</f>
        <v>-0.25</v>
      </c>
      <c r="Q44" s="99">
        <f>$D44-vlookup(Summary!$C44,Summary!$C$2:$Q$103,3+counta($F$1:Q$1),false)</f>
        <v>0</v>
      </c>
    </row>
    <row r="45" ht="15.75" customHeight="1">
      <c r="A45" s="15">
        <f>Main!A45</f>
        <v>44</v>
      </c>
      <c r="B45" s="15" t="str">
        <f>Main!B45</f>
        <v>There will be a flow of water into the Lake Eyre basin in 2022</v>
      </c>
      <c r="C45" s="15" t="str">
        <f>Main!C45</f>
        <v>Natural world</v>
      </c>
      <c r="D45" s="15">
        <v>0.5</v>
      </c>
      <c r="F45" s="99">
        <f>$D45-vlookup(Summary!$C45,Summary!$C$2:$Q$103,3+counta($F$1:F$1),false)</f>
        <v>-0.25</v>
      </c>
      <c r="G45" s="99">
        <f>$D45-vlookup(Summary!$C45,Summary!$C$2:$Q$103,3+counta($F$1:G$1),false)</f>
        <v>-0.3</v>
      </c>
      <c r="H45" s="99">
        <f>$D45-vlookup(Summary!$C45,Summary!$C$2:$Q$103,3+counta($F$1:H$1),false)</f>
        <v>0</v>
      </c>
      <c r="I45" s="99">
        <f>$D45-vlookup(Summary!$C45,Summary!$C$2:$Q$103,3+counta($F$1:I$1),false)</f>
        <v>0</v>
      </c>
      <c r="J45" s="99">
        <f>$D45-vlookup(Summary!$C45,Summary!$C$2:$Q$103,3+counta($F$1:J$1),false)</f>
        <v>0.2</v>
      </c>
      <c r="K45" s="99">
        <f>$D45-vlookup(Summary!$C45,Summary!$C$2:$Q$103,3+counta($F$1:K$1),false)</f>
        <v>-0.2</v>
      </c>
      <c r="L45" s="99">
        <f>$D45-vlookup(Summary!$C45,Summary!$C$2:$Q$103,3+counta($F$1:L$1),false)</f>
        <v>-0.3</v>
      </c>
      <c r="M45" s="99">
        <f>$D45-vlookup(Summary!$C45,Summary!$C$2:$Q$103,3+counta($F$1:M$1),false)</f>
        <v>0</v>
      </c>
      <c r="N45" s="99">
        <f>$D45-vlookup(Summary!$C45,Summary!$C$2:$Q$103,3+counta($F$1:N$1),false)</f>
        <v>-0.1</v>
      </c>
      <c r="O45" s="99">
        <f>$D45-vlookup(Summary!$C45,Summary!$C$2:$Q$103,3+counta($F$1:O$1),false)</f>
        <v>-0.15</v>
      </c>
      <c r="P45" s="99">
        <f>$D45-vlookup(Summary!$C45,Summary!$C$2:$Q$103,3+counta($F$1:P$1),false)</f>
        <v>-0.4</v>
      </c>
      <c r="Q45" s="99">
        <f>$D45-vlookup(Summary!$C45,Summary!$C$2:$Q$103,3+counta($F$1:Q$1),false)</f>
        <v>0</v>
      </c>
    </row>
    <row r="46" ht="15.75" customHeight="1">
      <c r="A46" s="15">
        <f>Main!A46</f>
        <v>45</v>
      </c>
      <c r="B46" s="15" t="str">
        <f>Main!B46</f>
        <v>Water from the Paroo will spill into the Darling in 2022</v>
      </c>
      <c r="C46" s="15" t="str">
        <f>Main!C46</f>
        <v>Natural world</v>
      </c>
      <c r="D46" s="15">
        <v>0.5</v>
      </c>
      <c r="F46" s="99">
        <f>$D46-vlookup(Summary!$C46,Summary!$C$2:$Q$103,3+counta($F$1:F$1),false)</f>
        <v>0</v>
      </c>
      <c r="G46" s="99">
        <f>$D46-vlookup(Summary!$C46,Summary!$C$2:$Q$103,3+counta($F$1:G$1),false)</f>
        <v>-0.2</v>
      </c>
      <c r="H46" s="99">
        <f>$D46-vlookup(Summary!$C46,Summary!$C$2:$Q$103,3+counta($F$1:H$1),false)</f>
        <v>0</v>
      </c>
      <c r="I46" s="99">
        <f>$D46-vlookup(Summary!$C46,Summary!$C$2:$Q$103,3+counta($F$1:I$1),false)</f>
        <v>0</v>
      </c>
      <c r="J46" s="99">
        <f>$D46-vlookup(Summary!$C46,Summary!$C$2:$Q$103,3+counta($F$1:J$1),false)</f>
        <v>-0.1</v>
      </c>
      <c r="K46" s="99">
        <f>$D46-vlookup(Summary!$C46,Summary!$C$2:$Q$103,3+counta($F$1:K$1),false)</f>
        <v>-0.1</v>
      </c>
      <c r="L46" s="99">
        <f>$D46-vlookup(Summary!$C46,Summary!$C$2:$Q$103,3+counta($F$1:L$1),false)</f>
        <v>-0.3</v>
      </c>
      <c r="M46" s="99">
        <f>$D46-vlookup(Summary!$C46,Summary!$C$2:$Q$103,3+counta($F$1:M$1),false)</f>
        <v>0</v>
      </c>
      <c r="N46" s="99">
        <f>$D46-vlookup(Summary!$C46,Summary!$C$2:$Q$103,3+counta($F$1:N$1),false)</f>
        <v>-0.1</v>
      </c>
      <c r="O46" s="99">
        <f>$D46-vlookup(Summary!$C46,Summary!$C$2:$Q$103,3+counta($F$1:O$1),false)</f>
        <v>0</v>
      </c>
      <c r="P46" s="99">
        <f>$D46-vlookup(Summary!$C46,Summary!$C$2:$Q$103,3+counta($F$1:P$1),false)</f>
        <v>0.4</v>
      </c>
      <c r="Q46" s="99">
        <f>$D46-vlookup(Summary!$C46,Summary!$C$2:$Q$103,3+counta($F$1:Q$1),false)</f>
        <v>0</v>
      </c>
    </row>
    <row r="47" ht="15.75" customHeight="1">
      <c r="A47" s="15">
        <f>Main!A47</f>
        <v>46</v>
      </c>
      <c r="B47" s="15" t="str">
        <f>Main!B47</f>
        <v>In the Antarctic the Thwaites Glacier ice-shelf will collapse in 2022</v>
      </c>
      <c r="C47" s="15" t="str">
        <f>Main!C47</f>
        <v>Natural world</v>
      </c>
      <c r="D47" s="15">
        <v>0.5</v>
      </c>
      <c r="F47" s="99">
        <f>$D47-vlookup(Summary!$C47,Summary!$C$2:$Q$103,3+counta($F$1:F$1),false)</f>
        <v>0</v>
      </c>
      <c r="G47" s="99">
        <f>$D47-vlookup(Summary!$C47,Summary!$C$2:$Q$103,3+counta($F$1:G$1),false)</f>
        <v>0.25</v>
      </c>
      <c r="H47" s="99">
        <f>$D47-vlookup(Summary!$C47,Summary!$C$2:$Q$103,3+counta($F$1:H$1),false)</f>
        <v>-0.2</v>
      </c>
      <c r="I47" s="99">
        <f>$D47-vlookup(Summary!$C47,Summary!$C$2:$Q$103,3+counta($F$1:I$1),false)</f>
        <v>0</v>
      </c>
      <c r="J47" s="99">
        <f>$D47-vlookup(Summary!$C47,Summary!$C$2:$Q$103,3+counta($F$1:J$1),false)</f>
        <v>-0.2</v>
      </c>
      <c r="K47" s="99">
        <f>$D47-vlookup(Summary!$C47,Summary!$C$2:$Q$103,3+counta($F$1:K$1),false)</f>
        <v>-0.2</v>
      </c>
      <c r="L47" s="99">
        <f>$D47-vlookup(Summary!$C47,Summary!$C$2:$Q$103,3+counta($F$1:L$1),false)</f>
        <v>0.4</v>
      </c>
      <c r="M47" s="99">
        <f>$D47-vlookup(Summary!$C47,Summary!$C$2:$Q$103,3+counta($F$1:M$1),false)</f>
        <v>-0.2</v>
      </c>
      <c r="N47" s="99">
        <f>$D47-vlookup(Summary!$C47,Summary!$C$2:$Q$103,3+counta($F$1:N$1),false)</f>
        <v>0.3</v>
      </c>
      <c r="O47" s="99">
        <f>$D47-vlookup(Summary!$C47,Summary!$C$2:$Q$103,3+counta($F$1:O$1),false)</f>
        <v>0.15</v>
      </c>
      <c r="P47" s="99">
        <f>$D47-vlookup(Summary!$C47,Summary!$C$2:$Q$103,3+counta($F$1:P$1),false)</f>
        <v>0</v>
      </c>
      <c r="Q47" s="99">
        <f>$D47-vlookup(Summary!$C47,Summary!$C$2:$Q$103,3+counta($F$1:Q$1),false)</f>
        <v>0</v>
      </c>
    </row>
    <row r="48" ht="15.75" customHeight="1">
      <c r="A48" s="15">
        <f>Main!A48</f>
        <v>47</v>
      </c>
      <c r="B48" s="15" t="str">
        <f>Main!B48</f>
        <v>At least three quarters of the Great Barrier Reef will be bleached as a result of warming seas.</v>
      </c>
      <c r="C48" s="15" t="str">
        <f>Main!C48</f>
        <v>Natural world</v>
      </c>
      <c r="D48" s="15">
        <v>0.4</v>
      </c>
      <c r="F48" s="99">
        <f>$D48-vlookup(Summary!$C48,Summary!$C$2:$Q$103,3+counta($F$1:F$1),false)</f>
        <v>-0.1</v>
      </c>
      <c r="G48" s="99">
        <f>$D48-vlookup(Summary!$C48,Summary!$C$2:$Q$103,3+counta($F$1:G$1),false)</f>
        <v>-0.4</v>
      </c>
      <c r="H48" s="99">
        <f>$D48-vlookup(Summary!$C48,Summary!$C$2:$Q$103,3+counta($F$1:H$1),false)</f>
        <v>-0.3</v>
      </c>
      <c r="I48" s="99">
        <f>$D48-vlookup(Summary!$C48,Summary!$C$2:$Q$103,3+counta($F$1:I$1),false)</f>
        <v>-0.1</v>
      </c>
      <c r="J48" s="99">
        <f>$D48-vlookup(Summary!$C48,Summary!$C$2:$Q$103,3+counta($F$1:J$1),false)</f>
        <v>-0.4</v>
      </c>
      <c r="K48" s="99">
        <f>$D48-vlookup(Summary!$C48,Summary!$C$2:$Q$103,3+counta($F$1:K$1),false)</f>
        <v>-0.45</v>
      </c>
      <c r="L48" s="99">
        <f>$D48-vlookup(Summary!$C48,Summary!$C$2:$Q$103,3+counta($F$1:L$1),false)</f>
        <v>-0.1</v>
      </c>
      <c r="M48" s="99">
        <f>$D48-vlookup(Summary!$C48,Summary!$C$2:$Q$103,3+counta($F$1:M$1),false)</f>
        <v>-0.3</v>
      </c>
      <c r="N48" s="99">
        <f>$D48-vlookup(Summary!$C48,Summary!$C$2:$Q$103,3+counta($F$1:N$1),false)</f>
        <v>-0.3</v>
      </c>
      <c r="O48" s="99">
        <f>$D48-vlookup(Summary!$C48,Summary!$C$2:$Q$103,3+counta($F$1:O$1),false)</f>
        <v>0.05</v>
      </c>
      <c r="P48" s="99">
        <f>$D48-vlookup(Summary!$C48,Summary!$C$2:$Q$103,3+counta($F$1:P$1),false)</f>
        <v>-0.1</v>
      </c>
      <c r="Q48" s="99">
        <f>$D48-vlookup(Summary!$C48,Summary!$C$2:$Q$103,3+counta($F$1:Q$1),false)</f>
        <v>0</v>
      </c>
    </row>
    <row r="49" ht="15.75" customHeight="1">
      <c r="A49" s="15">
        <f>Main!A49</f>
        <v>48</v>
      </c>
      <c r="B49" s="15" t="str">
        <f>Main!B49</f>
        <v>Sabine Hoffstader will release a Youtube video explaining that the nature of dark matter has been confirmed experimentally</v>
      </c>
      <c r="C49" s="15" t="str">
        <f>Main!C49</f>
        <v>Natural world</v>
      </c>
      <c r="D49" s="15">
        <v>0.5</v>
      </c>
      <c r="F49" s="99">
        <f>$D49-vlookup(Summary!$C49,Summary!$C$2:$Q$103,3+counta($F$1:F$1),false)</f>
        <v>0</v>
      </c>
      <c r="G49" s="99">
        <f>$D49-vlookup(Summary!$C49,Summary!$C$2:$Q$103,3+counta($F$1:G$1),false)</f>
        <v>0.25</v>
      </c>
      <c r="H49" s="99">
        <f>$D49-vlookup(Summary!$C49,Summary!$C$2:$Q$103,3+counta($F$1:H$1),false)</f>
        <v>0.4</v>
      </c>
      <c r="I49" s="99">
        <f>$D49-vlookup(Summary!$C49,Summary!$C$2:$Q$103,3+counta($F$1:I$1),false)</f>
        <v>0</v>
      </c>
      <c r="J49" s="99">
        <f>$D49-vlookup(Summary!$C49,Summary!$C$2:$Q$103,3+counta($F$1:J$1),false)</f>
        <v>0</v>
      </c>
      <c r="K49" s="99">
        <f>$D49-vlookup(Summary!$C49,Summary!$C$2:$Q$103,3+counta($F$1:K$1),false)</f>
        <v>-0.15</v>
      </c>
      <c r="L49" s="99">
        <f>$D49-vlookup(Summary!$C49,Summary!$C$2:$Q$103,3+counta($F$1:L$1),false)</f>
        <v>-0.1</v>
      </c>
      <c r="M49" s="99">
        <f>$D49-vlookup(Summary!$C49,Summary!$C$2:$Q$103,3+counta($F$1:M$1),false)</f>
        <v>0.4</v>
      </c>
      <c r="N49" s="99">
        <f>$D49-vlookup(Summary!$C49,Summary!$C$2:$Q$103,3+counta($F$1:N$1),false)</f>
        <v>0</v>
      </c>
      <c r="O49" s="99">
        <f>$D49-vlookup(Summary!$C49,Summary!$C$2:$Q$103,3+counta($F$1:O$1),false)</f>
        <v>0.499</v>
      </c>
      <c r="P49" s="99">
        <f>$D49-vlookup(Summary!$C49,Summary!$C$2:$Q$103,3+counta($F$1:P$1),false)</f>
        <v>0</v>
      </c>
      <c r="Q49" s="99">
        <f>$D49-vlookup(Summary!$C49,Summary!$C$2:$Q$103,3+counta($F$1:Q$1),false)</f>
        <v>0</v>
      </c>
    </row>
    <row r="50" ht="15.75" customHeight="1">
      <c r="A50" s="15">
        <f>Main!A50</f>
        <v>49</v>
      </c>
      <c r="B50" s="15" t="str">
        <f>Main!B50</f>
        <v>2022 will be the hottest year on record globally (via NASA)</v>
      </c>
      <c r="C50" s="15" t="str">
        <f>Main!C50</f>
        <v>Natural world</v>
      </c>
      <c r="D50" s="15">
        <v>0.4</v>
      </c>
      <c r="F50" s="99">
        <f>$D50-vlookup(Summary!$C50,Summary!$C$2:$Q$103,3+counta($F$1:F$1),false)</f>
        <v>0.1</v>
      </c>
      <c r="G50" s="99">
        <f>$D50-vlookup(Summary!$C50,Summary!$C$2:$Q$103,3+counta($F$1:G$1),false)</f>
        <v>-0.05</v>
      </c>
      <c r="H50" s="99">
        <f>$D50-vlookup(Summary!$C50,Summary!$C$2:$Q$103,3+counta($F$1:H$1),false)</f>
        <v>-0.55</v>
      </c>
      <c r="I50" s="99">
        <f>$D50-vlookup(Summary!$C50,Summary!$C$2:$Q$103,3+counta($F$1:I$1),false)</f>
        <v>0.1</v>
      </c>
      <c r="J50" s="99">
        <f>$D50-vlookup(Summary!$C50,Summary!$C$2:$Q$103,3+counta($F$1:J$1),false)</f>
        <v>-0.4</v>
      </c>
      <c r="K50" s="99">
        <f>$D50-vlookup(Summary!$C50,Summary!$C$2:$Q$103,3+counta($F$1:K$1),false)</f>
        <v>-0.42</v>
      </c>
      <c r="L50" s="99">
        <f>$D50-vlookup(Summary!$C50,Summary!$C$2:$Q$103,3+counta($F$1:L$1),false)</f>
        <v>0.2</v>
      </c>
      <c r="M50" s="99">
        <f>$D50-vlookup(Summary!$C50,Summary!$C$2:$Q$103,3+counta($F$1:M$1),false)</f>
        <v>-0.55</v>
      </c>
      <c r="N50" s="99">
        <f>$D50-vlookup(Summary!$C50,Summary!$C$2:$Q$103,3+counta($F$1:N$1),false)</f>
        <v>0.1</v>
      </c>
      <c r="O50" s="99">
        <f>$D50-vlookup(Summary!$C50,Summary!$C$2:$Q$103,3+counta($F$1:O$1),false)</f>
        <v>0.25</v>
      </c>
      <c r="P50" s="99">
        <f>$D50-vlookup(Summary!$C50,Summary!$C$2:$Q$103,3+counta($F$1:P$1),false)</f>
        <v>-0.2</v>
      </c>
      <c r="Q50" s="99">
        <f>$D50-vlookup(Summary!$C50,Summary!$C$2:$Q$103,3+counta($F$1:Q$1),false)</f>
        <v>0</v>
      </c>
    </row>
    <row r="51" ht="15.75" customHeight="1">
      <c r="A51" s="15">
        <f>Main!A51</f>
        <v>50</v>
      </c>
      <c r="B51" s="15" t="str">
        <f>Main!B51</f>
        <v>A cultivated chilli will replace the Carolina Reaper as the world’s hottest, as measured in scoville units (GWR seems to be the source of this currently)</v>
      </c>
      <c r="C51" s="15" t="str">
        <f>Main!C51</f>
        <v>Natural world</v>
      </c>
      <c r="D51" s="15">
        <v>0.8</v>
      </c>
      <c r="F51" s="99">
        <f>$D51-vlookup(Summary!$C51,Summary!$C$2:$Q$103,3+counta($F$1:F$1),false)</f>
        <v>0.2</v>
      </c>
      <c r="G51" s="99">
        <f>$D51-vlookup(Summary!$C51,Summary!$C$2:$Q$103,3+counta($F$1:G$1),false)</f>
        <v>0.29</v>
      </c>
      <c r="H51" s="99">
        <f>$D51-vlookup(Summary!$C51,Summary!$C$2:$Q$103,3+counta($F$1:H$1),false)</f>
        <v>0.1</v>
      </c>
      <c r="I51" s="99">
        <f>$D51-vlookup(Summary!$C51,Summary!$C$2:$Q$103,3+counta($F$1:I$1),false)</f>
        <v>0</v>
      </c>
      <c r="J51" s="99">
        <f>$D51-vlookup(Summary!$C51,Summary!$C$2:$Q$103,3+counta($F$1:J$1),false)</f>
        <v>0.6</v>
      </c>
      <c r="K51" s="99">
        <f>$D51-vlookup(Summary!$C51,Summary!$C$2:$Q$103,3+counta($F$1:K$1),false)</f>
        <v>0.05</v>
      </c>
      <c r="L51" s="99">
        <f>$D51-vlookup(Summary!$C51,Summary!$C$2:$Q$103,3+counta($F$1:L$1),false)</f>
        <v>0.3</v>
      </c>
      <c r="M51" s="99">
        <f>$D51-vlookup(Summary!$C51,Summary!$C$2:$Q$103,3+counta($F$1:M$1),false)</f>
        <v>0.1</v>
      </c>
      <c r="N51" s="99">
        <f>$D51-vlookup(Summary!$C51,Summary!$C$2:$Q$103,3+counta($F$1:N$1),false)</f>
        <v>0</v>
      </c>
      <c r="O51" s="99">
        <f>$D51-vlookup(Summary!$C51,Summary!$C$2:$Q$103,3+counta($F$1:O$1),false)</f>
        <v>0.15</v>
      </c>
      <c r="P51" s="99">
        <f>$D51-vlookup(Summary!$C51,Summary!$C$2:$Q$103,3+counta($F$1:P$1),false)</f>
        <v>0.3</v>
      </c>
      <c r="Q51" s="99">
        <f>$D51-vlookup(Summary!$C51,Summary!$C$2:$Q$103,3+counta($F$1:Q$1),false)</f>
        <v>0</v>
      </c>
    </row>
    <row r="52" ht="15.75" customHeight="1">
      <c r="A52" s="15">
        <f>Main!A52</f>
        <v>51</v>
      </c>
      <c r="B52" s="15" t="str">
        <f>Main!B52</f>
        <v>Christchurch will experience an earthquake of at least 4 on the Richter scale</v>
      </c>
      <c r="C52" s="15" t="str">
        <f>Main!C52</f>
        <v>Natural world</v>
      </c>
      <c r="D52" s="15">
        <v>0.5</v>
      </c>
      <c r="F52" s="99">
        <f>$D52-vlookup(Summary!$C52,Summary!$C$2:$Q$103,3+counta($F$1:F$1),false)</f>
        <v>0.1</v>
      </c>
      <c r="G52" s="99">
        <f>$D52-vlookup(Summary!$C52,Summary!$C$2:$Q$103,3+counta($F$1:G$1),false)</f>
        <v>0.25</v>
      </c>
      <c r="H52" s="99">
        <f>$D52-vlookup(Summary!$C52,Summary!$C$2:$Q$103,3+counta($F$1:H$1),false)</f>
        <v>-0.2</v>
      </c>
      <c r="I52" s="99">
        <f>$D52-vlookup(Summary!$C52,Summary!$C$2:$Q$103,3+counta($F$1:I$1),false)</f>
        <v>-0.2</v>
      </c>
      <c r="J52" s="99">
        <f>$D52-vlookup(Summary!$C52,Summary!$C$2:$Q$103,3+counta($F$1:J$1),false)</f>
        <v>0</v>
      </c>
      <c r="K52" s="99">
        <f>$D52-vlookup(Summary!$C52,Summary!$C$2:$Q$103,3+counta($F$1:K$1),false)</f>
        <v>-0.15</v>
      </c>
      <c r="L52" s="99">
        <f>$D52-vlookup(Summary!$C52,Summary!$C$2:$Q$103,3+counta($F$1:L$1),false)</f>
        <v>0.2</v>
      </c>
      <c r="M52" s="99">
        <f>$D52-vlookup(Summary!$C52,Summary!$C$2:$Q$103,3+counta($F$1:M$1),false)</f>
        <v>-0.2</v>
      </c>
      <c r="N52" s="99">
        <f>$D52-vlookup(Summary!$C52,Summary!$C$2:$Q$103,3+counta($F$1:N$1),false)</f>
        <v>0.1</v>
      </c>
      <c r="O52" s="99">
        <f>$D52-vlookup(Summary!$C52,Summary!$C$2:$Q$103,3+counta($F$1:O$1),false)</f>
        <v>-0.15</v>
      </c>
      <c r="P52" s="99">
        <f>$D52-vlookup(Summary!$C52,Summary!$C$2:$Q$103,3+counta($F$1:P$1),false)</f>
        <v>0.4</v>
      </c>
      <c r="Q52" s="99">
        <f>$D52-vlookup(Summary!$C52,Summary!$C$2:$Q$103,3+counta($F$1:Q$1),false)</f>
        <v>0</v>
      </c>
    </row>
    <row r="53" ht="15.75" customHeight="1">
      <c r="A53" s="15">
        <f>Main!A53</f>
        <v>52</v>
      </c>
      <c r="B53" s="15" t="str">
        <f>Main!B53</f>
        <v>Pope Francis will condemn the metaverse or warn of its potential damage</v>
      </c>
      <c r="C53" s="15" t="str">
        <f>Main!C53</f>
        <v>Society</v>
      </c>
      <c r="D53" s="15">
        <v>0.2</v>
      </c>
      <c r="F53" s="99">
        <f>$D53-vlookup(Summary!$C53,Summary!$C$2:$Q$103,3+counta($F$1:F$1),false)</f>
        <v>-0.4</v>
      </c>
      <c r="G53" s="99">
        <f>$D53-vlookup(Summary!$C53,Summary!$C$2:$Q$103,3+counta($F$1:G$1),false)</f>
        <v>0</v>
      </c>
      <c r="H53" s="99">
        <f>$D53-vlookup(Summary!$C53,Summary!$C$2:$Q$103,3+counta($F$1:H$1),false)</f>
        <v>-0.1</v>
      </c>
      <c r="I53" s="99">
        <f>$D53-vlookup(Summary!$C53,Summary!$C$2:$Q$103,3+counta($F$1:I$1),false)</f>
        <v>-0.3</v>
      </c>
      <c r="J53" s="99">
        <f>$D53-vlookup(Summary!$C53,Summary!$C$2:$Q$103,3+counta($F$1:J$1),false)</f>
        <v>-0.7</v>
      </c>
      <c r="K53" s="99">
        <f>$D53-vlookup(Summary!$C53,Summary!$C$2:$Q$103,3+counta($F$1:K$1),false)</f>
        <v>-0.6</v>
      </c>
      <c r="L53" s="99">
        <f>$D53-vlookup(Summary!$C53,Summary!$C$2:$Q$103,3+counta($F$1:L$1),false)</f>
        <v>-0.3</v>
      </c>
      <c r="M53" s="99">
        <f>$D53-vlookup(Summary!$C53,Summary!$C$2:$Q$103,3+counta($F$1:M$1),false)</f>
        <v>-0.1</v>
      </c>
      <c r="N53" s="99">
        <f>$D53-vlookup(Summary!$C53,Summary!$C$2:$Q$103,3+counta($F$1:N$1),false)</f>
        <v>0.1</v>
      </c>
      <c r="O53" s="99">
        <f>$D53-vlookup(Summary!$C53,Summary!$C$2:$Q$103,3+counta($F$1:O$1),false)</f>
        <v>-0.15</v>
      </c>
      <c r="P53" s="99">
        <f>$D53-vlookup(Summary!$C53,Summary!$C$2:$Q$103,3+counta($F$1:P$1),false)</f>
        <v>-0.3</v>
      </c>
      <c r="Q53" s="99">
        <f>$D53-vlookup(Summary!$C53,Summary!$C$2:$Q$103,3+counta($F$1:Q$1),false)</f>
        <v>0</v>
      </c>
    </row>
    <row r="54" ht="15.75" customHeight="1">
      <c r="A54" s="15">
        <f>Main!A54</f>
        <v>53</v>
      </c>
      <c r="B54" s="15" t="str">
        <f>Main!B54</f>
        <v>The 4th most popular baby name for girls in Australia will be Isla according to the NSW Government popular baby names site</v>
      </c>
      <c r="C54" s="15" t="str">
        <f>Main!C54</f>
        <v>Society</v>
      </c>
      <c r="D54" s="15">
        <v>0.8</v>
      </c>
      <c r="F54" s="99">
        <f>$D54-vlookup(Summary!$C54,Summary!$C$2:$Q$103,3+counta($F$1:F$1),false)</f>
        <v>0.45</v>
      </c>
      <c r="G54" s="99">
        <f>$D54-vlookup(Summary!$C54,Summary!$C$2:$Q$103,3+counta($F$1:G$1),false)</f>
        <v>0.4</v>
      </c>
      <c r="H54" s="99">
        <f>$D54-vlookup(Summary!$C54,Summary!$C$2:$Q$103,3+counta($F$1:H$1),false)</f>
        <v>0.3</v>
      </c>
      <c r="I54" s="99">
        <f>$D54-vlookup(Summary!$C54,Summary!$C$2:$Q$103,3+counta($F$1:I$1),false)</f>
        <v>0.7</v>
      </c>
      <c r="J54" s="99">
        <f>$D54-vlookup(Summary!$C54,Summary!$C$2:$Q$103,3+counta($F$1:J$1),false)</f>
        <v>0</v>
      </c>
      <c r="K54" s="99">
        <f>$D54-vlookup(Summary!$C54,Summary!$C$2:$Q$103,3+counta($F$1:K$1),false)</f>
        <v>-0.1</v>
      </c>
      <c r="L54" s="99">
        <f>$D54-vlookup(Summary!$C54,Summary!$C$2:$Q$103,3+counta($F$1:L$1),false)</f>
        <v>0.6</v>
      </c>
      <c r="M54" s="99">
        <f>$D54-vlookup(Summary!$C54,Summary!$C$2:$Q$103,3+counta($F$1:M$1),false)</f>
        <v>0.3</v>
      </c>
      <c r="N54" s="99">
        <f>$D54-vlookup(Summary!$C54,Summary!$C$2:$Q$103,3+counta($F$1:N$1),false)</f>
        <v>-0.1</v>
      </c>
      <c r="O54" s="99">
        <f>$D54-vlookup(Summary!$C54,Summary!$C$2:$Q$103,3+counta($F$1:O$1),false)</f>
        <v>0.45</v>
      </c>
      <c r="P54" s="99">
        <f>$D54-vlookup(Summary!$C54,Summary!$C$2:$Q$103,3+counta($F$1:P$1),false)</f>
        <v>0.7</v>
      </c>
      <c r="Q54" s="99">
        <f>$D54-vlookup(Summary!$C54,Summary!$C$2:$Q$103,3+counta($F$1:Q$1),false)</f>
        <v>0</v>
      </c>
    </row>
    <row r="55" ht="15.75" customHeight="1">
      <c r="A55" s="15">
        <f>Main!A55</f>
        <v>54</v>
      </c>
      <c r="B55" s="15" t="str">
        <f>Main!B55</f>
        <v>The 4th most popular baby name for boys in Australia will be Leo according to the NSW Government popular baby names site</v>
      </c>
      <c r="C55" s="15" t="str">
        <f>Main!C55</f>
        <v>Society</v>
      </c>
      <c r="D55" s="15">
        <v>0.2</v>
      </c>
      <c r="F55" s="99">
        <f>$D55-vlookup(Summary!$C55,Summary!$C$2:$Q$103,3+counta($F$1:F$1),false)</f>
        <v>-0.15</v>
      </c>
      <c r="G55" s="99">
        <f>$D55-vlookup(Summary!$C55,Summary!$C$2:$Q$103,3+counta($F$1:G$1),false)</f>
        <v>-0.2</v>
      </c>
      <c r="H55" s="99">
        <f>$D55-vlookup(Summary!$C55,Summary!$C$2:$Q$103,3+counta($F$1:H$1),false)</f>
        <v>-0.3</v>
      </c>
      <c r="I55" s="99">
        <f>$D55-vlookup(Summary!$C55,Summary!$C$2:$Q$103,3+counta($F$1:I$1),false)</f>
        <v>0.1</v>
      </c>
      <c r="J55" s="99">
        <f>$D55-vlookup(Summary!$C55,Summary!$C$2:$Q$103,3+counta($F$1:J$1),false)</f>
        <v>-0.5</v>
      </c>
      <c r="K55" s="99">
        <f>$D55-vlookup(Summary!$C55,Summary!$C$2:$Q$103,3+counta($F$1:K$1),false)</f>
        <v>-0.7</v>
      </c>
      <c r="L55" s="99">
        <f>$D55-vlookup(Summary!$C55,Summary!$C$2:$Q$103,3+counta($F$1:L$1),false)</f>
        <v>0</v>
      </c>
      <c r="M55" s="99">
        <f>$D55-vlookup(Summary!$C55,Summary!$C$2:$Q$103,3+counta($F$1:M$1),false)</f>
        <v>-0.3</v>
      </c>
      <c r="N55" s="99">
        <f>$D55-vlookup(Summary!$C55,Summary!$C$2:$Q$103,3+counta($F$1:N$1),false)</f>
        <v>0</v>
      </c>
      <c r="O55" s="99">
        <f>$D55-vlookup(Summary!$C55,Summary!$C$2:$Q$103,3+counta($F$1:O$1),false)</f>
        <v>-0.15</v>
      </c>
      <c r="P55" s="99">
        <f>$D55-vlookup(Summary!$C55,Summary!$C$2:$Q$103,3+counta($F$1:P$1),false)</f>
        <v>0.1</v>
      </c>
      <c r="Q55" s="99">
        <f>$D55-vlookup(Summary!$C55,Summary!$C$2:$Q$103,3+counta($F$1:Q$1),false)</f>
        <v>0</v>
      </c>
    </row>
    <row r="56" ht="15.75" customHeight="1">
      <c r="A56" s="15">
        <f>Main!A56</f>
        <v>55</v>
      </c>
      <c r="B56" s="15" t="str">
        <f>Main!B56</f>
        <v>A statue in Australia will be removed because of negative associations with its history or colonial ties.</v>
      </c>
      <c r="C56" s="15" t="str">
        <f>Main!C56</f>
        <v>Society</v>
      </c>
      <c r="D56" s="15">
        <v>0.6</v>
      </c>
      <c r="F56" s="99">
        <f>$D56-vlookup(Summary!$C56,Summary!$C$2:$Q$103,3+counta($F$1:F$1),false)</f>
        <v>0.4</v>
      </c>
      <c r="G56" s="99">
        <f>$D56-vlookup(Summary!$C56,Summary!$C$2:$Q$103,3+counta($F$1:G$1),false)</f>
        <v>-0.3</v>
      </c>
      <c r="H56" s="99">
        <f>$D56-vlookup(Summary!$C56,Summary!$C$2:$Q$103,3+counta($F$1:H$1),false)</f>
        <v>-0.2</v>
      </c>
      <c r="I56" s="99">
        <f>$D56-vlookup(Summary!$C56,Summary!$C$2:$Q$103,3+counta($F$1:I$1),false)</f>
        <v>0.4</v>
      </c>
      <c r="J56" s="99">
        <f>$D56-vlookup(Summary!$C56,Summary!$C$2:$Q$103,3+counta($F$1:J$1),false)</f>
        <v>-0.2</v>
      </c>
      <c r="K56" s="99">
        <f>$D56-vlookup(Summary!$C56,Summary!$C$2:$Q$103,3+counta($F$1:K$1),false)</f>
        <v>0</v>
      </c>
      <c r="L56" s="99">
        <f>$D56-vlookup(Summary!$C56,Summary!$C$2:$Q$103,3+counta($F$1:L$1),false)</f>
        <v>0.2</v>
      </c>
      <c r="M56" s="99">
        <f>$D56-vlookup(Summary!$C56,Summary!$C$2:$Q$103,3+counta($F$1:M$1),false)</f>
        <v>-0.2</v>
      </c>
      <c r="N56" s="99">
        <f>$D56-vlookup(Summary!$C56,Summary!$C$2:$Q$103,3+counta($F$1:N$1),false)</f>
        <v>0.5</v>
      </c>
      <c r="O56" s="99">
        <f>$D56-vlookup(Summary!$C56,Summary!$C$2:$Q$103,3+counta($F$1:O$1),false)</f>
        <v>0.45</v>
      </c>
      <c r="P56" s="99">
        <f>$D56-vlookup(Summary!$C56,Summary!$C$2:$Q$103,3+counta($F$1:P$1),false)</f>
        <v>-0.1</v>
      </c>
      <c r="Q56" s="99">
        <f>$D56-vlookup(Summary!$C56,Summary!$C$2:$Q$103,3+counta($F$1:Q$1),false)</f>
        <v>0</v>
      </c>
    </row>
    <row r="57" ht="15.75" customHeight="1">
      <c r="A57" s="15">
        <f>Main!A57</f>
        <v>56</v>
      </c>
      <c r="B57" s="15" t="str">
        <f>Main!B57</f>
        <v>Dave Chapelle’s special ‘The Closer’ will be available to watch on Netflix (Aus or US)</v>
      </c>
      <c r="C57" s="15" t="str">
        <f>Main!C57</f>
        <v>Society</v>
      </c>
      <c r="D57" s="15">
        <v>0.5</v>
      </c>
      <c r="F57" s="99">
        <f>$D57-vlookup(Summary!$C57,Summary!$C$2:$Q$103,3+counta($F$1:F$1),false)</f>
        <v>-0.3</v>
      </c>
      <c r="G57" s="99">
        <f>$D57-vlookup(Summary!$C57,Summary!$C$2:$Q$103,3+counta($F$1:G$1),false)</f>
        <v>-0.1</v>
      </c>
      <c r="H57" s="99">
        <f>$D57-vlookup(Summary!$C57,Summary!$C$2:$Q$103,3+counta($F$1:H$1),false)</f>
        <v>0</v>
      </c>
      <c r="I57" s="99">
        <f>$D57-vlookup(Summary!$C57,Summary!$C$2:$Q$103,3+counta($F$1:I$1),false)</f>
        <v>-0.3</v>
      </c>
      <c r="J57" s="99">
        <f>$D57-vlookup(Summary!$C57,Summary!$C$2:$Q$103,3+counta($F$1:J$1),false)</f>
        <v>-0.1</v>
      </c>
      <c r="K57" s="99">
        <f>$D57-vlookup(Summary!$C57,Summary!$C$2:$Q$103,3+counta($F$1:K$1),false)</f>
        <v>0</v>
      </c>
      <c r="L57" s="99">
        <f>$D57-vlookup(Summary!$C57,Summary!$C$2:$Q$103,3+counta($F$1:L$1),false)</f>
        <v>-0.1</v>
      </c>
      <c r="M57" s="99">
        <f>$D57-vlookup(Summary!$C57,Summary!$C$2:$Q$103,3+counta($F$1:M$1),false)</f>
        <v>0</v>
      </c>
      <c r="N57" s="99">
        <f>$D57-vlookup(Summary!$C57,Summary!$C$2:$Q$103,3+counta($F$1:N$1),false)</f>
        <v>0.3</v>
      </c>
      <c r="O57" s="99">
        <f>$D57-vlookup(Summary!$C57,Summary!$C$2:$Q$103,3+counta($F$1:O$1),false)</f>
        <v>-0.499</v>
      </c>
      <c r="P57" s="99">
        <f>$D57-vlookup(Summary!$C57,Summary!$C$2:$Q$103,3+counta($F$1:P$1),false)</f>
        <v>0</v>
      </c>
      <c r="Q57" s="99">
        <f>$D57-vlookup(Summary!$C57,Summary!$C$2:$Q$103,3+counta($F$1:Q$1),false)</f>
        <v>0</v>
      </c>
    </row>
    <row r="58" ht="15.75" customHeight="1">
      <c r="A58" s="15">
        <f>Main!A58</f>
        <v>57</v>
      </c>
      <c r="B58" s="15" t="str">
        <f>Main!B58</f>
        <v>An actor in a Disney film or TV show will have their contract ‘cancelled’ due to social pressure related to a social media post or opinion they have expressed publicly.</v>
      </c>
      <c r="C58" s="15" t="str">
        <f>Main!C58</f>
        <v>Society</v>
      </c>
      <c r="D58" s="15">
        <v>0.4</v>
      </c>
      <c r="F58" s="99">
        <f>$D58-vlookup(Summary!$C58,Summary!$C$2:$Q$103,3+counta($F$1:F$1),false)</f>
        <v>-0.3</v>
      </c>
      <c r="G58" s="99">
        <f>$D58-vlookup(Summary!$C58,Summary!$C$2:$Q$103,3+counta($F$1:G$1),false)</f>
        <v>0</v>
      </c>
      <c r="H58" s="99">
        <f>$D58-vlookup(Summary!$C58,Summary!$C$2:$Q$103,3+counta($F$1:H$1),false)</f>
        <v>-0.2</v>
      </c>
      <c r="I58" s="99">
        <f>$D58-vlookup(Summary!$C58,Summary!$C$2:$Q$103,3+counta($F$1:I$1),false)</f>
        <v>-0.4</v>
      </c>
      <c r="J58" s="99">
        <f>$D58-vlookup(Summary!$C58,Summary!$C$2:$Q$103,3+counta($F$1:J$1),false)</f>
        <v>-0.4</v>
      </c>
      <c r="K58" s="99">
        <f>$D58-vlookup(Summary!$C58,Summary!$C$2:$Q$103,3+counta($F$1:K$1),false)</f>
        <v>-0.3</v>
      </c>
      <c r="L58" s="99">
        <f>$D58-vlookup(Summary!$C58,Summary!$C$2:$Q$103,3+counta($F$1:L$1),false)</f>
        <v>-0.1</v>
      </c>
      <c r="M58" s="99">
        <f>$D58-vlookup(Summary!$C58,Summary!$C$2:$Q$103,3+counta($F$1:M$1),false)</f>
        <v>-0.2</v>
      </c>
      <c r="N58" s="99">
        <f>$D58-vlookup(Summary!$C58,Summary!$C$2:$Q$103,3+counta($F$1:N$1),false)</f>
        <v>-0.4</v>
      </c>
      <c r="O58" s="99">
        <f>$D58-vlookup(Summary!$C58,Summary!$C$2:$Q$103,3+counta($F$1:O$1),false)</f>
        <v>-0.25</v>
      </c>
      <c r="P58" s="99">
        <f>$D58-vlookup(Summary!$C58,Summary!$C$2:$Q$103,3+counta($F$1:P$1),false)</f>
        <v>-0.1</v>
      </c>
      <c r="Q58" s="99">
        <f>$D58-vlookup(Summary!$C58,Summary!$C$2:$Q$103,3+counta($F$1:Q$1),false)</f>
        <v>0</v>
      </c>
    </row>
    <row r="59" ht="15.75" customHeight="1">
      <c r="A59" s="15">
        <f>Main!A59</f>
        <v>58</v>
      </c>
      <c r="B59" s="15" t="str">
        <f>Main!B59</f>
        <v>An Australian company or department will mandate the inclusion or visibility of preferred gender pronouns, whether through an HR directory or email signatures.</v>
      </c>
      <c r="C59" s="15" t="str">
        <f>Main!C59</f>
        <v>Society</v>
      </c>
      <c r="D59" s="15">
        <v>0.4</v>
      </c>
      <c r="F59" s="99">
        <f>$D59-vlookup(Summary!$C59,Summary!$C$2:$Q$103,3+counta($F$1:F$1),false)</f>
        <v>-0.25</v>
      </c>
      <c r="G59" s="99">
        <f>$D59-vlookup(Summary!$C59,Summary!$C$2:$Q$103,3+counta($F$1:G$1),false)</f>
        <v>-0.55</v>
      </c>
      <c r="H59" s="99">
        <f>$D59-vlookup(Summary!$C59,Summary!$C$2:$Q$103,3+counta($F$1:H$1),false)</f>
        <v>-0.2</v>
      </c>
      <c r="I59" s="99">
        <f>$D59-vlookup(Summary!$C59,Summary!$C$2:$Q$103,3+counta($F$1:I$1),false)</f>
        <v>-0.4</v>
      </c>
      <c r="J59" s="99">
        <f>$D59-vlookup(Summary!$C59,Summary!$C$2:$Q$103,3+counta($F$1:J$1),false)</f>
        <v>-0.1</v>
      </c>
      <c r="K59" s="99">
        <f>$D59-vlookup(Summary!$C59,Summary!$C$2:$Q$103,3+counta($F$1:K$1),false)</f>
        <v>-0.35</v>
      </c>
      <c r="L59" s="99">
        <f>$D59-vlookup(Summary!$C59,Summary!$C$2:$Q$103,3+counta($F$1:L$1),false)</f>
        <v>-0.1</v>
      </c>
      <c r="M59" s="99">
        <f>$D59-vlookup(Summary!$C59,Summary!$C$2:$Q$103,3+counta($F$1:M$1),false)</f>
        <v>-0.2</v>
      </c>
      <c r="N59" s="99">
        <f>$D59-vlookup(Summary!$C59,Summary!$C$2:$Q$103,3+counta($F$1:N$1),false)</f>
        <v>-0.4</v>
      </c>
      <c r="O59" s="99">
        <f>$D59-vlookup(Summary!$C59,Summary!$C$2:$Q$103,3+counta($F$1:O$1),false)</f>
        <v>0.05</v>
      </c>
      <c r="P59" s="99">
        <f>$D59-vlookup(Summary!$C59,Summary!$C$2:$Q$103,3+counta($F$1:P$1),false)</f>
        <v>-0.1</v>
      </c>
      <c r="Q59" s="99">
        <f>$D59-vlookup(Summary!$C59,Summary!$C$2:$Q$103,3+counta($F$1:Q$1),false)</f>
        <v>0</v>
      </c>
    </row>
    <row r="60" ht="15.75" customHeight="1">
      <c r="A60" s="15">
        <f>Main!A60</f>
        <v>59</v>
      </c>
      <c r="B60" s="15" t="str">
        <f>Main!B60</f>
        <v>More than 30% of Australians will have been born overseas (currently 29.8%)</v>
      </c>
      <c r="C60" s="15" t="str">
        <f>Main!C60</f>
        <v>Society</v>
      </c>
      <c r="D60" s="15">
        <v>0.55</v>
      </c>
      <c r="F60" s="99">
        <f>$D60-vlookup(Summary!$C60,Summary!$C$2:$Q$103,3+counta($F$1:F$1),false)</f>
        <v>0.35</v>
      </c>
      <c r="G60" s="99">
        <f>$D60-vlookup(Summary!$C60,Summary!$C$2:$Q$103,3+counta($F$1:G$1),false)</f>
        <v>-0.05</v>
      </c>
      <c r="H60" s="99">
        <f>$D60-vlookup(Summary!$C60,Summary!$C$2:$Q$103,3+counta($F$1:H$1),false)</f>
        <v>0.45</v>
      </c>
      <c r="I60" s="99">
        <f>$D60-vlookup(Summary!$C60,Summary!$C$2:$Q$103,3+counta($F$1:I$1),false)</f>
        <v>-0.05</v>
      </c>
      <c r="J60" s="99">
        <f>$D60-vlookup(Summary!$C60,Summary!$C$2:$Q$103,3+counta($F$1:J$1),false)</f>
        <v>-0.35</v>
      </c>
      <c r="K60" s="99">
        <f>$D60-vlookup(Summary!$C60,Summary!$C$2:$Q$103,3+counta($F$1:K$1),false)</f>
        <v>-0.35</v>
      </c>
      <c r="L60" s="99">
        <f>$D60-vlookup(Summary!$C60,Summary!$C$2:$Q$103,3+counta($F$1:L$1),false)</f>
        <v>0.25</v>
      </c>
      <c r="M60" s="99">
        <f>$D60-vlookup(Summary!$C60,Summary!$C$2:$Q$103,3+counta($F$1:M$1),false)</f>
        <v>0.45</v>
      </c>
      <c r="N60" s="99">
        <f>$D60-vlookup(Summary!$C60,Summary!$C$2:$Q$103,3+counta($F$1:N$1),false)</f>
        <v>0.35</v>
      </c>
      <c r="O60" s="99">
        <f>$D60-vlookup(Summary!$C60,Summary!$C$2:$Q$103,3+counta($F$1:O$1),false)</f>
        <v>-0.1</v>
      </c>
      <c r="P60" s="99">
        <f>$D60-vlookup(Summary!$C60,Summary!$C$2:$Q$103,3+counta($F$1:P$1),false)</f>
        <v>0.45</v>
      </c>
      <c r="Q60" s="99">
        <f>$D60-vlookup(Summary!$C60,Summary!$C$2:$Q$103,3+counta($F$1:Q$1),false)</f>
        <v>0</v>
      </c>
    </row>
    <row r="61" ht="15.75" customHeight="1">
      <c r="A61" s="15">
        <f>Main!A61</f>
        <v>60</v>
      </c>
      <c r="B61" s="15" t="str">
        <f>Main!B61</f>
        <v>LGBTIQ+ will be the acronym in widespread usage throughout Australia, as determined by the definition from LGBTIQ+ Health Australia (the peak body org for health and research related to that community)</v>
      </c>
      <c r="C61" s="15" t="str">
        <f>Main!C61</f>
        <v>Society</v>
      </c>
      <c r="D61" s="15">
        <v>0.3</v>
      </c>
      <c r="F61" s="99">
        <f>$D61-vlookup(Summary!$C61,Summary!$C$2:$Q$103,3+counta($F$1:F$1),false)</f>
        <v>-0.15</v>
      </c>
      <c r="G61" s="99">
        <f>$D61-vlookup(Summary!$C61,Summary!$C$2:$Q$103,3+counta($F$1:G$1),false)</f>
        <v>-0.4</v>
      </c>
      <c r="H61" s="99">
        <f>$D61-vlookup(Summary!$C61,Summary!$C$2:$Q$103,3+counta($F$1:H$1),false)</f>
        <v>-0.2</v>
      </c>
      <c r="I61" s="99">
        <f>$D61-vlookup(Summary!$C61,Summary!$C$2:$Q$103,3+counta($F$1:I$1),false)</f>
        <v>-0.4</v>
      </c>
      <c r="J61" s="99">
        <f>$D61-vlookup(Summary!$C61,Summary!$C$2:$Q$103,3+counta($F$1:J$1),false)</f>
        <v>-0.4</v>
      </c>
      <c r="K61" s="99">
        <f>$D61-vlookup(Summary!$C61,Summary!$C$2:$Q$103,3+counta($F$1:K$1),false)</f>
        <v>-0.45</v>
      </c>
      <c r="L61" s="99">
        <f>$D61-vlookup(Summary!$C61,Summary!$C$2:$Q$103,3+counta($F$1:L$1),false)</f>
        <v>-0.6</v>
      </c>
      <c r="M61" s="99">
        <f>$D61-vlookup(Summary!$C61,Summary!$C$2:$Q$103,3+counta($F$1:M$1),false)</f>
        <v>-0.2</v>
      </c>
      <c r="N61" s="99">
        <f>$D61-vlookup(Summary!$C61,Summary!$C$2:$Q$103,3+counta($F$1:N$1),false)</f>
        <v>0.1</v>
      </c>
      <c r="O61" s="99">
        <f>$D61-vlookup(Summary!$C61,Summary!$C$2:$Q$103,3+counta($F$1:O$1),false)</f>
        <v>-0.699</v>
      </c>
      <c r="P61" s="99">
        <f>$D61-vlookup(Summary!$C61,Summary!$C$2:$Q$103,3+counta($F$1:P$1),false)</f>
        <v>-0.2</v>
      </c>
      <c r="Q61" s="99">
        <f>$D61-vlookup(Summary!$C61,Summary!$C$2:$Q$103,3+counta($F$1:Q$1),false)</f>
        <v>0</v>
      </c>
    </row>
    <row r="62" ht="15.75" customHeight="1">
      <c r="A62" s="15">
        <f>Main!A62</f>
        <v>61</v>
      </c>
      <c r="B62" s="15" t="str">
        <f>Main!B62</f>
        <v>The meat industry in Australia and/or the US will succeed in controlling the use of ‘meat terms’ (meat, beef etc.) for non-animal protein products</v>
      </c>
      <c r="C62" s="15" t="str">
        <f>Main!C62</f>
        <v>Society</v>
      </c>
      <c r="D62" s="15">
        <v>0.5</v>
      </c>
      <c r="F62" s="99">
        <f>$D62-vlookup(Summary!$C62,Summary!$C$2:$Q$103,3+counta($F$1:F$1),false)</f>
        <v>0.15</v>
      </c>
      <c r="G62" s="99">
        <f>$D62-vlookup(Summary!$C62,Summary!$C$2:$Q$103,3+counta($F$1:G$1),false)</f>
        <v>-0.1</v>
      </c>
      <c r="H62" s="99">
        <f>$D62-vlookup(Summary!$C62,Summary!$C$2:$Q$103,3+counta($F$1:H$1),false)</f>
        <v>0.3</v>
      </c>
      <c r="I62" s="99">
        <f>$D62-vlookup(Summary!$C62,Summary!$C$2:$Q$103,3+counta($F$1:I$1),false)</f>
        <v>-0.1</v>
      </c>
      <c r="J62" s="99">
        <f>$D62-vlookup(Summary!$C62,Summary!$C$2:$Q$103,3+counta($F$1:J$1),false)</f>
        <v>-0.3</v>
      </c>
      <c r="K62" s="99">
        <f>$D62-vlookup(Summary!$C62,Summary!$C$2:$Q$103,3+counta($F$1:K$1),false)</f>
        <v>-0.24</v>
      </c>
      <c r="L62" s="99">
        <f>$D62-vlookup(Summary!$C62,Summary!$C$2:$Q$103,3+counta($F$1:L$1),false)</f>
        <v>0.4</v>
      </c>
      <c r="M62" s="99">
        <f>$D62-vlookup(Summary!$C62,Summary!$C$2:$Q$103,3+counta($F$1:M$1),false)</f>
        <v>0.3</v>
      </c>
      <c r="N62" s="99">
        <f>$D62-vlookup(Summary!$C62,Summary!$C$2:$Q$103,3+counta($F$1:N$1),false)</f>
        <v>0.4</v>
      </c>
      <c r="O62" s="99">
        <f>$D62-vlookup(Summary!$C62,Summary!$C$2:$Q$103,3+counta($F$1:O$1),false)</f>
        <v>-0.499</v>
      </c>
      <c r="P62" s="99">
        <f>$D62-vlookup(Summary!$C62,Summary!$C$2:$Q$103,3+counta($F$1:P$1),false)</f>
        <v>-0.3</v>
      </c>
      <c r="Q62" s="99">
        <f>$D62-vlookup(Summary!$C62,Summary!$C$2:$Q$103,3+counta($F$1:Q$1),false)</f>
        <v>0</v>
      </c>
    </row>
    <row r="63" ht="15.75" customHeight="1">
      <c r="A63" s="15">
        <f>Main!A63</f>
        <v>62</v>
      </c>
      <c r="B63" s="15" t="str">
        <f>Main!B63</f>
        <v>The median house price in Canberra will be over $1,200,000 (currently $1,015,833)</v>
      </c>
      <c r="C63" s="15" t="str">
        <f>Main!C63</f>
        <v>Society</v>
      </c>
      <c r="D63" s="15">
        <v>0.45</v>
      </c>
      <c r="F63" s="99">
        <f>$D63-vlookup(Summary!$C63,Summary!$C$2:$Q$103,3+counta($F$1:F$1),false)</f>
        <v>-0.25</v>
      </c>
      <c r="G63" s="99">
        <f>$D63-vlookup(Summary!$C63,Summary!$C$2:$Q$103,3+counta($F$1:G$1),false)</f>
        <v>0.25</v>
      </c>
      <c r="H63" s="99">
        <f>$D63-vlookup(Summary!$C63,Summary!$C$2:$Q$103,3+counta($F$1:H$1),false)</f>
        <v>0.25</v>
      </c>
      <c r="I63" s="99">
        <f>$D63-vlookup(Summary!$C63,Summary!$C$2:$Q$103,3+counta($F$1:I$1),false)</f>
        <v>-0.35</v>
      </c>
      <c r="J63" s="99">
        <f>$D63-vlookup(Summary!$C63,Summary!$C$2:$Q$103,3+counta($F$1:J$1),false)</f>
        <v>-0.35</v>
      </c>
      <c r="K63" s="99">
        <f>$D63-vlookup(Summary!$C63,Summary!$C$2:$Q$103,3+counta($F$1:K$1),false)</f>
        <v>-0.35</v>
      </c>
      <c r="L63" s="99">
        <f>$D63-vlookup(Summary!$C63,Summary!$C$2:$Q$103,3+counta($F$1:L$1),false)</f>
        <v>-0.54999</v>
      </c>
      <c r="M63" s="99">
        <f>$D63-vlookup(Summary!$C63,Summary!$C$2:$Q$103,3+counta($F$1:M$1),false)</f>
        <v>0.25</v>
      </c>
      <c r="N63" s="99">
        <f>$D63-vlookup(Summary!$C63,Summary!$C$2:$Q$103,3+counta($F$1:N$1),false)</f>
        <v>-0.45</v>
      </c>
      <c r="O63" s="99">
        <f>$D63-vlookup(Summary!$C63,Summary!$C$2:$Q$103,3+counta($F$1:O$1),false)</f>
        <v>0.3</v>
      </c>
      <c r="P63" s="99">
        <f>$D63-vlookup(Summary!$C63,Summary!$C$2:$Q$103,3+counta($F$1:P$1),false)</f>
        <v>-0.15</v>
      </c>
      <c r="Q63" s="99">
        <f>$D63-vlookup(Summary!$C63,Summary!$C$2:$Q$103,3+counta($F$1:Q$1),false)</f>
        <v>0</v>
      </c>
    </row>
    <row r="64" ht="15.75" customHeight="1">
      <c r="A64" s="15">
        <f>Main!A64</f>
        <v>63</v>
      </c>
      <c r="B64" s="15" t="str">
        <f>Main!B64</f>
        <v>An artist or band on the Rock and Roll Hall of Fame has a performance using digital avatar (source https://en.wikipedia.org/wiki/List_of_Rock_and_Roll_Hall_of_Fame_inductees)</v>
      </c>
      <c r="C64" s="15" t="str">
        <f>Main!C64</f>
        <v>Society</v>
      </c>
      <c r="D64" s="15">
        <v>0.5</v>
      </c>
      <c r="F64" s="99">
        <f>$D64-vlookup(Summary!$C64,Summary!$C$2:$Q$103,3+counta($F$1:F$1),false)</f>
        <v>0.1</v>
      </c>
      <c r="G64" s="99">
        <f>$D64-vlookup(Summary!$C64,Summary!$C$2:$Q$103,3+counta($F$1:G$1),false)</f>
        <v>-0.1</v>
      </c>
      <c r="H64" s="99">
        <f>$D64-vlookup(Summary!$C64,Summary!$C$2:$Q$103,3+counta($F$1:H$1),false)</f>
        <v>-0.2</v>
      </c>
      <c r="I64" s="99">
        <f>$D64-vlookup(Summary!$C64,Summary!$C$2:$Q$103,3+counta($F$1:I$1),false)</f>
        <v>0.2</v>
      </c>
      <c r="J64" s="99">
        <f>$D64-vlookup(Summary!$C64,Summary!$C$2:$Q$103,3+counta($F$1:J$1),false)</f>
        <v>0</v>
      </c>
      <c r="K64" s="99">
        <f>$D64-vlookup(Summary!$C64,Summary!$C$2:$Q$103,3+counta($F$1:K$1),false)</f>
        <v>-0.1</v>
      </c>
      <c r="L64" s="99">
        <f>$D64-vlookup(Summary!$C64,Summary!$C$2:$Q$103,3+counta($F$1:L$1),false)</f>
        <v>-0.1</v>
      </c>
      <c r="M64" s="99">
        <f>$D64-vlookup(Summary!$C64,Summary!$C$2:$Q$103,3+counta($F$1:M$1),false)</f>
        <v>-0.2</v>
      </c>
      <c r="N64" s="99">
        <f>$D64-vlookup(Summary!$C64,Summary!$C$2:$Q$103,3+counta($F$1:N$1),false)</f>
        <v>0.3</v>
      </c>
      <c r="O64" s="99">
        <f>$D64-vlookup(Summary!$C64,Summary!$C$2:$Q$103,3+counta($F$1:O$1),false)</f>
        <v>0.35</v>
      </c>
      <c r="P64" s="99">
        <f>$D64-vlookup(Summary!$C64,Summary!$C$2:$Q$103,3+counta($F$1:P$1),false)</f>
        <v>0.4</v>
      </c>
      <c r="Q64" s="99">
        <f>$D64-vlookup(Summary!$C64,Summary!$C$2:$Q$103,3+counta($F$1:Q$1),false)</f>
        <v>0</v>
      </c>
    </row>
    <row r="65" ht="15.75" customHeight="1">
      <c r="A65" s="15">
        <f>Main!A65</f>
        <v>64</v>
      </c>
      <c r="B65" s="15" t="str">
        <f>Main!B65</f>
        <v>No Australian tennis player will win a senior Championship event at the Australian Open in 2022</v>
      </c>
      <c r="C65" s="15" t="str">
        <f>Main!C65</f>
        <v>Sport</v>
      </c>
      <c r="D65" s="15">
        <v>0.2</v>
      </c>
      <c r="F65" s="99">
        <f>$D65-vlookup(Summary!$C65,Summary!$C$2:$Q$103,3+counta($F$1:F$1),false)</f>
        <v>0.2</v>
      </c>
      <c r="G65" s="99">
        <f>$D65-vlookup(Summary!$C65,Summary!$C$2:$Q$103,3+counta($F$1:G$1),false)</f>
        <v>0.2</v>
      </c>
      <c r="H65" s="99">
        <f>$D65-vlookup(Summary!$C65,Summary!$C$2:$Q$103,3+counta($F$1:H$1),false)</f>
        <v>0.2</v>
      </c>
      <c r="I65" s="99">
        <f>$D65-vlookup(Summary!$C65,Summary!$C$2:$Q$103,3+counta($F$1:I$1),false)</f>
        <v>0.2</v>
      </c>
      <c r="J65" s="99">
        <f>$D65-vlookup(Summary!$C65,Summary!$C$2:$Q$103,3+counta($F$1:J$1),false)</f>
        <v>-0.4</v>
      </c>
      <c r="K65" s="99">
        <f>$D65-vlookup(Summary!$C65,Summary!$C$2:$Q$103,3+counta($F$1:K$1),false)</f>
        <v>0.2</v>
      </c>
      <c r="L65" s="99">
        <f>$D65-vlookup(Summary!$C65,Summary!$C$2:$Q$103,3+counta($F$1:L$1),false)</f>
        <v>0.2</v>
      </c>
      <c r="M65" s="99">
        <f>$D65-vlookup(Summary!$C65,Summary!$C$2:$Q$103,3+counta($F$1:M$1),false)</f>
        <v>0.2</v>
      </c>
      <c r="N65" s="99">
        <f>$D65-vlookup(Summary!$C65,Summary!$C$2:$Q$103,3+counta($F$1:N$1),false)</f>
        <v>0.1</v>
      </c>
      <c r="O65" s="99">
        <f>$D65-vlookup(Summary!$C65,Summary!$C$2:$Q$103,3+counta($F$1:O$1),false)</f>
        <v>0.2</v>
      </c>
      <c r="P65" s="99">
        <f>$D65-vlookup(Summary!$C65,Summary!$C$2:$Q$103,3+counta($F$1:P$1),false)</f>
        <v>-0.3</v>
      </c>
      <c r="Q65" s="99">
        <f>$D65-vlookup(Summary!$C65,Summary!$C$2:$Q$103,3+counta($F$1:Q$1),false)</f>
        <v>0</v>
      </c>
    </row>
    <row r="66" ht="15.75" customHeight="1">
      <c r="A66" s="15">
        <f>Main!A66</f>
        <v>65</v>
      </c>
      <c r="B66" s="15" t="str">
        <f>Main!B66</f>
        <v>Daniel Ricciardo will win the Australian GP in 2022.</v>
      </c>
      <c r="C66" s="15" t="str">
        <f>Main!C66</f>
        <v>Sport</v>
      </c>
      <c r="D66" s="15">
        <v>0.1</v>
      </c>
      <c r="F66" s="99">
        <f>$D66-vlookup(Summary!$C66,Summary!$C$2:$Q$103,3+counta($F$1:F$1),false)</f>
        <v>-0.4</v>
      </c>
      <c r="G66" s="99">
        <f>$D66-vlookup(Summary!$C66,Summary!$C$2:$Q$103,3+counta($F$1:G$1),false)</f>
        <v>0</v>
      </c>
      <c r="H66" s="99">
        <f>$D66-vlookup(Summary!$C66,Summary!$C$2:$Q$103,3+counta($F$1:H$1),false)</f>
        <v>-0.4</v>
      </c>
      <c r="I66" s="99">
        <f>$D66-vlookup(Summary!$C66,Summary!$C$2:$Q$103,3+counta($F$1:I$1),false)</f>
        <v>-0.4</v>
      </c>
      <c r="J66" s="99">
        <f>$D66-vlookup(Summary!$C66,Summary!$C$2:$Q$103,3+counta($F$1:J$1),false)</f>
        <v>-0.2</v>
      </c>
      <c r="K66" s="99">
        <f>$D66-vlookup(Summary!$C66,Summary!$C$2:$Q$103,3+counta($F$1:K$1),false)</f>
        <v>-0.5</v>
      </c>
      <c r="L66" s="99">
        <f>$D66-vlookup(Summary!$C66,Summary!$C$2:$Q$103,3+counta($F$1:L$1),false)</f>
        <v>-0.1</v>
      </c>
      <c r="M66" s="99">
        <f>$D66-vlookup(Summary!$C66,Summary!$C$2:$Q$103,3+counta($F$1:M$1),false)</f>
        <v>-0.4</v>
      </c>
      <c r="N66" s="99">
        <f>$D66-vlookup(Summary!$C66,Summary!$C$2:$Q$103,3+counta($F$1:N$1),false)</f>
        <v>0</v>
      </c>
      <c r="O66" s="99">
        <f>$D66-vlookup(Summary!$C66,Summary!$C$2:$Q$103,3+counta($F$1:O$1),false)</f>
        <v>-0.4</v>
      </c>
      <c r="P66" s="99">
        <f>$D66-vlookup(Summary!$C66,Summary!$C$2:$Q$103,3+counta($F$1:P$1),false)</f>
        <v>0</v>
      </c>
      <c r="Q66" s="99">
        <f>$D66-vlookup(Summary!$C66,Summary!$C$2:$Q$103,3+counta($F$1:Q$1),false)</f>
        <v>0</v>
      </c>
    </row>
    <row r="67" ht="15.75" customHeight="1">
      <c r="A67" s="15">
        <f>Main!A67</f>
        <v>66</v>
      </c>
      <c r="B67" s="15" t="str">
        <f>Main!B67</f>
        <v>Collingwood will make it into the top 8 at the end of the footy season</v>
      </c>
      <c r="C67" s="15" t="str">
        <f>Main!C67</f>
        <v>Sport</v>
      </c>
      <c r="D67" s="15">
        <v>0.6</v>
      </c>
      <c r="F67" s="99">
        <f>$D67-vlookup(Summary!$C67,Summary!$C$2:$Q$103,3+counta($F$1:F$1),false)</f>
        <v>0.1</v>
      </c>
      <c r="G67" s="99">
        <f>$D67-vlookup(Summary!$C67,Summary!$C$2:$Q$103,3+counta($F$1:G$1),false)</f>
        <v>0.5</v>
      </c>
      <c r="H67" s="99">
        <f>$D67-vlookup(Summary!$C67,Summary!$C$2:$Q$103,3+counta($F$1:H$1),false)</f>
        <v>0.15</v>
      </c>
      <c r="I67" s="99">
        <f>$D67-vlookup(Summary!$C67,Summary!$C$2:$Q$103,3+counta($F$1:I$1),false)</f>
        <v>0.1</v>
      </c>
      <c r="J67" s="99">
        <f>$D67-vlookup(Summary!$C67,Summary!$C$2:$Q$103,3+counta($F$1:J$1),false)</f>
        <v>0</v>
      </c>
      <c r="K67" s="99">
        <f>$D67-vlookup(Summary!$C67,Summary!$C$2:$Q$103,3+counta($F$1:K$1),false)</f>
        <v>0</v>
      </c>
      <c r="L67" s="99">
        <f>$D67-vlookup(Summary!$C67,Summary!$C$2:$Q$103,3+counta($F$1:L$1),false)</f>
        <v>0.1</v>
      </c>
      <c r="M67" s="99">
        <f>$D67-vlookup(Summary!$C67,Summary!$C$2:$Q$103,3+counta($F$1:M$1),false)</f>
        <v>0.15</v>
      </c>
      <c r="N67" s="99">
        <f>$D67-vlookup(Summary!$C67,Summary!$C$2:$Q$103,3+counta($F$1:N$1),false)</f>
        <v>-0.1</v>
      </c>
      <c r="O67" s="99">
        <f>$D67-vlookup(Summary!$C67,Summary!$C$2:$Q$103,3+counta($F$1:O$1),false)</f>
        <v>0.1</v>
      </c>
      <c r="P67" s="99">
        <f>$D67-vlookup(Summary!$C67,Summary!$C$2:$Q$103,3+counta($F$1:P$1),false)</f>
        <v>0.5</v>
      </c>
      <c r="Q67" s="99">
        <f>$D67-vlookup(Summary!$C67,Summary!$C$2:$Q$103,3+counta($F$1:Q$1),false)</f>
        <v>0</v>
      </c>
    </row>
    <row r="68" ht="15.75" customHeight="1">
      <c r="A68" s="15">
        <f>Main!A68</f>
        <v>67</v>
      </c>
      <c r="B68" s="15" t="str">
        <f>Main!B68</f>
        <v>Italy will defeat Portugal in their qualifying match and reach the finals of the Football World Cup</v>
      </c>
      <c r="C68" s="15" t="str">
        <f>Main!C68</f>
        <v>Sport</v>
      </c>
      <c r="D68" s="15">
        <v>0.8</v>
      </c>
      <c r="F68" s="99">
        <f>$D68-vlookup(Summary!$C68,Summary!$C$2:$Q$103,3+counta($F$1:F$1),false)</f>
        <v>0.3</v>
      </c>
      <c r="G68" s="99">
        <f>$D68-vlookup(Summary!$C68,Summary!$C$2:$Q$103,3+counta($F$1:G$1),false)</f>
        <v>0.2</v>
      </c>
      <c r="H68" s="99">
        <f>$D68-vlookup(Summary!$C68,Summary!$C$2:$Q$103,3+counta($F$1:H$1),false)</f>
        <v>0.1</v>
      </c>
      <c r="I68" s="99">
        <f>$D68-vlookup(Summary!$C68,Summary!$C$2:$Q$103,3+counta($F$1:I$1),false)</f>
        <v>0.3</v>
      </c>
      <c r="J68" s="99">
        <f>$D68-vlookup(Summary!$C68,Summary!$C$2:$Q$103,3+counta($F$1:J$1),false)</f>
        <v>0.3</v>
      </c>
      <c r="K68" s="99">
        <f>$D68-vlookup(Summary!$C68,Summary!$C$2:$Q$103,3+counta($F$1:K$1),false)</f>
        <v>-0.05</v>
      </c>
      <c r="L68" s="99">
        <f>$D68-vlookup(Summary!$C68,Summary!$C$2:$Q$103,3+counta($F$1:L$1),false)</f>
        <v>0.75</v>
      </c>
      <c r="M68" s="99">
        <f>$D68-vlookup(Summary!$C68,Summary!$C$2:$Q$103,3+counta($F$1:M$1),false)</f>
        <v>0.1</v>
      </c>
      <c r="N68" s="99">
        <f>$D68-vlookup(Summary!$C68,Summary!$C$2:$Q$103,3+counta($F$1:N$1),false)</f>
        <v>0.3</v>
      </c>
      <c r="O68" s="99">
        <f>$D68-vlookup(Summary!$C68,Summary!$C$2:$Q$103,3+counta($F$1:O$1),false)</f>
        <v>0.3</v>
      </c>
      <c r="P68" s="99">
        <f>$D68-vlookup(Summary!$C68,Summary!$C$2:$Q$103,3+counta($F$1:P$1),false)</f>
        <v>-0.1</v>
      </c>
      <c r="Q68" s="99">
        <f>$D68-vlookup(Summary!$C68,Summary!$C$2:$Q$103,3+counta($F$1:Q$1),false)</f>
        <v>0</v>
      </c>
    </row>
    <row r="69" ht="15.75" customHeight="1">
      <c r="A69" s="15">
        <f>Main!A69</f>
        <v>68</v>
      </c>
      <c r="B69" s="15" t="str">
        <f>Main!B69</f>
        <v>Ash Barty will be world number 1 in the WRA rankings after the US Open</v>
      </c>
      <c r="C69" s="15" t="str">
        <f>Main!C69</f>
        <v>Sport</v>
      </c>
      <c r="D69" s="15">
        <v>0.55</v>
      </c>
      <c r="F69" s="99">
        <f>$D69-vlookup(Summary!$C69,Summary!$C$2:$Q$103,3+counta($F$1:F$1),false)</f>
        <v>-0.25</v>
      </c>
      <c r="G69" s="99">
        <f>$D69-vlookup(Summary!$C69,Summary!$C$2:$Q$103,3+counta($F$1:G$1),false)</f>
        <v>-0.35</v>
      </c>
      <c r="H69" s="99">
        <f>$D69-vlookup(Summary!$C69,Summary!$C$2:$Q$103,3+counta($F$1:H$1),false)</f>
        <v>-0.25</v>
      </c>
      <c r="I69" s="99">
        <f>$D69-vlookup(Summary!$C69,Summary!$C$2:$Q$103,3+counta($F$1:I$1),false)</f>
        <v>-0.25</v>
      </c>
      <c r="J69" s="99">
        <f>$D69-vlookup(Summary!$C69,Summary!$C$2:$Q$103,3+counta($F$1:J$1),false)</f>
        <v>-0.25</v>
      </c>
      <c r="K69" s="99">
        <f>$D69-vlookup(Summary!$C69,Summary!$C$2:$Q$103,3+counta($F$1:K$1),false)</f>
        <v>-0.43</v>
      </c>
      <c r="L69" s="99">
        <f>$D69-vlookup(Summary!$C69,Summary!$C$2:$Q$103,3+counta($F$1:L$1),false)</f>
        <v>-0.449</v>
      </c>
      <c r="M69" s="99">
        <f>$D69-vlookup(Summary!$C69,Summary!$C$2:$Q$103,3+counta($F$1:M$1),false)</f>
        <v>-0.25</v>
      </c>
      <c r="N69" s="99">
        <f>$D69-vlookup(Summary!$C69,Summary!$C$2:$Q$103,3+counta($F$1:N$1),false)</f>
        <v>-0.35</v>
      </c>
      <c r="O69" s="99">
        <f>$D69-vlookup(Summary!$C69,Summary!$C$2:$Q$103,3+counta($F$1:O$1),false)</f>
        <v>0.05</v>
      </c>
      <c r="P69" s="99">
        <f>$D69-vlookup(Summary!$C69,Summary!$C$2:$Q$103,3+counta($F$1:P$1),false)</f>
        <v>-0.35</v>
      </c>
      <c r="Q69" s="99">
        <f>$D69-vlookup(Summary!$C69,Summary!$C$2:$Q$103,3+counta($F$1:Q$1),false)</f>
        <v>0</v>
      </c>
    </row>
    <row r="70" ht="15.75" customHeight="1">
      <c r="A70" s="15">
        <f>Main!A70</f>
        <v>69</v>
      </c>
      <c r="B70" s="15" t="str">
        <f>Main!B70</f>
        <v>Neither Roger Federer nor Serena Williams will win a Grand Slam tennis tournament</v>
      </c>
      <c r="C70" s="15" t="str">
        <f>Main!C70</f>
        <v>Sport</v>
      </c>
      <c r="D70" s="15">
        <v>0.5</v>
      </c>
      <c r="F70" s="99">
        <f>$D70-vlookup(Summary!$C70,Summary!$C$2:$Q$103,3+counta($F$1:F$1),false)</f>
        <v>-0.15</v>
      </c>
      <c r="G70" s="99">
        <f>$D70-vlookup(Summary!$C70,Summary!$C$2:$Q$103,3+counta($F$1:G$1),false)</f>
        <v>-0.3</v>
      </c>
      <c r="H70" s="99">
        <f>$D70-vlookup(Summary!$C70,Summary!$C$2:$Q$103,3+counta($F$1:H$1),false)</f>
        <v>-0.45</v>
      </c>
      <c r="I70" s="99">
        <f>$D70-vlookup(Summary!$C70,Summary!$C$2:$Q$103,3+counta($F$1:I$1),false)</f>
        <v>0.1</v>
      </c>
      <c r="J70" s="99">
        <f>$D70-vlookup(Summary!$C70,Summary!$C$2:$Q$103,3+counta($F$1:J$1),false)</f>
        <v>-0.3</v>
      </c>
      <c r="K70" s="99">
        <f>$D70-vlookup(Summary!$C70,Summary!$C$2:$Q$103,3+counta($F$1:K$1),false)</f>
        <v>-0.4</v>
      </c>
      <c r="L70" s="99">
        <f>$D70-vlookup(Summary!$C70,Summary!$C$2:$Q$103,3+counta($F$1:L$1),false)</f>
        <v>-0.499</v>
      </c>
      <c r="M70" s="99">
        <f>$D70-vlookup(Summary!$C70,Summary!$C$2:$Q$103,3+counta($F$1:M$1),false)</f>
        <v>-0.45</v>
      </c>
      <c r="N70" s="99">
        <f>$D70-vlookup(Summary!$C70,Summary!$C$2:$Q$103,3+counta($F$1:N$1),false)</f>
        <v>-0.3</v>
      </c>
      <c r="O70" s="99">
        <f>$D70-vlookup(Summary!$C70,Summary!$C$2:$Q$103,3+counta($F$1:O$1),false)</f>
        <v>-0.35</v>
      </c>
      <c r="P70" s="99">
        <f>$D70-vlookup(Summary!$C70,Summary!$C$2:$Q$103,3+counta($F$1:P$1),false)</f>
        <v>0.4</v>
      </c>
      <c r="Q70" s="99">
        <f>$D70-vlookup(Summary!$C70,Summary!$C$2:$Q$103,3+counta($F$1:Q$1),false)</f>
        <v>0</v>
      </c>
    </row>
    <row r="71" ht="15.75" customHeight="1">
      <c r="A71" s="15">
        <f>Main!A71</f>
        <v>70</v>
      </c>
      <c r="B71" s="15" t="str">
        <f>Main!B71</f>
        <v>The Football World Cup will not go ahead on the scheduled dates in Qatar</v>
      </c>
      <c r="C71" s="15" t="str">
        <f>Main!C71</f>
        <v>Sport</v>
      </c>
      <c r="D71" s="15">
        <v>0.2</v>
      </c>
      <c r="F71" s="99">
        <f>$D71-vlookup(Summary!$C71,Summary!$C$2:$Q$103,3+counta($F$1:F$1),false)</f>
        <v>-0.2</v>
      </c>
      <c r="G71" s="99">
        <f>$D71-vlookup(Summary!$C71,Summary!$C$2:$Q$103,3+counta($F$1:G$1),false)</f>
        <v>-0.05</v>
      </c>
      <c r="H71" s="99">
        <f>$D71-vlookup(Summary!$C71,Summary!$C$2:$Q$103,3+counta($F$1:H$1),false)</f>
        <v>0.1</v>
      </c>
      <c r="I71" s="99">
        <f>$D71-vlookup(Summary!$C71,Summary!$C$2:$Q$103,3+counta($F$1:I$1),false)</f>
        <v>-0.3</v>
      </c>
      <c r="J71" s="99">
        <f>$D71-vlookup(Summary!$C71,Summary!$C$2:$Q$103,3+counta($F$1:J$1),false)</f>
        <v>-0.3</v>
      </c>
      <c r="K71" s="99">
        <f>$D71-vlookup(Summary!$C71,Summary!$C$2:$Q$103,3+counta($F$1:K$1),false)</f>
        <v>-0.1</v>
      </c>
      <c r="L71" s="99">
        <f>$D71-vlookup(Summary!$C71,Summary!$C$2:$Q$103,3+counta($F$1:L$1),false)</f>
        <v>-0.35</v>
      </c>
      <c r="M71" s="99">
        <f>$D71-vlookup(Summary!$C71,Summary!$C$2:$Q$103,3+counta($F$1:M$1),false)</f>
        <v>0.1</v>
      </c>
      <c r="N71" s="99">
        <f>$D71-vlookup(Summary!$C71,Summary!$C$2:$Q$103,3+counta($F$1:N$1),false)</f>
        <v>0.1</v>
      </c>
      <c r="O71" s="99">
        <f>$D71-vlookup(Summary!$C71,Summary!$C$2:$Q$103,3+counta($F$1:O$1),false)</f>
        <v>-0.45</v>
      </c>
      <c r="P71" s="99">
        <f>$D71-vlookup(Summary!$C71,Summary!$C$2:$Q$103,3+counta($F$1:P$1),false)</f>
        <v>-0.7</v>
      </c>
      <c r="Q71" s="99">
        <f>$D71-vlookup(Summary!$C71,Summary!$C$2:$Q$103,3+counta($F$1:Q$1),false)</f>
        <v>0</v>
      </c>
    </row>
    <row r="72" ht="15.75" customHeight="1">
      <c r="A72" s="15">
        <f>Main!A72</f>
        <v>71</v>
      </c>
      <c r="B72" s="15" t="str">
        <f>Main!B72</f>
        <v>Lewis hamilton will win the 2022 world championship in Formula 1</v>
      </c>
      <c r="C72" s="15" t="str">
        <f>Main!C72</f>
        <v>Sport</v>
      </c>
      <c r="D72" s="15">
        <v>0.65</v>
      </c>
      <c r="F72" s="99">
        <f>$D72-vlookup(Summary!$C72,Summary!$C$2:$Q$103,3+counta($F$1:F$1),false)</f>
        <v>0.05</v>
      </c>
      <c r="G72" s="99">
        <f>$D72-vlookup(Summary!$C72,Summary!$C$2:$Q$103,3+counta($F$1:G$1),false)</f>
        <v>0.45</v>
      </c>
      <c r="H72" s="99">
        <f>$D72-vlookup(Summary!$C72,Summary!$C$2:$Q$103,3+counta($F$1:H$1),false)</f>
        <v>0.05</v>
      </c>
      <c r="I72" s="99">
        <f>$D72-vlookup(Summary!$C72,Summary!$C$2:$Q$103,3+counta($F$1:I$1),false)</f>
        <v>0.15</v>
      </c>
      <c r="J72" s="99">
        <f>$D72-vlookup(Summary!$C72,Summary!$C$2:$Q$103,3+counta($F$1:J$1),false)</f>
        <v>-0.15</v>
      </c>
      <c r="K72" s="99">
        <f>$D72-vlookup(Summary!$C72,Summary!$C$2:$Q$103,3+counta($F$1:K$1),false)</f>
        <v>-0.15</v>
      </c>
      <c r="L72" s="99">
        <f>$D72-vlookup(Summary!$C72,Summary!$C$2:$Q$103,3+counta($F$1:L$1),false)</f>
        <v>0.05</v>
      </c>
      <c r="M72" s="99">
        <f>$D72-vlookup(Summary!$C72,Summary!$C$2:$Q$103,3+counta($F$1:M$1),false)</f>
        <v>0.05</v>
      </c>
      <c r="N72" s="99">
        <f>$D72-vlookup(Summary!$C72,Summary!$C$2:$Q$103,3+counta($F$1:N$1),false)</f>
        <v>-0.15</v>
      </c>
      <c r="O72" s="99">
        <f>$D72-vlookup(Summary!$C72,Summary!$C$2:$Q$103,3+counta($F$1:O$1),false)</f>
        <v>0.3</v>
      </c>
      <c r="P72" s="99">
        <f>$D72-vlookup(Summary!$C72,Summary!$C$2:$Q$103,3+counta($F$1:P$1),false)</f>
        <v>-0.25</v>
      </c>
      <c r="Q72" s="99">
        <f>$D72-vlookup(Summary!$C72,Summary!$C$2:$Q$103,3+counta($F$1:Q$1),false)</f>
        <v>0</v>
      </c>
    </row>
    <row r="73" ht="15.75" customHeight="1">
      <c r="A73" s="15">
        <f>Main!A73</f>
        <v>72</v>
      </c>
      <c r="B73" s="15" t="str">
        <f>Main!B73</f>
        <v>The Haas F1 team will score 0 points in the 2022 season</v>
      </c>
      <c r="C73" s="15" t="str">
        <f>Main!C73</f>
        <v>Sport</v>
      </c>
      <c r="D73" s="15">
        <v>0.6</v>
      </c>
      <c r="F73" s="99">
        <f>$D73-vlookup(Summary!$C73,Summary!$C$2:$Q$103,3+counta($F$1:F$1),false)</f>
        <v>0.1</v>
      </c>
      <c r="G73" s="99">
        <f>$D73-vlookup(Summary!$C73,Summary!$C$2:$Q$103,3+counta($F$1:G$1),false)</f>
        <v>-0.1</v>
      </c>
      <c r="H73" s="99">
        <f>$D73-vlookup(Summary!$C73,Summary!$C$2:$Q$103,3+counta($F$1:H$1),false)</f>
        <v>0.1</v>
      </c>
      <c r="I73" s="99">
        <f>$D73-vlookup(Summary!$C73,Summary!$C$2:$Q$103,3+counta($F$1:I$1),false)</f>
        <v>0.1</v>
      </c>
      <c r="J73" s="99">
        <f>$D73-vlookup(Summary!$C73,Summary!$C$2:$Q$103,3+counta($F$1:J$1),false)</f>
        <v>0.3</v>
      </c>
      <c r="K73" s="99">
        <f>$D73-vlookup(Summary!$C73,Summary!$C$2:$Q$103,3+counta($F$1:K$1),false)</f>
        <v>0.1</v>
      </c>
      <c r="L73" s="99">
        <f>$D73-vlookup(Summary!$C73,Summary!$C$2:$Q$103,3+counta($F$1:L$1),false)</f>
        <v>0.1</v>
      </c>
      <c r="M73" s="99">
        <f>$D73-vlookup(Summary!$C73,Summary!$C$2:$Q$103,3+counta($F$1:M$1),false)</f>
        <v>0.1</v>
      </c>
      <c r="N73" s="99">
        <f>$D73-vlookup(Summary!$C73,Summary!$C$2:$Q$103,3+counta($F$1:N$1),false)</f>
        <v>0.1</v>
      </c>
      <c r="O73" s="99">
        <f>$D73-vlookup(Summary!$C73,Summary!$C$2:$Q$103,3+counta($F$1:O$1),false)</f>
        <v>-0.05</v>
      </c>
      <c r="P73" s="99">
        <f>$D73-vlookup(Summary!$C73,Summary!$C$2:$Q$103,3+counta($F$1:P$1),false)</f>
        <v>0.5</v>
      </c>
      <c r="Q73" s="99">
        <f>$D73-vlookup(Summary!$C73,Summary!$C$2:$Q$103,3+counta($F$1:Q$1),false)</f>
        <v>0</v>
      </c>
    </row>
    <row r="74" ht="15.75" customHeight="1">
      <c r="A74" s="15">
        <f>Main!A74</f>
        <v>73</v>
      </c>
      <c r="B74" s="15" t="str">
        <f>Main!B74</f>
        <v>ULA's vulcan centaur will launch succesfully (places a payload into orbit)</v>
      </c>
      <c r="C74" s="15" t="str">
        <f>Main!C74</f>
        <v>Technology</v>
      </c>
      <c r="D74" s="15">
        <v>0.5</v>
      </c>
      <c r="F74" s="99">
        <f>$D74-vlookup(Summary!$C74,Summary!$C$2:$Q$103,3+counta($F$1:F$1),false)</f>
        <v>-0.1</v>
      </c>
      <c r="G74" s="99">
        <f>$D74-vlookup(Summary!$C74,Summary!$C$2:$Q$103,3+counta($F$1:G$1),false)</f>
        <v>-0.2</v>
      </c>
      <c r="H74" s="99">
        <f>$D74-vlookup(Summary!$C74,Summary!$C$2:$Q$103,3+counta($F$1:H$1),false)</f>
        <v>-0.2</v>
      </c>
      <c r="I74" s="99">
        <f>$D74-vlookup(Summary!$C74,Summary!$C$2:$Q$103,3+counta($F$1:I$1),false)</f>
        <v>-0.1</v>
      </c>
      <c r="J74" s="99">
        <f>$D74-vlookup(Summary!$C74,Summary!$C$2:$Q$103,3+counta($F$1:J$1),false)</f>
        <v>-0.1</v>
      </c>
      <c r="K74" s="99">
        <f>$D74-vlookup(Summary!$C74,Summary!$C$2:$Q$103,3+counta($F$1:K$1),false)</f>
        <v>-0.1</v>
      </c>
      <c r="L74" s="99">
        <f>$D74-vlookup(Summary!$C74,Summary!$C$2:$Q$103,3+counta($F$1:L$1),false)</f>
        <v>0.3</v>
      </c>
      <c r="M74" s="99">
        <f>$D74-vlookup(Summary!$C74,Summary!$C$2:$Q$103,3+counta($F$1:M$1),false)</f>
        <v>-0.2</v>
      </c>
      <c r="N74" s="99">
        <f>$D74-vlookup(Summary!$C74,Summary!$C$2:$Q$103,3+counta($F$1:N$1),false)</f>
        <v>0.1</v>
      </c>
      <c r="O74" s="99">
        <f>$D74-vlookup(Summary!$C74,Summary!$C$2:$Q$103,3+counta($F$1:O$1),false)</f>
        <v>-0.35</v>
      </c>
      <c r="P74" s="99">
        <f>$D74-vlookup(Summary!$C74,Summary!$C$2:$Q$103,3+counta($F$1:P$1),false)</f>
        <v>0</v>
      </c>
      <c r="Q74" s="99">
        <f>$D74-vlookup(Summary!$C74,Summary!$C$2:$Q$103,3+counta($F$1:Q$1),false)</f>
        <v>0</v>
      </c>
    </row>
    <row r="75" ht="15.75" customHeight="1">
      <c r="A75" s="15">
        <f>Main!A75</f>
        <v>74</v>
      </c>
      <c r="B75" s="15" t="str">
        <f>Main!B75</f>
        <v>NASA will declare its Artemis 1 mission a success</v>
      </c>
      <c r="C75" s="15" t="str">
        <f>Main!C75</f>
        <v>Technology</v>
      </c>
      <c r="D75" s="15">
        <v>0.7</v>
      </c>
      <c r="F75" s="99">
        <f>$D75-vlookup(Summary!$C75,Summary!$C$2:$Q$103,3+counta($F$1:F$1),false)</f>
        <v>0</v>
      </c>
      <c r="G75" s="99">
        <f>$D75-vlookup(Summary!$C75,Summary!$C$2:$Q$103,3+counta($F$1:G$1),false)</f>
        <v>-0.1</v>
      </c>
      <c r="H75" s="99">
        <f>$D75-vlookup(Summary!$C75,Summary!$C$2:$Q$103,3+counta($F$1:H$1),false)</f>
        <v>0</v>
      </c>
      <c r="I75" s="99">
        <f>$D75-vlookup(Summary!$C75,Summary!$C$2:$Q$103,3+counta($F$1:I$1),false)</f>
        <v>0</v>
      </c>
      <c r="J75" s="99">
        <f>$D75-vlookup(Summary!$C75,Summary!$C$2:$Q$103,3+counta($F$1:J$1),false)</f>
        <v>0</v>
      </c>
      <c r="K75" s="99">
        <f>$D75-vlookup(Summary!$C75,Summary!$C$2:$Q$103,3+counta($F$1:K$1),false)</f>
        <v>-0.1</v>
      </c>
      <c r="L75" s="99">
        <f>$D75-vlookup(Summary!$C75,Summary!$C$2:$Q$103,3+counta($F$1:L$1),false)</f>
        <v>0.1</v>
      </c>
      <c r="M75" s="99">
        <f>$D75-vlookup(Summary!$C75,Summary!$C$2:$Q$103,3+counta($F$1:M$1),false)</f>
        <v>0</v>
      </c>
      <c r="N75" s="99">
        <f>$D75-vlookup(Summary!$C75,Summary!$C$2:$Q$103,3+counta($F$1:N$1),false)</f>
        <v>0.2</v>
      </c>
      <c r="O75" s="99">
        <f>$D75-vlookup(Summary!$C75,Summary!$C$2:$Q$103,3+counta($F$1:O$1),false)</f>
        <v>0.05</v>
      </c>
      <c r="P75" s="99">
        <f>$D75-vlookup(Summary!$C75,Summary!$C$2:$Q$103,3+counta($F$1:P$1),false)</f>
        <v>0.2</v>
      </c>
      <c r="Q75" s="99">
        <f>$D75-vlookup(Summary!$C75,Summary!$C$2:$Q$103,3+counta($F$1:Q$1),false)</f>
        <v>0</v>
      </c>
    </row>
    <row r="76" ht="15.75" customHeight="1">
      <c r="A76" s="15">
        <f>Main!A76</f>
        <v>75</v>
      </c>
      <c r="B76" s="15" t="str">
        <f>Main!B76</f>
        <v>Starship/Superheavy will place Starship into a (partial) orbital trajectory</v>
      </c>
      <c r="C76" s="15" t="str">
        <f>Main!C76</f>
        <v>Technology</v>
      </c>
      <c r="D76" s="15">
        <v>0.5</v>
      </c>
      <c r="F76" s="99">
        <f>$D76-vlookup(Summary!$C76,Summary!$C$2:$Q$103,3+counta($F$1:F$1),false)</f>
        <v>-0.15</v>
      </c>
      <c r="G76" s="99">
        <f>$D76-vlookup(Summary!$C76,Summary!$C$2:$Q$103,3+counta($F$1:G$1),false)</f>
        <v>-0.1</v>
      </c>
      <c r="H76" s="99">
        <f>$D76-vlookup(Summary!$C76,Summary!$C$2:$Q$103,3+counta($F$1:H$1),false)</f>
        <v>-0.1</v>
      </c>
      <c r="I76" s="99">
        <f>$D76-vlookup(Summary!$C76,Summary!$C$2:$Q$103,3+counta($F$1:I$1),false)</f>
        <v>-0.15</v>
      </c>
      <c r="J76" s="99">
        <f>$D76-vlookup(Summary!$C76,Summary!$C$2:$Q$103,3+counta($F$1:J$1),false)</f>
        <v>-0.2</v>
      </c>
      <c r="K76" s="99">
        <f>$D76-vlookup(Summary!$C76,Summary!$C$2:$Q$103,3+counta($F$1:K$1),false)</f>
        <v>0</v>
      </c>
      <c r="L76" s="99">
        <f>$D76-vlookup(Summary!$C76,Summary!$C$2:$Q$103,3+counta($F$1:L$1),false)</f>
        <v>0</v>
      </c>
      <c r="M76" s="99">
        <f>$D76-vlookup(Summary!$C76,Summary!$C$2:$Q$103,3+counta($F$1:M$1),false)</f>
        <v>-0.1</v>
      </c>
      <c r="N76" s="99">
        <f>$D76-vlookup(Summary!$C76,Summary!$C$2:$Q$103,3+counta($F$1:N$1),false)</f>
        <v>0</v>
      </c>
      <c r="O76" s="99">
        <f>$D76-vlookup(Summary!$C76,Summary!$C$2:$Q$103,3+counta($F$1:O$1),false)</f>
        <v>-0.35</v>
      </c>
      <c r="P76" s="99">
        <f>$D76-vlookup(Summary!$C76,Summary!$C$2:$Q$103,3+counta($F$1:P$1),false)</f>
        <v>0</v>
      </c>
      <c r="Q76" s="99">
        <f>$D76-vlookup(Summary!$C76,Summary!$C$2:$Q$103,3+counta($F$1:Q$1),false)</f>
        <v>0</v>
      </c>
    </row>
    <row r="77" ht="15.75" customHeight="1">
      <c r="A77" s="15">
        <f>Main!A77</f>
        <v>76</v>
      </c>
      <c r="B77" s="15" t="str">
        <f>Main!B77</f>
        <v>James Webb telescope will deploy at L2 and 1 image from its Near-Infrared Camera (NIRCam) will be available on the internet for viewing by the public</v>
      </c>
      <c r="C77" s="15" t="str">
        <f>Main!C77</f>
        <v>Technology</v>
      </c>
      <c r="D77" s="15">
        <v>0.5</v>
      </c>
      <c r="F77" s="99">
        <f>$D77-vlookup(Summary!$C77,Summary!$C$2:$Q$103,3+counta($F$1:F$1),false)</f>
        <v>-0.2</v>
      </c>
      <c r="G77" s="99">
        <f>$D77-vlookup(Summary!$C77,Summary!$C$2:$Q$103,3+counta($F$1:G$1),false)</f>
        <v>-0.3</v>
      </c>
      <c r="H77" s="99">
        <f>$D77-vlookup(Summary!$C77,Summary!$C$2:$Q$103,3+counta($F$1:H$1),false)</f>
        <v>-0.4</v>
      </c>
      <c r="I77" s="99">
        <f>$D77-vlookup(Summary!$C77,Summary!$C$2:$Q$103,3+counta($F$1:I$1),false)</f>
        <v>-0.2</v>
      </c>
      <c r="J77" s="99">
        <f>$D77-vlookup(Summary!$C77,Summary!$C$2:$Q$103,3+counta($F$1:J$1),false)</f>
        <v>-0.3</v>
      </c>
      <c r="K77" s="99">
        <f>$D77-vlookup(Summary!$C77,Summary!$C$2:$Q$103,3+counta($F$1:K$1),false)</f>
        <v>-0.15</v>
      </c>
      <c r="L77" s="99">
        <f>$D77-vlookup(Summary!$C77,Summary!$C$2:$Q$103,3+counta($F$1:L$1),false)</f>
        <v>-0.2</v>
      </c>
      <c r="M77" s="99">
        <f>$D77-vlookup(Summary!$C77,Summary!$C$2:$Q$103,3+counta($F$1:M$1),false)</f>
        <v>-0.4</v>
      </c>
      <c r="N77" s="99">
        <f>$D77-vlookup(Summary!$C77,Summary!$C$2:$Q$103,3+counta($F$1:N$1),false)</f>
        <v>0</v>
      </c>
      <c r="O77" s="99">
        <f>$D77-vlookup(Summary!$C77,Summary!$C$2:$Q$103,3+counta($F$1:O$1),false)</f>
        <v>-0.499</v>
      </c>
      <c r="P77" s="99">
        <f>$D77-vlookup(Summary!$C77,Summary!$C$2:$Q$103,3+counta($F$1:P$1),false)</f>
        <v>-0.4</v>
      </c>
      <c r="Q77" s="99">
        <f>$D77-vlookup(Summary!$C77,Summary!$C$2:$Q$103,3+counta($F$1:Q$1),false)</f>
        <v>0</v>
      </c>
    </row>
    <row r="78" ht="15.75" customHeight="1">
      <c r="A78" s="15">
        <f>Main!A78</f>
        <v>77</v>
      </c>
      <c r="B78" s="15" t="str">
        <f>Main!B78</f>
        <v>Facebook connect 2022 (or its 'meta' equivalent) will be hosted in virtual reality / a ('the'?) metaverse</v>
      </c>
      <c r="C78" s="15" t="str">
        <f>Main!C78</f>
        <v>Technology</v>
      </c>
      <c r="D78" s="15">
        <v>0.7</v>
      </c>
      <c r="F78" s="99">
        <f>$D78-vlookup(Summary!$C78,Summary!$C$2:$Q$103,3+counta($F$1:F$1),false)</f>
        <v>0.4</v>
      </c>
      <c r="G78" s="99">
        <f>$D78-vlookup(Summary!$C78,Summary!$C$2:$Q$103,3+counta($F$1:G$1),false)</f>
        <v>0.1</v>
      </c>
      <c r="H78" s="99">
        <f>$D78-vlookup(Summary!$C78,Summary!$C$2:$Q$103,3+counta($F$1:H$1),false)</f>
        <v>-0.2</v>
      </c>
      <c r="I78" s="99">
        <f>$D78-vlookup(Summary!$C78,Summary!$C$2:$Q$103,3+counta($F$1:I$1),false)</f>
        <v>0.6</v>
      </c>
      <c r="J78" s="99">
        <f>$D78-vlookup(Summary!$C78,Summary!$C$2:$Q$103,3+counta($F$1:J$1),false)</f>
        <v>-0.2</v>
      </c>
      <c r="K78" s="99">
        <f>$D78-vlookup(Summary!$C78,Summary!$C$2:$Q$103,3+counta($F$1:K$1),false)</f>
        <v>0.2</v>
      </c>
      <c r="L78" s="99">
        <f>$D78-vlookup(Summary!$C78,Summary!$C$2:$Q$103,3+counta($F$1:L$1),false)</f>
        <v>0.2</v>
      </c>
      <c r="M78" s="99">
        <f>$D78-vlookup(Summary!$C78,Summary!$C$2:$Q$103,3+counta($F$1:M$1),false)</f>
        <v>-0.2</v>
      </c>
      <c r="N78" s="99">
        <f>$D78-vlookup(Summary!$C78,Summary!$C$2:$Q$103,3+counta($F$1:N$1),false)</f>
        <v>0.5</v>
      </c>
      <c r="O78" s="99">
        <f>$D78-vlookup(Summary!$C78,Summary!$C$2:$Q$103,3+counta($F$1:O$1),false)</f>
        <v>0.35</v>
      </c>
      <c r="P78" s="99">
        <f>$D78-vlookup(Summary!$C78,Summary!$C$2:$Q$103,3+counta($F$1:P$1),false)</f>
        <v>0.2</v>
      </c>
      <c r="Q78" s="99">
        <f>$D78-vlookup(Summary!$C78,Summary!$C$2:$Q$103,3+counta($F$1:Q$1),false)</f>
        <v>0</v>
      </c>
    </row>
    <row r="79" ht="15.75" customHeight="1">
      <c r="A79" s="15">
        <f>Main!A79</f>
        <v>78</v>
      </c>
      <c r="B79" s="15" t="str">
        <f>Main!B79</f>
        <v>Apple will announce mixed reality glasses</v>
      </c>
      <c r="C79" s="15" t="str">
        <f>Main!C79</f>
        <v>Technology</v>
      </c>
      <c r="D79" s="15">
        <v>0.8</v>
      </c>
      <c r="F79" s="99">
        <f>$D79-vlookup(Summary!$C79,Summary!$C$2:$Q$103,3+counta($F$1:F$1),false)</f>
        <v>0.55</v>
      </c>
      <c r="G79" s="99">
        <f>$D79-vlookup(Summary!$C79,Summary!$C$2:$Q$103,3+counta($F$1:G$1),false)</f>
        <v>0.4</v>
      </c>
      <c r="H79" s="99">
        <f>$D79-vlookup(Summary!$C79,Summary!$C$2:$Q$103,3+counta($F$1:H$1),false)</f>
        <v>0.6</v>
      </c>
      <c r="I79" s="99">
        <f>$D79-vlookup(Summary!$C79,Summary!$C$2:$Q$103,3+counta($F$1:I$1),false)</f>
        <v>0.7</v>
      </c>
      <c r="J79" s="99">
        <f>$D79-vlookup(Summary!$C79,Summary!$C$2:$Q$103,3+counta($F$1:J$1),false)</f>
        <v>-0.1</v>
      </c>
      <c r="K79" s="99">
        <f>$D79-vlookup(Summary!$C79,Summary!$C$2:$Q$103,3+counta($F$1:K$1),false)</f>
        <v>0.125</v>
      </c>
      <c r="L79" s="99">
        <f>$D79-vlookup(Summary!$C79,Summary!$C$2:$Q$103,3+counta($F$1:L$1),false)</f>
        <v>0.35</v>
      </c>
      <c r="M79" s="99">
        <f>$D79-vlookup(Summary!$C79,Summary!$C$2:$Q$103,3+counta($F$1:M$1),false)</f>
        <v>0.6</v>
      </c>
      <c r="N79" s="99">
        <f>$D79-vlookup(Summary!$C79,Summary!$C$2:$Q$103,3+counta($F$1:N$1),false)</f>
        <v>0.1</v>
      </c>
      <c r="O79" s="99">
        <f>$D79-vlookup(Summary!$C79,Summary!$C$2:$Q$103,3+counta($F$1:O$1),false)</f>
        <v>0.45</v>
      </c>
      <c r="P79" s="99">
        <f>$D79-vlookup(Summary!$C79,Summary!$C$2:$Q$103,3+counta($F$1:P$1),false)</f>
        <v>0.7</v>
      </c>
      <c r="Q79" s="99">
        <f>$D79-vlookup(Summary!$C79,Summary!$C$2:$Q$103,3+counta($F$1:Q$1),false)</f>
        <v>0</v>
      </c>
    </row>
    <row r="80" ht="15.75" customHeight="1">
      <c r="A80" s="15">
        <f>Main!A80</f>
        <v>79</v>
      </c>
      <c r="B80" s="15" t="str">
        <f>Main!B80</f>
        <v> In-app purchases of Kindle books will be possible in the Kindle iphone app</v>
      </c>
      <c r="C80" s="15" t="str">
        <f>Main!C80</f>
        <v>Technology</v>
      </c>
      <c r="D80" s="15">
        <v>0.5</v>
      </c>
      <c r="F80" s="99">
        <f>$D80-vlookup(Summary!$C80,Summary!$C$2:$Q$103,3+counta($F$1:F$1),false)</f>
        <v>0</v>
      </c>
      <c r="G80" s="99">
        <f>$D80-vlookup(Summary!$C80,Summary!$C$2:$Q$103,3+counta($F$1:G$1),false)</f>
        <v>-0.05</v>
      </c>
      <c r="H80" s="99">
        <f>$D80-vlookup(Summary!$C80,Summary!$C$2:$Q$103,3+counta($F$1:H$1),false)</f>
        <v>0.3</v>
      </c>
      <c r="I80" s="99">
        <f>$D80-vlookup(Summary!$C80,Summary!$C$2:$Q$103,3+counta($F$1:I$1),false)</f>
        <v>0</v>
      </c>
      <c r="J80" s="99">
        <f>$D80-vlookup(Summary!$C80,Summary!$C$2:$Q$103,3+counta($F$1:J$1),false)</f>
        <v>-0.4</v>
      </c>
      <c r="K80" s="99">
        <f>$D80-vlookup(Summary!$C80,Summary!$C$2:$Q$103,3+counta($F$1:K$1),false)</f>
        <v>-0.35</v>
      </c>
      <c r="L80" s="99">
        <f>$D80-vlookup(Summary!$C80,Summary!$C$2:$Q$103,3+counta($F$1:L$1),false)</f>
        <v>0.3</v>
      </c>
      <c r="M80" s="99">
        <f>$D80-vlookup(Summary!$C80,Summary!$C$2:$Q$103,3+counta($F$1:M$1),false)</f>
        <v>0.3</v>
      </c>
      <c r="N80" s="99">
        <f>$D80-vlookup(Summary!$C80,Summary!$C$2:$Q$103,3+counta($F$1:N$1),false)</f>
        <v>-0.3</v>
      </c>
      <c r="O80" s="99">
        <f>$D80-vlookup(Summary!$C80,Summary!$C$2:$Q$103,3+counta($F$1:O$1),false)</f>
        <v>0.35</v>
      </c>
      <c r="P80" s="99">
        <f>$D80-vlookup(Summary!$C80,Summary!$C$2:$Q$103,3+counta($F$1:P$1),false)</f>
        <v>0</v>
      </c>
      <c r="Q80" s="99">
        <f>$D80-vlookup(Summary!$C80,Summary!$C$2:$Q$103,3+counta($F$1:Q$1),false)</f>
        <v>0</v>
      </c>
    </row>
    <row r="81" ht="15.75" customHeight="1">
      <c r="A81" s="15">
        <f>Main!A81</f>
        <v>80</v>
      </c>
      <c r="B81" s="15" t="str">
        <f>Main!B81</f>
        <v>It will be possible for at least one of the prediction participants to have food delivered by drone to their place of residence as a mainstream service, without it being part of a specific trial.</v>
      </c>
      <c r="C81" s="15" t="str">
        <f>Main!C81</f>
        <v>Technology</v>
      </c>
      <c r="D81" s="15">
        <v>0.65</v>
      </c>
      <c r="F81" s="99">
        <f>$D81-vlookup(Summary!$C81,Summary!$C$2:$Q$103,3+counta($F$1:F$1),false)</f>
        <v>0.45</v>
      </c>
      <c r="G81" s="99">
        <f>$D81-vlookup(Summary!$C81,Summary!$C$2:$Q$103,3+counta($F$1:G$1),false)</f>
        <v>0.35</v>
      </c>
      <c r="H81" s="99">
        <f>$D81-vlookup(Summary!$C81,Summary!$C$2:$Q$103,3+counta($F$1:H$1),false)</f>
        <v>0.55</v>
      </c>
      <c r="I81" s="99">
        <f>$D81-vlookup(Summary!$C81,Summary!$C$2:$Q$103,3+counta($F$1:I$1),false)</f>
        <v>0.55</v>
      </c>
      <c r="J81" s="99">
        <f>$D81-vlookup(Summary!$C81,Summary!$C$2:$Q$103,3+counta($F$1:J$1),false)</f>
        <v>0.25</v>
      </c>
      <c r="K81" s="99">
        <f>$D81-vlookup(Summary!$C81,Summary!$C$2:$Q$103,3+counta($F$1:K$1),false)</f>
        <v>0</v>
      </c>
      <c r="L81" s="99">
        <f>$D81-vlookup(Summary!$C81,Summary!$C$2:$Q$103,3+counta($F$1:L$1),false)</f>
        <v>0.15</v>
      </c>
      <c r="M81" s="99">
        <f>$D81-vlookup(Summary!$C81,Summary!$C$2:$Q$103,3+counta($F$1:M$1),false)</f>
        <v>0.55</v>
      </c>
      <c r="N81" s="99">
        <f>$D81-vlookup(Summary!$C81,Summary!$C$2:$Q$103,3+counta($F$1:N$1),false)</f>
        <v>-0.05</v>
      </c>
      <c r="O81" s="99">
        <f>$D81-vlookup(Summary!$C81,Summary!$C$2:$Q$103,3+counta($F$1:O$1),false)</f>
        <v>0</v>
      </c>
      <c r="P81" s="99">
        <f>$D81-vlookup(Summary!$C81,Summary!$C$2:$Q$103,3+counta($F$1:P$1),false)</f>
        <v>-0.25</v>
      </c>
      <c r="Q81" s="99">
        <f>$D81-vlookup(Summary!$C81,Summary!$C$2:$Q$103,3+counta($F$1:Q$1),false)</f>
        <v>0</v>
      </c>
    </row>
    <row r="82" ht="15.75" customHeight="1">
      <c r="A82" s="15">
        <f>Main!A82</f>
        <v>81</v>
      </c>
      <c r="B82" s="15" t="str">
        <f>Main!B82</f>
        <v>TMTG, the company that owns Trump’s “TRUTH Social” platform, will have a market cap of over $20 billion USD. (Twitter is around 35b)</v>
      </c>
      <c r="C82" s="15" t="str">
        <f>Main!C82</f>
        <v>Technology</v>
      </c>
      <c r="D82" s="15">
        <v>0.3</v>
      </c>
      <c r="F82" s="99">
        <f>$D82-vlookup(Summary!$C82,Summary!$C$2:$Q$103,3+counta($F$1:F$1),false)</f>
        <v>-0.6</v>
      </c>
      <c r="G82" s="99">
        <f>$D82-vlookup(Summary!$C82,Summary!$C$2:$Q$103,3+counta($F$1:G$1),false)</f>
        <v>-0.69</v>
      </c>
      <c r="H82" s="99">
        <f>$D82-vlookup(Summary!$C82,Summary!$C$2:$Q$103,3+counta($F$1:H$1),false)</f>
        <v>0.1</v>
      </c>
      <c r="I82" s="99">
        <f>$D82-vlookup(Summary!$C82,Summary!$C$2:$Q$103,3+counta($F$1:I$1),false)</f>
        <v>-0.6</v>
      </c>
      <c r="J82" s="99">
        <f>$D82-vlookup(Summary!$C82,Summary!$C$2:$Q$103,3+counta($F$1:J$1),false)</f>
        <v>0</v>
      </c>
      <c r="K82" s="99">
        <f>$D82-vlookup(Summary!$C82,Summary!$C$2:$Q$103,3+counta($F$1:K$1),false)</f>
        <v>-0.5</v>
      </c>
      <c r="L82" s="99">
        <f>$D82-vlookup(Summary!$C82,Summary!$C$2:$Q$103,3+counta($F$1:L$1),false)</f>
        <v>0.1</v>
      </c>
      <c r="M82" s="99">
        <f>$D82-vlookup(Summary!$C82,Summary!$C$2:$Q$103,3+counta($F$1:M$1),false)</f>
        <v>0.1</v>
      </c>
      <c r="N82" s="99">
        <f>$D82-vlookup(Summary!$C82,Summary!$C$2:$Q$103,3+counta($F$1:N$1),false)</f>
        <v>0.2</v>
      </c>
      <c r="O82" s="99">
        <f>$D82-vlookup(Summary!$C82,Summary!$C$2:$Q$103,3+counta($F$1:O$1),false)</f>
        <v>0.15</v>
      </c>
      <c r="P82" s="99">
        <f>$D82-vlookup(Summary!$C82,Summary!$C$2:$Q$103,3+counta($F$1:P$1),false)</f>
        <v>-0.2</v>
      </c>
      <c r="Q82" s="99">
        <f>$D82-vlookup(Summary!$C82,Summary!$C$2:$Q$103,3+counta($F$1:Q$1),false)</f>
        <v>0</v>
      </c>
    </row>
    <row r="83" ht="15.75" customHeight="1">
      <c r="A83" s="15">
        <f>Main!A83</f>
        <v>82</v>
      </c>
      <c r="B83" s="15" t="str">
        <f>Main!B83</f>
        <v>It will not be financially viable to mine ethereum using commercial GPUs.</v>
      </c>
      <c r="C83" s="15" t="str">
        <f>Main!C83</f>
        <v>Technology</v>
      </c>
      <c r="D83" s="15">
        <v>0.6</v>
      </c>
      <c r="F83" s="99">
        <f>$D83-vlookup(Summary!$C83,Summary!$C$2:$Q$103,3+counta($F$1:F$1),false)</f>
        <v>-0.05</v>
      </c>
      <c r="G83" s="99">
        <f>$D83-vlookup(Summary!$C83,Summary!$C$2:$Q$103,3+counta($F$1:G$1),false)</f>
        <v>-0.2</v>
      </c>
      <c r="H83" s="99">
        <f>$D83-vlookup(Summary!$C83,Summary!$C$2:$Q$103,3+counta($F$1:H$1),false)</f>
        <v>-0.3</v>
      </c>
      <c r="I83" s="99">
        <f>$D83-vlookup(Summary!$C83,Summary!$C$2:$Q$103,3+counta($F$1:I$1),false)</f>
        <v>0.1</v>
      </c>
      <c r="J83" s="99">
        <f>$D83-vlookup(Summary!$C83,Summary!$C$2:$Q$103,3+counta($F$1:J$1),false)</f>
        <v>0.1</v>
      </c>
      <c r="K83" s="99">
        <f>$D83-vlookup(Summary!$C83,Summary!$C$2:$Q$103,3+counta($F$1:K$1),false)</f>
        <v>0.1</v>
      </c>
      <c r="L83" s="99">
        <f>$D83-vlookup(Summary!$C83,Summary!$C$2:$Q$103,3+counta($F$1:L$1),false)</f>
        <v>0.15</v>
      </c>
      <c r="M83" s="99">
        <f>$D83-vlookup(Summary!$C83,Summary!$C$2:$Q$103,3+counta($F$1:M$1),false)</f>
        <v>-0.3</v>
      </c>
      <c r="N83" s="99">
        <f>$D83-vlookup(Summary!$C83,Summary!$C$2:$Q$103,3+counta($F$1:N$1),false)</f>
        <v>-0.2</v>
      </c>
      <c r="O83" s="99">
        <f>$D83-vlookup(Summary!$C83,Summary!$C$2:$Q$103,3+counta($F$1:O$1),false)</f>
        <v>-0.25</v>
      </c>
      <c r="P83" s="99">
        <f>$D83-vlookup(Summary!$C83,Summary!$C$2:$Q$103,3+counta($F$1:P$1),false)</f>
        <v>0.1</v>
      </c>
      <c r="Q83" s="99">
        <f>$D83-vlookup(Summary!$C83,Summary!$C$2:$Q$103,3+counta($F$1:Q$1),false)</f>
        <v>0</v>
      </c>
    </row>
    <row r="84" ht="15.75" customHeight="1">
      <c r="A84" s="15">
        <f>Main!A84</f>
        <v>83</v>
      </c>
      <c r="B84" s="15" t="str">
        <f>Main!B84</f>
        <v>China will have more than 800 satellites in orbit (currently around 500)</v>
      </c>
      <c r="C84" s="15" t="str">
        <f>Main!C84</f>
        <v>Technology</v>
      </c>
      <c r="D84" s="15">
        <v>0.65</v>
      </c>
      <c r="F84" s="99">
        <f>$D84-vlookup(Summary!$C84,Summary!$C$2:$Q$103,3+counta($F$1:F$1),false)</f>
        <v>0.25</v>
      </c>
      <c r="G84" s="99">
        <f>$D84-vlookup(Summary!$C84,Summary!$C$2:$Q$103,3+counta($F$1:G$1),false)</f>
        <v>0</v>
      </c>
      <c r="H84" s="99">
        <f>$D84-vlookup(Summary!$C84,Summary!$C$2:$Q$103,3+counta($F$1:H$1),false)</f>
        <v>0.6</v>
      </c>
      <c r="I84" s="99">
        <f>$D84-vlookup(Summary!$C84,Summary!$C$2:$Q$103,3+counta($F$1:I$1),false)</f>
        <v>0.45</v>
      </c>
      <c r="J84" s="99">
        <f>$D84-vlookup(Summary!$C84,Summary!$C$2:$Q$103,3+counta($F$1:J$1),false)</f>
        <v>-0.05</v>
      </c>
      <c r="K84" s="99">
        <f>$D84-vlookup(Summary!$C84,Summary!$C$2:$Q$103,3+counta($F$1:K$1),false)</f>
        <v>-0.2</v>
      </c>
      <c r="L84" s="99">
        <f>$D84-vlookup(Summary!$C84,Summary!$C$2:$Q$103,3+counta($F$1:L$1),false)</f>
        <v>0.649</v>
      </c>
      <c r="M84" s="99">
        <f>$D84-vlookup(Summary!$C84,Summary!$C$2:$Q$103,3+counta($F$1:M$1),false)</f>
        <v>0.6</v>
      </c>
      <c r="N84" s="99">
        <f>$D84-vlookup(Summary!$C84,Summary!$C$2:$Q$103,3+counta($F$1:N$1),false)</f>
        <v>0.55</v>
      </c>
      <c r="O84" s="99">
        <f>$D84-vlookup(Summary!$C84,Summary!$C$2:$Q$103,3+counta($F$1:O$1),false)</f>
        <v>0.649</v>
      </c>
      <c r="P84" s="99">
        <f>$D84-vlookup(Summary!$C84,Summary!$C$2:$Q$103,3+counta($F$1:P$1),false)</f>
        <v>0.15</v>
      </c>
      <c r="Q84" s="99">
        <f>$D84-vlookup(Summary!$C84,Summary!$C$2:$Q$103,3+counta($F$1:Q$1),false)</f>
        <v>0</v>
      </c>
    </row>
    <row r="85" ht="15.75" customHeight="1">
      <c r="A85" s="15">
        <f>Main!A85</f>
        <v>84</v>
      </c>
      <c r="B85" s="15" t="str">
        <f>Main!B85</f>
        <v>Australia will be in the top 40 countries for broadband speed (as tracked in wiki page)</v>
      </c>
      <c r="C85" s="15" t="str">
        <f>Main!C85</f>
        <v>Technology</v>
      </c>
      <c r="D85" s="15">
        <v>0.7</v>
      </c>
      <c r="F85" s="99">
        <f>$D85-vlookup(Summary!$C85,Summary!$C$2:$Q$103,3+counta($F$1:F$1),false)</f>
        <v>0.5</v>
      </c>
      <c r="G85" s="99">
        <f>$D85-vlookup(Summary!$C85,Summary!$C$2:$Q$103,3+counta($F$1:G$1),false)</f>
        <v>-0.2</v>
      </c>
      <c r="H85" s="99">
        <f>$D85-vlookup(Summary!$C85,Summary!$C$2:$Q$103,3+counta($F$1:H$1),false)</f>
        <v>0.65</v>
      </c>
      <c r="I85" s="99">
        <f>$D85-vlookup(Summary!$C85,Summary!$C$2:$Q$103,3+counta($F$1:I$1),false)</f>
        <v>0.4</v>
      </c>
      <c r="J85" s="99">
        <f>$D85-vlookup(Summary!$C85,Summary!$C$2:$Q$103,3+counta($F$1:J$1),false)</f>
        <v>0.5</v>
      </c>
      <c r="K85" s="99">
        <f>$D85-vlookup(Summary!$C85,Summary!$C$2:$Q$103,3+counta($F$1:K$1),false)</f>
        <v>0</v>
      </c>
      <c r="L85" s="99">
        <f>$D85-vlookup(Summary!$C85,Summary!$C$2:$Q$103,3+counta($F$1:L$1),false)</f>
        <v>0.65</v>
      </c>
      <c r="M85" s="99">
        <f>$D85-vlookup(Summary!$C85,Summary!$C$2:$Q$103,3+counta($F$1:M$1),false)</f>
        <v>0.65</v>
      </c>
      <c r="N85" s="99">
        <f>$D85-vlookup(Summary!$C85,Summary!$C$2:$Q$103,3+counta($F$1:N$1),false)</f>
        <v>0</v>
      </c>
      <c r="O85" s="99">
        <f>$D85-vlookup(Summary!$C85,Summary!$C$2:$Q$103,3+counta($F$1:O$1),false)</f>
        <v>0.55</v>
      </c>
      <c r="P85" s="99">
        <f>$D85-vlookup(Summary!$C85,Summary!$C$2:$Q$103,3+counta($F$1:P$1),false)</f>
        <v>-0.1</v>
      </c>
      <c r="Q85" s="99">
        <f>$D85-vlookup(Summary!$C85,Summary!$C$2:$Q$103,3+counta($F$1:Q$1),false)</f>
        <v>0</v>
      </c>
    </row>
    <row r="86" ht="15.75" customHeight="1">
      <c r="A86" s="15">
        <f>Main!A86</f>
        <v>85</v>
      </c>
      <c r="B86" s="15" t="str">
        <f>Main!B86</f>
        <v>India will produce more total CO2 emissions than the US</v>
      </c>
      <c r="C86" s="15" t="str">
        <f>Main!C86</f>
        <v>Technology</v>
      </c>
      <c r="D86" s="15">
        <v>0.6</v>
      </c>
      <c r="F86" s="99">
        <f>$D86-vlookup(Summary!$C86,Summary!$C$2:$Q$103,3+counta($F$1:F$1),false)</f>
        <v>0.3</v>
      </c>
      <c r="G86" s="99">
        <f>$D86-vlookup(Summary!$C86,Summary!$C$2:$Q$103,3+counta($F$1:G$1),false)</f>
        <v>0.4</v>
      </c>
      <c r="H86" s="99">
        <f>$D86-vlookup(Summary!$C86,Summary!$C$2:$Q$103,3+counta($F$1:H$1),false)</f>
        <v>0.5</v>
      </c>
      <c r="I86" s="99">
        <f>$D86-vlookup(Summary!$C86,Summary!$C$2:$Q$103,3+counta($F$1:I$1),false)</f>
        <v>0.5</v>
      </c>
      <c r="J86" s="99">
        <f>$D86-vlookup(Summary!$C86,Summary!$C$2:$Q$103,3+counta($F$1:J$1),false)</f>
        <v>0.1</v>
      </c>
      <c r="K86" s="99">
        <f>$D86-vlookup(Summary!$C86,Summary!$C$2:$Q$103,3+counta($F$1:K$1),false)</f>
        <v>-0.2</v>
      </c>
      <c r="L86" s="99">
        <f>$D86-vlookup(Summary!$C86,Summary!$C$2:$Q$103,3+counta($F$1:L$1),false)</f>
        <v>0.599</v>
      </c>
      <c r="M86" s="99">
        <f>$D86-vlookup(Summary!$C86,Summary!$C$2:$Q$103,3+counta($F$1:M$1),false)</f>
        <v>0.5</v>
      </c>
      <c r="N86" s="99">
        <f>$D86-vlookup(Summary!$C86,Summary!$C$2:$Q$103,3+counta($F$1:N$1),false)</f>
        <v>-0.2</v>
      </c>
      <c r="O86" s="99">
        <f>$D86-vlookup(Summary!$C86,Summary!$C$2:$Q$103,3+counta($F$1:O$1),false)</f>
        <v>0.25</v>
      </c>
      <c r="P86" s="99">
        <f>$D86-vlookup(Summary!$C86,Summary!$C$2:$Q$103,3+counta($F$1:P$1),false)</f>
        <v>-0.2</v>
      </c>
      <c r="Q86" s="99">
        <f>$D86-vlookup(Summary!$C86,Summary!$C$2:$Q$103,3+counta($F$1:Q$1),false)</f>
        <v>0</v>
      </c>
    </row>
    <row r="87" ht="15.75" customHeight="1">
      <c r="A87" s="15">
        <f>Main!A87</f>
        <v>86</v>
      </c>
      <c r="B87" s="15" t="str">
        <f>Main!B87</f>
        <v>The number of electric vehicles under $50K (excl on road costs) grows 67% or more in Australia, as listed on carsguide.com.au. Currently there are three cars: Hyundai Ioniq, Nissan Leaf and MG ZS EV</v>
      </c>
      <c r="C87" s="15" t="str">
        <f>Main!C87</f>
        <v>Technology</v>
      </c>
      <c r="D87" s="15">
        <v>0.35</v>
      </c>
      <c r="F87" s="99">
        <f>$D87-vlookup(Summary!$C87,Summary!$C$2:$Q$103,3+counta($F$1:F$1),false)</f>
        <v>-0.05</v>
      </c>
      <c r="G87" s="99">
        <f>$D87-vlookup(Summary!$C87,Summary!$C$2:$Q$103,3+counta($F$1:G$1),false)</f>
        <v>-0.45</v>
      </c>
      <c r="H87" s="99">
        <f>$D87-vlookup(Summary!$C87,Summary!$C$2:$Q$103,3+counta($F$1:H$1),false)</f>
        <v>-0.35</v>
      </c>
      <c r="I87" s="99">
        <f>$D87-vlookup(Summary!$C87,Summary!$C$2:$Q$103,3+counta($F$1:I$1),false)</f>
        <v>0.15</v>
      </c>
      <c r="J87" s="99">
        <f>$D87-vlookup(Summary!$C87,Summary!$C$2:$Q$103,3+counta($F$1:J$1),false)</f>
        <v>0.05</v>
      </c>
      <c r="K87" s="99">
        <f>$D87-vlookup(Summary!$C87,Summary!$C$2:$Q$103,3+counta($F$1:K$1),false)</f>
        <v>-0.3</v>
      </c>
      <c r="L87" s="99">
        <f>$D87-vlookup(Summary!$C87,Summary!$C$2:$Q$103,3+counta($F$1:L$1),false)</f>
        <v>-0.2</v>
      </c>
      <c r="M87" s="99">
        <f>$D87-vlookup(Summary!$C87,Summary!$C$2:$Q$103,3+counta($F$1:M$1),false)</f>
        <v>-0.35</v>
      </c>
      <c r="N87" s="99">
        <f>$D87-vlookup(Summary!$C87,Summary!$C$2:$Q$103,3+counta($F$1:N$1),false)</f>
        <v>-0.55</v>
      </c>
      <c r="O87" s="99">
        <f>$D87-vlookup(Summary!$C87,Summary!$C$2:$Q$103,3+counta($F$1:O$1),false)</f>
        <v>0</v>
      </c>
      <c r="P87" s="99">
        <f>$D87-vlookup(Summary!$C87,Summary!$C$2:$Q$103,3+counta($F$1:P$1),false)</f>
        <v>-0.35</v>
      </c>
      <c r="Q87" s="99">
        <f>$D87-vlookup(Summary!$C87,Summary!$C$2:$Q$103,3+counta($F$1:Q$1),false)</f>
        <v>0</v>
      </c>
    </row>
    <row r="88" ht="15.75" customHeight="1">
      <c r="A88" s="15">
        <f>Main!A88</f>
        <v>87</v>
      </c>
      <c r="B88" s="15" t="str">
        <f>Main!B88</f>
        <v>Boris Johnson will be replaced as Prime Minister by the Tory Party</v>
      </c>
      <c r="C88" s="15" t="str">
        <f>Main!C88</f>
        <v>World Politics</v>
      </c>
      <c r="D88" s="15">
        <v>0.5</v>
      </c>
      <c r="F88" s="99">
        <f>$D88-vlookup(Summary!$C88,Summary!$C$2:$Q$103,3+counta($F$1:F$1),false)</f>
        <v>-0.35</v>
      </c>
      <c r="G88" s="99">
        <f>$D88-vlookup(Summary!$C88,Summary!$C$2:$Q$103,3+counta($F$1:G$1),false)</f>
        <v>-0.3</v>
      </c>
      <c r="H88" s="99">
        <f>$D88-vlookup(Summary!$C88,Summary!$C$2:$Q$103,3+counta($F$1:H$1),false)</f>
        <v>0.2</v>
      </c>
      <c r="I88" s="99">
        <f>$D88-vlookup(Summary!$C88,Summary!$C$2:$Q$103,3+counta($F$1:I$1),false)</f>
        <v>-0.3</v>
      </c>
      <c r="J88" s="99">
        <f>$D88-vlookup(Summary!$C88,Summary!$C$2:$Q$103,3+counta($F$1:J$1),false)</f>
        <v>0.1</v>
      </c>
      <c r="K88" s="99">
        <f>$D88-vlookup(Summary!$C88,Summary!$C$2:$Q$103,3+counta($F$1:K$1),false)</f>
        <v>-0.35</v>
      </c>
      <c r="L88" s="99">
        <f>$D88-vlookup(Summary!$C88,Summary!$C$2:$Q$103,3+counta($F$1:L$1),false)</f>
        <v>0.4</v>
      </c>
      <c r="M88" s="99">
        <f>$D88-vlookup(Summary!$C88,Summary!$C$2:$Q$103,3+counta($F$1:M$1),false)</f>
        <v>0.2</v>
      </c>
      <c r="N88" s="99">
        <f>$D88-vlookup(Summary!$C88,Summary!$C$2:$Q$103,3+counta($F$1:N$1),false)</f>
        <v>-0.4</v>
      </c>
      <c r="O88" s="99">
        <f>$D88-vlookup(Summary!$C88,Summary!$C$2:$Q$103,3+counta($F$1:O$1),false)</f>
        <v>-0.15</v>
      </c>
      <c r="P88" s="99">
        <f>$D88-vlookup(Summary!$C88,Summary!$C$2:$Q$103,3+counta($F$1:P$1),false)</f>
        <v>-0.4</v>
      </c>
      <c r="Q88" s="99">
        <f>$D88-vlookup(Summary!$C88,Summary!$C$2:$Q$103,3+counta($F$1:Q$1),false)</f>
        <v>0</v>
      </c>
    </row>
    <row r="89" ht="15.75" customHeight="1">
      <c r="A89" s="15">
        <f>Main!A89</f>
        <v>88</v>
      </c>
      <c r="B89" s="15" t="str">
        <f>Main!B89</f>
        <v>Boris Johnson will be the Prime Minister of the UK</v>
      </c>
      <c r="C89" s="15" t="str">
        <f>Main!C89</f>
        <v>World Politics</v>
      </c>
      <c r="D89" s="15">
        <v>0.4</v>
      </c>
      <c r="F89" s="99">
        <f>$D89-vlookup(Summary!$C89,Summary!$C$2:$Q$103,3+counta($F$1:F$1),false)</f>
        <v>0.25</v>
      </c>
      <c r="G89" s="99">
        <f>$D89-vlookup(Summary!$C89,Summary!$C$2:$Q$103,3+counta($F$1:G$1),false)</f>
        <v>0.2</v>
      </c>
      <c r="H89" s="99">
        <f>$D89-vlookup(Summary!$C89,Summary!$C$2:$Q$103,3+counta($F$1:H$1),false)</f>
        <v>-0.3</v>
      </c>
      <c r="I89" s="99">
        <f>$D89-vlookup(Summary!$C89,Summary!$C$2:$Q$103,3+counta($F$1:I$1),false)</f>
        <v>0.2</v>
      </c>
      <c r="J89" s="99">
        <f>$D89-vlookup(Summary!$C89,Summary!$C$2:$Q$103,3+counta($F$1:J$1),false)</f>
        <v>-0.2</v>
      </c>
      <c r="K89" s="99">
        <f>$D89-vlookup(Summary!$C89,Summary!$C$2:$Q$103,3+counta($F$1:K$1),false)</f>
        <v>0.15</v>
      </c>
      <c r="L89" s="99">
        <f>$D89-vlookup(Summary!$C89,Summary!$C$2:$Q$103,3+counta($F$1:L$1),false)</f>
        <v>-0.45</v>
      </c>
      <c r="M89" s="99">
        <f>$D89-vlookup(Summary!$C89,Summary!$C$2:$Q$103,3+counta($F$1:M$1),false)</f>
        <v>-0.3</v>
      </c>
      <c r="N89" s="99">
        <f>$D89-vlookup(Summary!$C89,Summary!$C$2:$Q$103,3+counta($F$1:N$1),false)</f>
        <v>0.2</v>
      </c>
      <c r="O89" s="99">
        <f>$D89-vlookup(Summary!$C89,Summary!$C$2:$Q$103,3+counta($F$1:O$1),false)</f>
        <v>0.05</v>
      </c>
      <c r="P89" s="99">
        <f>$D89-vlookup(Summary!$C89,Summary!$C$2:$Q$103,3+counta($F$1:P$1),false)</f>
        <v>0.3</v>
      </c>
      <c r="Q89" s="99">
        <f>$D89-vlookup(Summary!$C89,Summary!$C$2:$Q$103,3+counta($F$1:Q$1),false)</f>
        <v>0</v>
      </c>
    </row>
    <row r="90" ht="15.75" customHeight="1">
      <c r="A90" s="15">
        <f>Main!A90</f>
        <v>89</v>
      </c>
      <c r="B90" s="15" t="str">
        <f>Main!B90</f>
        <v>At least some American states will resort to proclaimed and violent civil war rather that accept democratic elections</v>
      </c>
      <c r="C90" s="15" t="str">
        <f>Main!C90</f>
        <v>World Politics</v>
      </c>
      <c r="D90" s="15">
        <v>0.25</v>
      </c>
      <c r="F90" s="99">
        <f>$D90-vlookup(Summary!$C90,Summary!$C$2:$Q$103,3+counta($F$1:F$1),false)</f>
        <v>-0.05</v>
      </c>
      <c r="G90" s="99">
        <f>$D90-vlookup(Summary!$C90,Summary!$C$2:$Q$103,3+counta($F$1:G$1),false)</f>
        <v>0.15</v>
      </c>
      <c r="H90" s="99">
        <f>$D90-vlookup(Summary!$C90,Summary!$C$2:$Q$103,3+counta($F$1:H$1),false)</f>
        <v>0.15</v>
      </c>
      <c r="I90" s="99">
        <f>$D90-vlookup(Summary!$C90,Summary!$C$2:$Q$103,3+counta($F$1:I$1),false)</f>
        <v>0.15</v>
      </c>
      <c r="J90" s="99">
        <f>$D90-vlookup(Summary!$C90,Summary!$C$2:$Q$103,3+counta($F$1:J$1),false)</f>
        <v>-0.45</v>
      </c>
      <c r="K90" s="99">
        <f>$D90-vlookup(Summary!$C90,Summary!$C$2:$Q$103,3+counta($F$1:K$1),false)</f>
        <v>0.05</v>
      </c>
      <c r="L90" s="99">
        <f>$D90-vlookup(Summary!$C90,Summary!$C$2:$Q$103,3+counta($F$1:L$1),false)</f>
        <v>0.2</v>
      </c>
      <c r="M90" s="99">
        <f>$D90-vlookup(Summary!$C90,Summary!$C$2:$Q$103,3+counta($F$1:M$1),false)</f>
        <v>0.15</v>
      </c>
      <c r="N90" s="99">
        <f>$D90-vlookup(Summary!$C90,Summary!$C$2:$Q$103,3+counta($F$1:N$1),false)</f>
        <v>0.15</v>
      </c>
      <c r="O90" s="99">
        <f>$D90-vlookup(Summary!$C90,Summary!$C$2:$Q$103,3+counta($F$1:O$1),false)</f>
        <v>0.249</v>
      </c>
      <c r="P90" s="99">
        <f>$D90-vlookup(Summary!$C90,Summary!$C$2:$Q$103,3+counta($F$1:P$1),false)</f>
        <v>0.15</v>
      </c>
      <c r="Q90" s="99">
        <f>$D90-vlookup(Summary!$C90,Summary!$C$2:$Q$103,3+counta($F$1:Q$1),false)</f>
        <v>0</v>
      </c>
    </row>
    <row r="91" ht="15.75" customHeight="1">
      <c r="A91" s="15">
        <f>Main!A91</f>
        <v>90</v>
      </c>
      <c r="B91" s="15" t="str">
        <f>Main!B91</f>
        <v>Democrats will lose control of the US House of Representatives at the midterm elections</v>
      </c>
      <c r="C91" s="15" t="str">
        <f>Main!C91</f>
        <v>World Politics</v>
      </c>
      <c r="D91" s="15">
        <v>0.4</v>
      </c>
      <c r="F91" s="99">
        <f>$D91-vlookup(Summary!$C91,Summary!$C$2:$Q$103,3+counta($F$1:F$1),false)</f>
        <v>-0.4</v>
      </c>
      <c r="G91" s="99">
        <f>$D91-vlookup(Summary!$C91,Summary!$C$2:$Q$103,3+counta($F$1:G$1),false)</f>
        <v>-0.5</v>
      </c>
      <c r="H91" s="99">
        <f>$D91-vlookup(Summary!$C91,Summary!$C$2:$Q$103,3+counta($F$1:H$1),false)</f>
        <v>-0.3</v>
      </c>
      <c r="I91" s="99">
        <f>$D91-vlookup(Summary!$C91,Summary!$C$2:$Q$103,3+counta($F$1:I$1),false)</f>
        <v>-0.2</v>
      </c>
      <c r="J91" s="99">
        <f>$D91-vlookup(Summary!$C91,Summary!$C$2:$Q$103,3+counta($F$1:J$1),false)</f>
        <v>-0.5</v>
      </c>
      <c r="K91" s="99">
        <f>$D91-vlookup(Summary!$C91,Summary!$C$2:$Q$103,3+counta($F$1:K$1),false)</f>
        <v>-0.3</v>
      </c>
      <c r="L91" s="99">
        <f>$D91-vlookup(Summary!$C91,Summary!$C$2:$Q$103,3+counta($F$1:L$1),false)</f>
        <v>-0.3</v>
      </c>
      <c r="M91" s="99">
        <f>$D91-vlookup(Summary!$C91,Summary!$C$2:$Q$103,3+counta($F$1:M$1),false)</f>
        <v>-0.3</v>
      </c>
      <c r="N91" s="99">
        <f>$D91-vlookup(Summary!$C91,Summary!$C$2:$Q$103,3+counta($F$1:N$1),false)</f>
        <v>-0.4</v>
      </c>
      <c r="O91" s="99">
        <f>$D91-vlookup(Summary!$C91,Summary!$C$2:$Q$103,3+counta($F$1:O$1),false)</f>
        <v>-0.599</v>
      </c>
      <c r="P91" s="99">
        <f>$D91-vlookup(Summary!$C91,Summary!$C$2:$Q$103,3+counta($F$1:P$1),false)</f>
        <v>0.3</v>
      </c>
      <c r="Q91" s="99">
        <f>$D91-vlookup(Summary!$C91,Summary!$C$2:$Q$103,3+counta($F$1:Q$1),false)</f>
        <v>0</v>
      </c>
    </row>
    <row r="92" ht="15.75" customHeight="1">
      <c r="A92" s="15">
        <f>Main!A92</f>
        <v>91</v>
      </c>
      <c r="B92" s="15" t="str">
        <f>Main!B92</f>
        <v>Democrats will not have control of the US Senate after the midterm election</v>
      </c>
      <c r="C92" s="15" t="str">
        <f>Main!C92</f>
        <v>World Politics</v>
      </c>
      <c r="D92" s="15">
        <v>0.2</v>
      </c>
      <c r="F92" s="99">
        <f>$D92-vlookup(Summary!$C92,Summary!$C$2:$Q$103,3+counta($F$1:F$1),false)</f>
        <v>-0.6</v>
      </c>
      <c r="G92" s="99">
        <f>$D92-vlookup(Summary!$C92,Summary!$C$2:$Q$103,3+counta($F$1:G$1),false)</f>
        <v>-0.7</v>
      </c>
      <c r="H92" s="99">
        <f>$D92-vlookup(Summary!$C92,Summary!$C$2:$Q$103,3+counta($F$1:H$1),false)</f>
        <v>-0.5</v>
      </c>
      <c r="I92" s="99">
        <f>$D92-vlookup(Summary!$C92,Summary!$C$2:$Q$103,3+counta($F$1:I$1),false)</f>
        <v>-0.4</v>
      </c>
      <c r="J92" s="99">
        <f>$D92-vlookup(Summary!$C92,Summary!$C$2:$Q$103,3+counta($F$1:J$1),false)</f>
        <v>-0.7</v>
      </c>
      <c r="K92" s="99">
        <f>$D92-vlookup(Summary!$C92,Summary!$C$2:$Q$103,3+counta($F$1:K$1),false)</f>
        <v>-0.6</v>
      </c>
      <c r="L92" s="99">
        <f>$D92-vlookup(Summary!$C92,Summary!$C$2:$Q$103,3+counta($F$1:L$1),false)</f>
        <v>-0.6</v>
      </c>
      <c r="M92" s="99">
        <f>$D92-vlookup(Summary!$C92,Summary!$C$2:$Q$103,3+counta($F$1:M$1),false)</f>
        <v>-0.5</v>
      </c>
      <c r="N92" s="99">
        <f>$D92-vlookup(Summary!$C92,Summary!$C$2:$Q$103,3+counta($F$1:N$1),false)</f>
        <v>-0.6</v>
      </c>
      <c r="O92" s="99">
        <f>$D92-vlookup(Summary!$C92,Summary!$C$2:$Q$103,3+counta($F$1:O$1),false)</f>
        <v>-0.799</v>
      </c>
      <c r="P92" s="99">
        <f>$D92-vlookup(Summary!$C92,Summary!$C$2:$Q$103,3+counta($F$1:P$1),false)</f>
        <v>0.1</v>
      </c>
      <c r="Q92" s="99">
        <f>$D92-vlookup(Summary!$C92,Summary!$C$2:$Q$103,3+counta($F$1:Q$1),false)</f>
        <v>0</v>
      </c>
    </row>
    <row r="93" ht="15.75" customHeight="1">
      <c r="A93" s="15">
        <f>Main!A93</f>
        <v>92</v>
      </c>
      <c r="B93" s="15" t="str">
        <f>Main!B93</f>
        <v>Donald Trump will recieve at least 1 vote in the selection of the Speaker of the US house of Representatives (Congress)</v>
      </c>
      <c r="C93" s="15" t="str">
        <f>Main!C93</f>
        <v>World Politics</v>
      </c>
      <c r="D93" s="15">
        <v>0.5</v>
      </c>
      <c r="F93" s="99">
        <f>$D93-vlookup(Summary!$C93,Summary!$C$2:$Q$103,3+counta($F$1:F$1),false)</f>
        <v>0.2</v>
      </c>
      <c r="G93" s="99">
        <f>$D93-vlookup(Summary!$C93,Summary!$C$2:$Q$103,3+counta($F$1:G$1),false)</f>
        <v>0.2</v>
      </c>
      <c r="H93" s="99">
        <f>$D93-vlookup(Summary!$C93,Summary!$C$2:$Q$103,3+counta($F$1:H$1),false)</f>
        <v>-0.2</v>
      </c>
      <c r="I93" s="99">
        <f>$D93-vlookup(Summary!$C93,Summary!$C$2:$Q$103,3+counta($F$1:I$1),false)</f>
        <v>0.4</v>
      </c>
      <c r="J93" s="99">
        <f>$D93-vlookup(Summary!$C93,Summary!$C$2:$Q$103,3+counta($F$1:J$1),false)</f>
        <v>-0.4</v>
      </c>
      <c r="K93" s="99">
        <f>$D93-vlookup(Summary!$C93,Summary!$C$2:$Q$103,3+counta($F$1:K$1),false)</f>
        <v>0.15</v>
      </c>
      <c r="L93" s="99">
        <f>$D93-vlookup(Summary!$C93,Summary!$C$2:$Q$103,3+counta($F$1:L$1),false)</f>
        <v>-0.2</v>
      </c>
      <c r="M93" s="99">
        <f>$D93-vlookup(Summary!$C93,Summary!$C$2:$Q$103,3+counta($F$1:M$1),false)</f>
        <v>-0.2</v>
      </c>
      <c r="N93" s="99">
        <f>$D93-vlookup(Summary!$C93,Summary!$C$2:$Q$103,3+counta($F$1:N$1),false)</f>
        <v>-0.4</v>
      </c>
      <c r="O93" s="99">
        <f>$D93-vlookup(Summary!$C93,Summary!$C$2:$Q$103,3+counta($F$1:O$1),false)</f>
        <v>-0.15</v>
      </c>
      <c r="P93" s="99">
        <f>$D93-vlookup(Summary!$C93,Summary!$C$2:$Q$103,3+counta($F$1:P$1),false)</f>
        <v>0.4</v>
      </c>
      <c r="Q93" s="99">
        <f>$D93-vlookup(Summary!$C93,Summary!$C$2:$Q$103,3+counta($F$1:Q$1),false)</f>
        <v>0</v>
      </c>
    </row>
    <row r="94" ht="15.75" customHeight="1">
      <c r="A94" s="15">
        <f>Main!A94</f>
        <v>93</v>
      </c>
      <c r="B94" s="15" t="str">
        <f>Main!B94</f>
        <v>Donald Trump will release a book in 2022</v>
      </c>
      <c r="C94" s="15" t="str">
        <f>Main!C94</f>
        <v>World Politics</v>
      </c>
      <c r="D94" s="15">
        <v>0.55</v>
      </c>
      <c r="F94" s="99">
        <f>$D94-vlookup(Summary!$C94,Summary!$C$2:$Q$103,3+counta($F$1:F$1),false)</f>
        <v>0</v>
      </c>
      <c r="G94" s="99">
        <f>$D94-vlookup(Summary!$C94,Summary!$C$2:$Q$103,3+counta($F$1:G$1),false)</f>
        <v>-0.15</v>
      </c>
      <c r="H94" s="99">
        <f>$D94-vlookup(Summary!$C94,Summary!$C$2:$Q$103,3+counta($F$1:H$1),false)</f>
        <v>-0.25</v>
      </c>
      <c r="I94" s="99">
        <f>$D94-vlookup(Summary!$C94,Summary!$C$2:$Q$103,3+counta($F$1:I$1),false)</f>
        <v>0.35</v>
      </c>
      <c r="J94" s="99">
        <f>$D94-vlookup(Summary!$C94,Summary!$C$2:$Q$103,3+counta($F$1:J$1),false)</f>
        <v>-0.35</v>
      </c>
      <c r="K94" s="99">
        <f>$D94-vlookup(Summary!$C94,Summary!$C$2:$Q$103,3+counta($F$1:K$1),false)</f>
        <v>-0.25</v>
      </c>
      <c r="L94" s="99">
        <f>$D94-vlookup(Summary!$C94,Summary!$C$2:$Q$103,3+counta($F$1:L$1),false)</f>
        <v>0</v>
      </c>
      <c r="M94" s="99">
        <f>$D94-vlookup(Summary!$C94,Summary!$C$2:$Q$103,3+counta($F$1:M$1),false)</f>
        <v>-0.25</v>
      </c>
      <c r="N94" s="99">
        <f>$D94-vlookup(Summary!$C94,Summary!$C$2:$Q$103,3+counta($F$1:N$1),false)</f>
        <v>-0.35</v>
      </c>
      <c r="O94" s="99">
        <f>$D94-vlookup(Summary!$C94,Summary!$C$2:$Q$103,3+counta($F$1:O$1),false)</f>
        <v>0.4</v>
      </c>
      <c r="P94" s="99">
        <f>$D94-vlookup(Summary!$C94,Summary!$C$2:$Q$103,3+counta($F$1:P$1),false)</f>
        <v>0.05</v>
      </c>
      <c r="Q94" s="99">
        <f>$D94-vlookup(Summary!$C94,Summary!$C$2:$Q$103,3+counta($F$1:Q$1),false)</f>
        <v>0</v>
      </c>
    </row>
    <row r="95" ht="15.75" customHeight="1">
      <c r="A95" s="15">
        <f>Main!A95</f>
        <v>94</v>
      </c>
      <c r="B95" s="15" t="str">
        <f>Main!B95</f>
        <v>Trump will announce he will contest the Republican presidential candidacy and launch an NFT</v>
      </c>
      <c r="C95" s="15" t="str">
        <f>Main!C95</f>
        <v>World Politics</v>
      </c>
      <c r="D95" s="15">
        <v>0.1</v>
      </c>
      <c r="F95" s="99">
        <f>$D95-vlookup(Summary!$C95,Summary!$C$2:$Q$103,3+counta($F$1:F$1),false)</f>
        <v>-0.2</v>
      </c>
      <c r="G95" s="99">
        <f>$D95-vlookup(Summary!$C95,Summary!$C$2:$Q$103,3+counta($F$1:G$1),false)</f>
        <v>-0.3</v>
      </c>
      <c r="H95" s="99">
        <f>$D95-vlookup(Summary!$C95,Summary!$C$2:$Q$103,3+counta($F$1:H$1),false)</f>
        <v>-0.6</v>
      </c>
      <c r="I95" s="99">
        <f>$D95-vlookup(Summary!$C95,Summary!$C$2:$Q$103,3+counta($F$1:I$1),false)</f>
        <v>0.05</v>
      </c>
      <c r="J95" s="99">
        <f>$D95-vlookup(Summary!$C95,Summary!$C$2:$Q$103,3+counta($F$1:J$1),false)</f>
        <v>-0.5</v>
      </c>
      <c r="K95" s="99">
        <f>$D95-vlookup(Summary!$C95,Summary!$C$2:$Q$103,3+counta($F$1:K$1),false)</f>
        <v>-0.8</v>
      </c>
      <c r="L95" s="99">
        <f>$D95-vlookup(Summary!$C95,Summary!$C$2:$Q$103,3+counta($F$1:L$1),false)</f>
        <v>-0.4</v>
      </c>
      <c r="M95" s="99">
        <f>$D95-vlookup(Summary!$C95,Summary!$C$2:$Q$103,3+counta($F$1:M$1),false)</f>
        <v>-0.6</v>
      </c>
      <c r="N95" s="99">
        <f>$D95-vlookup(Summary!$C95,Summary!$C$2:$Q$103,3+counta($F$1:N$1),false)</f>
        <v>-0.1</v>
      </c>
      <c r="O95" s="99">
        <f>$D95-vlookup(Summary!$C95,Summary!$C$2:$Q$103,3+counta($F$1:O$1),false)</f>
        <v>0.099</v>
      </c>
      <c r="P95" s="99">
        <f>$D95-vlookup(Summary!$C95,Summary!$C$2:$Q$103,3+counta($F$1:P$1),false)</f>
        <v>-0.4</v>
      </c>
      <c r="Q95" s="99">
        <f>$D95-vlookup(Summary!$C95,Summary!$C$2:$Q$103,3+counta($F$1:Q$1),false)</f>
        <v>0</v>
      </c>
    </row>
    <row r="96" ht="15.75" customHeight="1">
      <c r="A96" s="15">
        <f>Main!A96</f>
        <v>95</v>
      </c>
      <c r="B96" s="15" t="str">
        <f>Main!B96</f>
        <v>China will invade Taiwan</v>
      </c>
      <c r="C96" s="15" t="str">
        <f>Main!C96</f>
        <v>World Politics</v>
      </c>
      <c r="D96" s="15">
        <v>0.5</v>
      </c>
      <c r="E96" s="15" t="s">
        <v>212</v>
      </c>
      <c r="F96" s="99">
        <f>$D96-vlookup(Summary!$C96,Summary!$C$2:$Q$103,3+counta($F$1:F$1),false)</f>
        <v>0.15</v>
      </c>
      <c r="G96" s="99">
        <f>$D96-vlookup(Summary!$C96,Summary!$C$2:$Q$103,3+counta($F$1:G$1),false)</f>
        <v>0.3</v>
      </c>
      <c r="H96" s="99">
        <f>$D96-vlookup(Summary!$C96,Summary!$C$2:$Q$103,3+counta($F$1:H$1),false)</f>
        <v>-0.2</v>
      </c>
      <c r="I96" s="99">
        <f>$D96-vlookup(Summary!$C96,Summary!$C$2:$Q$103,3+counta($F$1:I$1),false)</f>
        <v>-0.1</v>
      </c>
      <c r="J96" s="99">
        <f>$D96-vlookup(Summary!$C96,Summary!$C$2:$Q$103,3+counta($F$1:J$1),false)</f>
        <v>-0.2</v>
      </c>
      <c r="K96" s="99">
        <f>$D96-vlookup(Summary!$C96,Summary!$C$2:$Q$103,3+counta($F$1:K$1),false)</f>
        <v>0.1</v>
      </c>
      <c r="L96" s="99">
        <f>$D96-vlookup(Summary!$C96,Summary!$C$2:$Q$103,3+counta($F$1:L$1),false)</f>
        <v>0.45</v>
      </c>
      <c r="M96" s="99">
        <f>$D96-vlookup(Summary!$C96,Summary!$C$2:$Q$103,3+counta($F$1:M$1),false)</f>
        <v>-0.2</v>
      </c>
      <c r="N96" s="99">
        <f>$D96-vlookup(Summary!$C96,Summary!$C$2:$Q$103,3+counta($F$1:N$1),false)</f>
        <v>0.3</v>
      </c>
      <c r="O96" s="99">
        <f>$D96-vlookup(Summary!$C96,Summary!$C$2:$Q$103,3+counta($F$1:O$1),false)</f>
        <v>0.499</v>
      </c>
      <c r="P96" s="99">
        <f>$D96-vlookup(Summary!$C96,Summary!$C$2:$Q$103,3+counta($F$1:P$1),false)</f>
        <v>0.4</v>
      </c>
      <c r="Q96" s="99">
        <f>$D96-vlookup(Summary!$C96,Summary!$C$2:$Q$103,3+counta($F$1:Q$1),false)</f>
        <v>0</v>
      </c>
    </row>
    <row r="97" ht="15.75" customHeight="1">
      <c r="A97" s="15">
        <f>Main!A97</f>
        <v>96</v>
      </c>
      <c r="B97" s="15" t="str">
        <f>Main!B97</f>
        <v>A nuclear weapon will be detonated for any purpose (including a test) somewhere on earth or in space</v>
      </c>
      <c r="C97" s="15" t="str">
        <f>Main!C97</f>
        <v>World Politics</v>
      </c>
      <c r="D97" s="15">
        <v>0.6</v>
      </c>
      <c r="F97" s="99">
        <f>$D97-vlookup(Summary!$C97,Summary!$C$2:$Q$103,3+counta($F$1:F$1),false)</f>
        <v>0.5</v>
      </c>
      <c r="G97" s="99">
        <f>$D97-vlookup(Summary!$C97,Summary!$C$2:$Q$103,3+counta($F$1:G$1),false)</f>
        <v>0.2</v>
      </c>
      <c r="H97" s="99">
        <f>$D97-vlookup(Summary!$C97,Summary!$C$2:$Q$103,3+counta($F$1:H$1),false)</f>
        <v>0.5</v>
      </c>
      <c r="I97" s="99">
        <f>$D97-vlookup(Summary!$C97,Summary!$C$2:$Q$103,3+counta($F$1:I$1),false)</f>
        <v>0.4</v>
      </c>
      <c r="J97" s="99">
        <f>$D97-vlookup(Summary!$C97,Summary!$C$2:$Q$103,3+counta($F$1:J$1),false)</f>
        <v>-0.2</v>
      </c>
      <c r="K97" s="99">
        <f>$D97-vlookup(Summary!$C97,Summary!$C$2:$Q$103,3+counta($F$1:K$1),false)</f>
        <v>-0.1</v>
      </c>
      <c r="L97" s="99">
        <f>$D97-vlookup(Summary!$C97,Summary!$C$2:$Q$103,3+counta($F$1:L$1),false)</f>
        <v>0.3</v>
      </c>
      <c r="M97" s="99">
        <f>$D97-vlookup(Summary!$C97,Summary!$C$2:$Q$103,3+counta($F$1:M$1),false)</f>
        <v>0.5</v>
      </c>
      <c r="N97" s="99">
        <f>$D97-vlookup(Summary!$C97,Summary!$C$2:$Q$103,3+counta($F$1:N$1),false)</f>
        <v>0.5</v>
      </c>
      <c r="O97" s="99">
        <f>$D97-vlookup(Summary!$C97,Summary!$C$2:$Q$103,3+counta($F$1:O$1),false)</f>
        <v>0.45</v>
      </c>
      <c r="P97" s="99">
        <f>$D97-vlookup(Summary!$C97,Summary!$C$2:$Q$103,3+counta($F$1:P$1),false)</f>
        <v>0.1</v>
      </c>
      <c r="Q97" s="99">
        <f>$D97-vlookup(Summary!$C97,Summary!$C$2:$Q$103,3+counta($F$1:Q$1),false)</f>
        <v>0</v>
      </c>
    </row>
    <row r="98" ht="15.75" customHeight="1">
      <c r="A98" s="15">
        <f>Main!A98</f>
        <v>97</v>
      </c>
      <c r="B98" s="15" t="str">
        <f>Main!B98</f>
        <v>Iran will announce it has produced a nuclear weapon</v>
      </c>
      <c r="C98" s="15" t="str">
        <f>Main!C98</f>
        <v>World Politics</v>
      </c>
      <c r="D98" s="15">
        <v>0.6</v>
      </c>
      <c r="F98" s="99">
        <f>$D98-vlookup(Summary!$C98,Summary!$C$2:$Q$103,3+counta($F$1:F$1),false)</f>
        <v>0.15</v>
      </c>
      <c r="G98" s="99">
        <f>$D98-vlookup(Summary!$C98,Summary!$C$2:$Q$103,3+counta($F$1:G$1),false)</f>
        <v>0.3</v>
      </c>
      <c r="H98" s="99">
        <f>$D98-vlookup(Summary!$C98,Summary!$C$2:$Q$103,3+counta($F$1:H$1),false)</f>
        <v>0.5</v>
      </c>
      <c r="I98" s="99">
        <f>$D98-vlookup(Summary!$C98,Summary!$C$2:$Q$103,3+counta($F$1:I$1),false)</f>
        <v>0.4</v>
      </c>
      <c r="J98" s="99">
        <f>$D98-vlookup(Summary!$C98,Summary!$C$2:$Q$103,3+counta($F$1:J$1),false)</f>
        <v>0</v>
      </c>
      <c r="K98" s="99">
        <f>$D98-vlookup(Summary!$C98,Summary!$C$2:$Q$103,3+counta($F$1:K$1),false)</f>
        <v>-0.1</v>
      </c>
      <c r="L98" s="99">
        <f>$D98-vlookup(Summary!$C98,Summary!$C$2:$Q$103,3+counta($F$1:L$1),false)</f>
        <v>0.3</v>
      </c>
      <c r="M98" s="99">
        <f>$D98-vlookup(Summary!$C98,Summary!$C$2:$Q$103,3+counta($F$1:M$1),false)</f>
        <v>0.5</v>
      </c>
      <c r="N98" s="99">
        <f>$D98-vlookup(Summary!$C98,Summary!$C$2:$Q$103,3+counta($F$1:N$1),false)</f>
        <v>0.5</v>
      </c>
      <c r="O98" s="99">
        <f>$D98-vlookup(Summary!$C98,Summary!$C$2:$Q$103,3+counta($F$1:O$1),false)</f>
        <v>0.45</v>
      </c>
      <c r="P98" s="99">
        <f>$D98-vlookup(Summary!$C98,Summary!$C$2:$Q$103,3+counta($F$1:P$1),false)</f>
        <v>0.1</v>
      </c>
      <c r="Q98" s="99">
        <f>$D98-vlookup(Summary!$C98,Summary!$C$2:$Q$103,3+counta($F$1:Q$1),false)</f>
        <v>0</v>
      </c>
    </row>
    <row r="99" ht="15.75" customHeight="1">
      <c r="A99" s="15">
        <f>Main!A99</f>
        <v>98</v>
      </c>
      <c r="B99" s="15" t="str">
        <f>Main!B99</f>
        <v>One or more of the G12 member countries will have diplomatically recognised Taiwan</v>
      </c>
      <c r="C99" s="15" t="str">
        <f>Main!C99</f>
        <v>World Politics</v>
      </c>
      <c r="D99" s="15">
        <v>0.6</v>
      </c>
      <c r="F99" s="99">
        <f>$D99-vlookup(Summary!$C99,Summary!$C$2:$Q$103,3+counta($F$1:F$1),false)</f>
        <v>0.45</v>
      </c>
      <c r="G99" s="99">
        <f>$D99-vlookup(Summary!$C99,Summary!$C$2:$Q$103,3+counta($F$1:G$1),false)</f>
        <v>0.4</v>
      </c>
      <c r="H99" s="99">
        <f>$D99-vlookup(Summary!$C99,Summary!$C$2:$Q$103,3+counta($F$1:H$1),false)</f>
        <v>0.5</v>
      </c>
      <c r="I99" s="99">
        <f>$D99-vlookup(Summary!$C99,Summary!$C$2:$Q$103,3+counta($F$1:I$1),false)</f>
        <v>0.4</v>
      </c>
      <c r="J99" s="99">
        <f>$D99-vlookup(Summary!$C99,Summary!$C$2:$Q$103,3+counta($F$1:J$1),false)</f>
        <v>0.2</v>
      </c>
      <c r="K99" s="99">
        <f>$D99-vlookup(Summary!$C99,Summary!$C$2:$Q$103,3+counta($F$1:K$1),false)</f>
        <v>-0.15</v>
      </c>
      <c r="L99" s="99">
        <f>$D99-vlookup(Summary!$C99,Summary!$C$2:$Q$103,3+counta($F$1:L$1),false)</f>
        <v>0.3</v>
      </c>
      <c r="M99" s="99">
        <f>$D99-vlookup(Summary!$C99,Summary!$C$2:$Q$103,3+counta($F$1:M$1),false)</f>
        <v>0.5</v>
      </c>
      <c r="N99" s="99">
        <f>$D99-vlookup(Summary!$C99,Summary!$C$2:$Q$103,3+counta($F$1:N$1),false)</f>
        <v>0</v>
      </c>
      <c r="O99" s="99">
        <f>$D99-vlookup(Summary!$C99,Summary!$C$2:$Q$103,3+counta($F$1:O$1),false)</f>
        <v>0.45</v>
      </c>
      <c r="P99" s="99">
        <f>$D99-vlookup(Summary!$C99,Summary!$C$2:$Q$103,3+counta($F$1:P$1),false)</f>
        <v>0.1</v>
      </c>
      <c r="Q99" s="99">
        <f>$D99-vlookup(Summary!$C99,Summary!$C$2:$Q$103,3+counta($F$1:Q$1),false)</f>
        <v>0</v>
      </c>
    </row>
    <row r="100" ht="15.75" customHeight="1">
      <c r="A100" s="15">
        <f>Main!A100</f>
        <v>99</v>
      </c>
      <c r="B100" s="15" t="str">
        <f>Main!B100</f>
        <v>Russia will have invaded Ukraine (as reported by CNN, BBC, Guardian or NYT)</v>
      </c>
      <c r="C100" s="15" t="str">
        <f>Main!C100</f>
        <v>World Politics</v>
      </c>
      <c r="D100" s="15">
        <v>0.6</v>
      </c>
      <c r="F100" s="99">
        <f>$D100-vlookup(Summary!$C100,Summary!$C$2:$Q$103,3+counta($F$1:F$1),false)</f>
        <v>0</v>
      </c>
      <c r="G100" s="99">
        <f>$D100-vlookup(Summary!$C100,Summary!$C$2:$Q$103,3+counta($F$1:G$1),false)</f>
        <v>0.2</v>
      </c>
      <c r="H100" s="99">
        <f>$D100-vlookup(Summary!$C100,Summary!$C$2:$Q$103,3+counta($F$1:H$1),false)</f>
        <v>-0.35</v>
      </c>
      <c r="I100" s="99">
        <f>$D100-vlookup(Summary!$C100,Summary!$C$2:$Q$103,3+counta($F$1:I$1),false)</f>
        <v>-0.2</v>
      </c>
      <c r="J100" s="99">
        <f>$D100-vlookup(Summary!$C100,Summary!$C$2:$Q$103,3+counta($F$1:J$1),false)</f>
        <v>-0.2</v>
      </c>
      <c r="K100" s="99">
        <f>$D100-vlookup(Summary!$C100,Summary!$C$2:$Q$103,3+counta($F$1:K$1),false)</f>
        <v>-0.1</v>
      </c>
      <c r="L100" s="99">
        <f>$D100-vlookup(Summary!$C100,Summary!$C$2:$Q$103,3+counta($F$1:L$1),false)</f>
        <v>-0.2</v>
      </c>
      <c r="M100" s="99">
        <f>$D100-vlookup(Summary!$C100,Summary!$C$2:$Q$103,3+counta($F$1:M$1),false)</f>
        <v>-0.35</v>
      </c>
      <c r="N100" s="99">
        <f>$D100-vlookup(Summary!$C100,Summary!$C$2:$Q$103,3+counta($F$1:N$1),false)</f>
        <v>-0.1</v>
      </c>
      <c r="O100" s="99">
        <f>$D100-vlookup(Summary!$C100,Summary!$C$2:$Q$103,3+counta($F$1:O$1),false)</f>
        <v>-0.05</v>
      </c>
      <c r="P100" s="99">
        <f>$D100-vlookup(Summary!$C100,Summary!$C$2:$Q$103,3+counta($F$1:P$1),false)</f>
        <v>0.5</v>
      </c>
      <c r="Q100" s="99">
        <f>$D100-vlookup(Summary!$C100,Summary!$C$2:$Q$103,3+counta($F$1:Q$1),false)</f>
        <v>0</v>
      </c>
    </row>
    <row r="101" ht="15.75" customHeight="1">
      <c r="A101" s="15">
        <f>Main!A101</f>
        <v>100</v>
      </c>
      <c r="B101" s="15" t="str">
        <f>Main!B101</f>
        <v>The US will have gone to battle with China or Russia ( nuclear battle acceptable) agreed upon by at least half the people attending 2022 predictions</v>
      </c>
      <c r="C101" s="15" t="str">
        <f>Main!C101</f>
        <v>World Politics</v>
      </c>
      <c r="D101" s="15">
        <v>0.2</v>
      </c>
      <c r="F101" s="99">
        <f>$D101-vlookup(Summary!$C101,Summary!$C$2:$Q$103,3+counta($F$1:F$1),false)</f>
        <v>-0.1</v>
      </c>
      <c r="G101" s="99">
        <f>$D101-vlookup(Summary!$C101,Summary!$C$2:$Q$103,3+counta($F$1:G$1),false)</f>
        <v>0.1</v>
      </c>
      <c r="H101" s="99">
        <f>$D101-vlookup(Summary!$C101,Summary!$C$2:$Q$103,3+counta($F$1:H$1),false)</f>
        <v>0.1</v>
      </c>
      <c r="I101" s="99">
        <f>$D101-vlookup(Summary!$C101,Summary!$C$2:$Q$103,3+counta($F$1:I$1),false)</f>
        <v>0.1</v>
      </c>
      <c r="J101" s="99">
        <f>$D101-vlookup(Summary!$C101,Summary!$C$2:$Q$103,3+counta($F$1:J$1),false)</f>
        <v>-0.3</v>
      </c>
      <c r="K101" s="99">
        <f>$D101-vlookup(Summary!$C101,Summary!$C$2:$Q$103,3+counta($F$1:K$1),false)</f>
        <v>-0.4</v>
      </c>
      <c r="L101" s="99">
        <f>$D101-vlookup(Summary!$C101,Summary!$C$2:$Q$103,3+counta($F$1:L$1),false)</f>
        <v>0.1</v>
      </c>
      <c r="M101" s="99">
        <f>$D101-vlookup(Summary!$C101,Summary!$C$2:$Q$103,3+counta($F$1:M$1),false)</f>
        <v>0.1</v>
      </c>
      <c r="N101" s="99">
        <f>$D101-vlookup(Summary!$C101,Summary!$C$2:$Q$103,3+counta($F$1:N$1),false)</f>
        <v>0</v>
      </c>
      <c r="O101" s="99">
        <f>$D101-vlookup(Summary!$C101,Summary!$C$2:$Q$103,3+counta($F$1:O$1),false)</f>
        <v>0.199</v>
      </c>
      <c r="P101" s="99">
        <f>$D101-vlookup(Summary!$C101,Summary!$C$2:$Q$103,3+counta($F$1:P$1),false)</f>
        <v>0.1</v>
      </c>
      <c r="Q101" s="99">
        <f>$D101-vlookup(Summary!$C101,Summary!$C$2:$Q$103,3+counta($F$1:Q$1),false)</f>
        <v>0</v>
      </c>
    </row>
    <row r="102" ht="15.75" customHeight="1">
      <c r="A102" s="15">
        <f>Main!A102</f>
        <v>101</v>
      </c>
      <c r="B102" s="15" t="str">
        <f>Main!B102</f>
        <v>There is an assassination attempt on Xi Jinping as reported in The Guardian</v>
      </c>
      <c r="C102" s="15" t="str">
        <f>Main!C102</f>
        <v>World Politics</v>
      </c>
      <c r="D102" s="15">
        <v>0.45</v>
      </c>
      <c r="F102" s="99">
        <f>$D102-vlookup(Summary!$C102,Summary!$C$2:$Q$103,3+counta($F$1:F$1),false)</f>
        <v>0.3</v>
      </c>
      <c r="G102" s="99">
        <f>$D102-vlookup(Summary!$C102,Summary!$C$2:$Q$103,3+counta($F$1:G$1),false)</f>
        <v>0.05</v>
      </c>
      <c r="H102" s="99">
        <f>$D102-vlookup(Summary!$C102,Summary!$C$2:$Q$103,3+counta($F$1:H$1),false)</f>
        <v>0.4</v>
      </c>
      <c r="I102" s="99">
        <f>$D102-vlookup(Summary!$C102,Summary!$C$2:$Q$103,3+counta($F$1:I$1),false)</f>
        <v>0.35</v>
      </c>
      <c r="J102" s="99">
        <f>$D102-vlookup(Summary!$C102,Summary!$C$2:$Q$103,3+counta($F$1:J$1),false)</f>
        <v>0.15</v>
      </c>
      <c r="K102" s="99">
        <f>$D102-vlookup(Summary!$C102,Summary!$C$2:$Q$103,3+counta($F$1:K$1),false)</f>
        <v>0.1</v>
      </c>
      <c r="L102" s="99">
        <f>$D102-vlookup(Summary!$C102,Summary!$C$2:$Q$103,3+counta($F$1:L$1),false)</f>
        <v>-0.05</v>
      </c>
      <c r="M102" s="99">
        <f>$D102-vlookup(Summary!$C102,Summary!$C$2:$Q$103,3+counta($F$1:M$1),false)</f>
        <v>0.4</v>
      </c>
      <c r="N102" s="99">
        <f>$D102-vlookup(Summary!$C102,Summary!$C$2:$Q$103,3+counta($F$1:N$1),false)</f>
        <v>0.35</v>
      </c>
      <c r="O102" s="99">
        <f>$D102-vlookup(Summary!$C102,Summary!$C$2:$Q$103,3+counta($F$1:O$1),false)</f>
        <v>0.449</v>
      </c>
      <c r="P102" s="99">
        <f>$D102-vlookup(Summary!$C102,Summary!$C$2:$Q$103,3+counta($F$1:P$1),false)</f>
        <v>0.35</v>
      </c>
      <c r="Q102" s="99">
        <f>$D102-vlookup(Summary!$C102,Summary!$C$2:$Q$103,3+counta($F$1:Q$1),false)</f>
        <v>0</v>
      </c>
    </row>
    <row r="103" ht="15.75" customHeight="1">
      <c r="A103" s="15">
        <f>Main!A103</f>
        <v>102</v>
      </c>
      <c r="B103" s="15" t="str">
        <f>Main!B103</f>
        <v>Bolsanaro wins the next Brazilian elections</v>
      </c>
      <c r="C103" s="15" t="str">
        <f>Main!C103</f>
        <v>World Politics</v>
      </c>
      <c r="D103" s="15">
        <v>0.6</v>
      </c>
      <c r="F103" s="99">
        <f>$D103-vlookup(Summary!$C103,Summary!$C$2:$Q$103,3+counta($F$1:F$1),false)</f>
        <v>0.2</v>
      </c>
      <c r="G103" s="99">
        <f>$D103-vlookup(Summary!$C103,Summary!$C$2:$Q$103,3+counta($F$1:G$1),false)</f>
        <v>0.3</v>
      </c>
      <c r="H103" s="99">
        <f>$D103-vlookup(Summary!$C103,Summary!$C$2:$Q$103,3+counta($F$1:H$1),false)</f>
        <v>0.2</v>
      </c>
      <c r="I103" s="99">
        <f>$D103-vlookup(Summary!$C103,Summary!$C$2:$Q$103,3+counta($F$1:I$1),false)</f>
        <v>0.2</v>
      </c>
      <c r="J103" s="99">
        <f>$D103-vlookup(Summary!$C103,Summary!$C$2:$Q$103,3+counta($F$1:J$1),false)</f>
        <v>-0.2</v>
      </c>
      <c r="K103" s="99">
        <f>$D103-vlookup(Summary!$C103,Summary!$C$2:$Q$103,3+counta($F$1:K$1),false)</f>
        <v>-0.15</v>
      </c>
      <c r="L103" s="99">
        <f>$D103-vlookup(Summary!$C103,Summary!$C$2:$Q$103,3+counta($F$1:L$1),false)</f>
        <v>0.3</v>
      </c>
      <c r="M103" s="99">
        <f>$D103-vlookup(Summary!$C103,Summary!$C$2:$Q$103,3+counta($F$1:M$1),false)</f>
        <v>0.2</v>
      </c>
      <c r="N103" s="99">
        <f>$D103-vlookup(Summary!$C103,Summary!$C$2:$Q$103,3+counta($F$1:N$1),false)</f>
        <v>0.4</v>
      </c>
      <c r="O103" s="99">
        <f>$D103-vlookup(Summary!$C103,Summary!$C$2:$Q$103,3+counta($F$1:O$1),false)</f>
        <v>-0.05</v>
      </c>
      <c r="P103" s="99">
        <f>$D103-vlookup(Summary!$C103,Summary!$C$2:$Q$103,3+counta($F$1:P$1),false)</f>
        <v>0.5</v>
      </c>
      <c r="Q103" s="99">
        <f>$D103-vlookup(Summary!$C103,Summary!$C$2:$Q$103,3+counta($F$1:Q$1),false)</f>
        <v>0</v>
      </c>
    </row>
    <row r="104" ht="15.75" customHeight="1">
      <c r="A104" s="15" t="str">
        <f>Main!A104</f>
        <v/>
      </c>
      <c r="B104" s="15" t="str">
        <f>Main!B104</f>
        <v/>
      </c>
      <c r="C104" s="15" t="str">
        <f>Main!C104</f>
        <v/>
      </c>
      <c r="E104" s="104" t="s">
        <v>197</v>
      </c>
      <c r="F104" s="102">
        <f t="shared" ref="F104:Q104" si="1">countif(F$2:F$103,"&gt;=0.5")+countif(F$2:F$103,"&lt;=-0.5")</f>
        <v>9</v>
      </c>
      <c r="G104" s="101">
        <f t="shared" si="1"/>
        <v>13</v>
      </c>
      <c r="H104" s="103">
        <f t="shared" si="1"/>
        <v>23</v>
      </c>
      <c r="I104" s="101">
        <f t="shared" si="1"/>
        <v>13</v>
      </c>
      <c r="J104" s="101">
        <f t="shared" si="1"/>
        <v>14</v>
      </c>
      <c r="K104" s="101">
        <f t="shared" si="1"/>
        <v>13</v>
      </c>
      <c r="L104" s="101">
        <f t="shared" si="1"/>
        <v>16</v>
      </c>
      <c r="M104" s="101">
        <f t="shared" si="1"/>
        <v>22</v>
      </c>
      <c r="N104" s="101">
        <f t="shared" si="1"/>
        <v>19</v>
      </c>
      <c r="O104" s="101">
        <f t="shared" si="1"/>
        <v>12</v>
      </c>
      <c r="P104" s="101">
        <f t="shared" si="1"/>
        <v>11</v>
      </c>
      <c r="Q104" s="101">
        <f t="shared" si="1"/>
        <v>0</v>
      </c>
    </row>
    <row r="105" ht="15.75" customHeight="1">
      <c r="A105" s="15" t="str">
        <f>Main!A105</f>
        <v/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14:B1000">
    <cfRule type="notContainsBlanks" dxfId="2" priority="1">
      <formula>LEN(TRIM(B114))&gt;0</formula>
    </cfRule>
  </conditionalFormatting>
  <drawing r:id="rId1"/>
</worksheet>
</file>