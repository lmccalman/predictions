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Statements" sheetId="2" r:id="rId5"/>
    <sheet state="visible" name="Andrew" sheetId="3" r:id="rId6"/>
    <sheet state="visible" name="Eileen" sheetId="4" r:id="rId7"/>
    <sheet state="visible" name="Iain" sheetId="5" r:id="rId8"/>
    <sheet state="visible" name="Kate" sheetId="6" r:id="rId9"/>
    <sheet state="visible" name="Rohan" sheetId="7" r:id="rId10"/>
    <sheet state="visible" name="David" sheetId="8" r:id="rId11"/>
    <sheet state="visible" name="Jac" sheetId="9" r:id="rId12"/>
    <sheet state="visible" name="James" sheetId="10" r:id="rId13"/>
    <sheet state="visible" name="Chris" sheetId="11" r:id="rId14"/>
    <sheet state="visible" name="Lachy" sheetId="12" r:id="rId15"/>
    <sheet state="visible" name="Gael" sheetId="13" r:id="rId16"/>
    <sheet state="visible" name="Bruce" sheetId="14" r:id="rId17"/>
  </sheets>
  <definedNames/>
  <calcPr/>
  <extLst>
    <ext uri="GoogleSheetsCustomDataVersion2">
      <go:sheetsCustomData xmlns:go="http://customooxmlschemas.google.com/" r:id="rId18" roundtripDataChecksum="YyENbBpnqqq9ZvhEdYbo79TvtvCT5gfVUO17xEdY9ds="/>
    </ext>
  </extLst>
</workbook>
</file>

<file path=xl/sharedStrings.xml><?xml version="1.0" encoding="utf-8"?>
<sst xmlns="http://schemas.openxmlformats.org/spreadsheetml/2006/main" count="2398" uniqueCount="108">
  <si>
    <t>Predictions resolved</t>
  </si>
  <si>
    <t>Predictions to come</t>
  </si>
  <si>
    <t>Number</t>
  </si>
  <si>
    <t>Name</t>
  </si>
  <si>
    <t>Prediction</t>
  </si>
  <si>
    <t>Category</t>
  </si>
  <si>
    <t>Outcome (1 = true, 0 = false)</t>
  </si>
  <si>
    <t>Andrew</t>
  </si>
  <si>
    <t>Eileen</t>
  </si>
  <si>
    <t>Iain</t>
  </si>
  <si>
    <t>Kate</t>
  </si>
  <si>
    <t>Rohan</t>
  </si>
  <si>
    <t>David</t>
  </si>
  <si>
    <t>Jac</t>
  </si>
  <si>
    <t>James</t>
  </si>
  <si>
    <t>Chris</t>
  </si>
  <si>
    <t>Lachy</t>
  </si>
  <si>
    <t>Gael</t>
  </si>
  <si>
    <t>Bruce</t>
  </si>
  <si>
    <t>Total</t>
  </si>
  <si>
    <t>Jac2</t>
  </si>
  <si>
    <t>Jac3</t>
  </si>
  <si>
    <t>Jac4</t>
  </si>
  <si>
    <t>Boof2</t>
  </si>
  <si>
    <t>Boof3</t>
  </si>
  <si>
    <t>Arsenal will be at the top of the 2025/2026 Premier League table by Christmas.</t>
  </si>
  <si>
    <t>Sport</t>
  </si>
  <si>
    <t>There will be an assassination of a CEO in 2025, sufficiently high-profile to be reported in major news outlets in more than one country.</t>
  </si>
  <si>
    <t>Society</t>
  </si>
  <si>
    <t>As reported by any news outlet or social media, Trump will label sharks as “bad,” “evil,” “not good,” or in any way imply that shark attacks are malicious and immoral acts on behalf of the shark.</t>
  </si>
  <si>
    <t>Politics</t>
  </si>
  <si>
    <t>Oasis will release an album in 2025</t>
  </si>
  <si>
    <t>Entertainment</t>
  </si>
  <si>
    <t>No party will gain a majority of House of Representatives seats in the Australian federal election</t>
  </si>
  <si>
    <t>Nick Kyrgios will compete in men’s singles in at least three of the four tennis slam events (Australian, French and US opens and Wimbledon)</t>
  </si>
  <si>
    <t>Collingwood will play at least one AFL men’s final in 2025</t>
  </si>
  <si>
    <t>Alan Jones will be found guilty by a jury on at least one sexual assault charge and will go to jail</t>
  </si>
  <si>
    <t>Law</t>
  </si>
  <si>
    <t>The Reserve Bank will cut interest rates before the Australian Federal election</t>
  </si>
  <si>
    <t>Finance</t>
  </si>
  <si>
    <t>A country with GDP of $30 billion or more will default on its sovereign debt.</t>
  </si>
  <si>
    <t>An AI/LLM "escapes" (moves onto infrastructure it aquired against the intention of the group or person who set it running initally) or is otherwise deemed too dangerous to continue functioning and the entity responsible for running it makes efforts to shut it down.</t>
  </si>
  <si>
    <t>Technology</t>
  </si>
  <si>
    <t>A major national space agency (e.g. NASA) confirms the discovery or otherwise acknowledges evidence of extraterrestrial life.</t>
  </si>
  <si>
    <t>At the point of measurement (Christmas), the global sea levels for the last 12 months on record will have risen by more than 15mm, according to https://climate.nasa.gov/</t>
  </si>
  <si>
    <t>Nature</t>
  </si>
  <si>
    <t>A super volcano (e.g. Yellowstone, Campi Flegrei) erupts with Volcanic Explosivity Index 7+.</t>
  </si>
  <si>
    <t>A Liberal party election campaign material or speech for the upcoming Australian election will include a reference to molten salt nuclear reactors and/or generation 4 designs.</t>
  </si>
  <si>
    <t>D.O.G.E will claim responsibility for at least 10,000 US government jobs being cut, and cite AI amongst the factors making the cuts possible.</t>
  </si>
  <si>
    <t>American Riviera Orchard will release a product available for purchase by the general public in US or elsewhere.</t>
  </si>
  <si>
    <t>Royals</t>
  </si>
  <si>
    <t>An assassination attempt will be made against Trump by a US citizen</t>
  </si>
  <si>
    <t>OpenAI or Anthropic will release an AI agent product aimed at companies and directly competing with human staff, whose marketing will compare the price of the agent to human wages.</t>
  </si>
  <si>
    <t>The Yarralumla Turkish Halal Pide House standard chicken kebab will be priced at $16 or more</t>
  </si>
  <si>
    <t>The UK enters recession</t>
  </si>
  <si>
    <t>At least four members of KPop group New Jeans form a new group</t>
  </si>
  <si>
    <t>-</t>
  </si>
  <si>
    <t>Gen G are crowned champions at the League of Legends World Championships</t>
  </si>
  <si>
    <t>Honda, Nissan and Mitsubishi will execute a binding merger agreement by June 2025</t>
  </si>
  <si>
    <t>In 2025 trump will give musk at least  one demeaning nickname.</t>
  </si>
  <si>
    <t>Raygun will publish a book that includes discussion of her experiences at 24 Paris Olympics.</t>
  </si>
  <si>
    <t>Rupert Murdoch (94) will die.</t>
  </si>
  <si>
    <t>Clint Eastwood (95) will still be alive at Xmas.</t>
  </si>
  <si>
    <t>The cost of studying  ‘society and culture’ (currently in cluster 1 in tertiary education) will not be lowered : https://www.studyassist.gov.au/financial-and-study-support/commonwealth-supported-places/student-contribution-amounts</t>
  </si>
  <si>
    <t>Dave</t>
  </si>
  <si>
    <t>Taylor announces she is pregnant</t>
  </si>
  <si>
    <t>Kansas City wins the Super Bowl (a threepeat)</t>
  </si>
  <si>
    <t>James Gunn’s Superman reboot (to be released mid year) will have a worldwide box office over US$2 billion (the last time a movie was &gt; 2 billion was the second Avatar movie in 2022). (https://www.boxofficemojo.com/year/world/2025/)</t>
  </si>
  <si>
    <t>Bitcoin will be worth &gt;US$200,000 at some point in the year</t>
  </si>
  <si>
    <t>Elon will still top the Bloomberg list here https://www.bloomberg.com/billionaires/</t>
  </si>
  <si>
    <t>Path of Exile 2 (a computer game) will be released in full, ending its period of Early Access.</t>
  </si>
  <si>
    <t>Any of these countries will have a different travel status at the time of measurement (Christmas) than what it is currently, according to SmartTraveller: Ukraine (Red), USA (Green), Taiwan (Green), Israel and the Occupied Palestinian Territories (Orange), Greenland (Green), Panama (Yellow)</t>
  </si>
  <si>
    <t>AstroForge will successfully launch their 3rd mission, Vestri.</t>
  </si>
  <si>
    <t>According to either Rewilding Europe or WWF EU, estimates of European wolf populations will drop below 15,000 (currently 19k &amp; 20k respectively).</t>
  </si>
  <si>
    <t>Trump will take a "spaceflight" or a flight marketed as a such, or for a measurable period, his body will be at an altitude of 100km+ above the earth.</t>
  </si>
  <si>
    <t>Christine</t>
  </si>
  <si>
    <t>Pantone Colour of the Year for 2026 will be a pink colour (identified digitally as pink)</t>
  </si>
  <si>
    <t>Blackpink has 4 members. One of the members, Lisa, has the highest number of followers on Instagram at 105M. As at 1 July 2025, of the Blackpink members, she will still be the member with the highest number of Instagram followers.</t>
  </si>
  <si>
    <t>The next James Bond is announced, and the actor playing the role identifies as black.</t>
  </si>
  <si>
    <t>The market value of the 35th anniversary Sylvanian Families Deluxe Celebration Home will surpass A$2000: see for example https://www.ebay.com.au/itm/395720810837?chn=ps&amp;_ul=AU&amp;norover=1&amp;mkevt=1&amp;mkrid=705-139619-5960-0&amp;mkcid=2&amp;mkscid=101&amp;itemid=395720810837&amp;targetid=2365752142950&amp;device=m&amp;mktype=pla&amp;googleloc=9071971&amp;poi=&amp;campaignid=21776459266&amp;mkgroupid=171915223801&amp;rlsatarget=pla-2365752142950&amp;abcId=10047394&amp;merchantid=694128940&amp;gad_source=1&amp;gbraid=0AAAAAD97CxTMjt0s6W9OxT_H7Qei1ZYr8&amp;gclid=EAIaIQobChMI2JvY_-HYigMV96dmAh1KqxiBEAQYASABEgKsA_D_BwE.</t>
  </si>
  <si>
    <t>More than 500 new species will be added to Australia’s National Species List in 2025: see https://planetark.org/newsroom/news/750-new-species-added-to-australias-national-species-list</t>
  </si>
  <si>
    <t xml:space="preserve"> -</t>
  </si>
  <si>
    <t xml:space="preserve">A Knight of the Seven Kingdoms series being released in 2025 - season 1 will have a rotten tomatoes rating of 90% or greater on 15 December </t>
  </si>
  <si>
    <t>The unemployment rate for Australia is no higher than 4.5% throughout the year until 15 December.</t>
  </si>
  <si>
    <t>The People's Action Party will win fewer than 80 seats in the Singaporean general election.</t>
  </si>
  <si>
    <t>Peace talks will commence in the Russian/Ukrainian war, involving official reprerestatives of at least Russia and Ukraine, with a declared intention of reaching agreement on ceasing hostilities</t>
  </si>
  <si>
    <t>Costa Georgiadis removes at least 10cm off his beard for a charitable purpose.</t>
  </si>
  <si>
    <t>Norway’s election will see shift to right (biggest party will be more right wing than current biggest party, as defined by politpro.eu).</t>
  </si>
  <si>
    <t>Justin Trudeau will lose Prime Ministership</t>
  </si>
  <si>
    <t>Lewis Hamilton will rank lower this third in F1 drivers champ</t>
  </si>
  <si>
    <t>THIS YEAR taylor will release debut re record.</t>
  </si>
  <si>
    <t>There will be NO press photo of William and Harry smiling at each other in 2025: https://www.cambridge-news.co.uk/news/royals/psychic-who-predicted-covid-forecasts-30685794?int_source=amp_continue_reading&amp;int_medium=amp&amp;int_campaign=continue_reading_button#amp-readmore-target</t>
  </si>
  <si>
    <t>Chimamanda Ngozi Adichie’s novel, “Dream Count” will be shortlisted for the Women’s Prize for fiction.</t>
  </si>
  <si>
    <t>(Exactly) two out of these three novel titles will be long listed for the Booker Prize: “Ripeness” by Sarah Moss, “The city changes its face” by Eimear McBride, “Theory and Practice” by Michelle de Kretser.</t>
  </si>
  <si>
    <t>Nicolette Boele (Independent) will win the seat of Bradfield in the 2025 Federal Election.</t>
  </si>
  <si>
    <t>Timothée Chalamet will win the Best Actor Oscar for his role playing Bob Dylan in ‘A complete unknown.”</t>
  </si>
  <si>
    <t>The movie “Conclave’ will win Best Adapted Screenplay in the Oscars.</t>
  </si>
  <si>
    <t>TOTAL</t>
  </si>
  <si>
    <t>Top score</t>
  </si>
  <si>
    <t>Bottom score</t>
  </si>
  <si>
    <t>Avg +ve</t>
  </si>
  <si>
    <t>Avg -ve</t>
  </si>
  <si>
    <t>Probability</t>
  </si>
  <si>
    <t>Not sure - do 0.4 instead</t>
  </si>
  <si>
    <t>Bold</t>
  </si>
  <si>
    <t>V conservative</t>
  </si>
  <si>
    <t>B2</t>
  </si>
  <si>
    <t>B3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</si>
</sst>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2">
    <font>
      <sz val="10.0"/>
      <color rgb="FF000000"/>
      <name val="Arial"/>
      <scheme val="minor"/>
    </font>
    <font>
      <b/>
      <sz val="12.0"/>
      <color theme="1"/>
      <name val="Arial"/>
    </font>
    <font>
      <color theme="1"/>
      <name val="Arial"/>
    </font>
    <font>
      <b/>
      <color theme="1"/>
      <name val="Arial"/>
    </font>
    <font>
      <color theme="1"/>
      <name val="Arial"/>
      <scheme val="minor"/>
    </font>
    <font>
      <u/>
      <color rgb="FF0000FF"/>
    </font>
    <font>
      <sz val="9.0"/>
      <color rgb="FFF7981D"/>
      <name val="Arial"/>
    </font>
    <font>
      <b/>
      <sz val="10.0"/>
      <color theme="1"/>
      <name val="Aptos Narrow"/>
    </font>
    <font>
      <b/>
      <color theme="1"/>
      <name val="Arial"/>
      <scheme val="minor"/>
    </font>
    <font>
      <sz val="10.0"/>
      <color theme="1"/>
      <name val="Aptos Narrow"/>
    </font>
    <font>
      <sz val="10.0"/>
      <color theme="1"/>
      <name val="Arial"/>
      <scheme val="minor"/>
    </font>
    <font>
      <u/>
      <color rgb="FF1155CC"/>
      <name val="Arial"/>
    </font>
  </fonts>
  <fills count="5">
    <fill>
      <patternFill patternType="none"/>
    </fill>
    <fill>
      <patternFill patternType="lightGray"/>
    </fill>
    <fill>
      <patternFill patternType="solid">
        <fgColor rgb="FFFFFFFF"/>
        <bgColor rgb="FFFFFFFF"/>
      </patternFill>
    </fill>
    <fill>
      <patternFill patternType="solid">
        <fgColor rgb="FF8BC34A"/>
        <bgColor rgb="FF8BC34A"/>
      </patternFill>
    </fill>
    <fill>
      <patternFill patternType="solid">
        <fgColor rgb="FFFFFF00"/>
        <bgColor rgb="FFFFFF00"/>
      </patternFill>
    </fill>
  </fills>
  <borders count="3">
    <border/>
    <border>
      <bottom style="thin">
        <color rgb="FF000000"/>
      </bottom>
    </border>
    <border>
      <top style="thin">
        <color rgb="FF000000"/>
      </top>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0" fillId="2" fontId="1" numFmtId="0" xfId="0" applyAlignment="1" applyFont="1">
      <alignment horizontal="right" vertical="bottom"/>
    </xf>
    <xf borderId="0" fillId="0" fontId="3" numFmtId="0" xfId="0" applyAlignment="1" applyFont="1">
      <alignment readingOrder="0"/>
    </xf>
    <xf borderId="0" fillId="0" fontId="3" numFmtId="0" xfId="0" applyFont="1"/>
    <xf borderId="1" fillId="0" fontId="3" numFmtId="0" xfId="0" applyAlignment="1" applyBorder="1" applyFont="1">
      <alignment vertical="bottom"/>
    </xf>
    <xf borderId="1" fillId="0" fontId="3" numFmtId="0" xfId="0" applyAlignment="1" applyBorder="1" applyFont="1">
      <alignment vertical="bottom"/>
    </xf>
    <xf borderId="1" fillId="0" fontId="3" numFmtId="0" xfId="0" applyAlignment="1" applyBorder="1" applyFont="1">
      <alignment readingOrder="0" vertical="bottom"/>
    </xf>
    <xf borderId="1" fillId="0" fontId="3" numFmtId="0" xfId="0" applyAlignment="1" applyBorder="1" applyFont="1">
      <alignment shrinkToFit="0" vertical="bottom" wrapText="1"/>
    </xf>
    <xf borderId="0" fillId="0" fontId="2" numFmtId="0" xfId="0" applyAlignment="1" applyFont="1">
      <alignment vertical="bottom"/>
    </xf>
    <xf borderId="0" fillId="0" fontId="3" numFmtId="0" xfId="0" applyAlignment="1" applyFont="1">
      <alignment readingOrder="0" vertical="bottom"/>
    </xf>
    <xf borderId="0" fillId="0" fontId="3" numFmtId="0" xfId="0" applyAlignment="1" applyFont="1">
      <alignment vertical="bottom"/>
    </xf>
    <xf borderId="0" fillId="0" fontId="2" numFmtId="0" xfId="0" applyAlignment="1" applyFont="1">
      <alignment readingOrder="0"/>
    </xf>
    <xf borderId="0" fillId="0" fontId="2" numFmtId="0" xfId="0" applyFont="1"/>
    <xf borderId="0" fillId="0" fontId="4" numFmtId="0" xfId="0" applyAlignment="1" applyFont="1">
      <alignment readingOrder="0"/>
    </xf>
    <xf borderId="0" fillId="3" fontId="2" numFmtId="164" xfId="0" applyAlignment="1" applyFill="1" applyFont="1" applyNumberFormat="1">
      <alignment vertical="bottom"/>
    </xf>
    <xf borderId="0" fillId="0" fontId="2" numFmtId="164" xfId="0" applyAlignment="1" applyFont="1" applyNumberFormat="1">
      <alignment horizontal="right" vertical="bottom"/>
    </xf>
    <xf borderId="0" fillId="0" fontId="4" numFmtId="0" xfId="0" applyFont="1"/>
    <xf borderId="0" fillId="0" fontId="4" numFmtId="2" xfId="0" applyFont="1" applyNumberFormat="1"/>
    <xf borderId="0" fillId="0" fontId="4" numFmtId="0" xfId="0" applyFont="1"/>
    <xf borderId="0" fillId="0" fontId="5" numFmtId="0" xfId="0" applyFont="1"/>
    <xf borderId="2" fillId="0" fontId="3" numFmtId="0" xfId="0" applyAlignment="1" applyBorder="1" applyFont="1">
      <alignment vertical="bottom"/>
    </xf>
    <xf borderId="2" fillId="0" fontId="3" numFmtId="2" xfId="0" applyAlignment="1" applyBorder="1" applyFont="1" applyNumberFormat="1">
      <alignment horizontal="right" vertical="bottom"/>
    </xf>
    <xf borderId="1" fillId="0" fontId="2" numFmtId="0" xfId="0" applyAlignment="1" applyBorder="1" applyFont="1">
      <alignment vertical="bottom"/>
    </xf>
    <xf borderId="1" fillId="0" fontId="3" numFmtId="2" xfId="0" applyAlignment="1" applyBorder="1" applyFont="1" applyNumberFormat="1">
      <alignment horizontal="right" vertical="bottom"/>
    </xf>
    <xf borderId="0" fillId="0" fontId="2" numFmtId="0" xfId="0" applyAlignment="1" applyFont="1">
      <alignment shrinkToFit="0" vertical="bottom" wrapText="1"/>
    </xf>
    <xf borderId="0" fillId="0" fontId="6" numFmtId="164" xfId="0" applyAlignment="1" applyFont="1" applyNumberFormat="1">
      <alignment horizontal="right" vertical="bottom"/>
    </xf>
    <xf borderId="0" fillId="0" fontId="3" numFmtId="0" xfId="0" applyAlignment="1" applyFont="1">
      <alignment vertical="bottom"/>
    </xf>
    <xf borderId="0" fillId="0" fontId="7" numFmtId="0" xfId="0" applyAlignment="1" applyFont="1">
      <alignment vertical="bottom"/>
    </xf>
    <xf borderId="0" fillId="0" fontId="8" numFmtId="0" xfId="0" applyAlignment="1" applyFont="1">
      <alignment readingOrder="0"/>
    </xf>
    <xf borderId="0" fillId="0" fontId="2" numFmtId="0" xfId="0" applyAlignment="1" applyFont="1">
      <alignment horizontal="right" vertical="bottom"/>
    </xf>
    <xf borderId="0" fillId="0" fontId="9" numFmtId="0" xfId="0" applyAlignment="1" applyFont="1">
      <alignment horizontal="right" vertical="bottom"/>
    </xf>
    <xf borderId="0" fillId="0" fontId="10" numFmtId="0" xfId="0" applyFont="1"/>
    <xf borderId="0" fillId="0" fontId="2" numFmtId="0" xfId="0" applyAlignment="1" applyFont="1">
      <alignment readingOrder="0" vertical="bottom"/>
    </xf>
    <xf borderId="0" fillId="4" fontId="2" numFmtId="0" xfId="0" applyAlignment="1" applyFill="1" applyFont="1">
      <alignment horizontal="right" readingOrder="0" vertical="bottom"/>
    </xf>
    <xf borderId="0" fillId="0" fontId="11" numFmtId="0" xfId="0" applyAlignment="1" applyFont="1">
      <alignment horizontal="right" vertical="bottom"/>
    </xf>
    <xf borderId="0" fillId="0" fontId="2" numFmtId="2" xfId="0" applyAlignment="1" applyFont="1" applyNumberFormat="1">
      <alignment horizontal="right" vertical="bottom"/>
    </xf>
    <xf borderId="0" fillId="0" fontId="7" numFmtId="0" xfId="0" applyAlignment="1" applyFont="1">
      <alignment vertical="bottom"/>
    </xf>
    <xf borderId="0" fillId="0" fontId="9"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dLbls>
            <c:numFmt formatCode="0.00" sourceLinked="0"/>
            <c:txPr>
              <a:bodyPr/>
              <a:lstStyle/>
              <a:p>
                <a:pPr lvl="0">
                  <a:defRPr b="1" i="0"/>
                </a:pPr>
              </a:p>
            </c:txPr>
            <c:showLegendKey val="0"/>
            <c:showVal val="1"/>
            <c:showCatName val="0"/>
            <c:showSerName val="0"/>
            <c:showPercent val="0"/>
            <c:showBubbleSize val="0"/>
          </c:dLbls>
          <c:cat>
            <c:strRef>
              <c:f>Statements!$F$1:$Q$1</c:f>
            </c:strRef>
          </c:cat>
          <c:val>
            <c:numRef>
              <c:f>Statements!$F$62:$Q$62</c:f>
              <c:numCache/>
            </c:numRef>
          </c:val>
        </c:ser>
        <c:ser>
          <c:idx val="1"/>
          <c:order val="1"/>
          <c:spPr>
            <a:solidFill>
              <a:schemeClr val="accent2"/>
            </a:solidFill>
            <a:ln cmpd="sng">
              <a:solidFill>
                <a:srgbClr val="000000"/>
              </a:solidFill>
            </a:ln>
          </c:spPr>
          <c:dLbls>
            <c:numFmt formatCode="0.00" sourceLinked="0"/>
            <c:txPr>
              <a:bodyPr/>
              <a:lstStyle/>
              <a:p>
                <a:pPr lvl="0">
                  <a:defRPr b="1" i="0"/>
                </a:pPr>
              </a:p>
            </c:txPr>
            <c:showLegendKey val="0"/>
            <c:showVal val="1"/>
            <c:showCatName val="0"/>
            <c:showSerName val="0"/>
            <c:showPercent val="0"/>
            <c:showBubbleSize val="0"/>
          </c:dLbls>
          <c:cat>
            <c:strRef>
              <c:f>Statements!$F$1:$Q$1</c:f>
            </c:strRef>
          </c:cat>
          <c:val>
            <c:numRef>
              <c:f>Statements!$F$63:$Q$63</c:f>
              <c:numCache/>
            </c:numRef>
          </c:val>
        </c:ser>
        <c:axId val="1456383685"/>
        <c:axId val="99337809"/>
      </c:barChart>
      <c:catAx>
        <c:axId val="14563836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99337809"/>
      </c:catAx>
      <c:valAx>
        <c:axId val="993378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456383685"/>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790575</xdr:colOff>
      <xdr:row>3</xdr:row>
      <xdr:rowOff>152400</xdr:rowOff>
    </xdr:from>
    <xdr:ext cx="5724525" cy="3533775"/>
    <xdr:graphicFrame>
      <xdr:nvGraphicFramePr>
        <xdr:cNvPr id="84100832"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cambridge-news.co.uk/news/royals/psychic-who-predicted-covid-forecasts-30685794?int_source=amp_continue_reading&amp;int_medium=amp&amp;int_campaign=continue_reading_button"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2"/>
      <c r="C1" s="3">
        <f>COUNTIF(Statements!E2:E61,0)+COUNTIF(Statements!E2:E61,1)</f>
        <v>57</v>
      </c>
    </row>
    <row r="2">
      <c r="A2" s="1" t="s">
        <v>1</v>
      </c>
      <c r="B2" s="2"/>
      <c r="C2" s="3">
        <f>COUNTA(Statements!A2:A103)-C1</f>
        <v>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8.13"/>
    <col customWidth="1" min="2" max="2" width="7.63"/>
    <col customWidth="1" min="3" max="3" width="60.13"/>
    <col customWidth="1" min="4" max="5" width="13.38"/>
    <col customWidth="1" min="6" max="6" width="12.63"/>
  </cols>
  <sheetData>
    <row r="1" ht="15.75" customHeight="1">
      <c r="A1" s="4" t="s">
        <v>2</v>
      </c>
      <c r="B1" s="5" t="s">
        <v>3</v>
      </c>
      <c r="C1" s="5" t="s">
        <v>4</v>
      </c>
      <c r="D1" s="4" t="s">
        <v>5</v>
      </c>
      <c r="E1" s="6" t="s">
        <v>6</v>
      </c>
      <c r="F1" s="6" t="s">
        <v>7</v>
      </c>
      <c r="G1" s="6" t="s">
        <v>8</v>
      </c>
      <c r="H1" s="6" t="s">
        <v>9</v>
      </c>
      <c r="I1" s="7" t="s">
        <v>10</v>
      </c>
      <c r="J1" s="7" t="s">
        <v>11</v>
      </c>
      <c r="K1" s="8" t="s">
        <v>12</v>
      </c>
      <c r="L1" s="7" t="s">
        <v>13</v>
      </c>
      <c r="M1" s="9" t="s">
        <v>14</v>
      </c>
      <c r="N1" s="8" t="s">
        <v>15</v>
      </c>
      <c r="O1" s="7" t="s">
        <v>16</v>
      </c>
      <c r="P1" s="7" t="s">
        <v>17</v>
      </c>
      <c r="Q1" s="7" t="s">
        <v>18</v>
      </c>
      <c r="R1" s="10" t="s">
        <v>19</v>
      </c>
      <c r="S1" s="7" t="s">
        <v>7</v>
      </c>
      <c r="T1" s="7" t="s">
        <v>8</v>
      </c>
      <c r="U1" s="7" t="s">
        <v>9</v>
      </c>
      <c r="V1" s="7" t="s">
        <v>10</v>
      </c>
      <c r="W1" s="7" t="s">
        <v>11</v>
      </c>
      <c r="X1" s="8" t="s">
        <v>12</v>
      </c>
      <c r="Y1" s="7" t="s">
        <v>13</v>
      </c>
      <c r="Z1" s="7" t="s">
        <v>14</v>
      </c>
      <c r="AA1" s="8" t="s">
        <v>15</v>
      </c>
      <c r="AB1" s="7" t="s">
        <v>16</v>
      </c>
      <c r="AC1" s="7" t="s">
        <v>17</v>
      </c>
      <c r="AD1" s="7" t="s">
        <v>18</v>
      </c>
      <c r="AE1" s="11" t="s">
        <v>20</v>
      </c>
      <c r="AF1" s="11" t="s">
        <v>21</v>
      </c>
      <c r="AG1" s="11" t="s">
        <v>22</v>
      </c>
      <c r="AH1" s="11" t="s">
        <v>23</v>
      </c>
      <c r="AI1" s="11" t="s">
        <v>24</v>
      </c>
      <c r="AJ1" s="12"/>
    </row>
    <row r="2" ht="15.75" customHeight="1">
      <c r="A2" s="13">
        <v>1.0</v>
      </c>
      <c r="B2" s="14" t="s">
        <v>11</v>
      </c>
      <c r="C2" s="14" t="s">
        <v>25</v>
      </c>
      <c r="D2" s="15" t="s">
        <v>26</v>
      </c>
      <c r="E2" s="15">
        <v>1.0</v>
      </c>
      <c r="F2" s="16">
        <f t="shared" ref="F2:Q2" si="1">IF($E2=1,(LOG(S2,2)+1),IF($E2=0,(LOG(1-S2,2)+1),""))</f>
        <v>-0.1520030934</v>
      </c>
      <c r="G2" s="16">
        <f t="shared" si="1"/>
        <v>-0.7369655942</v>
      </c>
      <c r="H2" s="16">
        <f t="shared" si="1"/>
        <v>0.2630344058</v>
      </c>
      <c r="I2" s="16">
        <f t="shared" si="1"/>
        <v>0.4854268272</v>
      </c>
      <c r="J2" s="16">
        <f t="shared" si="1"/>
        <v>0.3561438102</v>
      </c>
      <c r="K2" s="16">
        <f t="shared" si="1"/>
        <v>-2.321928095</v>
      </c>
      <c r="L2" s="16">
        <f t="shared" si="1"/>
        <v>0</v>
      </c>
      <c r="M2" s="16">
        <f t="shared" si="1"/>
        <v>-0.6438561898</v>
      </c>
      <c r="N2" s="16">
        <f t="shared" si="1"/>
        <v>-1.321928095</v>
      </c>
      <c r="O2" s="16">
        <f t="shared" si="1"/>
        <v>0</v>
      </c>
      <c r="P2" s="16">
        <f t="shared" si="1"/>
        <v>-0.7369655942</v>
      </c>
      <c r="Q2" s="16">
        <f t="shared" si="1"/>
        <v>-0.7369655942</v>
      </c>
      <c r="R2" s="17">
        <f t="shared" ref="R2:R60" si="3">SUM(F2:Q2)</f>
        <v>-5.546007212</v>
      </c>
      <c r="S2" s="18">
        <f>Andrew!D2</f>
        <v>0.45</v>
      </c>
      <c r="T2" s="18">
        <f>Eileen!D2</f>
        <v>0.3</v>
      </c>
      <c r="U2" s="18">
        <f>Iain!D2</f>
        <v>0.6</v>
      </c>
      <c r="V2" s="18">
        <f>Kate!D2</f>
        <v>0.7</v>
      </c>
      <c r="W2" s="18">
        <f>Rohan!D2</f>
        <v>0.64</v>
      </c>
      <c r="X2" s="18">
        <f>David!D2</f>
        <v>0.1</v>
      </c>
      <c r="Y2" s="18">
        <f>Jac!D2</f>
        <v>0.5</v>
      </c>
      <c r="Z2" s="19">
        <f>James!D2</f>
        <v>0.32</v>
      </c>
      <c r="AA2" s="18">
        <f>Chris!D2</f>
        <v>0.2</v>
      </c>
      <c r="AB2" s="19">
        <f>Lachy!D2</f>
        <v>0.5</v>
      </c>
      <c r="AC2" s="18">
        <f>Gael!D2</f>
        <v>0.3</v>
      </c>
      <c r="AD2" s="18">
        <f>Bruce!D2</f>
        <v>0.3</v>
      </c>
      <c r="AE2" s="18">
        <f>Jac!E2</f>
        <v>0.4</v>
      </c>
      <c r="AF2" s="18">
        <f>Jac!F2</f>
        <v>0.4</v>
      </c>
      <c r="AG2" s="18">
        <f>Jac!G2</f>
        <v>0.5</v>
      </c>
      <c r="AH2" s="18">
        <f>Bruce!E2</f>
        <v>0.45</v>
      </c>
      <c r="AI2" s="18">
        <f>Bruce!F2</f>
        <v>0.2</v>
      </c>
    </row>
    <row r="3" ht="15.75" customHeight="1">
      <c r="A3" s="13">
        <v>2.0</v>
      </c>
      <c r="B3" s="14" t="s">
        <v>11</v>
      </c>
      <c r="C3" s="14" t="s">
        <v>27</v>
      </c>
      <c r="D3" s="15" t="s">
        <v>28</v>
      </c>
      <c r="E3" s="15">
        <v>0.0</v>
      </c>
      <c r="F3" s="16">
        <f t="shared" ref="F3:Q3" si="2">IF($E3=1,(LOG(S3,2)+1),IF($E3=0,(LOG(1-S3,2)+1),""))</f>
        <v>-0.3219280949</v>
      </c>
      <c r="G3" s="16">
        <f t="shared" si="2"/>
        <v>0.8479969066</v>
      </c>
      <c r="H3" s="16">
        <f t="shared" si="2"/>
        <v>-0.7369655942</v>
      </c>
      <c r="I3" s="16">
        <f t="shared" si="2"/>
        <v>0.4854268272</v>
      </c>
      <c r="J3" s="16">
        <f t="shared" si="2"/>
        <v>0.1634987323</v>
      </c>
      <c r="K3" s="16">
        <f t="shared" si="2"/>
        <v>0</v>
      </c>
      <c r="L3" s="16">
        <f t="shared" si="2"/>
        <v>0</v>
      </c>
      <c r="M3" s="16">
        <f t="shared" si="2"/>
        <v>0.6780719051</v>
      </c>
      <c r="N3" s="16">
        <f t="shared" si="2"/>
        <v>0.4854268272</v>
      </c>
      <c r="O3" s="16">
        <f t="shared" si="2"/>
        <v>0.4646149096</v>
      </c>
      <c r="P3" s="16">
        <f t="shared" si="2"/>
        <v>0.2630344058</v>
      </c>
      <c r="Q3" s="16">
        <f t="shared" si="2"/>
        <v>0.4854268272</v>
      </c>
      <c r="R3" s="17">
        <f t="shared" si="3"/>
        <v>2.814603652</v>
      </c>
      <c r="S3" s="18">
        <f>Andrew!D3</f>
        <v>0.6</v>
      </c>
      <c r="T3" s="18">
        <f>Eileen!D3</f>
        <v>0.1</v>
      </c>
      <c r="U3" s="18">
        <f>Iain!D3</f>
        <v>0.7</v>
      </c>
      <c r="V3" s="18">
        <f>Kate!D3</f>
        <v>0.3</v>
      </c>
      <c r="W3" s="18">
        <f>Rohan!D3</f>
        <v>0.44</v>
      </c>
      <c r="X3" s="18">
        <f>David!D3</f>
        <v>0.5</v>
      </c>
      <c r="Y3" s="18">
        <f>Jac!D3</f>
        <v>0.5</v>
      </c>
      <c r="Z3" s="19">
        <f>James!D3</f>
        <v>0.2</v>
      </c>
      <c r="AA3" s="18">
        <f>Chris!D3</f>
        <v>0.3</v>
      </c>
      <c r="AB3" s="19">
        <f>Lachy!D3</f>
        <v>0.3100255189</v>
      </c>
      <c r="AC3" s="18">
        <f>Gael!D3</f>
        <v>0.4</v>
      </c>
      <c r="AD3" s="18">
        <f>Bruce!D3</f>
        <v>0.3</v>
      </c>
      <c r="AE3" s="18">
        <f>Jac!E3</f>
        <v>0.4</v>
      </c>
      <c r="AF3" s="18">
        <f>Jac!F3</f>
        <v>0.4</v>
      </c>
      <c r="AG3" s="18">
        <f>Jac!G3</f>
        <v>0.5</v>
      </c>
      <c r="AH3" s="18">
        <f>Bruce!E3</f>
        <v>0.4</v>
      </c>
      <c r="AI3" s="18">
        <f>Bruce!F3</f>
        <v>0.2</v>
      </c>
    </row>
    <row r="4" ht="15.75" customHeight="1">
      <c r="A4" s="13">
        <v>3.0</v>
      </c>
      <c r="B4" s="14" t="s">
        <v>11</v>
      </c>
      <c r="C4" s="14" t="s">
        <v>29</v>
      </c>
      <c r="D4" s="15" t="s">
        <v>30</v>
      </c>
      <c r="E4" s="15">
        <v>0.0</v>
      </c>
      <c r="F4" s="16">
        <f t="shared" ref="F4:Q4" si="4">IF($E4=1,(LOG(S4,2)+1),IF($E4=0,(LOG(1-S4,2)+1),""))</f>
        <v>-0.251538767</v>
      </c>
      <c r="G4" s="16">
        <f t="shared" si="4"/>
        <v>0.8479969066</v>
      </c>
      <c r="H4" s="16">
        <f t="shared" si="4"/>
        <v>0.4854268272</v>
      </c>
      <c r="I4" s="16">
        <f t="shared" si="4"/>
        <v>-0.3219280949</v>
      </c>
      <c r="J4" s="16">
        <f t="shared" si="4"/>
        <v>0.8479969066</v>
      </c>
      <c r="K4" s="16">
        <f t="shared" si="4"/>
        <v>0.4854268272</v>
      </c>
      <c r="L4" s="16">
        <f t="shared" si="4"/>
        <v>0.4854268272</v>
      </c>
      <c r="M4" s="16">
        <f t="shared" si="4"/>
        <v>0.7655347464</v>
      </c>
      <c r="N4" s="16">
        <f t="shared" si="4"/>
        <v>0.8479969066</v>
      </c>
      <c r="O4" s="16">
        <f t="shared" si="4"/>
        <v>-0.6895411231</v>
      </c>
      <c r="P4" s="16">
        <f t="shared" si="4"/>
        <v>0.4854268272</v>
      </c>
      <c r="Q4" s="16">
        <f t="shared" si="4"/>
        <v>0.2630344058</v>
      </c>
      <c r="R4" s="17">
        <f t="shared" si="3"/>
        <v>4.251259196</v>
      </c>
      <c r="S4" s="18">
        <f>Andrew!D4</f>
        <v>0.58</v>
      </c>
      <c r="T4" s="18">
        <f>Eileen!D4</f>
        <v>0.1</v>
      </c>
      <c r="U4" s="18">
        <f>Iain!D4</f>
        <v>0.3</v>
      </c>
      <c r="V4" s="18">
        <f>Kate!D4</f>
        <v>0.6</v>
      </c>
      <c r="W4" s="18">
        <f>Rohan!D4</f>
        <v>0.1</v>
      </c>
      <c r="X4" s="18">
        <f>David!D4</f>
        <v>0.3</v>
      </c>
      <c r="Y4" s="18">
        <f>Jac!D4</f>
        <v>0.3</v>
      </c>
      <c r="Z4" s="19">
        <f>James!D4</f>
        <v>0.15</v>
      </c>
      <c r="AA4" s="18">
        <f>Chris!D4</f>
        <v>0.1</v>
      </c>
      <c r="AB4" s="19">
        <f>Lachy!D4</f>
        <v>0.6899744811</v>
      </c>
      <c r="AC4" s="18">
        <f>Gael!D4</f>
        <v>0.3</v>
      </c>
      <c r="AD4" s="18">
        <f>Bruce!D4</f>
        <v>0.4</v>
      </c>
      <c r="AE4" s="18">
        <f>Jac!E4</f>
        <v>0.3</v>
      </c>
      <c r="AF4" s="18">
        <f>Jac!F4</f>
        <v>0.3</v>
      </c>
      <c r="AG4" s="18">
        <f>Jac!G4</f>
        <v>0.4</v>
      </c>
      <c r="AH4" s="18">
        <f>Bruce!E4</f>
        <v>0.45</v>
      </c>
      <c r="AI4" s="18">
        <f>Bruce!F4</f>
        <v>0.3</v>
      </c>
    </row>
    <row r="5" ht="15.75" customHeight="1">
      <c r="A5" s="13">
        <v>4.0</v>
      </c>
      <c r="B5" s="14" t="s">
        <v>11</v>
      </c>
      <c r="C5" s="14" t="s">
        <v>31</v>
      </c>
      <c r="D5" s="15" t="s">
        <v>32</v>
      </c>
      <c r="E5" s="15">
        <v>1.0</v>
      </c>
      <c r="F5" s="16">
        <f t="shared" ref="F5:Q5" si="5">IF($E5=1,(LOG(S5,2)+1),IF($E5=0,(LOG(1-S5,2)+1),""))</f>
        <v>0.2630344058</v>
      </c>
      <c r="G5" s="16">
        <f t="shared" si="5"/>
        <v>-1.321928095</v>
      </c>
      <c r="H5" s="16">
        <f t="shared" si="5"/>
        <v>0.4854268272</v>
      </c>
      <c r="I5" s="16">
        <f t="shared" si="5"/>
        <v>-0.7369655942</v>
      </c>
      <c r="J5" s="16">
        <f t="shared" si="5"/>
        <v>-2.321928095</v>
      </c>
      <c r="K5" s="16">
        <f t="shared" si="5"/>
        <v>0.8479969066</v>
      </c>
      <c r="L5" s="16">
        <f t="shared" si="5"/>
        <v>-1.321928095</v>
      </c>
      <c r="M5" s="16">
        <f t="shared" si="5"/>
        <v>-3.321928095</v>
      </c>
      <c r="N5" s="16">
        <f t="shared" si="5"/>
        <v>-1.321928095</v>
      </c>
      <c r="O5" s="16">
        <f t="shared" si="5"/>
        <v>-0.6895411231</v>
      </c>
      <c r="P5" s="16">
        <f t="shared" si="5"/>
        <v>0.6780719051</v>
      </c>
      <c r="Q5" s="16">
        <f t="shared" si="5"/>
        <v>0.4854268272</v>
      </c>
      <c r="R5" s="17">
        <f t="shared" si="3"/>
        <v>-8.27619032</v>
      </c>
      <c r="S5" s="18">
        <f>Andrew!D5</f>
        <v>0.6</v>
      </c>
      <c r="T5" s="18">
        <f>Eileen!D5</f>
        <v>0.2</v>
      </c>
      <c r="U5" s="18">
        <f>Iain!D5</f>
        <v>0.7</v>
      </c>
      <c r="V5" s="18">
        <f>Kate!D5</f>
        <v>0.3</v>
      </c>
      <c r="W5" s="18">
        <f>Rohan!D5</f>
        <v>0.1</v>
      </c>
      <c r="X5" s="18">
        <f>David!D5</f>
        <v>0.9</v>
      </c>
      <c r="Y5" s="18">
        <f>Jac!D5</f>
        <v>0.2</v>
      </c>
      <c r="Z5" s="19">
        <f>James!D5</f>
        <v>0.05</v>
      </c>
      <c r="AA5" s="18">
        <f>Chris!D5</f>
        <v>0.2</v>
      </c>
      <c r="AB5" s="19">
        <f>Lachy!D5</f>
        <v>0.3100255189</v>
      </c>
      <c r="AC5" s="18">
        <f>Gael!D5</f>
        <v>0.8</v>
      </c>
      <c r="AD5" s="18">
        <f>Bruce!D5</f>
        <v>0.7</v>
      </c>
      <c r="AE5" s="18">
        <f>Jac!E5</f>
        <v>0.2</v>
      </c>
      <c r="AF5" s="18">
        <f>Jac!F5</f>
        <v>0.2</v>
      </c>
      <c r="AG5" s="18">
        <f>Jac!G5</f>
        <v>0.3</v>
      </c>
      <c r="AH5" s="18">
        <f>Bruce!E5</f>
        <v>0.55</v>
      </c>
      <c r="AI5" s="18">
        <f>Bruce!F5</f>
        <v>0.8</v>
      </c>
    </row>
    <row r="6" ht="15.75" customHeight="1">
      <c r="A6" s="13">
        <v>5.0</v>
      </c>
      <c r="B6" s="14" t="s">
        <v>18</v>
      </c>
      <c r="C6" s="14" t="s">
        <v>33</v>
      </c>
      <c r="D6" s="15" t="s">
        <v>30</v>
      </c>
      <c r="E6" s="15">
        <v>0.0</v>
      </c>
      <c r="F6" s="16">
        <f t="shared" ref="F6:Q6" si="6">IF($E6=1,(LOG(S6,2)+1),IF($E6=0,(LOG(1-S6,2)+1),""))</f>
        <v>0.3785116233</v>
      </c>
      <c r="G6" s="16">
        <f t="shared" si="6"/>
        <v>0.4854268272</v>
      </c>
      <c r="H6" s="16">
        <f t="shared" si="6"/>
        <v>-0.3219280949</v>
      </c>
      <c r="I6" s="16">
        <f t="shared" si="6"/>
        <v>-0.3219280949</v>
      </c>
      <c r="J6" s="16">
        <f t="shared" si="6"/>
        <v>-0.0892673381</v>
      </c>
      <c r="K6" s="16">
        <f t="shared" si="6"/>
        <v>0.4854268272</v>
      </c>
      <c r="L6" s="16">
        <f t="shared" si="6"/>
        <v>-0.3219280949</v>
      </c>
      <c r="M6" s="16">
        <f t="shared" si="6"/>
        <v>0.2141248054</v>
      </c>
      <c r="N6" s="16">
        <f t="shared" si="6"/>
        <v>0.2630344058</v>
      </c>
      <c r="O6" s="16">
        <f t="shared" si="6"/>
        <v>0.4646149096</v>
      </c>
      <c r="P6" s="16">
        <f t="shared" si="6"/>
        <v>-0.3219280949</v>
      </c>
      <c r="Q6" s="16">
        <f t="shared" si="6"/>
        <v>-5.64385619</v>
      </c>
      <c r="R6" s="17">
        <f t="shared" si="3"/>
        <v>-4.729696509</v>
      </c>
      <c r="S6" s="18">
        <f>Andrew!D6</f>
        <v>0.35</v>
      </c>
      <c r="T6" s="18">
        <f>Eileen!D6</f>
        <v>0.3</v>
      </c>
      <c r="U6" s="18">
        <f>Iain!D6</f>
        <v>0.6</v>
      </c>
      <c r="V6" s="18">
        <f>Kate!D6</f>
        <v>0.6</v>
      </c>
      <c r="W6" s="18">
        <f>Rohan!D6</f>
        <v>0.53</v>
      </c>
      <c r="X6" s="18">
        <f>David!D6</f>
        <v>0.3</v>
      </c>
      <c r="Y6" s="18">
        <f>Jac!D6</f>
        <v>0.6</v>
      </c>
      <c r="Z6" s="19">
        <f>James!D6</f>
        <v>0.42</v>
      </c>
      <c r="AA6" s="18">
        <f>Chris!D6</f>
        <v>0.4</v>
      </c>
      <c r="AB6" s="19">
        <f>Lachy!D6</f>
        <v>0.3100255189</v>
      </c>
      <c r="AC6" s="18">
        <f>Gael!D6</f>
        <v>0.6</v>
      </c>
      <c r="AD6" s="18">
        <f>Bruce!D6</f>
        <v>0.99</v>
      </c>
      <c r="AE6" s="18">
        <f>Jac!E6</f>
        <v>0.6</v>
      </c>
      <c r="AF6" s="18">
        <f>Jac!F6</f>
        <v>0.6</v>
      </c>
      <c r="AG6" s="18">
        <f>Jac!G6</f>
        <v>0.5</v>
      </c>
      <c r="AH6" s="18">
        <f>Bruce!E6</f>
        <v>0.8</v>
      </c>
      <c r="AI6" s="18">
        <f>Bruce!F6</f>
        <v>0.99</v>
      </c>
    </row>
    <row r="7" ht="15.75" customHeight="1">
      <c r="A7" s="13">
        <v>6.0</v>
      </c>
      <c r="B7" s="14" t="s">
        <v>18</v>
      </c>
      <c r="C7" s="14" t="s">
        <v>34</v>
      </c>
      <c r="D7" s="15" t="s">
        <v>26</v>
      </c>
      <c r="E7" s="15">
        <v>0.0</v>
      </c>
      <c r="F7" s="16">
        <f t="shared" ref="F7:Q7" si="7">IF($E7=1,(LOG(S7,2)+1),IF($E7=0,(LOG(1-S7,2)+1),""))</f>
        <v>-0.7369655942</v>
      </c>
      <c r="G7" s="16">
        <f t="shared" si="7"/>
        <v>0</v>
      </c>
      <c r="H7" s="16">
        <f t="shared" si="7"/>
        <v>0.6780719051</v>
      </c>
      <c r="I7" s="16">
        <f t="shared" si="7"/>
        <v>0.2630344058</v>
      </c>
      <c r="J7" s="16">
        <f t="shared" si="7"/>
        <v>0</v>
      </c>
      <c r="K7" s="16">
        <f t="shared" si="7"/>
        <v>0.8479969066</v>
      </c>
      <c r="L7" s="16">
        <f t="shared" si="7"/>
        <v>0.1375035237</v>
      </c>
      <c r="M7" s="16">
        <f t="shared" si="7"/>
        <v>0.6229303509</v>
      </c>
      <c r="N7" s="16">
        <f t="shared" si="7"/>
        <v>0.7655347464</v>
      </c>
      <c r="O7" s="16">
        <f t="shared" si="7"/>
        <v>0.1370680194</v>
      </c>
      <c r="P7" s="16">
        <f t="shared" si="7"/>
        <v>0.2630344058</v>
      </c>
      <c r="Q7" s="16">
        <f t="shared" si="7"/>
        <v>0.3785116233</v>
      </c>
      <c r="R7" s="17">
        <f t="shared" si="3"/>
        <v>3.356720293</v>
      </c>
      <c r="S7" s="18">
        <f>Andrew!D7</f>
        <v>0.7</v>
      </c>
      <c r="T7" s="18">
        <f>Eileen!D7</f>
        <v>0.5</v>
      </c>
      <c r="U7" s="18">
        <f>Iain!D7</f>
        <v>0.2</v>
      </c>
      <c r="V7" s="18">
        <f>Kate!D7</f>
        <v>0.4</v>
      </c>
      <c r="W7" s="18">
        <f>Rohan!D7</f>
        <v>0.5</v>
      </c>
      <c r="X7" s="18">
        <f>David!D7</f>
        <v>0.1</v>
      </c>
      <c r="Y7" s="18">
        <f>Jac!D7</f>
        <v>0.45</v>
      </c>
      <c r="Z7" s="19">
        <f>James!D7</f>
        <v>0.23</v>
      </c>
      <c r="AA7" s="18">
        <f>Chris!D7</f>
        <v>0.15</v>
      </c>
      <c r="AB7" s="19">
        <f>Lachy!D7</f>
        <v>0.4501660027</v>
      </c>
      <c r="AC7" s="18">
        <f>Gael!D7</f>
        <v>0.4</v>
      </c>
      <c r="AD7" s="18">
        <f>Bruce!D7</f>
        <v>0.35</v>
      </c>
      <c r="AE7" s="18">
        <f>Jac!E7</f>
        <v>0.45</v>
      </c>
      <c r="AF7" s="18">
        <f>Jac!F7</f>
        <v>0.4</v>
      </c>
      <c r="AG7" s="18">
        <f>Jac!G7</f>
        <v>0.5</v>
      </c>
      <c r="AH7" s="18">
        <f>Bruce!E7</f>
        <v>0.45</v>
      </c>
      <c r="AI7" s="18">
        <f>Bruce!F7</f>
        <v>0.2</v>
      </c>
    </row>
    <row r="8" ht="15.75" customHeight="1">
      <c r="A8" s="13">
        <v>7.0</v>
      </c>
      <c r="B8" s="14" t="s">
        <v>18</v>
      </c>
      <c r="C8" s="14" t="s">
        <v>35</v>
      </c>
      <c r="D8" s="15" t="s">
        <v>26</v>
      </c>
      <c r="E8" s="15">
        <v>1.0</v>
      </c>
      <c r="F8" s="16">
        <f t="shared" ref="F8:Q8" si="8">IF($E8=1,(LOG(S8,2)+1),IF($E8=0,(LOG(1-S8,2)+1),""))</f>
        <v>0.1375035237</v>
      </c>
      <c r="G8" s="16">
        <f t="shared" si="8"/>
        <v>0.6780719051</v>
      </c>
      <c r="H8" s="16">
        <f t="shared" si="8"/>
        <v>0</v>
      </c>
      <c r="I8" s="16">
        <f t="shared" si="8"/>
        <v>0.2630344058</v>
      </c>
      <c r="J8" s="16">
        <f t="shared" si="8"/>
        <v>-0.1520030934</v>
      </c>
      <c r="K8" s="16">
        <f t="shared" si="8"/>
        <v>-2.321928095</v>
      </c>
      <c r="L8" s="16">
        <f t="shared" si="8"/>
        <v>0.1375035237</v>
      </c>
      <c r="M8" s="16">
        <f t="shared" si="8"/>
        <v>0.1375035237</v>
      </c>
      <c r="N8" s="16">
        <f t="shared" si="8"/>
        <v>0</v>
      </c>
      <c r="O8" s="16">
        <f t="shared" si="8"/>
        <v>0.2598754395</v>
      </c>
      <c r="P8" s="16">
        <f t="shared" si="8"/>
        <v>0.4854268272</v>
      </c>
      <c r="Q8" s="16">
        <f t="shared" si="8"/>
        <v>0.3785116233</v>
      </c>
      <c r="R8" s="17">
        <f t="shared" si="3"/>
        <v>0.00349958375</v>
      </c>
      <c r="S8" s="18">
        <f>Andrew!D8</f>
        <v>0.55</v>
      </c>
      <c r="T8" s="18">
        <f>Eileen!D8</f>
        <v>0.8</v>
      </c>
      <c r="U8" s="18">
        <f>Iain!D8</f>
        <v>0.5</v>
      </c>
      <c r="V8" s="18">
        <f>Kate!D8</f>
        <v>0.6</v>
      </c>
      <c r="W8" s="18">
        <f>Rohan!D8</f>
        <v>0.45</v>
      </c>
      <c r="X8" s="18">
        <f>David!D8</f>
        <v>0.1</v>
      </c>
      <c r="Y8" s="18">
        <f>Jac!D8</f>
        <v>0.55</v>
      </c>
      <c r="Z8" s="19">
        <f>James!D8</f>
        <v>0.55</v>
      </c>
      <c r="AA8" s="18">
        <f>Chris!D8</f>
        <v>0.5</v>
      </c>
      <c r="AB8" s="19">
        <f>Lachy!D8</f>
        <v>0.5986876601</v>
      </c>
      <c r="AC8" s="18">
        <f>Gael!D8</f>
        <v>0.7</v>
      </c>
      <c r="AD8" s="18">
        <f>Bruce!D8</f>
        <v>0.65</v>
      </c>
      <c r="AE8" s="18">
        <f>Jac!E8</f>
        <v>0.5</v>
      </c>
      <c r="AF8" s="18">
        <f>Jac!F8</f>
        <v>0.6</v>
      </c>
      <c r="AG8" s="18">
        <f>Jac!G8</f>
        <v>0.5</v>
      </c>
      <c r="AH8" s="18">
        <f>Bruce!E8</f>
        <v>0.55</v>
      </c>
      <c r="AI8" s="18">
        <f>Bruce!F8</f>
        <v>0.8</v>
      </c>
    </row>
    <row r="9" ht="15.75" customHeight="1">
      <c r="A9" s="13">
        <v>8.0</v>
      </c>
      <c r="B9" s="14" t="s">
        <v>18</v>
      </c>
      <c r="C9" s="14" t="s">
        <v>36</v>
      </c>
      <c r="D9" s="15" t="s">
        <v>37</v>
      </c>
      <c r="E9" s="15">
        <v>0.0</v>
      </c>
      <c r="F9" s="16">
        <f t="shared" ref="F9:Q9" si="9">IF($E9=1,(LOG(S9,2)+1),IF($E9=0,(LOG(1-S9,2)+1),""))</f>
        <v>-0.5145731728</v>
      </c>
      <c r="G9" s="16">
        <f t="shared" si="9"/>
        <v>0</v>
      </c>
      <c r="H9" s="16">
        <f t="shared" si="9"/>
        <v>-0.3219280949</v>
      </c>
      <c r="I9" s="16">
        <f t="shared" si="9"/>
        <v>0.6780719051</v>
      </c>
      <c r="J9" s="16">
        <f t="shared" si="9"/>
        <v>-0.3219280949</v>
      </c>
      <c r="K9" s="16">
        <f t="shared" si="9"/>
        <v>0.4854268272</v>
      </c>
      <c r="L9" s="16">
        <f t="shared" si="9"/>
        <v>0.8479969066</v>
      </c>
      <c r="M9" s="16">
        <f t="shared" si="9"/>
        <v>0.6780719051</v>
      </c>
      <c r="N9" s="16">
        <f t="shared" si="9"/>
        <v>0</v>
      </c>
      <c r="O9" s="16">
        <f t="shared" si="9"/>
        <v>-0.3172025769</v>
      </c>
      <c r="P9" s="16">
        <f t="shared" si="9"/>
        <v>0.6780719051</v>
      </c>
      <c r="Q9" s="16">
        <f t="shared" si="9"/>
        <v>0.8479969066</v>
      </c>
      <c r="R9" s="17">
        <f t="shared" si="3"/>
        <v>2.740004416</v>
      </c>
      <c r="S9" s="18">
        <f>Andrew!D9</f>
        <v>0.65</v>
      </c>
      <c r="T9" s="18">
        <f>Eileen!D9</f>
        <v>0.5</v>
      </c>
      <c r="U9" s="18">
        <f>Iain!D9</f>
        <v>0.6</v>
      </c>
      <c r="V9" s="18">
        <f>Kate!D9</f>
        <v>0.2</v>
      </c>
      <c r="W9" s="18">
        <f>Rohan!D9</f>
        <v>0.6</v>
      </c>
      <c r="X9" s="18">
        <f>David!D9</f>
        <v>0.3</v>
      </c>
      <c r="Y9" s="18">
        <f>Jac!D9</f>
        <v>0.1</v>
      </c>
      <c r="Z9" s="19">
        <f>James!D9</f>
        <v>0.2</v>
      </c>
      <c r="AA9" s="18">
        <f>Chris!D9</f>
        <v>0.5</v>
      </c>
      <c r="AB9" s="19">
        <f>Lachy!D9</f>
        <v>0.5986876601</v>
      </c>
      <c r="AC9" s="18">
        <f>Gael!D9</f>
        <v>0.2</v>
      </c>
      <c r="AD9" s="18">
        <f>Bruce!D9</f>
        <v>0.1</v>
      </c>
      <c r="AE9" s="18">
        <f>Jac!E9</f>
        <v>0.1</v>
      </c>
      <c r="AF9" s="18">
        <f>Jac!F9</f>
        <v>0.01</v>
      </c>
      <c r="AG9" s="18">
        <f>Jac!G9</f>
        <v>0.2</v>
      </c>
      <c r="AH9" s="18">
        <f>Bruce!E9</f>
        <v>0.3</v>
      </c>
      <c r="AI9" s="18">
        <f>Bruce!F9</f>
        <v>0.01</v>
      </c>
    </row>
    <row r="10" ht="15.75" customHeight="1">
      <c r="A10" s="13">
        <v>9.0</v>
      </c>
      <c r="B10" s="14" t="s">
        <v>18</v>
      </c>
      <c r="C10" s="14" t="s">
        <v>38</v>
      </c>
      <c r="D10" s="15" t="s">
        <v>39</v>
      </c>
      <c r="E10" s="15">
        <v>1.0</v>
      </c>
      <c r="F10" s="16">
        <f t="shared" ref="F10:Q10" si="10">IF($E10=1,(LOG(S10,2)+1),IF($E10=0,(LOG(1-S10,2)+1),""))</f>
        <v>0.7655347464</v>
      </c>
      <c r="G10" s="16">
        <f t="shared" si="10"/>
        <v>0.2630344058</v>
      </c>
      <c r="H10" s="16">
        <f t="shared" si="10"/>
        <v>-0.3219280949</v>
      </c>
      <c r="I10" s="16">
        <f t="shared" si="10"/>
        <v>0.2630344058</v>
      </c>
      <c r="J10" s="16">
        <f t="shared" si="10"/>
        <v>-0.1520030934</v>
      </c>
      <c r="K10" s="16">
        <f t="shared" si="10"/>
        <v>0</v>
      </c>
      <c r="L10" s="16">
        <f t="shared" si="10"/>
        <v>0.4854268272</v>
      </c>
      <c r="M10" s="16">
        <f t="shared" si="10"/>
        <v>0.4854268272</v>
      </c>
      <c r="N10" s="16">
        <f t="shared" si="10"/>
        <v>-0.3219280949</v>
      </c>
      <c r="O10" s="16">
        <f t="shared" si="10"/>
        <v>0.62016369</v>
      </c>
      <c r="P10" s="16">
        <f t="shared" si="10"/>
        <v>0.4854268272</v>
      </c>
      <c r="Q10" s="16">
        <f t="shared" si="10"/>
        <v>0.6780719051</v>
      </c>
      <c r="R10" s="17">
        <f t="shared" si="3"/>
        <v>3.250260351</v>
      </c>
      <c r="S10" s="18">
        <f>Andrew!D10</f>
        <v>0.85</v>
      </c>
      <c r="T10" s="18">
        <f>Eileen!D10</f>
        <v>0.6</v>
      </c>
      <c r="U10" s="18">
        <f>Iain!D10</f>
        <v>0.4</v>
      </c>
      <c r="V10" s="18">
        <f>Kate!D10</f>
        <v>0.6</v>
      </c>
      <c r="W10" s="18">
        <f>Rohan!D10</f>
        <v>0.45</v>
      </c>
      <c r="X10" s="18">
        <f>David!D10</f>
        <v>0.5</v>
      </c>
      <c r="Y10" s="18">
        <f>Jac!D10</f>
        <v>0.7</v>
      </c>
      <c r="Z10" s="19">
        <f>James!D10</f>
        <v>0.7</v>
      </c>
      <c r="AA10" s="18">
        <f>Chris!D10</f>
        <v>0.4</v>
      </c>
      <c r="AB10" s="19">
        <f>Lachy!D10</f>
        <v>0.7685247835</v>
      </c>
      <c r="AC10" s="18">
        <f>Gael!D10</f>
        <v>0.7</v>
      </c>
      <c r="AD10" s="18">
        <f>Bruce!D10</f>
        <v>0.8</v>
      </c>
      <c r="AE10" s="18">
        <f>Jac!E10</f>
        <v>0.4</v>
      </c>
      <c r="AF10" s="18">
        <f>Jac!F10</f>
        <v>0.8</v>
      </c>
      <c r="AG10" s="18">
        <f>Jac!G10</f>
        <v>0.6</v>
      </c>
      <c r="AH10" s="18">
        <f>Bruce!E10</f>
        <v>0.65</v>
      </c>
      <c r="AI10" s="18">
        <f>Bruce!F10</f>
        <v>0.9</v>
      </c>
    </row>
    <row r="11" ht="15.75" customHeight="1">
      <c r="A11" s="13">
        <v>10.0</v>
      </c>
      <c r="B11" s="14" t="s">
        <v>8</v>
      </c>
      <c r="C11" s="14" t="s">
        <v>40</v>
      </c>
      <c r="D11" s="15" t="s">
        <v>39</v>
      </c>
      <c r="E11" s="15">
        <v>0.0</v>
      </c>
      <c r="F11" s="16">
        <f t="shared" ref="F11:Q11" si="11">IF($E11=1,(LOG(S11,2)+1),IF($E11=0,(LOG(1-S11,2)+1),""))</f>
        <v>0.8479969066</v>
      </c>
      <c r="G11" s="16">
        <f t="shared" si="11"/>
        <v>0.2630344058</v>
      </c>
      <c r="H11" s="16">
        <f t="shared" si="11"/>
        <v>0.6780719051</v>
      </c>
      <c r="I11" s="16">
        <f t="shared" si="11"/>
        <v>0</v>
      </c>
      <c r="J11" s="16">
        <f t="shared" si="11"/>
        <v>-0.5145731728</v>
      </c>
      <c r="K11" s="16">
        <f t="shared" si="11"/>
        <v>0.4854268272</v>
      </c>
      <c r="L11" s="16">
        <f t="shared" si="11"/>
        <v>-0.7369655942</v>
      </c>
      <c r="M11" s="16">
        <f t="shared" si="11"/>
        <v>0.5260688117</v>
      </c>
      <c r="N11" s="16">
        <f t="shared" si="11"/>
        <v>0.4854268272</v>
      </c>
      <c r="O11" s="16">
        <f t="shared" si="11"/>
        <v>0.6820048958</v>
      </c>
      <c r="P11" s="16">
        <f t="shared" si="11"/>
        <v>0.2630344058</v>
      </c>
      <c r="Q11" s="16">
        <f t="shared" si="11"/>
        <v>-0.3219280949</v>
      </c>
      <c r="R11" s="17">
        <f t="shared" si="3"/>
        <v>2.657598123</v>
      </c>
      <c r="S11" s="18">
        <f>Andrew!D11</f>
        <v>0.1</v>
      </c>
      <c r="T11" s="18">
        <f>Eileen!D11</f>
        <v>0.4</v>
      </c>
      <c r="U11" s="18">
        <f>Iain!D11</f>
        <v>0.2</v>
      </c>
      <c r="V11" s="18">
        <f>Kate!D11</f>
        <v>0.5</v>
      </c>
      <c r="W11" s="18">
        <f>Rohan!D11</f>
        <v>0.65</v>
      </c>
      <c r="X11" s="18">
        <f>David!D11</f>
        <v>0.3</v>
      </c>
      <c r="Y11" s="18">
        <f>Jac!D11</f>
        <v>0.7</v>
      </c>
      <c r="Z11" s="19">
        <f>James!D11</f>
        <v>0.28</v>
      </c>
      <c r="AA11" s="18">
        <f>Chris!D11</f>
        <v>0.3</v>
      </c>
      <c r="AB11" s="19">
        <f>Lachy!D11</f>
        <v>0.1978161114</v>
      </c>
      <c r="AC11" s="18">
        <f>Gael!D11</f>
        <v>0.4</v>
      </c>
      <c r="AD11" s="18">
        <f>Bruce!D11</f>
        <v>0.6</v>
      </c>
      <c r="AE11" s="18">
        <f>Jac!E11</f>
        <v>0.6</v>
      </c>
      <c r="AF11" s="18">
        <f>Jac!F11</f>
        <v>0.8</v>
      </c>
      <c r="AG11" s="18">
        <f>Jac!G11</f>
        <v>0.6</v>
      </c>
      <c r="AH11" s="18">
        <f>Bruce!E11</f>
        <v>0.55</v>
      </c>
      <c r="AI11" s="18">
        <f>Bruce!F11</f>
        <v>0.7</v>
      </c>
    </row>
    <row r="12" ht="15.75" customHeight="1">
      <c r="A12" s="13">
        <v>11.0</v>
      </c>
      <c r="B12" s="14" t="s">
        <v>8</v>
      </c>
      <c r="C12" s="14" t="s">
        <v>41</v>
      </c>
      <c r="D12" s="15" t="s">
        <v>42</v>
      </c>
      <c r="E12" s="15">
        <v>0.0</v>
      </c>
      <c r="F12" s="16">
        <f t="shared" ref="F12:Q12" si="12">IF($E12=1,(LOG(S12,2)+1),IF($E12=0,(LOG(1-S12,2)+1),""))</f>
        <v>0.7655347464</v>
      </c>
      <c r="G12" s="16">
        <f t="shared" si="12"/>
        <v>-0.5145731728</v>
      </c>
      <c r="H12" s="16">
        <f t="shared" si="12"/>
        <v>0.6780719051</v>
      </c>
      <c r="I12" s="16">
        <f t="shared" si="12"/>
        <v>0.8479969066</v>
      </c>
      <c r="J12" s="16">
        <f t="shared" si="12"/>
        <v>0</v>
      </c>
      <c r="K12" s="16">
        <f t="shared" si="12"/>
        <v>0</v>
      </c>
      <c r="L12" s="16">
        <f t="shared" si="12"/>
        <v>0.6780719051</v>
      </c>
      <c r="M12" s="16">
        <f t="shared" si="12"/>
        <v>0.6780719051</v>
      </c>
      <c r="N12" s="16">
        <f t="shared" si="12"/>
        <v>0.3785116233</v>
      </c>
      <c r="O12" s="16">
        <f t="shared" si="12"/>
        <v>-0.3172025769</v>
      </c>
      <c r="P12" s="16">
        <f t="shared" si="12"/>
        <v>-0.3219280949</v>
      </c>
      <c r="Q12" s="16">
        <f t="shared" si="12"/>
        <v>0</v>
      </c>
      <c r="R12" s="17">
        <f t="shared" si="3"/>
        <v>2.872555147</v>
      </c>
      <c r="S12" s="18">
        <f>Andrew!D12</f>
        <v>0.15</v>
      </c>
      <c r="T12" s="18">
        <f>Eileen!D12</f>
        <v>0.65</v>
      </c>
      <c r="U12" s="18">
        <f>Iain!D12</f>
        <v>0.2</v>
      </c>
      <c r="V12" s="18">
        <f>Kate!D12</f>
        <v>0.1</v>
      </c>
      <c r="W12" s="18">
        <f>Rohan!D12</f>
        <v>0.5</v>
      </c>
      <c r="X12" s="18">
        <f>David!D12</f>
        <v>0.5</v>
      </c>
      <c r="Y12" s="18">
        <f>Jac!D12</f>
        <v>0.2</v>
      </c>
      <c r="Z12" s="19">
        <f>James!D12</f>
        <v>0.2</v>
      </c>
      <c r="AA12" s="18">
        <f>Chris!D12</f>
        <v>0.35</v>
      </c>
      <c r="AB12" s="19">
        <f>Lachy!D12</f>
        <v>0.5986876601</v>
      </c>
      <c r="AC12" s="18">
        <f>Gael!D12</f>
        <v>0.6</v>
      </c>
      <c r="AD12" s="18">
        <f>Bruce!D12</f>
        <v>0.5</v>
      </c>
      <c r="AE12" s="18">
        <f>Jac!E12</f>
        <v>0.2</v>
      </c>
      <c r="AF12" s="18">
        <f>Jac!F12</f>
        <v>0.2</v>
      </c>
      <c r="AG12" s="18">
        <f>Jac!G12</f>
        <v>0.3</v>
      </c>
      <c r="AH12" s="18">
        <f>Bruce!E12</f>
        <v>0.5</v>
      </c>
      <c r="AI12" s="18">
        <f>Bruce!F12</f>
        <v>0.5</v>
      </c>
    </row>
    <row r="13" ht="15.75" customHeight="1">
      <c r="A13" s="13">
        <v>12.0</v>
      </c>
      <c r="B13" s="14" t="s">
        <v>8</v>
      </c>
      <c r="C13" s="14" t="s">
        <v>43</v>
      </c>
      <c r="D13" s="15" t="s">
        <v>28</v>
      </c>
      <c r="E13" s="15">
        <v>0.0</v>
      </c>
      <c r="F13" s="16">
        <f t="shared" ref="F13:Q13" si="13">IF($E13=1,(LOG(S13,2)+1),IF($E13=0,(LOG(1-S13,2)+1),""))</f>
        <v>0.9259994186</v>
      </c>
      <c r="G13" s="16">
        <f t="shared" si="13"/>
        <v>0.6780719051</v>
      </c>
      <c r="H13" s="16">
        <f t="shared" si="13"/>
        <v>0.6780719051</v>
      </c>
      <c r="I13" s="16">
        <f t="shared" si="13"/>
        <v>0.8479969066</v>
      </c>
      <c r="J13" s="16">
        <f t="shared" si="13"/>
        <v>0.8479969066</v>
      </c>
      <c r="K13" s="16">
        <f t="shared" si="13"/>
        <v>0.8479969066</v>
      </c>
      <c r="L13" s="16">
        <f t="shared" si="13"/>
        <v>0.6780719051</v>
      </c>
      <c r="M13" s="16">
        <f t="shared" si="13"/>
        <v>0.8155754289</v>
      </c>
      <c r="N13" s="16">
        <f t="shared" si="13"/>
        <v>0.8479969066</v>
      </c>
      <c r="O13" s="16">
        <f t="shared" si="13"/>
        <v>0.8168815879</v>
      </c>
      <c r="P13" s="16">
        <f t="shared" si="13"/>
        <v>0.6780719051</v>
      </c>
      <c r="Q13" s="16">
        <f t="shared" si="13"/>
        <v>0.8479969066</v>
      </c>
      <c r="R13" s="17">
        <f t="shared" si="3"/>
        <v>9.510728589</v>
      </c>
      <c r="S13" s="18">
        <f>Andrew!D13</f>
        <v>0.05</v>
      </c>
      <c r="T13" s="18">
        <f>Eileen!D13</f>
        <v>0.2</v>
      </c>
      <c r="U13" s="18">
        <f>Iain!D13</f>
        <v>0.2</v>
      </c>
      <c r="V13" s="18">
        <f>Kate!D13</f>
        <v>0.1</v>
      </c>
      <c r="W13" s="18">
        <f>Rohan!D13</f>
        <v>0.1</v>
      </c>
      <c r="X13" s="18">
        <f>David!D13</f>
        <v>0.1</v>
      </c>
      <c r="Y13" s="18">
        <f>Jac!D13</f>
        <v>0.2</v>
      </c>
      <c r="Z13" s="19">
        <f>James!D13</f>
        <v>0.12</v>
      </c>
      <c r="AA13" s="18">
        <f>Chris!D13</f>
        <v>0.1</v>
      </c>
      <c r="AB13" s="19">
        <f>Lachy!D13</f>
        <v>0.119202922</v>
      </c>
      <c r="AC13" s="18">
        <f>Gael!D13</f>
        <v>0.2</v>
      </c>
      <c r="AD13" s="18">
        <f>Bruce!D13</f>
        <v>0.1</v>
      </c>
      <c r="AE13" s="18">
        <f>Jac!E13</f>
        <v>0.2</v>
      </c>
      <c r="AF13" s="18">
        <f>Jac!F13</f>
        <v>0.2</v>
      </c>
      <c r="AG13" s="18">
        <f>Jac!G13</f>
        <v>0.3</v>
      </c>
      <c r="AH13" s="18">
        <f>Bruce!E13</f>
        <v>0.2</v>
      </c>
      <c r="AI13" s="18">
        <f>Bruce!F13</f>
        <v>0.05</v>
      </c>
    </row>
    <row r="14" ht="15.75" customHeight="1">
      <c r="A14" s="13">
        <v>13.0</v>
      </c>
      <c r="B14" s="14" t="s">
        <v>8</v>
      </c>
      <c r="C14" s="14" t="s">
        <v>44</v>
      </c>
      <c r="D14" s="15" t="s">
        <v>45</v>
      </c>
      <c r="E14" s="15">
        <v>0.0</v>
      </c>
      <c r="F14" s="16">
        <f t="shared" ref="F14:Q14" si="14">IF($E14=1,(LOG(S14,2)+1),IF($E14=0,(LOG(1-S14,2)+1),""))</f>
        <v>0.8479969066</v>
      </c>
      <c r="G14" s="16">
        <f t="shared" si="14"/>
        <v>0.8479969066</v>
      </c>
      <c r="H14" s="16">
        <f t="shared" si="14"/>
        <v>0.2630344058</v>
      </c>
      <c r="I14" s="16">
        <f t="shared" si="14"/>
        <v>-0.3219280949</v>
      </c>
      <c r="J14" s="16">
        <f t="shared" si="14"/>
        <v>0.7824085649</v>
      </c>
      <c r="K14" s="16">
        <f t="shared" si="14"/>
        <v>0.8479969066</v>
      </c>
      <c r="L14" s="16">
        <f t="shared" si="14"/>
        <v>0.9259994186</v>
      </c>
      <c r="M14" s="16">
        <f t="shared" si="14"/>
        <v>0.4854268272</v>
      </c>
      <c r="N14" s="16">
        <f t="shared" si="14"/>
        <v>0.2630344058</v>
      </c>
      <c r="O14" s="16">
        <f t="shared" si="14"/>
        <v>0.4646149096</v>
      </c>
      <c r="P14" s="16">
        <f t="shared" si="14"/>
        <v>-2.321928095</v>
      </c>
      <c r="Q14" s="16">
        <f t="shared" si="14"/>
        <v>0.8479969066</v>
      </c>
      <c r="R14" s="17">
        <f t="shared" si="3"/>
        <v>3.932649968</v>
      </c>
      <c r="S14" s="18">
        <f>Andrew!D14</f>
        <v>0.1</v>
      </c>
      <c r="T14" s="18">
        <f>Eileen!D14</f>
        <v>0.1</v>
      </c>
      <c r="U14" s="18">
        <f>Iain!D14</f>
        <v>0.4</v>
      </c>
      <c r="V14" s="18">
        <f>Kate!D14</f>
        <v>0.6</v>
      </c>
      <c r="W14" s="18">
        <f>Rohan!D14</f>
        <v>0.14</v>
      </c>
      <c r="X14" s="18">
        <f>David!D14</f>
        <v>0.1</v>
      </c>
      <c r="Y14" s="18">
        <f>Jac!D14</f>
        <v>0.05</v>
      </c>
      <c r="Z14" s="19">
        <f>James!D14</f>
        <v>0.3</v>
      </c>
      <c r="AA14" s="18">
        <f>Chris!D14</f>
        <v>0.4</v>
      </c>
      <c r="AB14" s="19">
        <f>Lachy!D14</f>
        <v>0.3100255189</v>
      </c>
      <c r="AC14" s="18">
        <f>Gael!D14</f>
        <v>0.9</v>
      </c>
      <c r="AD14" s="18">
        <f>Bruce!D14</f>
        <v>0.1</v>
      </c>
      <c r="AE14" s="18">
        <f>Jac!E14</f>
        <v>0.05</v>
      </c>
      <c r="AF14" s="18">
        <f>Jac!F14</f>
        <v>0.01</v>
      </c>
      <c r="AG14" s="18">
        <f>Jac!G14</f>
        <v>0.1</v>
      </c>
      <c r="AH14" s="18">
        <f>Bruce!E14</f>
        <v>0.3</v>
      </c>
      <c r="AI14" s="18">
        <f>Bruce!F14</f>
        <v>0.01</v>
      </c>
    </row>
    <row r="15" ht="15.75" customHeight="1">
      <c r="A15" s="13">
        <v>14.0</v>
      </c>
      <c r="B15" s="14" t="s">
        <v>8</v>
      </c>
      <c r="C15" s="14" t="s">
        <v>46</v>
      </c>
      <c r="D15" s="15" t="s">
        <v>45</v>
      </c>
      <c r="E15" s="15">
        <v>0.0</v>
      </c>
      <c r="F15" s="16">
        <f t="shared" ref="F15:Q15" si="15">IF($E15=1,(LOG(S15,2)+1),IF($E15=0,(LOG(1-S15,2)+1),""))</f>
        <v>0.7655347464</v>
      </c>
      <c r="G15" s="16">
        <f t="shared" si="15"/>
        <v>0.5849625007</v>
      </c>
      <c r="H15" s="16">
        <f t="shared" si="15"/>
        <v>0.8479969066</v>
      </c>
      <c r="I15" s="16">
        <f t="shared" si="15"/>
        <v>0.8479969066</v>
      </c>
      <c r="J15" s="16">
        <f t="shared" si="15"/>
        <v>0.7311832416</v>
      </c>
      <c r="K15" s="16">
        <f t="shared" si="15"/>
        <v>0.8479969066</v>
      </c>
      <c r="L15" s="16">
        <f t="shared" si="15"/>
        <v>0.4854268272</v>
      </c>
      <c r="M15" s="16">
        <f t="shared" si="15"/>
        <v>1</v>
      </c>
      <c r="N15" s="16">
        <f t="shared" si="15"/>
        <v>0.8479969066</v>
      </c>
      <c r="O15" s="16">
        <f t="shared" si="15"/>
        <v>0.6820048958</v>
      </c>
      <c r="P15" s="16">
        <f t="shared" si="15"/>
        <v>-0.7369655942</v>
      </c>
      <c r="Q15" s="16">
        <f t="shared" si="15"/>
        <v>0.8479969066</v>
      </c>
      <c r="R15" s="17">
        <f t="shared" si="3"/>
        <v>7.75213115</v>
      </c>
      <c r="S15" s="18">
        <f>Andrew!D15</f>
        <v>0.15</v>
      </c>
      <c r="T15" s="18">
        <f>Eileen!D15</f>
        <v>0.25</v>
      </c>
      <c r="U15" s="18">
        <f>Iain!D15</f>
        <v>0.1</v>
      </c>
      <c r="V15" s="18">
        <f>Kate!D15</f>
        <v>0.1</v>
      </c>
      <c r="W15" s="18">
        <f>Rohan!D15</f>
        <v>0.17</v>
      </c>
      <c r="X15" s="18">
        <f>David!D15</f>
        <v>0.1</v>
      </c>
      <c r="Y15" s="18">
        <f>Jac!D15</f>
        <v>0.3</v>
      </c>
      <c r="Z15" s="19">
        <f>James!D15</f>
        <v>0</v>
      </c>
      <c r="AA15" s="18">
        <f>Chris!D15</f>
        <v>0.1</v>
      </c>
      <c r="AB15" s="19">
        <f>Lachy!D15</f>
        <v>0.1978161114</v>
      </c>
      <c r="AC15" s="18">
        <f>Gael!D15</f>
        <v>0.7</v>
      </c>
      <c r="AD15" s="18">
        <f>Bruce!D15</f>
        <v>0.1</v>
      </c>
      <c r="AE15" s="18">
        <f>Jac!E15</f>
        <v>0.3</v>
      </c>
      <c r="AF15" s="18">
        <f>Jac!F15</f>
        <v>0.3</v>
      </c>
      <c r="AG15" s="18">
        <f>Jac!G15</f>
        <v>0.4</v>
      </c>
      <c r="AH15" s="18">
        <f>Bruce!E15</f>
        <v>0.3</v>
      </c>
      <c r="AI15" s="18">
        <f>Bruce!F15</f>
        <v>0.01</v>
      </c>
    </row>
    <row r="16" ht="15.75" customHeight="1">
      <c r="A16" s="13">
        <v>15.0</v>
      </c>
      <c r="B16" s="14" t="s">
        <v>16</v>
      </c>
      <c r="C16" s="14" t="s">
        <v>47</v>
      </c>
      <c r="D16" s="15" t="s">
        <v>30</v>
      </c>
      <c r="E16" s="15">
        <v>0.0</v>
      </c>
      <c r="F16" s="16">
        <f t="shared" ref="F16:Q16" si="16">IF($E16=1,(LOG(S16,2)+1),IF($E16=0,(LOG(1-S16,2)+1),""))</f>
        <v>-0.5145731728</v>
      </c>
      <c r="G16" s="16">
        <f t="shared" si="16"/>
        <v>-0.3219280949</v>
      </c>
      <c r="H16" s="16">
        <f t="shared" si="16"/>
        <v>-0.7369655942</v>
      </c>
      <c r="I16" s="16">
        <f t="shared" si="16"/>
        <v>0</v>
      </c>
      <c r="J16" s="16">
        <f t="shared" si="16"/>
        <v>0.05658352837</v>
      </c>
      <c r="K16" s="16">
        <f t="shared" si="16"/>
        <v>0</v>
      </c>
      <c r="L16" s="16">
        <f t="shared" si="16"/>
        <v>0.8479969066</v>
      </c>
      <c r="M16" s="16">
        <f t="shared" si="16"/>
        <v>0.1375035237</v>
      </c>
      <c r="N16" s="16">
        <f t="shared" si="16"/>
        <v>-0.3219280949</v>
      </c>
      <c r="O16" s="16">
        <f t="shared" si="16"/>
        <v>0.62016369</v>
      </c>
      <c r="P16" s="16">
        <f t="shared" si="16"/>
        <v>-1.321928095</v>
      </c>
      <c r="Q16" s="16">
        <f t="shared" si="16"/>
        <v>-0.3219280949</v>
      </c>
      <c r="R16" s="17">
        <f t="shared" si="3"/>
        <v>-1.877003498</v>
      </c>
      <c r="S16" s="18">
        <f>Andrew!D16</f>
        <v>0.65</v>
      </c>
      <c r="T16" s="18">
        <f>Eileen!D16</f>
        <v>0.6</v>
      </c>
      <c r="U16" s="18">
        <f>Iain!D16</f>
        <v>0.7</v>
      </c>
      <c r="V16" s="18">
        <f>Kate!D16</f>
        <v>0.5</v>
      </c>
      <c r="W16" s="18">
        <f>Rohan!D16</f>
        <v>0.48</v>
      </c>
      <c r="X16" s="18">
        <f>David!D16</f>
        <v>0.5</v>
      </c>
      <c r="Y16" s="18">
        <f>Jac!D16</f>
        <v>0.1</v>
      </c>
      <c r="Z16" s="19">
        <f>James!D16</f>
        <v>0.45</v>
      </c>
      <c r="AA16" s="18">
        <f>Chris!D16</f>
        <v>0.6</v>
      </c>
      <c r="AB16" s="19">
        <f>Lachy!D16</f>
        <v>0.2314752165</v>
      </c>
      <c r="AC16" s="18">
        <f>Gael!D16</f>
        <v>0.8</v>
      </c>
      <c r="AD16" s="18">
        <f>Bruce!D16</f>
        <v>0.6</v>
      </c>
      <c r="AE16" s="18">
        <f>Jac!E16</f>
        <v>0.1</v>
      </c>
      <c r="AF16" s="18">
        <f>Jac!F16</f>
        <v>0.01</v>
      </c>
      <c r="AG16" s="18">
        <f>Jac!G16</f>
        <v>0.2</v>
      </c>
      <c r="AH16" s="18">
        <f>Bruce!E16</f>
        <v>0.55</v>
      </c>
      <c r="AI16" s="18">
        <f>Bruce!F16</f>
        <v>0.7</v>
      </c>
    </row>
    <row r="17" ht="15.75" customHeight="1">
      <c r="A17" s="13">
        <v>16.0</v>
      </c>
      <c r="B17" s="14" t="s">
        <v>16</v>
      </c>
      <c r="C17" s="14" t="s">
        <v>48</v>
      </c>
      <c r="D17" s="15" t="s">
        <v>30</v>
      </c>
      <c r="E17" s="15">
        <v>0.0</v>
      </c>
      <c r="F17" s="16">
        <f t="shared" ref="F17:Q17" si="17">IF($E17=1,(LOG(S17,2)+1),IF($E17=0,(LOG(1-S17,2)+1),""))</f>
        <v>-0.7369655942</v>
      </c>
      <c r="G17" s="16">
        <f t="shared" si="17"/>
        <v>0</v>
      </c>
      <c r="H17" s="16">
        <f t="shared" si="17"/>
        <v>0.2630344058</v>
      </c>
      <c r="I17" s="16">
        <f t="shared" si="17"/>
        <v>-0.3219280949</v>
      </c>
      <c r="J17" s="16">
        <f t="shared" si="17"/>
        <v>-0.3219280949</v>
      </c>
      <c r="K17" s="16">
        <f t="shared" si="17"/>
        <v>-2.321928095</v>
      </c>
      <c r="L17" s="16">
        <f t="shared" si="17"/>
        <v>0</v>
      </c>
      <c r="M17" s="16">
        <f t="shared" si="17"/>
        <v>-0.7369655942</v>
      </c>
      <c r="N17" s="16">
        <f t="shared" si="17"/>
        <v>0.4854268272</v>
      </c>
      <c r="O17" s="16">
        <f t="shared" si="17"/>
        <v>-0.894636124</v>
      </c>
      <c r="P17" s="16">
        <f t="shared" si="17"/>
        <v>-1</v>
      </c>
      <c r="Q17" s="16">
        <f t="shared" si="17"/>
        <v>0</v>
      </c>
      <c r="R17" s="17">
        <f t="shared" si="3"/>
        <v>-5.585890364</v>
      </c>
      <c r="S17" s="18">
        <f>Andrew!D17</f>
        <v>0.7</v>
      </c>
      <c r="T17" s="18">
        <f>Eileen!D17</f>
        <v>0.5</v>
      </c>
      <c r="U17" s="18">
        <f>Iain!D17</f>
        <v>0.4</v>
      </c>
      <c r="V17" s="18">
        <f>Kate!D17</f>
        <v>0.6</v>
      </c>
      <c r="W17" s="18">
        <f>Rohan!D17</f>
        <v>0.6</v>
      </c>
      <c r="X17" s="18">
        <f>David!D17</f>
        <v>0.9</v>
      </c>
      <c r="Y17" s="18">
        <f>Jac!D17</f>
        <v>0.5</v>
      </c>
      <c r="Z17" s="19">
        <f>James!D17</f>
        <v>0.7</v>
      </c>
      <c r="AA17" s="18">
        <f>Chris!D17</f>
        <v>0.3</v>
      </c>
      <c r="AB17" s="19">
        <f>Lachy!D17</f>
        <v>0.7310585786</v>
      </c>
      <c r="AC17" s="18">
        <f>Gael!D17</f>
        <v>0.75</v>
      </c>
      <c r="AD17" s="18">
        <f>Bruce!D17</f>
        <v>0.5</v>
      </c>
      <c r="AE17" s="18">
        <f>Jac!E17</f>
        <v>0.4</v>
      </c>
      <c r="AF17" s="18">
        <f>Jac!F17</f>
        <v>0.4</v>
      </c>
      <c r="AG17" s="18">
        <f>Jac!G17</f>
        <v>0.5</v>
      </c>
      <c r="AH17" s="18">
        <f>Bruce!E17</f>
        <v>0.5</v>
      </c>
      <c r="AI17" s="18">
        <f>Bruce!F17</f>
        <v>0.5</v>
      </c>
    </row>
    <row r="18" ht="15.75" customHeight="1">
      <c r="A18" s="13">
        <v>17.0</v>
      </c>
      <c r="B18" s="14" t="s">
        <v>16</v>
      </c>
      <c r="C18" s="14" t="s">
        <v>49</v>
      </c>
      <c r="D18" s="15" t="s">
        <v>50</v>
      </c>
      <c r="E18" s="15">
        <v>1.0</v>
      </c>
      <c r="F18" s="16">
        <f t="shared" ref="F18:Q18" si="18">IF($E18=1,(LOG(S18,2)+1),IF($E18=0,(LOG(1-S18,2)+1),""))</f>
        <v>0.6780719051</v>
      </c>
      <c r="G18" s="16">
        <f t="shared" si="18"/>
        <v>-2.321928095</v>
      </c>
      <c r="H18" s="16">
        <f t="shared" si="18"/>
        <v>-1.321928095</v>
      </c>
      <c r="I18" s="16">
        <f t="shared" si="18"/>
        <v>0.6780719051</v>
      </c>
      <c r="J18" s="16">
        <f t="shared" si="18"/>
        <v>-0.1520030934</v>
      </c>
      <c r="K18" s="16">
        <f t="shared" si="18"/>
        <v>0.4854268272</v>
      </c>
      <c r="L18" s="16">
        <f t="shared" si="18"/>
        <v>-0.3219280949</v>
      </c>
      <c r="M18" s="16">
        <f t="shared" si="18"/>
        <v>0.4854268272</v>
      </c>
      <c r="N18" s="16">
        <f t="shared" si="18"/>
        <v>0.2630344058</v>
      </c>
      <c r="O18" s="16">
        <f t="shared" si="18"/>
        <v>-1.337768161</v>
      </c>
      <c r="P18" s="16">
        <f t="shared" si="18"/>
        <v>0.6780719051</v>
      </c>
      <c r="Q18" s="16">
        <f t="shared" si="18"/>
        <v>0.4854268272</v>
      </c>
      <c r="R18" s="17">
        <f t="shared" si="3"/>
        <v>-1.702024937</v>
      </c>
      <c r="S18" s="18">
        <f>Andrew!D18</f>
        <v>0.8</v>
      </c>
      <c r="T18" s="18">
        <f>Eileen!D18</f>
        <v>0.1</v>
      </c>
      <c r="U18" s="18">
        <f>Iain!D18</f>
        <v>0.2</v>
      </c>
      <c r="V18" s="18">
        <f>Kate!D18</f>
        <v>0.8</v>
      </c>
      <c r="W18" s="18">
        <f>Rohan!D18</f>
        <v>0.45</v>
      </c>
      <c r="X18" s="18">
        <f>David!D18</f>
        <v>0.7</v>
      </c>
      <c r="Y18" s="18">
        <f>Jac!D18</f>
        <v>0.4</v>
      </c>
      <c r="Z18" s="19">
        <f>James!D18</f>
        <v>0.7</v>
      </c>
      <c r="AA18" s="18">
        <f>Chris!D18</f>
        <v>0.6</v>
      </c>
      <c r="AB18" s="19">
        <f>Lachy!D18</f>
        <v>0.1978161114</v>
      </c>
      <c r="AC18" s="18">
        <f>Gael!D18</f>
        <v>0.8</v>
      </c>
      <c r="AD18" s="18">
        <f>Bruce!D18</f>
        <v>0.7</v>
      </c>
      <c r="AE18" s="18">
        <f>Jac!E18</f>
        <v>0.4</v>
      </c>
      <c r="AF18" s="18">
        <f>Jac!F18</f>
        <v>0.3</v>
      </c>
      <c r="AG18" s="18">
        <f>Jac!G18</f>
        <v>0.5</v>
      </c>
      <c r="AH18" s="18">
        <f>Bruce!E18</f>
        <v>0.6</v>
      </c>
      <c r="AI18" s="18">
        <f>Bruce!F18</f>
        <v>0.8</v>
      </c>
    </row>
    <row r="19" ht="15.75" customHeight="1">
      <c r="A19" s="13">
        <v>18.0</v>
      </c>
      <c r="B19" s="14" t="s">
        <v>16</v>
      </c>
      <c r="C19" s="14" t="s">
        <v>51</v>
      </c>
      <c r="D19" s="15" t="s">
        <v>30</v>
      </c>
      <c r="E19" s="15">
        <v>0.0</v>
      </c>
      <c r="F19" s="16">
        <f t="shared" ref="F19:Q19" si="19">IF($E19=1,(LOG(S19,2)+1),IF($E19=0,(LOG(1-S19,2)+1),""))</f>
        <v>0.5849625007</v>
      </c>
      <c r="G19" s="16">
        <f t="shared" si="19"/>
        <v>0.2630344058</v>
      </c>
      <c r="H19" s="16">
        <f t="shared" si="19"/>
        <v>-0.3219280949</v>
      </c>
      <c r="I19" s="16">
        <f t="shared" si="19"/>
        <v>0.6780719051</v>
      </c>
      <c r="J19" s="16">
        <f t="shared" si="19"/>
        <v>0.3103401206</v>
      </c>
      <c r="K19" s="16">
        <f t="shared" si="19"/>
        <v>-0.7369655942</v>
      </c>
      <c r="L19" s="16">
        <f t="shared" si="19"/>
        <v>0</v>
      </c>
      <c r="M19" s="16">
        <f t="shared" si="19"/>
        <v>0.6415460291</v>
      </c>
      <c r="N19" s="16">
        <f t="shared" si="19"/>
        <v>0.4854268272</v>
      </c>
      <c r="O19" s="16">
        <f t="shared" si="19"/>
        <v>-0.3172025769</v>
      </c>
      <c r="P19" s="16">
        <f t="shared" si="19"/>
        <v>-0.7369655942</v>
      </c>
      <c r="Q19" s="16">
        <f t="shared" si="19"/>
        <v>0</v>
      </c>
      <c r="R19" s="17">
        <f t="shared" si="3"/>
        <v>0.8503199284</v>
      </c>
      <c r="S19" s="18">
        <f>Andrew!D19</f>
        <v>0.25</v>
      </c>
      <c r="T19" s="18">
        <f>Eileen!D19</f>
        <v>0.4</v>
      </c>
      <c r="U19" s="18">
        <f>Iain!D19</f>
        <v>0.6</v>
      </c>
      <c r="V19" s="18">
        <f>Kate!D19</f>
        <v>0.2</v>
      </c>
      <c r="W19" s="18">
        <f>Rohan!D19</f>
        <v>0.38</v>
      </c>
      <c r="X19" s="18">
        <f>David!D19</f>
        <v>0.7</v>
      </c>
      <c r="Y19" s="18">
        <f>Jac!D19</f>
        <v>0.5</v>
      </c>
      <c r="Z19" s="19">
        <f>James!D19</f>
        <v>0.22</v>
      </c>
      <c r="AA19" s="18">
        <f>Chris!D19</f>
        <v>0.3</v>
      </c>
      <c r="AB19" s="19">
        <f>Lachy!D19</f>
        <v>0.5986876601</v>
      </c>
      <c r="AC19" s="18">
        <f>Gael!D19</f>
        <v>0.7</v>
      </c>
      <c r="AD19" s="18">
        <f>Bruce!D19</f>
        <v>0.5</v>
      </c>
      <c r="AE19" s="18">
        <f>Jac!E19</f>
        <v>0.4</v>
      </c>
      <c r="AF19" s="18">
        <f>Jac!F19</f>
        <v>0.4</v>
      </c>
      <c r="AG19" s="18">
        <f>Jac!G19</f>
        <v>0.5</v>
      </c>
      <c r="AH19" s="18">
        <f>Bruce!E19</f>
        <v>0.5</v>
      </c>
      <c r="AI19" s="18">
        <f>Bruce!F19</f>
        <v>0.5</v>
      </c>
    </row>
    <row r="20" ht="15.75" customHeight="1">
      <c r="A20" s="13">
        <v>19.0</v>
      </c>
      <c r="B20" s="14" t="s">
        <v>16</v>
      </c>
      <c r="C20" s="14" t="s">
        <v>52</v>
      </c>
      <c r="D20" s="15" t="s">
        <v>42</v>
      </c>
      <c r="E20" s="15">
        <v>0.0</v>
      </c>
      <c r="F20" s="16">
        <f t="shared" ref="F20:Q20" si="20">IF($E20=1,(LOG(S20,2)+1),IF($E20=0,(LOG(1-S20,2)+1),""))</f>
        <v>0.2630344058</v>
      </c>
      <c r="G20" s="16">
        <f t="shared" si="20"/>
        <v>0.6780719051</v>
      </c>
      <c r="H20" s="16">
        <f t="shared" si="20"/>
        <v>0</v>
      </c>
      <c r="I20" s="16">
        <f t="shared" si="20"/>
        <v>-0.7369655942</v>
      </c>
      <c r="J20" s="16">
        <f t="shared" si="20"/>
        <v>0.2630344058</v>
      </c>
      <c r="K20" s="16">
        <f t="shared" si="20"/>
        <v>-0.7369655942</v>
      </c>
      <c r="L20" s="16">
        <f t="shared" si="20"/>
        <v>0.6780719051</v>
      </c>
      <c r="M20" s="16">
        <f t="shared" si="20"/>
        <v>-0.5145731728</v>
      </c>
      <c r="N20" s="16">
        <f t="shared" si="20"/>
        <v>-0.7369655942</v>
      </c>
      <c r="O20" s="16">
        <f t="shared" si="20"/>
        <v>-0.3172025769</v>
      </c>
      <c r="P20" s="16">
        <f t="shared" si="20"/>
        <v>-0.7369655942</v>
      </c>
      <c r="Q20" s="16">
        <f t="shared" si="20"/>
        <v>0</v>
      </c>
      <c r="R20" s="17">
        <f t="shared" si="3"/>
        <v>-1.897425504</v>
      </c>
      <c r="S20" s="18">
        <f>Andrew!D20</f>
        <v>0.4</v>
      </c>
      <c r="T20" s="18">
        <f>Eileen!D20</f>
        <v>0.2</v>
      </c>
      <c r="U20" s="18">
        <f>Iain!D20</f>
        <v>0.5</v>
      </c>
      <c r="V20" s="18">
        <f>Kate!D20</f>
        <v>0.7</v>
      </c>
      <c r="W20" s="18">
        <f>Rohan!D20</f>
        <v>0.4</v>
      </c>
      <c r="X20" s="18">
        <f>David!D20</f>
        <v>0.7</v>
      </c>
      <c r="Y20" s="18">
        <f>Jac!D20</f>
        <v>0.2</v>
      </c>
      <c r="Z20" s="19">
        <f>James!D20</f>
        <v>0.65</v>
      </c>
      <c r="AA20" s="18">
        <f>Chris!D20</f>
        <v>0.7</v>
      </c>
      <c r="AB20" s="19">
        <f>Lachy!D20</f>
        <v>0.5986876601</v>
      </c>
      <c r="AC20" s="18">
        <f>Gael!D20</f>
        <v>0.7</v>
      </c>
      <c r="AD20" s="18">
        <f>Bruce!D20</f>
        <v>0.5</v>
      </c>
      <c r="AE20" s="18">
        <f>Jac!E20</f>
        <v>0.2</v>
      </c>
      <c r="AF20" s="18">
        <f>Jac!F20</f>
        <v>0.1</v>
      </c>
      <c r="AG20" s="18">
        <f>Jac!G20</f>
        <v>0.2</v>
      </c>
      <c r="AH20" s="18">
        <f>Bruce!E20</f>
        <v>0.5</v>
      </c>
      <c r="AI20" s="18">
        <f>Bruce!F20</f>
        <v>0.5</v>
      </c>
    </row>
    <row r="21" ht="15.75" customHeight="1">
      <c r="A21" s="13">
        <v>20.0</v>
      </c>
      <c r="B21" s="14" t="s">
        <v>14</v>
      </c>
      <c r="C21" s="14" t="s">
        <v>53</v>
      </c>
      <c r="D21" s="15" t="s">
        <v>28</v>
      </c>
      <c r="E21" s="15">
        <v>0.0</v>
      </c>
      <c r="F21" s="16">
        <f t="shared" ref="F21:Q21" si="21">IF($E21=1,(LOG(S21,2)+1),IF($E21=0,(LOG(1-S21,2)+1),""))</f>
        <v>-0.3219280949</v>
      </c>
      <c r="G21" s="16">
        <f t="shared" si="21"/>
        <v>-0.3219280949</v>
      </c>
      <c r="H21" s="16">
        <f t="shared" si="21"/>
        <v>0.2630344058</v>
      </c>
      <c r="I21" s="16">
        <f t="shared" si="21"/>
        <v>-1.321928095</v>
      </c>
      <c r="J21" s="16">
        <f t="shared" si="21"/>
        <v>0.3785116233</v>
      </c>
      <c r="K21" s="16">
        <f t="shared" si="21"/>
        <v>-0.7369655942</v>
      </c>
      <c r="L21" s="16">
        <f t="shared" si="21"/>
        <v>0.2630344058</v>
      </c>
      <c r="M21" s="16">
        <f t="shared" si="21"/>
        <v>-0.8365012677</v>
      </c>
      <c r="N21" s="16">
        <f t="shared" si="21"/>
        <v>-1.321928095</v>
      </c>
      <c r="O21" s="16">
        <f t="shared" si="21"/>
        <v>-0.3172025769</v>
      </c>
      <c r="P21" s="16">
        <f t="shared" si="21"/>
        <v>-1.321928095</v>
      </c>
      <c r="Q21" s="16">
        <f t="shared" si="21"/>
        <v>-0.3219280949</v>
      </c>
      <c r="R21" s="17">
        <f t="shared" si="3"/>
        <v>-5.917657573</v>
      </c>
      <c r="S21" s="18">
        <f>Andrew!D21</f>
        <v>0.6</v>
      </c>
      <c r="T21" s="18">
        <f>Eileen!D21</f>
        <v>0.6</v>
      </c>
      <c r="U21" s="18">
        <f>Iain!D21</f>
        <v>0.4</v>
      </c>
      <c r="V21" s="18">
        <f>Kate!D21</f>
        <v>0.8</v>
      </c>
      <c r="W21" s="18">
        <f>Rohan!D21</f>
        <v>0.35</v>
      </c>
      <c r="X21" s="18">
        <f>David!D21</f>
        <v>0.7</v>
      </c>
      <c r="Y21" s="18">
        <f>Jac!D21</f>
        <v>0.4</v>
      </c>
      <c r="Z21" s="19">
        <f>James!D21</f>
        <v>0.72</v>
      </c>
      <c r="AA21" s="18">
        <f>Chris!D21</f>
        <v>0.8</v>
      </c>
      <c r="AB21" s="19">
        <f>Lachy!D21</f>
        <v>0.5986876601</v>
      </c>
      <c r="AC21" s="18">
        <f>Gael!D21</f>
        <v>0.8</v>
      </c>
      <c r="AD21" s="18">
        <f>Bruce!D21</f>
        <v>0.6</v>
      </c>
      <c r="AE21" s="18">
        <f>Jac!E21</f>
        <v>0.4</v>
      </c>
      <c r="AF21" s="18">
        <f>Jac!F21</f>
        <v>0.2</v>
      </c>
      <c r="AG21" s="18">
        <f>Jac!G21</f>
        <v>0.3</v>
      </c>
      <c r="AH21" s="18">
        <f>Bruce!E21</f>
        <v>0.55</v>
      </c>
      <c r="AI21" s="18">
        <f>Bruce!F21</f>
        <v>0.7</v>
      </c>
    </row>
    <row r="22" ht="15.75" customHeight="1">
      <c r="A22" s="13">
        <v>21.0</v>
      </c>
      <c r="B22" s="14" t="s">
        <v>14</v>
      </c>
      <c r="C22" s="14" t="s">
        <v>54</v>
      </c>
      <c r="D22" s="15" t="s">
        <v>39</v>
      </c>
      <c r="E22" s="15">
        <v>0.0</v>
      </c>
      <c r="F22" s="16">
        <f t="shared" ref="F22:Q22" si="22">IF($E22=1,(LOG(S22,2)+1),IF($E22=0,(LOG(1-S22,2)+1),""))</f>
        <v>-0.5145731728</v>
      </c>
      <c r="G22" s="16">
        <f t="shared" si="22"/>
        <v>0.3785116233</v>
      </c>
      <c r="H22" s="16">
        <f t="shared" si="22"/>
        <v>0</v>
      </c>
      <c r="I22" s="16">
        <f t="shared" si="22"/>
        <v>-0.7369655942</v>
      </c>
      <c r="J22" s="16">
        <f t="shared" si="22"/>
        <v>-0.3219280949</v>
      </c>
      <c r="K22" s="16">
        <f t="shared" si="22"/>
        <v>0</v>
      </c>
      <c r="L22" s="16">
        <f t="shared" si="22"/>
        <v>0.6780719051</v>
      </c>
      <c r="M22" s="16">
        <f t="shared" si="22"/>
        <v>0.5260688117</v>
      </c>
      <c r="N22" s="16">
        <f t="shared" si="22"/>
        <v>0.6780719051</v>
      </c>
      <c r="O22" s="16">
        <f t="shared" si="22"/>
        <v>0.4646149096</v>
      </c>
      <c r="P22" s="16">
        <f t="shared" si="22"/>
        <v>0.2630344058</v>
      </c>
      <c r="Q22" s="16">
        <f t="shared" si="22"/>
        <v>0.2630344058</v>
      </c>
      <c r="R22" s="17">
        <f t="shared" si="3"/>
        <v>1.677941104</v>
      </c>
      <c r="S22" s="18">
        <f>Andrew!D22</f>
        <v>0.65</v>
      </c>
      <c r="T22" s="18">
        <f>Eileen!D22</f>
        <v>0.35</v>
      </c>
      <c r="U22" s="18">
        <f>Iain!D22</f>
        <v>0.5</v>
      </c>
      <c r="V22" s="18">
        <f>Kate!D22</f>
        <v>0.7</v>
      </c>
      <c r="W22" s="18">
        <f>Rohan!D22</f>
        <v>0.6</v>
      </c>
      <c r="X22" s="18">
        <f>David!D22</f>
        <v>0.5</v>
      </c>
      <c r="Y22" s="18">
        <f>Jac!D22</f>
        <v>0.2</v>
      </c>
      <c r="Z22" s="19">
        <f>James!D22</f>
        <v>0.28</v>
      </c>
      <c r="AA22" s="18">
        <f>Chris!D22</f>
        <v>0.2</v>
      </c>
      <c r="AB22" s="19">
        <f>Lachy!D22</f>
        <v>0.3100255189</v>
      </c>
      <c r="AC22" s="18">
        <f>Gael!D22</f>
        <v>0.4</v>
      </c>
      <c r="AD22" s="18">
        <f>Bruce!D22</f>
        <v>0.4</v>
      </c>
      <c r="AE22" s="18">
        <f>Jac!E22</f>
        <v>0.2</v>
      </c>
      <c r="AF22" s="18">
        <f>Jac!F22</f>
        <v>0.2</v>
      </c>
      <c r="AG22" s="18">
        <f>Jac!G22</f>
        <v>0.3</v>
      </c>
      <c r="AH22" s="18">
        <f>Bruce!E22</f>
        <v>0.45</v>
      </c>
      <c r="AI22" s="18">
        <f>Bruce!F22</f>
        <v>0.3</v>
      </c>
    </row>
    <row r="23" ht="15.75" customHeight="1">
      <c r="A23" s="13">
        <v>22.0</v>
      </c>
      <c r="B23" s="14" t="s">
        <v>14</v>
      </c>
      <c r="C23" s="14" t="s">
        <v>55</v>
      </c>
      <c r="D23" s="15" t="s">
        <v>32</v>
      </c>
      <c r="E23" s="15" t="s">
        <v>56</v>
      </c>
      <c r="F23" s="16" t="str">
        <f t="shared" ref="F23:Q23" si="23">IF($E23=1,(LOG(S23,2)+1),IF($E23=0,(LOG(1-S23,2)+1),""))</f>
        <v/>
      </c>
      <c r="G23" s="16" t="str">
        <f t="shared" si="23"/>
        <v/>
      </c>
      <c r="H23" s="16" t="str">
        <f t="shared" si="23"/>
        <v/>
      </c>
      <c r="I23" s="16" t="str">
        <f t="shared" si="23"/>
        <v/>
      </c>
      <c r="J23" s="16" t="str">
        <f t="shared" si="23"/>
        <v/>
      </c>
      <c r="K23" s="16" t="str">
        <f t="shared" si="23"/>
        <v/>
      </c>
      <c r="L23" s="16" t="str">
        <f t="shared" si="23"/>
        <v/>
      </c>
      <c r="M23" s="16" t="str">
        <f t="shared" si="23"/>
        <v/>
      </c>
      <c r="N23" s="16" t="str">
        <f t="shared" si="23"/>
        <v/>
      </c>
      <c r="O23" s="16" t="str">
        <f t="shared" si="23"/>
        <v/>
      </c>
      <c r="P23" s="16" t="str">
        <f t="shared" si="23"/>
        <v/>
      </c>
      <c r="Q23" s="16" t="str">
        <f t="shared" si="23"/>
        <v/>
      </c>
      <c r="R23" s="17">
        <f t="shared" si="3"/>
        <v>0</v>
      </c>
      <c r="S23" s="18">
        <f>Andrew!D23</f>
        <v>0.3</v>
      </c>
      <c r="T23" s="18">
        <f>Eileen!D23</f>
        <v>0.1</v>
      </c>
      <c r="U23" s="18">
        <f>Iain!D23</f>
        <v>0.2</v>
      </c>
      <c r="V23" s="18">
        <f>Kate!D23</f>
        <v>0.4</v>
      </c>
      <c r="W23" s="18">
        <f>Rohan!D23</f>
        <v>0.05</v>
      </c>
      <c r="X23" s="18">
        <f>David!D23</f>
        <v>0.9</v>
      </c>
      <c r="Y23" s="18">
        <f>Jac!D23</f>
        <v>0.2</v>
      </c>
      <c r="Z23" s="19">
        <f>James!D23</f>
        <v>0.18</v>
      </c>
      <c r="AA23" s="18">
        <f>Chris!D23</f>
        <v>0.2</v>
      </c>
      <c r="AB23" s="19">
        <f>Lachy!D23</f>
        <v>0.4501660027</v>
      </c>
      <c r="AC23" s="18">
        <f>Gael!D23</f>
        <v>0.6</v>
      </c>
      <c r="AD23" s="18">
        <f>Bruce!D23</f>
        <v>0.6</v>
      </c>
      <c r="AE23" s="18">
        <f>Jac!E23</f>
        <v>0.2</v>
      </c>
      <c r="AF23" s="18">
        <f>Jac!F23</f>
        <v>0.2</v>
      </c>
      <c r="AG23" s="18">
        <f>Jac!G23</f>
        <v>0.3</v>
      </c>
      <c r="AH23" s="18">
        <f>Bruce!E23</f>
        <v>0.55</v>
      </c>
      <c r="AI23" s="18">
        <f>Bruce!F23</f>
        <v>0.7</v>
      </c>
    </row>
    <row r="24" ht="15.75" customHeight="1">
      <c r="A24" s="13">
        <v>23.0</v>
      </c>
      <c r="B24" s="14" t="s">
        <v>14</v>
      </c>
      <c r="C24" s="14" t="s">
        <v>57</v>
      </c>
      <c r="D24" s="15" t="s">
        <v>32</v>
      </c>
      <c r="E24" s="15">
        <v>0.0</v>
      </c>
      <c r="F24" s="16">
        <f t="shared" ref="F24:Q24" si="24">IF($E24=1,(LOG(S24,2)+1),IF($E24=0,(LOG(1-S24,2)+1),""))</f>
        <v>0.2630344058</v>
      </c>
      <c r="G24" s="16">
        <f t="shared" si="24"/>
        <v>-0.5145731728</v>
      </c>
      <c r="H24" s="16">
        <f t="shared" si="24"/>
        <v>0.6780719051</v>
      </c>
      <c r="I24" s="16">
        <f t="shared" si="24"/>
        <v>0</v>
      </c>
      <c r="J24" s="16">
        <f t="shared" si="24"/>
        <v>0.6040713237</v>
      </c>
      <c r="K24" s="16">
        <f t="shared" si="24"/>
        <v>0</v>
      </c>
      <c r="L24" s="16">
        <f t="shared" si="24"/>
        <v>0.4854268272</v>
      </c>
      <c r="M24" s="16">
        <f t="shared" si="24"/>
        <v>0.4854268272</v>
      </c>
      <c r="N24" s="16">
        <f t="shared" si="24"/>
        <v>0.2630344058</v>
      </c>
      <c r="O24" s="16">
        <f t="shared" si="24"/>
        <v>0.4646149096</v>
      </c>
      <c r="P24" s="16">
        <f t="shared" si="24"/>
        <v>0</v>
      </c>
      <c r="Q24" s="16">
        <f t="shared" si="24"/>
        <v>0.2630344058</v>
      </c>
      <c r="R24" s="17">
        <f t="shared" si="3"/>
        <v>2.992141837</v>
      </c>
      <c r="S24" s="18">
        <f>Andrew!D24</f>
        <v>0.4</v>
      </c>
      <c r="T24" s="18">
        <f>Eileen!D24</f>
        <v>0.65</v>
      </c>
      <c r="U24" s="18">
        <f>Iain!D24</f>
        <v>0.2</v>
      </c>
      <c r="V24" s="18">
        <f>Kate!D24</f>
        <v>0.5</v>
      </c>
      <c r="W24" s="18">
        <f>Rohan!D24</f>
        <v>0.24</v>
      </c>
      <c r="X24" s="18">
        <f>David!D24</f>
        <v>0.5</v>
      </c>
      <c r="Y24" s="18">
        <f>Jac!D24</f>
        <v>0.3</v>
      </c>
      <c r="Z24" s="19">
        <f>James!D24</f>
        <v>0.3</v>
      </c>
      <c r="AA24" s="18">
        <f>Chris!D24</f>
        <v>0.4</v>
      </c>
      <c r="AB24" s="19">
        <f>Lachy!D24</f>
        <v>0.3100255189</v>
      </c>
      <c r="AC24" s="18">
        <f>Gael!D24</f>
        <v>0.5</v>
      </c>
      <c r="AD24" s="18">
        <f>Bruce!D24</f>
        <v>0.4</v>
      </c>
      <c r="AE24" s="18">
        <f>Jac!E24</f>
        <v>0.3</v>
      </c>
      <c r="AF24" s="18">
        <f>Jac!F24</f>
        <v>0.3</v>
      </c>
      <c r="AG24" s="18">
        <f>Jac!G24</f>
        <v>0.4</v>
      </c>
      <c r="AH24" s="18">
        <f>Bruce!E24</f>
        <v>0.45</v>
      </c>
      <c r="AI24" s="18">
        <f>Bruce!F24</f>
        <v>0.6</v>
      </c>
    </row>
    <row r="25" ht="15.75" customHeight="1">
      <c r="A25" s="13">
        <v>24.0</v>
      </c>
      <c r="B25" s="14" t="s">
        <v>14</v>
      </c>
      <c r="C25" s="14" t="s">
        <v>58</v>
      </c>
      <c r="D25" s="15" t="s">
        <v>37</v>
      </c>
      <c r="E25" s="15">
        <v>0.0</v>
      </c>
      <c r="F25" s="16">
        <f t="shared" ref="F25:Q25" si="25">IF($E25=1,(LOG(S25,2)+1),IF($E25=0,(LOG(1-S25,2)+1),""))</f>
        <v>0.6780719051</v>
      </c>
      <c r="G25" s="16">
        <f t="shared" si="25"/>
        <v>0.8479969066</v>
      </c>
      <c r="H25" s="16">
        <f t="shared" si="25"/>
        <v>-0.7369655942</v>
      </c>
      <c r="I25" s="16">
        <f t="shared" si="25"/>
        <v>-0.3219280949</v>
      </c>
      <c r="J25" s="16">
        <f t="shared" si="25"/>
        <v>0.9259994186</v>
      </c>
      <c r="K25" s="16">
        <f t="shared" si="25"/>
        <v>0</v>
      </c>
      <c r="L25" s="16">
        <f t="shared" si="25"/>
        <v>0.9259994186</v>
      </c>
      <c r="M25" s="16">
        <f t="shared" si="25"/>
        <v>0.5849625007</v>
      </c>
      <c r="N25" s="16">
        <f t="shared" si="25"/>
        <v>0.4854268272</v>
      </c>
      <c r="O25" s="16">
        <f t="shared" si="25"/>
        <v>0.6820048958</v>
      </c>
      <c r="P25" s="16">
        <f t="shared" si="25"/>
        <v>-0.3219280949</v>
      </c>
      <c r="Q25" s="16">
        <f t="shared" si="25"/>
        <v>0.5849625007</v>
      </c>
      <c r="R25" s="17">
        <f t="shared" si="3"/>
        <v>4.334602589</v>
      </c>
      <c r="S25" s="18">
        <f>Andrew!D25</f>
        <v>0.2</v>
      </c>
      <c r="T25" s="18">
        <f>Eileen!D25</f>
        <v>0.1</v>
      </c>
      <c r="U25" s="18">
        <f>Iain!D25</f>
        <v>0.7</v>
      </c>
      <c r="V25" s="18">
        <f>Kate!D25</f>
        <v>0.6</v>
      </c>
      <c r="W25" s="18">
        <f>Rohan!D25</f>
        <v>0.05</v>
      </c>
      <c r="X25" s="18">
        <f>David!D25</f>
        <v>0.5</v>
      </c>
      <c r="Y25" s="18">
        <f>Jac!D25</f>
        <v>0.05</v>
      </c>
      <c r="Z25" s="19">
        <f>James!D25</f>
        <v>0.25</v>
      </c>
      <c r="AA25" s="18">
        <f>Chris!D25</f>
        <v>0.3</v>
      </c>
      <c r="AB25" s="19">
        <f>Lachy!D25</f>
        <v>0.1978161114</v>
      </c>
      <c r="AC25" s="18">
        <f>Gael!D25</f>
        <v>0.6</v>
      </c>
      <c r="AD25" s="18">
        <f>Bruce!D25</f>
        <v>0.25</v>
      </c>
      <c r="AE25" s="18">
        <f>Jac!E25</f>
        <v>0.05</v>
      </c>
      <c r="AF25" s="18">
        <f>Jac!F25</f>
        <v>0.01</v>
      </c>
      <c r="AG25" s="18">
        <f>Jac!G25</f>
        <v>0.2</v>
      </c>
      <c r="AH25" s="18">
        <f>Bruce!E25</f>
        <v>0.4</v>
      </c>
      <c r="AI25" s="18">
        <f>Bruce!F25</f>
        <v>0.15</v>
      </c>
    </row>
    <row r="26" ht="15.75" customHeight="1">
      <c r="A26" s="13">
        <v>25.0</v>
      </c>
      <c r="B26" s="14" t="s">
        <v>9</v>
      </c>
      <c r="C26" s="14" t="s">
        <v>59</v>
      </c>
      <c r="D26" s="15" t="s">
        <v>30</v>
      </c>
      <c r="E26" s="15">
        <v>0.0</v>
      </c>
      <c r="F26" s="16">
        <f t="shared" ref="F26:Q26" si="26">IF($E26=1,(LOG(S26,2)+1),IF($E26=0,(LOG(1-S26,2)+1),""))</f>
        <v>-0.7369655942</v>
      </c>
      <c r="G26" s="16">
        <f t="shared" si="26"/>
        <v>0.8479969066</v>
      </c>
      <c r="H26" s="16">
        <f t="shared" si="26"/>
        <v>-0.3219280949</v>
      </c>
      <c r="I26" s="16">
        <f t="shared" si="26"/>
        <v>-1.321928095</v>
      </c>
      <c r="J26" s="16">
        <f t="shared" si="26"/>
        <v>-0.3219280949</v>
      </c>
      <c r="K26" s="16">
        <f t="shared" si="26"/>
        <v>-0.7369655942</v>
      </c>
      <c r="L26" s="16">
        <f t="shared" si="26"/>
        <v>0.2630344058</v>
      </c>
      <c r="M26" s="16">
        <f t="shared" si="26"/>
        <v>0.2630344058</v>
      </c>
      <c r="N26" s="16">
        <f t="shared" si="26"/>
        <v>0.2630344058</v>
      </c>
      <c r="O26" s="16">
        <f t="shared" si="26"/>
        <v>0.5480589169</v>
      </c>
      <c r="P26" s="16">
        <f t="shared" si="26"/>
        <v>-0.5145731728</v>
      </c>
      <c r="Q26" s="16">
        <f t="shared" si="26"/>
        <v>0</v>
      </c>
      <c r="R26" s="17">
        <f t="shared" si="3"/>
        <v>-1.769129605</v>
      </c>
      <c r="S26" s="18">
        <f>Andrew!D26</f>
        <v>0.7</v>
      </c>
      <c r="T26" s="18">
        <f>Eileen!D26</f>
        <v>0.1</v>
      </c>
      <c r="U26" s="18">
        <f>Iain!D26</f>
        <v>0.6</v>
      </c>
      <c r="V26" s="18">
        <f>Kate!D26</f>
        <v>0.8</v>
      </c>
      <c r="W26" s="18">
        <f>Rohan!D26</f>
        <v>0.6</v>
      </c>
      <c r="X26" s="18">
        <f>David!D26</f>
        <v>0.7</v>
      </c>
      <c r="Y26" s="18">
        <f>Jac!D26</f>
        <v>0.4</v>
      </c>
      <c r="Z26" s="19">
        <f>James!D26</f>
        <v>0.4</v>
      </c>
      <c r="AA26" s="18">
        <f>Chris!D26</f>
        <v>0.4</v>
      </c>
      <c r="AB26" s="19">
        <f>Lachy!D26</f>
        <v>0.2689414214</v>
      </c>
      <c r="AC26" s="18">
        <f>Gael!D26</f>
        <v>0.65</v>
      </c>
      <c r="AD26" s="18">
        <f>Bruce!D26</f>
        <v>0.5</v>
      </c>
      <c r="AE26" s="18">
        <f>Jac!E26</f>
        <v>0.4</v>
      </c>
      <c r="AF26" s="18">
        <f>Jac!F26</f>
        <v>0.3</v>
      </c>
      <c r="AG26" s="18">
        <f>Jac!G26</f>
        <v>0.5</v>
      </c>
      <c r="AH26" s="18">
        <f>Bruce!E26</f>
        <v>0.5</v>
      </c>
      <c r="AI26" s="18">
        <f>Bruce!F26</f>
        <v>0.5</v>
      </c>
    </row>
    <row r="27" ht="15.75" customHeight="1">
      <c r="A27" s="13">
        <v>26.0</v>
      </c>
      <c r="B27" s="14" t="s">
        <v>9</v>
      </c>
      <c r="C27" s="14" t="s">
        <v>60</v>
      </c>
      <c r="D27" s="15" t="s">
        <v>32</v>
      </c>
      <c r="E27" s="15">
        <v>0.0</v>
      </c>
      <c r="F27" s="16">
        <f t="shared" ref="F27:Q27" si="27">IF($E27=1,(LOG(S27,2)+1),IF($E27=0,(LOG(1-S27,2)+1),""))</f>
        <v>-0.3219280949</v>
      </c>
      <c r="G27" s="16">
        <f t="shared" si="27"/>
        <v>0.7655347464</v>
      </c>
      <c r="H27" s="16">
        <f t="shared" si="27"/>
        <v>-0.7369655942</v>
      </c>
      <c r="I27" s="16">
        <f t="shared" si="27"/>
        <v>-0.7369655942</v>
      </c>
      <c r="J27" s="16">
        <f t="shared" si="27"/>
        <v>0.5849625007</v>
      </c>
      <c r="K27" s="16">
        <f t="shared" si="27"/>
        <v>-0.7369655942</v>
      </c>
      <c r="L27" s="16">
        <f t="shared" si="27"/>
        <v>0.2630344058</v>
      </c>
      <c r="M27" s="16">
        <f t="shared" si="27"/>
        <v>0.2141248054</v>
      </c>
      <c r="N27" s="16">
        <f t="shared" si="27"/>
        <v>-0.3219280949</v>
      </c>
      <c r="O27" s="16">
        <f t="shared" si="27"/>
        <v>-0.4967787211</v>
      </c>
      <c r="P27" s="16">
        <f t="shared" si="27"/>
        <v>-1.184424571</v>
      </c>
      <c r="Q27" s="16">
        <f t="shared" si="27"/>
        <v>0</v>
      </c>
      <c r="R27" s="17">
        <f t="shared" si="3"/>
        <v>-2.708299806</v>
      </c>
      <c r="S27" s="18">
        <f>Andrew!D27</f>
        <v>0.6</v>
      </c>
      <c r="T27" s="18">
        <f>Eileen!D27</f>
        <v>0.15</v>
      </c>
      <c r="U27" s="18">
        <f>Iain!D27</f>
        <v>0.7</v>
      </c>
      <c r="V27" s="18">
        <f>Kate!D27</f>
        <v>0.7</v>
      </c>
      <c r="W27" s="18">
        <f>Rohan!D27</f>
        <v>0.25</v>
      </c>
      <c r="X27" s="18">
        <f>David!D27</f>
        <v>0.7</v>
      </c>
      <c r="Y27" s="18">
        <f>Jac!D27</f>
        <v>0.4</v>
      </c>
      <c r="Z27" s="19">
        <f>James!D27</f>
        <v>0.42</v>
      </c>
      <c r="AA27" s="18">
        <f>Chris!D27</f>
        <v>0.6</v>
      </c>
      <c r="AB27" s="19">
        <f>Lachy!D27</f>
        <v>0.6456563062</v>
      </c>
      <c r="AC27" s="18">
        <f>Gael!D27</f>
        <v>0.78</v>
      </c>
      <c r="AD27" s="18">
        <f>Bruce!D27</f>
        <v>0.5</v>
      </c>
      <c r="AE27" s="18">
        <f>Jac!E27</f>
        <v>0.4</v>
      </c>
      <c r="AF27" s="18">
        <f>Jac!F27</f>
        <v>0.3</v>
      </c>
      <c r="AG27" s="18">
        <f>Jac!G27</f>
        <v>0.5</v>
      </c>
      <c r="AH27" s="18">
        <f>Bruce!E27</f>
        <v>0.5</v>
      </c>
      <c r="AI27" s="18">
        <f>Bruce!F27</f>
        <v>0.5</v>
      </c>
    </row>
    <row r="28" ht="15.75" customHeight="1">
      <c r="A28" s="13">
        <v>27.0</v>
      </c>
      <c r="B28" s="14" t="s">
        <v>9</v>
      </c>
      <c r="C28" s="14" t="s">
        <v>61</v>
      </c>
      <c r="D28" s="15" t="s">
        <v>28</v>
      </c>
      <c r="E28" s="15">
        <v>0.0</v>
      </c>
      <c r="F28" s="16">
        <f t="shared" ref="F28:Q28" si="28">IF($E28=1,(LOG(S28,2)+1),IF($E28=0,(LOG(1-S28,2)+1),""))</f>
        <v>0.3785116233</v>
      </c>
      <c r="G28" s="16">
        <f t="shared" si="28"/>
        <v>0.8479969066</v>
      </c>
      <c r="H28" s="16">
        <f t="shared" si="28"/>
        <v>0.4854268272</v>
      </c>
      <c r="I28" s="16">
        <f t="shared" si="28"/>
        <v>0.4854268272</v>
      </c>
      <c r="J28" s="16">
        <f t="shared" si="28"/>
        <v>0.3785116233</v>
      </c>
      <c r="K28" s="16">
        <f t="shared" si="28"/>
        <v>-0.7369655942</v>
      </c>
      <c r="L28" s="16">
        <f t="shared" si="28"/>
        <v>-0.3219280949</v>
      </c>
      <c r="M28" s="16">
        <f t="shared" si="28"/>
        <v>0.3103401206</v>
      </c>
      <c r="N28" s="16">
        <f t="shared" si="28"/>
        <v>0.2630344058</v>
      </c>
      <c r="O28" s="16">
        <f t="shared" si="28"/>
        <v>-0.3172025769</v>
      </c>
      <c r="P28" s="16">
        <f t="shared" si="28"/>
        <v>-0.5145731728</v>
      </c>
      <c r="Q28" s="16">
        <f t="shared" si="28"/>
        <v>0.5849625007</v>
      </c>
      <c r="R28" s="17">
        <f t="shared" si="3"/>
        <v>1.843541396</v>
      </c>
      <c r="S28" s="18">
        <f>Andrew!D28</f>
        <v>0.35</v>
      </c>
      <c r="T28" s="18">
        <f>Eileen!D28</f>
        <v>0.1</v>
      </c>
      <c r="U28" s="18">
        <f>Iain!D28</f>
        <v>0.3</v>
      </c>
      <c r="V28" s="18">
        <f>Kate!D28</f>
        <v>0.3</v>
      </c>
      <c r="W28" s="18">
        <f>Rohan!D28</f>
        <v>0.35</v>
      </c>
      <c r="X28" s="18">
        <f>David!D28</f>
        <v>0.7</v>
      </c>
      <c r="Y28" s="18">
        <f>Jac!D28</f>
        <v>0.6</v>
      </c>
      <c r="Z28" s="19">
        <f>James!D28</f>
        <v>0.38</v>
      </c>
      <c r="AA28" s="18">
        <f>Chris!D28</f>
        <v>0.4</v>
      </c>
      <c r="AB28" s="19">
        <f>Lachy!D28</f>
        <v>0.5986876601</v>
      </c>
      <c r="AC28" s="18">
        <f>Gael!D28</f>
        <v>0.65</v>
      </c>
      <c r="AD28" s="18">
        <f>Bruce!D28</f>
        <v>0.25</v>
      </c>
      <c r="AE28" s="18">
        <f>Jac!E28</f>
        <v>0.4</v>
      </c>
      <c r="AF28" s="18">
        <f>Jac!F28</f>
        <v>0.6</v>
      </c>
      <c r="AG28" s="18">
        <f>Jac!G28</f>
        <v>0.5</v>
      </c>
      <c r="AH28" s="18">
        <f>Bruce!E28</f>
        <v>0.2</v>
      </c>
      <c r="AI28" s="18">
        <f>Bruce!F28</f>
        <v>0.3</v>
      </c>
    </row>
    <row r="29" ht="15.75" customHeight="1">
      <c r="A29" s="13">
        <v>28.0</v>
      </c>
      <c r="B29" s="14" t="s">
        <v>9</v>
      </c>
      <c r="C29" s="14" t="s">
        <v>62</v>
      </c>
      <c r="D29" s="15" t="s">
        <v>28</v>
      </c>
      <c r="E29" s="15">
        <v>1.0</v>
      </c>
      <c r="F29" s="16">
        <f t="shared" ref="F29:Q29" si="29">IF($E29=1,(LOG(S29,2)+1),IF($E29=0,(LOG(1-S29,2)+1),""))</f>
        <v>-0.3219280949</v>
      </c>
      <c r="G29" s="16">
        <f t="shared" si="29"/>
        <v>0.4854268272</v>
      </c>
      <c r="H29" s="16">
        <f t="shared" si="29"/>
        <v>0.2630344058</v>
      </c>
      <c r="I29" s="16">
        <f t="shared" si="29"/>
        <v>-0.7369655942</v>
      </c>
      <c r="J29" s="16">
        <f t="shared" si="29"/>
        <v>0.2630344058</v>
      </c>
      <c r="K29" s="16">
        <f t="shared" si="29"/>
        <v>0.4854268272</v>
      </c>
      <c r="L29" s="16">
        <f t="shared" si="29"/>
        <v>0.2630344058</v>
      </c>
      <c r="M29" s="16">
        <f t="shared" si="29"/>
        <v>0.1375035237</v>
      </c>
      <c r="N29" s="16">
        <f t="shared" si="29"/>
        <v>0.2630344058</v>
      </c>
      <c r="O29" s="16">
        <f t="shared" si="29"/>
        <v>0.4646149096</v>
      </c>
      <c r="P29" s="16">
        <f t="shared" si="29"/>
        <v>0.2630344058</v>
      </c>
      <c r="Q29" s="16">
        <f t="shared" si="29"/>
        <v>0.5459683691</v>
      </c>
      <c r="R29" s="17">
        <f t="shared" si="3"/>
        <v>2.375218797</v>
      </c>
      <c r="S29" s="18">
        <f>Andrew!D29</f>
        <v>0.4</v>
      </c>
      <c r="T29" s="18">
        <f>Eileen!D29</f>
        <v>0.7</v>
      </c>
      <c r="U29" s="18">
        <f>Iain!D29</f>
        <v>0.6</v>
      </c>
      <c r="V29" s="18">
        <f>Kate!D29</f>
        <v>0.3</v>
      </c>
      <c r="W29" s="18">
        <f>Rohan!D29</f>
        <v>0.6</v>
      </c>
      <c r="X29" s="18">
        <f>David!D29</f>
        <v>0.7</v>
      </c>
      <c r="Y29" s="18">
        <f>Jac!D29</f>
        <v>0.6</v>
      </c>
      <c r="Z29" s="19">
        <f>James!D29</f>
        <v>0.55</v>
      </c>
      <c r="AA29" s="18">
        <f>Chris!D29</f>
        <v>0.6</v>
      </c>
      <c r="AB29" s="19">
        <f>Lachy!D29</f>
        <v>0.6899744811</v>
      </c>
      <c r="AC29" s="18">
        <f>Gael!D29</f>
        <v>0.6</v>
      </c>
      <c r="AD29" s="18">
        <f>Bruce!D29</f>
        <v>0.73</v>
      </c>
      <c r="AE29" s="18">
        <f>Jac!E29</f>
        <v>0.6</v>
      </c>
      <c r="AF29" s="18">
        <f>Jac!F29</f>
        <v>0.6</v>
      </c>
      <c r="AG29" s="18">
        <f>Jac!G29</f>
        <v>0.5</v>
      </c>
      <c r="AH29" s="18">
        <f>Bruce!E29</f>
        <v>0.6</v>
      </c>
      <c r="AI29" s="18">
        <f>Bruce!F29</f>
        <v>0.85</v>
      </c>
    </row>
    <row r="30" ht="15.75" customHeight="1">
      <c r="A30" s="13">
        <v>29.0</v>
      </c>
      <c r="B30" s="14" t="s">
        <v>9</v>
      </c>
      <c r="C30" s="14" t="s">
        <v>63</v>
      </c>
      <c r="D30" s="15" t="s">
        <v>28</v>
      </c>
      <c r="E30" s="15">
        <v>1.0</v>
      </c>
      <c r="F30" s="16">
        <f t="shared" ref="F30:Q30" si="30">IF($E30=1,(LOG(S30,2)+1),IF($E30=0,(LOG(1-S30,2)+1),""))</f>
        <v>0.2630344058</v>
      </c>
      <c r="G30" s="16">
        <f t="shared" si="30"/>
        <v>0</v>
      </c>
      <c r="H30" s="16">
        <f t="shared" si="30"/>
        <v>0.2630344058</v>
      </c>
      <c r="I30" s="16">
        <f t="shared" si="30"/>
        <v>0.8479969066</v>
      </c>
      <c r="J30" s="16">
        <f t="shared" si="30"/>
        <v>-0.1520030934</v>
      </c>
      <c r="K30" s="16">
        <f t="shared" si="30"/>
        <v>0.4854268272</v>
      </c>
      <c r="L30" s="16">
        <f t="shared" si="30"/>
        <v>0.8479969066</v>
      </c>
      <c r="M30" s="16">
        <f t="shared" si="30"/>
        <v>0.4436066515</v>
      </c>
      <c r="N30" s="16">
        <f t="shared" si="30"/>
        <v>0.4854268272</v>
      </c>
      <c r="O30" s="16">
        <f t="shared" si="30"/>
        <v>0.6820048958</v>
      </c>
      <c r="P30" s="16">
        <f t="shared" si="30"/>
        <v>0.4854268272</v>
      </c>
      <c r="Q30" s="16">
        <f t="shared" si="30"/>
        <v>0.6780719051</v>
      </c>
      <c r="R30" s="17">
        <f t="shared" si="3"/>
        <v>5.330023465</v>
      </c>
      <c r="S30" s="18">
        <f>Andrew!D30</f>
        <v>0.6</v>
      </c>
      <c r="T30" s="18">
        <f>Eileen!D30</f>
        <v>0.5</v>
      </c>
      <c r="U30" s="18">
        <f>Iain!D30</f>
        <v>0.6</v>
      </c>
      <c r="V30" s="18">
        <f>Kate!D30</f>
        <v>0.9</v>
      </c>
      <c r="W30" s="18">
        <f>Rohan!D30</f>
        <v>0.45</v>
      </c>
      <c r="X30" s="18">
        <f>David!D30</f>
        <v>0.7</v>
      </c>
      <c r="Y30" s="18">
        <f>Jac!D30</f>
        <v>0.9</v>
      </c>
      <c r="Z30" s="19">
        <f>James!D30</f>
        <v>0.68</v>
      </c>
      <c r="AA30" s="18">
        <f>Chris!D30</f>
        <v>0.7</v>
      </c>
      <c r="AB30" s="19">
        <f>Lachy!D30</f>
        <v>0.8021838886</v>
      </c>
      <c r="AC30" s="18">
        <f>Gael!D30</f>
        <v>0.7</v>
      </c>
      <c r="AD30" s="18">
        <f>Bruce!D30</f>
        <v>0.8</v>
      </c>
      <c r="AE30" s="18">
        <f>Jac!E30</f>
        <v>0.9</v>
      </c>
      <c r="AF30" s="18">
        <f>Jac!F30</f>
        <v>0.9</v>
      </c>
      <c r="AG30" s="18">
        <f>Jac!G30</f>
        <v>0.8</v>
      </c>
      <c r="AH30" s="18">
        <f>Bruce!E30</f>
        <v>0.7</v>
      </c>
      <c r="AI30" s="18">
        <f>Bruce!F30</f>
        <v>0.9</v>
      </c>
    </row>
    <row r="31" ht="15.75" customHeight="1">
      <c r="A31" s="13">
        <v>30.0</v>
      </c>
      <c r="B31" s="14" t="s">
        <v>64</v>
      </c>
      <c r="C31" s="14" t="s">
        <v>65</v>
      </c>
      <c r="D31" s="15" t="s">
        <v>32</v>
      </c>
      <c r="E31" s="15">
        <v>0.0</v>
      </c>
      <c r="F31" s="16">
        <f t="shared" ref="F31:Q31" si="31">IF($E31=1,(LOG(S31,2)+1),IF($E31=0,(LOG(1-S31,2)+1),""))</f>
        <v>0.2630344058</v>
      </c>
      <c r="G31" s="16">
        <f t="shared" si="31"/>
        <v>0.8479969066</v>
      </c>
      <c r="H31" s="16">
        <f t="shared" si="31"/>
        <v>0.2630344058</v>
      </c>
      <c r="I31" s="16">
        <f t="shared" si="31"/>
        <v>0</v>
      </c>
      <c r="J31" s="16">
        <f t="shared" si="31"/>
        <v>0.7655347464</v>
      </c>
      <c r="K31" s="16">
        <f t="shared" si="31"/>
        <v>-0.7369655942</v>
      </c>
      <c r="L31" s="16">
        <f t="shared" si="31"/>
        <v>0</v>
      </c>
      <c r="M31" s="16">
        <f t="shared" si="31"/>
        <v>0.5260688117</v>
      </c>
      <c r="N31" s="16">
        <f t="shared" si="31"/>
        <v>0.4854268272</v>
      </c>
      <c r="O31" s="16">
        <f t="shared" si="31"/>
        <v>0.6820048958</v>
      </c>
      <c r="P31" s="16">
        <f t="shared" si="31"/>
        <v>-1.321928095</v>
      </c>
      <c r="Q31" s="16">
        <f t="shared" si="31"/>
        <v>0</v>
      </c>
      <c r="R31" s="17">
        <f t="shared" si="3"/>
        <v>1.77420731</v>
      </c>
      <c r="S31" s="18">
        <f>Andrew!D31</f>
        <v>0.4</v>
      </c>
      <c r="T31" s="18">
        <f>Eileen!D31</f>
        <v>0.1</v>
      </c>
      <c r="U31" s="18">
        <f>Iain!D31</f>
        <v>0.4</v>
      </c>
      <c r="V31" s="18">
        <f>Kate!D31</f>
        <v>0.5</v>
      </c>
      <c r="W31" s="18">
        <f>Rohan!D31</f>
        <v>0.15</v>
      </c>
      <c r="X31" s="18">
        <f>David!D31</f>
        <v>0.7</v>
      </c>
      <c r="Y31" s="18">
        <f>Jac!D31</f>
        <v>0.5</v>
      </c>
      <c r="Z31" s="19">
        <f>James!D31</f>
        <v>0.28</v>
      </c>
      <c r="AA31" s="18">
        <f>Chris!D31</f>
        <v>0.3</v>
      </c>
      <c r="AB31" s="19">
        <f>Lachy!D31</f>
        <v>0.1978161114</v>
      </c>
      <c r="AC31" s="18">
        <f>Gael!D31</f>
        <v>0.8</v>
      </c>
      <c r="AD31" s="18">
        <f>Bruce!D31</f>
        <v>0.5</v>
      </c>
      <c r="AE31" s="18">
        <f>Jac!E31</f>
        <v>0.4</v>
      </c>
      <c r="AF31" s="18">
        <f>Jac!F31</f>
        <v>0.3</v>
      </c>
      <c r="AG31" s="18">
        <f>Jac!G31</f>
        <v>0.5</v>
      </c>
      <c r="AH31" s="18">
        <f>Bruce!E31</f>
        <v>0.5</v>
      </c>
      <c r="AI31" s="18">
        <f>Bruce!F31</f>
        <v>0.5</v>
      </c>
    </row>
    <row r="32" ht="15.75" customHeight="1">
      <c r="A32" s="13">
        <v>31.0</v>
      </c>
      <c r="B32" s="14" t="s">
        <v>64</v>
      </c>
      <c r="C32" s="14" t="s">
        <v>66</v>
      </c>
      <c r="D32" s="15" t="s">
        <v>26</v>
      </c>
      <c r="E32" s="15">
        <v>0.0</v>
      </c>
      <c r="F32" s="16">
        <f t="shared" ref="F32:Q32" si="32">IF($E32=1,(LOG(S32,2)+1),IF($E32=0,(LOG(1-S32,2)+1),""))</f>
        <v>0.5849625007</v>
      </c>
      <c r="G32" s="16">
        <f t="shared" si="32"/>
        <v>-0.7369655942</v>
      </c>
      <c r="H32" s="16">
        <f t="shared" si="32"/>
        <v>0</v>
      </c>
      <c r="I32" s="16">
        <f t="shared" si="32"/>
        <v>0.6780719051</v>
      </c>
      <c r="J32" s="16">
        <f t="shared" si="32"/>
        <v>-1</v>
      </c>
      <c r="K32" s="16">
        <f t="shared" si="32"/>
        <v>0</v>
      </c>
      <c r="L32" s="16">
        <f t="shared" si="32"/>
        <v>-0.3219280949</v>
      </c>
      <c r="M32" s="16">
        <f t="shared" si="32"/>
        <v>-0.7369655942</v>
      </c>
      <c r="N32" s="16">
        <f t="shared" si="32"/>
        <v>0.8479969066</v>
      </c>
      <c r="O32" s="16">
        <f t="shared" si="32"/>
        <v>-0.6895411231</v>
      </c>
      <c r="P32" s="16">
        <f t="shared" si="32"/>
        <v>-0.7369655942</v>
      </c>
      <c r="Q32" s="16">
        <f t="shared" si="32"/>
        <v>0.2630344058</v>
      </c>
      <c r="R32" s="17">
        <f t="shared" si="3"/>
        <v>-1.848300282</v>
      </c>
      <c r="S32" s="18">
        <f>Andrew!D32</f>
        <v>0.25</v>
      </c>
      <c r="T32" s="18">
        <f>Eileen!D32</f>
        <v>0.7</v>
      </c>
      <c r="U32" s="18">
        <f>Iain!D32</f>
        <v>0.5</v>
      </c>
      <c r="V32" s="18">
        <f>Kate!D32</f>
        <v>0.2</v>
      </c>
      <c r="W32" s="18">
        <f>Rohan!D32</f>
        <v>0.75</v>
      </c>
      <c r="X32" s="18">
        <f>David!D32</f>
        <v>0.5</v>
      </c>
      <c r="Y32" s="18">
        <f>Jac!D32</f>
        <v>0.6</v>
      </c>
      <c r="Z32" s="19">
        <f>James!D32</f>
        <v>0.7</v>
      </c>
      <c r="AA32" s="18">
        <f>Chris!D32</f>
        <v>0.1</v>
      </c>
      <c r="AB32" s="19">
        <f>Lachy!D32</f>
        <v>0.6899744811</v>
      </c>
      <c r="AC32" s="18">
        <f>Gael!D32</f>
        <v>0.7</v>
      </c>
      <c r="AD32" s="18">
        <f>Bruce!D32</f>
        <v>0.4</v>
      </c>
      <c r="AE32" s="18">
        <f>Jac!E32</f>
        <v>0.3</v>
      </c>
      <c r="AF32" s="18">
        <f>Jac!F32</f>
        <v>0.7</v>
      </c>
      <c r="AG32" s="18">
        <f>Jac!G32</f>
        <v>0.4</v>
      </c>
      <c r="AH32" s="18">
        <f>Bruce!E32</f>
        <v>0.45</v>
      </c>
      <c r="AI32" s="18">
        <f>Bruce!F32</f>
        <v>0.3</v>
      </c>
    </row>
    <row r="33" ht="15.75" customHeight="1">
      <c r="A33" s="13">
        <v>32.0</v>
      </c>
      <c r="B33" s="14" t="s">
        <v>64</v>
      </c>
      <c r="C33" s="14" t="s">
        <v>67</v>
      </c>
      <c r="D33" s="15" t="s">
        <v>32</v>
      </c>
      <c r="E33" s="15">
        <v>0.0</v>
      </c>
      <c r="F33" s="16">
        <f t="shared" ref="F33:Q33" si="33">IF($E33=1,(LOG(S33,2)+1),IF($E33=0,(LOG(1-S33,2)+1),""))</f>
        <v>0.2630344058</v>
      </c>
      <c r="G33" s="16">
        <f t="shared" si="33"/>
        <v>0.2630344058</v>
      </c>
      <c r="H33" s="16">
        <f t="shared" si="33"/>
        <v>-0.3219280949</v>
      </c>
      <c r="I33" s="16">
        <f t="shared" si="33"/>
        <v>0.2630344058</v>
      </c>
      <c r="J33" s="16">
        <f t="shared" si="33"/>
        <v>0.7655347464</v>
      </c>
      <c r="K33" s="16">
        <f t="shared" si="33"/>
        <v>0.8479969066</v>
      </c>
      <c r="L33" s="16">
        <f t="shared" si="33"/>
        <v>0.6780719051</v>
      </c>
      <c r="M33" s="16">
        <f t="shared" si="33"/>
        <v>0.7655347464</v>
      </c>
      <c r="N33" s="16">
        <f t="shared" si="33"/>
        <v>0.8479969066</v>
      </c>
      <c r="O33" s="16">
        <f t="shared" si="33"/>
        <v>0.6820048958</v>
      </c>
      <c r="P33" s="16">
        <f t="shared" si="33"/>
        <v>-1.321928095</v>
      </c>
      <c r="Q33" s="16">
        <f t="shared" si="33"/>
        <v>-0.3219280949</v>
      </c>
      <c r="R33" s="17">
        <f t="shared" si="3"/>
        <v>3.41045904</v>
      </c>
      <c r="S33" s="18">
        <f>Andrew!D33</f>
        <v>0.4</v>
      </c>
      <c r="T33" s="18">
        <f>Eileen!D33</f>
        <v>0.4</v>
      </c>
      <c r="U33" s="18">
        <f>Iain!D33</f>
        <v>0.6</v>
      </c>
      <c r="V33" s="18">
        <f>Kate!D33</f>
        <v>0.4</v>
      </c>
      <c r="W33" s="18">
        <f>Rohan!D33</f>
        <v>0.15</v>
      </c>
      <c r="X33" s="18">
        <f>David!D33</f>
        <v>0.1</v>
      </c>
      <c r="Y33" s="18">
        <f>Jac!D33</f>
        <v>0.2</v>
      </c>
      <c r="Z33" s="19">
        <f>James!D33</f>
        <v>0.15</v>
      </c>
      <c r="AA33" s="18">
        <f>Chris!D33</f>
        <v>0.1</v>
      </c>
      <c r="AB33" s="19">
        <f>Lachy!D33</f>
        <v>0.1978161114</v>
      </c>
      <c r="AC33" s="18">
        <f>Gael!D33</f>
        <v>0.8</v>
      </c>
      <c r="AD33" s="18">
        <f>Bruce!D33</f>
        <v>0.6</v>
      </c>
      <c r="AE33" s="18">
        <f>Jac!E33</f>
        <v>0.2</v>
      </c>
      <c r="AF33" s="18">
        <f>Jac!F33</f>
        <v>0.2</v>
      </c>
      <c r="AG33" s="18">
        <f>Jac!G33</f>
        <v>0.3</v>
      </c>
      <c r="AH33" s="18">
        <f>Bruce!E33</f>
        <v>0.55</v>
      </c>
      <c r="AI33" s="18">
        <f>Bruce!F33</f>
        <v>0.7</v>
      </c>
    </row>
    <row r="34" ht="15.75" customHeight="1">
      <c r="A34" s="13">
        <v>33.0</v>
      </c>
      <c r="B34" s="14" t="s">
        <v>64</v>
      </c>
      <c r="C34" s="14" t="s">
        <v>68</v>
      </c>
      <c r="D34" s="15" t="s">
        <v>39</v>
      </c>
      <c r="E34" s="15">
        <v>0.0</v>
      </c>
      <c r="F34" s="16">
        <f t="shared" ref="F34:Q34" si="34">IF($E34=1,(LOG(S34,2)+1),IF($E34=0,(LOG(1-S34,2)+1),""))</f>
        <v>0.6780719051</v>
      </c>
      <c r="G34" s="16">
        <f t="shared" si="34"/>
        <v>0.8479969066</v>
      </c>
      <c r="H34" s="16">
        <f t="shared" si="34"/>
        <v>0</v>
      </c>
      <c r="I34" s="16">
        <f t="shared" si="34"/>
        <v>0.6780719051</v>
      </c>
      <c r="J34" s="16">
        <f t="shared" si="34"/>
        <v>-1.736965594</v>
      </c>
      <c r="K34" s="16">
        <f t="shared" si="34"/>
        <v>0.8479969066</v>
      </c>
      <c r="L34" s="16">
        <f t="shared" si="34"/>
        <v>0.2630344058</v>
      </c>
      <c r="M34" s="16">
        <f t="shared" si="34"/>
        <v>0.4436066515</v>
      </c>
      <c r="N34" s="16">
        <f t="shared" si="34"/>
        <v>0.4854268272</v>
      </c>
      <c r="O34" s="16">
        <f t="shared" si="34"/>
        <v>0.6820048958</v>
      </c>
      <c r="P34" s="16">
        <f t="shared" si="34"/>
        <v>-0.7369655942</v>
      </c>
      <c r="Q34" s="16">
        <f t="shared" si="34"/>
        <v>0.2630344058</v>
      </c>
      <c r="R34" s="17">
        <f t="shared" si="3"/>
        <v>2.715313621</v>
      </c>
      <c r="S34" s="18">
        <f>Andrew!D34</f>
        <v>0.2</v>
      </c>
      <c r="T34" s="18">
        <f>Eileen!D34</f>
        <v>0.1</v>
      </c>
      <c r="U34" s="18">
        <f>Iain!D34</f>
        <v>0.5</v>
      </c>
      <c r="V34" s="18">
        <f>Kate!D34</f>
        <v>0.2</v>
      </c>
      <c r="W34" s="18">
        <f>Rohan!D34</f>
        <v>0.85</v>
      </c>
      <c r="X34" s="18">
        <f>David!D34</f>
        <v>0.1</v>
      </c>
      <c r="Y34" s="18">
        <f>Jac!D34</f>
        <v>0.4</v>
      </c>
      <c r="Z34" s="19">
        <f>James!D34</f>
        <v>0.32</v>
      </c>
      <c r="AA34" s="18">
        <f>Chris!D34</f>
        <v>0.3</v>
      </c>
      <c r="AB34" s="19">
        <f>Lachy!D34</f>
        <v>0.1978161114</v>
      </c>
      <c r="AC34" s="18">
        <f>Gael!D34</f>
        <v>0.7</v>
      </c>
      <c r="AD34" s="18">
        <f>Bruce!D34</f>
        <v>0.4</v>
      </c>
      <c r="AE34" s="18">
        <f>Jac!E34</f>
        <v>0.4</v>
      </c>
      <c r="AF34" s="18">
        <f>Jac!F34</f>
        <v>0.3</v>
      </c>
      <c r="AG34" s="18">
        <f>Jac!G34</f>
        <v>0.5</v>
      </c>
      <c r="AH34" s="18">
        <f>Bruce!E34</f>
        <v>0.45</v>
      </c>
      <c r="AI34" s="18">
        <f>Bruce!F34</f>
        <v>0.3</v>
      </c>
    </row>
    <row r="35" ht="15.75" customHeight="1">
      <c r="A35" s="13">
        <v>34.0</v>
      </c>
      <c r="B35" s="14" t="s">
        <v>64</v>
      </c>
      <c r="C35" s="14" t="s">
        <v>69</v>
      </c>
      <c r="D35" s="15" t="s">
        <v>28</v>
      </c>
      <c r="E35" s="15">
        <v>1.0</v>
      </c>
      <c r="F35" s="16">
        <f t="shared" ref="F35:Q35" si="35">IF($E35=1,(LOG(S35,2)+1),IF($E35=0,(LOG(1-S35,2)+1),""))</f>
        <v>0.6780719051</v>
      </c>
      <c r="G35" s="16">
        <f t="shared" si="35"/>
        <v>0.5849625007</v>
      </c>
      <c r="H35" s="16">
        <f t="shared" si="35"/>
        <v>0.4854268272</v>
      </c>
      <c r="I35" s="16">
        <f t="shared" si="35"/>
        <v>0.4854268272</v>
      </c>
      <c r="J35" s="16">
        <f t="shared" si="35"/>
        <v>0.4854268272</v>
      </c>
      <c r="K35" s="16">
        <f t="shared" si="35"/>
        <v>-0.7369655942</v>
      </c>
      <c r="L35" s="16">
        <f t="shared" si="35"/>
        <v>0.2630344058</v>
      </c>
      <c r="M35" s="16">
        <f t="shared" si="35"/>
        <v>0.6780719051</v>
      </c>
      <c r="N35" s="16">
        <f t="shared" si="35"/>
        <v>0.8479969066</v>
      </c>
      <c r="O35" s="16">
        <f t="shared" si="35"/>
        <v>0.6820048958</v>
      </c>
      <c r="P35" s="16">
        <f t="shared" si="35"/>
        <v>0.6780719051</v>
      </c>
      <c r="Q35" s="16">
        <f t="shared" si="35"/>
        <v>0.8479969066</v>
      </c>
      <c r="R35" s="17">
        <f t="shared" si="3"/>
        <v>5.979526218</v>
      </c>
      <c r="S35" s="18">
        <f>Andrew!D35</f>
        <v>0.8</v>
      </c>
      <c r="T35" s="18">
        <f>Eileen!D35</f>
        <v>0.75</v>
      </c>
      <c r="U35" s="18">
        <f>Iain!D35</f>
        <v>0.7</v>
      </c>
      <c r="V35" s="18">
        <f>Kate!D35</f>
        <v>0.7</v>
      </c>
      <c r="W35" s="18">
        <f>Rohan!D35</f>
        <v>0.7</v>
      </c>
      <c r="X35" s="18">
        <f>David!D35</f>
        <v>0.3</v>
      </c>
      <c r="Y35" s="18">
        <f>Jac!D35</f>
        <v>0.6</v>
      </c>
      <c r="Z35" s="19">
        <f>James!D35</f>
        <v>0.8</v>
      </c>
      <c r="AA35" s="18">
        <f>Chris!D35</f>
        <v>0.9</v>
      </c>
      <c r="AB35" s="19">
        <f>Lachy!D35</f>
        <v>0.8021838886</v>
      </c>
      <c r="AC35" s="18">
        <f>Gael!D35</f>
        <v>0.8</v>
      </c>
      <c r="AD35" s="18">
        <f>Bruce!D35</f>
        <v>0.9</v>
      </c>
      <c r="AE35" s="18">
        <f>Jac!E35</f>
        <v>0.6</v>
      </c>
      <c r="AF35" s="18">
        <f>Jac!F35</f>
        <v>0.8</v>
      </c>
      <c r="AG35" s="18">
        <f>Jac!G35</f>
        <v>0.5</v>
      </c>
      <c r="AH35" s="18">
        <f>Bruce!E35</f>
        <v>0.8</v>
      </c>
      <c r="AI35" s="18">
        <f>Bruce!F35</f>
        <v>0.99</v>
      </c>
    </row>
    <row r="36" ht="15.75" customHeight="1">
      <c r="A36" s="13">
        <v>35.0</v>
      </c>
      <c r="B36" s="14" t="s">
        <v>7</v>
      </c>
      <c r="C36" s="14" t="s">
        <v>70</v>
      </c>
      <c r="D36" s="15" t="s">
        <v>32</v>
      </c>
      <c r="E36" s="15">
        <v>0.0</v>
      </c>
      <c r="F36" s="16">
        <f t="shared" ref="F36:Q36" si="36">IF($E36=1,(LOG(S36,2)+1),IF($E36=0,(LOG(1-S36,2)+1),""))</f>
        <v>-1</v>
      </c>
      <c r="G36" s="16">
        <f t="shared" si="36"/>
        <v>-1.321928095</v>
      </c>
      <c r="H36" s="16">
        <f t="shared" si="36"/>
        <v>0.6780719051</v>
      </c>
      <c r="I36" s="16">
        <f t="shared" si="36"/>
        <v>-0.3219280949</v>
      </c>
      <c r="J36" s="16">
        <f t="shared" si="36"/>
        <v>-0.02914634566</v>
      </c>
      <c r="K36" s="16">
        <f t="shared" si="36"/>
        <v>0</v>
      </c>
      <c r="L36" s="16">
        <f t="shared" si="36"/>
        <v>0.2630344058</v>
      </c>
      <c r="M36" s="16">
        <f t="shared" si="36"/>
        <v>-0.8365012677</v>
      </c>
      <c r="N36" s="16">
        <f t="shared" si="36"/>
        <v>-0.3219280949</v>
      </c>
      <c r="O36" s="16">
        <f t="shared" si="36"/>
        <v>0.4646149096</v>
      </c>
      <c r="P36" s="16">
        <f t="shared" si="36"/>
        <v>-0.5145731728</v>
      </c>
      <c r="Q36" s="16">
        <f t="shared" si="36"/>
        <v>-0.1520030934</v>
      </c>
      <c r="R36" s="17">
        <f t="shared" si="3"/>
        <v>-3.092286944</v>
      </c>
      <c r="S36" s="18">
        <f>Andrew!D36</f>
        <v>0.75</v>
      </c>
      <c r="T36" s="18">
        <f>Eileen!D36</f>
        <v>0.8</v>
      </c>
      <c r="U36" s="18">
        <f>Iain!D36</f>
        <v>0.2</v>
      </c>
      <c r="V36" s="18">
        <f>Kate!D36</f>
        <v>0.6</v>
      </c>
      <c r="W36" s="18">
        <f>Rohan!D36</f>
        <v>0.51</v>
      </c>
      <c r="X36" s="18">
        <f>David!D36</f>
        <v>0.5</v>
      </c>
      <c r="Y36" s="18">
        <f>Jac!D36</f>
        <v>0.4</v>
      </c>
      <c r="Z36" s="19">
        <f>James!D36</f>
        <v>0.72</v>
      </c>
      <c r="AA36" s="18">
        <f>Chris!D36</f>
        <v>0.6</v>
      </c>
      <c r="AB36" s="19">
        <f>Lachy!D36</f>
        <v>0.3100255189</v>
      </c>
      <c r="AC36" s="18">
        <f>Gael!D36</f>
        <v>0.65</v>
      </c>
      <c r="AD36" s="18">
        <f>Bruce!D36</f>
        <v>0.55</v>
      </c>
      <c r="AE36" s="18">
        <f>Jac!E36</f>
        <v>0.4</v>
      </c>
      <c r="AF36" s="18">
        <f>Jac!F36</f>
        <v>0.3</v>
      </c>
      <c r="AG36" s="18">
        <f>Jac!G36</f>
        <v>0.5</v>
      </c>
      <c r="AH36" s="18">
        <f>Bruce!E36</f>
        <v>0.52</v>
      </c>
      <c r="AI36" s="18">
        <f>Bruce!F36</f>
        <v>0.6</v>
      </c>
    </row>
    <row r="37" ht="15.75" customHeight="1">
      <c r="A37" s="13">
        <v>36.0</v>
      </c>
      <c r="B37" s="14" t="s">
        <v>7</v>
      </c>
      <c r="C37" s="14" t="s">
        <v>71</v>
      </c>
      <c r="D37" s="15" t="s">
        <v>28</v>
      </c>
      <c r="E37" s="15">
        <v>1.0</v>
      </c>
      <c r="F37" s="16">
        <f t="shared" ref="F37:Q37" si="37">IF($E37=1,(LOG(S37,2)+1),IF($E37=0,(LOG(1-S37,2)+1),""))</f>
        <v>0.4854268272</v>
      </c>
      <c r="G37" s="16">
        <f t="shared" si="37"/>
        <v>0.2630344058</v>
      </c>
      <c r="H37" s="16">
        <f t="shared" si="37"/>
        <v>-0.3219280949</v>
      </c>
      <c r="I37" s="16">
        <f t="shared" si="37"/>
        <v>0.4854268272</v>
      </c>
      <c r="J37" s="16">
        <f t="shared" si="37"/>
        <v>0.3561438102</v>
      </c>
      <c r="K37" s="16">
        <f t="shared" si="37"/>
        <v>0.4854268272</v>
      </c>
      <c r="L37" s="16">
        <f t="shared" si="37"/>
        <v>-0.3219280949</v>
      </c>
      <c r="M37" s="16">
        <f t="shared" si="37"/>
        <v>0.6415460291</v>
      </c>
      <c r="N37" s="16">
        <f t="shared" si="37"/>
        <v>0.6780719051</v>
      </c>
      <c r="O37" s="16">
        <f t="shared" si="37"/>
        <v>0.2598754395</v>
      </c>
      <c r="P37" s="16">
        <f t="shared" si="37"/>
        <v>0.6780719051</v>
      </c>
      <c r="Q37" s="16">
        <f t="shared" si="37"/>
        <v>0.6780719051</v>
      </c>
      <c r="R37" s="17">
        <f t="shared" si="3"/>
        <v>4.367239692</v>
      </c>
      <c r="S37" s="18">
        <f>Andrew!D37</f>
        <v>0.7</v>
      </c>
      <c r="T37" s="18">
        <f>Eileen!D37</f>
        <v>0.6</v>
      </c>
      <c r="U37" s="18">
        <f>Iain!D37</f>
        <v>0.4</v>
      </c>
      <c r="V37" s="18">
        <f>Kate!D37</f>
        <v>0.7</v>
      </c>
      <c r="W37" s="18">
        <f>Rohan!D37</f>
        <v>0.64</v>
      </c>
      <c r="X37" s="18">
        <f>David!D37</f>
        <v>0.7</v>
      </c>
      <c r="Y37" s="18">
        <f>Jac!D37</f>
        <v>0.4</v>
      </c>
      <c r="Z37" s="19">
        <f>James!D37</f>
        <v>0.78</v>
      </c>
      <c r="AA37" s="18">
        <f>Chris!D37</f>
        <v>0.8</v>
      </c>
      <c r="AB37" s="19">
        <f>Lachy!D37</f>
        <v>0.5986876601</v>
      </c>
      <c r="AC37" s="18">
        <f>Gael!D37</f>
        <v>0.8</v>
      </c>
      <c r="AD37" s="18">
        <f>Bruce!D37</f>
        <v>0.8</v>
      </c>
      <c r="AE37" s="18">
        <f>Jac!E37</f>
        <v>0.4</v>
      </c>
      <c r="AF37" s="18">
        <f>Jac!F37</f>
        <v>0.3</v>
      </c>
      <c r="AG37" s="18">
        <f>Jac!G37</f>
        <v>0.5</v>
      </c>
      <c r="AH37" s="18">
        <f>Bruce!E37</f>
        <v>0.65</v>
      </c>
      <c r="AI37" s="18">
        <f>Bruce!F37</f>
        <v>0.9</v>
      </c>
    </row>
    <row r="38" ht="15.75" customHeight="1">
      <c r="A38" s="13">
        <v>37.0</v>
      </c>
      <c r="B38" s="14" t="s">
        <v>7</v>
      </c>
      <c r="C38" s="14" t="s">
        <v>72</v>
      </c>
      <c r="D38" s="15" t="s">
        <v>42</v>
      </c>
      <c r="E38" s="15">
        <v>0.0</v>
      </c>
      <c r="F38" s="16">
        <f t="shared" ref="F38:Q38" si="38">IF($E38=1,(LOG(S38,2)+1),IF($E38=0,(LOG(1-S38,2)+1),""))</f>
        <v>0.4854268272</v>
      </c>
      <c r="G38" s="16">
        <f t="shared" si="38"/>
        <v>-0.3219280949</v>
      </c>
      <c r="H38" s="16">
        <f t="shared" si="38"/>
        <v>-1.321928095</v>
      </c>
      <c r="I38" s="16">
        <f t="shared" si="38"/>
        <v>-1.321928095</v>
      </c>
      <c r="J38" s="16">
        <f t="shared" si="38"/>
        <v>0.4854268272</v>
      </c>
      <c r="K38" s="16">
        <f t="shared" si="38"/>
        <v>0</v>
      </c>
      <c r="L38" s="16">
        <f t="shared" si="38"/>
        <v>0.4854268272</v>
      </c>
      <c r="M38" s="16">
        <f t="shared" si="38"/>
        <v>0.1375035237</v>
      </c>
      <c r="N38" s="16">
        <f t="shared" si="38"/>
        <v>0.2630344058</v>
      </c>
      <c r="O38" s="16">
        <f t="shared" si="38"/>
        <v>0.4646149096</v>
      </c>
      <c r="P38" s="16">
        <f t="shared" si="38"/>
        <v>-0.1520030934</v>
      </c>
      <c r="Q38" s="16">
        <f t="shared" si="38"/>
        <v>0.2630344058</v>
      </c>
      <c r="R38" s="17">
        <f t="shared" si="3"/>
        <v>-0.5333196516</v>
      </c>
      <c r="S38" s="18">
        <f>Andrew!D38</f>
        <v>0.3</v>
      </c>
      <c r="T38" s="18">
        <f>Eileen!D38</f>
        <v>0.6</v>
      </c>
      <c r="U38" s="18">
        <f>Iain!D38</f>
        <v>0.8</v>
      </c>
      <c r="V38" s="18">
        <f>Kate!D38</f>
        <v>0.8</v>
      </c>
      <c r="W38" s="18">
        <f>Rohan!D38</f>
        <v>0.3</v>
      </c>
      <c r="X38" s="18">
        <f>David!D38</f>
        <v>0.5</v>
      </c>
      <c r="Y38" s="18">
        <f>Jac!D38</f>
        <v>0.3</v>
      </c>
      <c r="Z38" s="19">
        <f>James!D38</f>
        <v>0.45</v>
      </c>
      <c r="AA38" s="18">
        <f>Chris!D38</f>
        <v>0.4</v>
      </c>
      <c r="AB38" s="19">
        <f>Lachy!D38</f>
        <v>0.3100255189</v>
      </c>
      <c r="AC38" s="18">
        <f>Gael!D38</f>
        <v>0.55</v>
      </c>
      <c r="AD38" s="18">
        <f>Bruce!D38</f>
        <v>0.4</v>
      </c>
      <c r="AE38" s="18">
        <f>Jac!E38</f>
        <v>0.3</v>
      </c>
      <c r="AF38" s="18">
        <f>Jac!F38</f>
        <v>0.3</v>
      </c>
      <c r="AG38" s="18">
        <f>Jac!G38</f>
        <v>0.4</v>
      </c>
      <c r="AH38" s="18">
        <f>Bruce!E38</f>
        <v>0.45</v>
      </c>
      <c r="AI38" s="18">
        <f>Bruce!F38</f>
        <v>0.3</v>
      </c>
    </row>
    <row r="39" ht="15.75" customHeight="1">
      <c r="A39" s="13">
        <v>38.0</v>
      </c>
      <c r="B39" s="14" t="s">
        <v>7</v>
      </c>
      <c r="C39" s="14" t="s">
        <v>73</v>
      </c>
      <c r="D39" s="15" t="s">
        <v>45</v>
      </c>
      <c r="E39" s="15">
        <v>0.0</v>
      </c>
      <c r="F39" s="16">
        <f t="shared" ref="F39:Q39" si="39">IF($E39=1,(LOG(S39,2)+1),IF($E39=0,(LOG(1-S39,2)+1),""))</f>
        <v>-0.5145731728</v>
      </c>
      <c r="G39" s="16">
        <f t="shared" si="39"/>
        <v>0.6780719051</v>
      </c>
      <c r="H39" s="16">
        <f t="shared" si="39"/>
        <v>0.6780719051</v>
      </c>
      <c r="I39" s="16">
        <f t="shared" si="39"/>
        <v>0.4854268272</v>
      </c>
      <c r="J39" s="16">
        <f t="shared" si="39"/>
        <v>-0.1520030934</v>
      </c>
      <c r="K39" s="16">
        <f t="shared" si="39"/>
        <v>0.4854268272</v>
      </c>
      <c r="L39" s="16">
        <f t="shared" si="39"/>
        <v>0.6780719051</v>
      </c>
      <c r="M39" s="16">
        <f t="shared" si="39"/>
        <v>0.4436066515</v>
      </c>
      <c r="N39" s="16">
        <f t="shared" si="39"/>
        <v>0.6780719051</v>
      </c>
      <c r="O39" s="16">
        <f t="shared" si="39"/>
        <v>0.6820048958</v>
      </c>
      <c r="P39" s="16">
        <f t="shared" si="39"/>
        <v>-0.7369655942</v>
      </c>
      <c r="Q39" s="16">
        <f t="shared" si="39"/>
        <v>0.8479969066</v>
      </c>
      <c r="R39" s="17">
        <f t="shared" si="3"/>
        <v>4.253207868</v>
      </c>
      <c r="S39" s="18">
        <f>Andrew!D39</f>
        <v>0.65</v>
      </c>
      <c r="T39" s="18">
        <f>Eileen!D39</f>
        <v>0.2</v>
      </c>
      <c r="U39" s="18">
        <f>Iain!D39</f>
        <v>0.2</v>
      </c>
      <c r="V39" s="18">
        <f>Kate!D39</f>
        <v>0.3</v>
      </c>
      <c r="W39" s="18">
        <f>Rohan!D39</f>
        <v>0.55</v>
      </c>
      <c r="X39" s="18">
        <f>David!D39</f>
        <v>0.3</v>
      </c>
      <c r="Y39" s="18">
        <f>Jac!D39</f>
        <v>0.2</v>
      </c>
      <c r="Z39" s="19">
        <f>James!D39</f>
        <v>0.32</v>
      </c>
      <c r="AA39" s="18">
        <f>Chris!D39</f>
        <v>0.2</v>
      </c>
      <c r="AB39" s="19">
        <f>Lachy!D39</f>
        <v>0.1978161114</v>
      </c>
      <c r="AC39" s="18">
        <f>Gael!D39</f>
        <v>0.7</v>
      </c>
      <c r="AD39" s="18">
        <f>Bruce!D39</f>
        <v>0.1</v>
      </c>
      <c r="AE39" s="18">
        <f>Jac!E39</f>
        <v>0.2</v>
      </c>
      <c r="AF39" s="18">
        <f>Jac!F39</f>
        <v>0.05</v>
      </c>
      <c r="AG39" s="18">
        <f>Jac!G39</f>
        <v>0.1</v>
      </c>
      <c r="AH39" s="18">
        <f>Bruce!E39</f>
        <v>0.2</v>
      </c>
      <c r="AI39" s="18">
        <f>Bruce!F39</f>
        <v>0.01</v>
      </c>
    </row>
    <row r="40" ht="15.75" customHeight="1">
      <c r="A40" s="13">
        <v>39.0</v>
      </c>
      <c r="B40" s="14" t="s">
        <v>7</v>
      </c>
      <c r="C40" s="14" t="s">
        <v>74</v>
      </c>
      <c r="D40" s="15" t="s">
        <v>30</v>
      </c>
      <c r="E40" s="15">
        <v>0.0</v>
      </c>
      <c r="F40" s="16">
        <f t="shared" ref="F40:Q40" si="40">IF($E40=1,(LOG(S40,2)+1),IF($E40=0,(LOG(1-S40,2)+1),""))</f>
        <v>0.9259994186</v>
      </c>
      <c r="G40" s="16">
        <f t="shared" si="40"/>
        <v>0.8479969066</v>
      </c>
      <c r="H40" s="16">
        <f t="shared" si="40"/>
        <v>0.6780719051</v>
      </c>
      <c r="I40" s="16">
        <f t="shared" si="40"/>
        <v>-0.3219280949</v>
      </c>
      <c r="J40" s="16">
        <f t="shared" si="40"/>
        <v>0.5260688117</v>
      </c>
      <c r="K40" s="16">
        <f t="shared" si="40"/>
        <v>-2.321928095</v>
      </c>
      <c r="L40" s="16">
        <f t="shared" si="40"/>
        <v>0.8479969066</v>
      </c>
      <c r="M40" s="16">
        <f t="shared" si="40"/>
        <v>0.9855004303</v>
      </c>
      <c r="N40" s="16">
        <f t="shared" si="40"/>
        <v>0.8479969066</v>
      </c>
      <c r="O40" s="16">
        <f t="shared" si="40"/>
        <v>0.8168815879</v>
      </c>
      <c r="P40" s="16">
        <f t="shared" si="40"/>
        <v>0.8479969066</v>
      </c>
      <c r="Q40" s="16">
        <f t="shared" si="40"/>
        <v>0.6780719051</v>
      </c>
      <c r="R40" s="17">
        <f t="shared" si="3"/>
        <v>5.358725495</v>
      </c>
      <c r="S40" s="18">
        <f>Andrew!D40</f>
        <v>0.05</v>
      </c>
      <c r="T40" s="18">
        <f>Eileen!D40</f>
        <v>0.1</v>
      </c>
      <c r="U40" s="18">
        <f>Iain!D40</f>
        <v>0.2</v>
      </c>
      <c r="V40" s="18">
        <f>Kate!D40</f>
        <v>0.6</v>
      </c>
      <c r="W40" s="18">
        <f>Rohan!D40</f>
        <v>0.28</v>
      </c>
      <c r="X40" s="18">
        <f>David!D40</f>
        <v>0.9</v>
      </c>
      <c r="Y40" s="18">
        <f>Jac!D40</f>
        <v>0.1</v>
      </c>
      <c r="Z40" s="19">
        <f>James!D40</f>
        <v>0.01</v>
      </c>
      <c r="AA40" s="18">
        <f>Chris!D40</f>
        <v>0.1</v>
      </c>
      <c r="AB40" s="19">
        <f>Lachy!D40</f>
        <v>0.119202922</v>
      </c>
      <c r="AC40" s="18">
        <f>Gael!D40</f>
        <v>0.1</v>
      </c>
      <c r="AD40" s="18">
        <f>Bruce!D40</f>
        <v>0.2</v>
      </c>
      <c r="AE40" s="18">
        <f>Jac!E40</f>
        <v>0.1</v>
      </c>
      <c r="AF40" s="18">
        <f>Jac!F40</f>
        <v>0.1</v>
      </c>
      <c r="AG40" s="18">
        <f>Jac!G40</f>
        <v>0.2</v>
      </c>
      <c r="AH40" s="18">
        <f>Bruce!E40</f>
        <v>0.3</v>
      </c>
      <c r="AI40" s="18">
        <f>Bruce!F40</f>
        <v>0.15</v>
      </c>
    </row>
    <row r="41" ht="15.75" customHeight="1">
      <c r="A41" s="13">
        <v>40.0</v>
      </c>
      <c r="B41" s="14" t="s">
        <v>75</v>
      </c>
      <c r="C41" s="14" t="s">
        <v>76</v>
      </c>
      <c r="D41" s="15" t="s">
        <v>28</v>
      </c>
      <c r="E41" s="15">
        <v>0.0</v>
      </c>
      <c r="F41" s="16">
        <f t="shared" ref="F41:Q41" si="41">IF($E41=1,(LOG(S41,2)+1),IF($E41=0,(LOG(1-S41,2)+1),""))</f>
        <v>0.6780719051</v>
      </c>
      <c r="G41" s="16">
        <f t="shared" si="41"/>
        <v>0.8479969066</v>
      </c>
      <c r="H41" s="16">
        <f t="shared" si="41"/>
        <v>0</v>
      </c>
      <c r="I41" s="16">
        <f t="shared" si="41"/>
        <v>0.6780719051</v>
      </c>
      <c r="J41" s="16">
        <f t="shared" si="41"/>
        <v>0.6040713237</v>
      </c>
      <c r="K41" s="16">
        <f t="shared" si="41"/>
        <v>0.4854268272</v>
      </c>
      <c r="L41" s="16">
        <f t="shared" si="41"/>
        <v>0</v>
      </c>
      <c r="M41" s="16">
        <f t="shared" si="41"/>
        <v>0.3785116233</v>
      </c>
      <c r="N41" s="16">
        <f t="shared" si="41"/>
        <v>0.2630344058</v>
      </c>
      <c r="O41" s="16">
        <f t="shared" si="41"/>
        <v>0.4646149096</v>
      </c>
      <c r="P41" s="16">
        <f t="shared" si="41"/>
        <v>0.2630344058</v>
      </c>
      <c r="Q41" s="16">
        <f t="shared" si="41"/>
        <v>0.4854268272</v>
      </c>
      <c r="R41" s="17">
        <f t="shared" si="3"/>
        <v>5.148261039</v>
      </c>
      <c r="S41" s="18">
        <f>Andrew!D41</f>
        <v>0.2</v>
      </c>
      <c r="T41" s="18">
        <f>Eileen!D41</f>
        <v>0.1</v>
      </c>
      <c r="U41" s="18">
        <f>Iain!D41</f>
        <v>0.5</v>
      </c>
      <c r="V41" s="18">
        <f>Kate!D41</f>
        <v>0.2</v>
      </c>
      <c r="W41" s="18">
        <f>Rohan!D41</f>
        <v>0.24</v>
      </c>
      <c r="X41" s="18">
        <f>David!D41</f>
        <v>0.3</v>
      </c>
      <c r="Y41" s="18">
        <f>Jac!D41</f>
        <v>0.5</v>
      </c>
      <c r="Z41" s="19">
        <f>James!D41</f>
        <v>0.35</v>
      </c>
      <c r="AA41" s="18">
        <f>Chris!D41</f>
        <v>0.4</v>
      </c>
      <c r="AB41" s="19">
        <f>Lachy!D41</f>
        <v>0.3100255189</v>
      </c>
      <c r="AC41" s="18">
        <f>Gael!D41</f>
        <v>0.4</v>
      </c>
      <c r="AD41" s="18">
        <f>Bruce!D41</f>
        <v>0.3</v>
      </c>
      <c r="AE41" s="18">
        <f>Jac!E41</f>
        <v>0.5</v>
      </c>
      <c r="AF41" s="18">
        <f>Jac!F41</f>
        <v>0.4</v>
      </c>
      <c r="AG41" s="18">
        <f>Jac!G41</f>
        <v>0.5</v>
      </c>
      <c r="AH41" s="18">
        <f>Bruce!E41</f>
        <v>0.4</v>
      </c>
      <c r="AI41" s="18">
        <f>Bruce!F41</f>
        <v>0.2</v>
      </c>
    </row>
    <row r="42" ht="15.75" customHeight="1">
      <c r="A42" s="13">
        <v>41.0</v>
      </c>
      <c r="B42" s="14" t="s">
        <v>75</v>
      </c>
      <c r="C42" s="14" t="s">
        <v>77</v>
      </c>
      <c r="D42" s="15" t="s">
        <v>32</v>
      </c>
      <c r="E42" s="15">
        <v>1.0</v>
      </c>
      <c r="F42" s="16">
        <f t="shared" ref="F42:Q42" si="42">IF($E42=1,(LOG(S42,2)+1),IF($E42=0,(LOG(1-S42,2)+1),""))</f>
        <v>0.9259994186</v>
      </c>
      <c r="G42" s="16">
        <f t="shared" si="42"/>
        <v>-1.321928095</v>
      </c>
      <c r="H42" s="16">
        <f t="shared" si="42"/>
        <v>0</v>
      </c>
      <c r="I42" s="16">
        <f t="shared" si="42"/>
        <v>0.8479969066</v>
      </c>
      <c r="J42" s="16">
        <f t="shared" si="42"/>
        <v>-0.05889368905</v>
      </c>
      <c r="K42" s="16">
        <f t="shared" si="42"/>
        <v>0.6780719051</v>
      </c>
      <c r="L42" s="16">
        <f t="shared" si="42"/>
        <v>0.6780719051</v>
      </c>
      <c r="M42" s="16">
        <f t="shared" si="42"/>
        <v>1</v>
      </c>
      <c r="N42" s="16">
        <f t="shared" si="42"/>
        <v>0.9855004303</v>
      </c>
      <c r="O42" s="16">
        <f t="shared" si="42"/>
        <v>0.4646149096</v>
      </c>
      <c r="P42" s="16">
        <f t="shared" si="42"/>
        <v>0.5849625007</v>
      </c>
      <c r="Q42" s="16">
        <f t="shared" si="42"/>
        <v>0.8479969066</v>
      </c>
      <c r="R42" s="17">
        <f t="shared" si="3"/>
        <v>5.632393099</v>
      </c>
      <c r="S42" s="18">
        <f>Andrew!D42</f>
        <v>0.95</v>
      </c>
      <c r="T42" s="18">
        <f>Eileen!D42</f>
        <v>0.2</v>
      </c>
      <c r="U42" s="18">
        <f>Iain!D42</f>
        <v>0.5</v>
      </c>
      <c r="V42" s="18">
        <f>Kate!D42</f>
        <v>0.9</v>
      </c>
      <c r="W42" s="18">
        <f>Rohan!D42</f>
        <v>0.48</v>
      </c>
      <c r="X42" s="18">
        <f>David!D42</f>
        <v>0.8</v>
      </c>
      <c r="Y42" s="18">
        <f>Jac!D42</f>
        <v>0.8</v>
      </c>
      <c r="Z42" s="19">
        <f>James!D42</f>
        <v>1</v>
      </c>
      <c r="AA42" s="18">
        <f>Chris!D42</f>
        <v>0.99</v>
      </c>
      <c r="AB42" s="19">
        <f>Lachy!D42</f>
        <v>0.6899744811</v>
      </c>
      <c r="AC42" s="18">
        <f>Gael!D42</f>
        <v>0.75</v>
      </c>
      <c r="AD42" s="18">
        <f>Bruce!D42</f>
        <v>0.9</v>
      </c>
      <c r="AE42" s="18">
        <f>Jac!E42</f>
        <v>0.7</v>
      </c>
      <c r="AF42" s="18">
        <f>Jac!F42</f>
        <v>0.8</v>
      </c>
      <c r="AG42" s="18">
        <f>Jac!G42</f>
        <v>0.7</v>
      </c>
      <c r="AH42" s="18">
        <f>Bruce!E42</f>
        <v>0.7</v>
      </c>
      <c r="AI42" s="18">
        <f>Bruce!F42</f>
        <v>0.99</v>
      </c>
    </row>
    <row r="43" ht="15.75" customHeight="1">
      <c r="A43" s="13">
        <v>42.0</v>
      </c>
      <c r="B43" s="14" t="s">
        <v>75</v>
      </c>
      <c r="C43" s="14" t="s">
        <v>78</v>
      </c>
      <c r="D43" s="15" t="s">
        <v>32</v>
      </c>
      <c r="E43" s="15">
        <v>0.0</v>
      </c>
      <c r="F43" s="16">
        <f t="shared" ref="F43:Q43" si="43">IF($E43=1,(LOG(S43,2)+1),IF($E43=0,(LOG(1-S43,2)+1),""))</f>
        <v>-0.1520030934</v>
      </c>
      <c r="G43" s="16">
        <f t="shared" si="43"/>
        <v>0.8479969066</v>
      </c>
      <c r="H43" s="16">
        <f t="shared" si="43"/>
        <v>0.6780719051</v>
      </c>
      <c r="I43" s="16">
        <f t="shared" si="43"/>
        <v>-1.321928095</v>
      </c>
      <c r="J43" s="16">
        <f t="shared" si="43"/>
        <v>0.0285691522</v>
      </c>
      <c r="K43" s="16">
        <f t="shared" si="43"/>
        <v>0</v>
      </c>
      <c r="L43" s="16">
        <f t="shared" si="43"/>
        <v>0.2630344058</v>
      </c>
      <c r="M43" s="16">
        <f t="shared" si="43"/>
        <v>0.6780719051</v>
      </c>
      <c r="N43" s="16">
        <f t="shared" si="43"/>
        <v>0.4854268272</v>
      </c>
      <c r="O43" s="16">
        <f t="shared" si="43"/>
        <v>-0.3172025769</v>
      </c>
      <c r="P43" s="16">
        <f t="shared" si="43"/>
        <v>0.2630344058</v>
      </c>
      <c r="Q43" s="16">
        <f t="shared" si="43"/>
        <v>0.2630344058</v>
      </c>
      <c r="R43" s="17">
        <f t="shared" si="3"/>
        <v>1.716106148</v>
      </c>
      <c r="S43" s="18">
        <f>Andrew!D43</f>
        <v>0.55</v>
      </c>
      <c r="T43" s="18">
        <f>Eileen!D43</f>
        <v>0.1</v>
      </c>
      <c r="U43" s="18">
        <f>Iain!D43</f>
        <v>0.2</v>
      </c>
      <c r="V43" s="18">
        <f>Kate!D43</f>
        <v>0.8</v>
      </c>
      <c r="W43" s="18">
        <f>Rohan!D43</f>
        <v>0.49</v>
      </c>
      <c r="X43" s="18">
        <f>David!D43</f>
        <v>0.5</v>
      </c>
      <c r="Y43" s="18">
        <f>Jac!D43</f>
        <v>0.4</v>
      </c>
      <c r="Z43" s="19">
        <f>James!D43</f>
        <v>0.2</v>
      </c>
      <c r="AA43" s="18">
        <f>Chris!D43</f>
        <v>0.3</v>
      </c>
      <c r="AB43" s="19">
        <f>Lachy!D43</f>
        <v>0.5986876601</v>
      </c>
      <c r="AC43" s="18">
        <f>Gael!D43</f>
        <v>0.4</v>
      </c>
      <c r="AD43" s="18">
        <f>Bruce!D43</f>
        <v>0.4</v>
      </c>
      <c r="AE43" s="18">
        <f>Jac!E43</f>
        <v>0.4</v>
      </c>
      <c r="AF43" s="18">
        <f>Jac!F43</f>
        <v>0.3</v>
      </c>
      <c r="AG43" s="18">
        <f>Jac!G43</f>
        <v>0.5</v>
      </c>
      <c r="AH43" s="18">
        <f>Bruce!E43</f>
        <v>0.45</v>
      </c>
      <c r="AI43" s="18">
        <f>Bruce!F43</f>
        <v>0.3</v>
      </c>
    </row>
    <row r="44" ht="15.75" customHeight="1">
      <c r="A44" s="13">
        <v>43.0</v>
      </c>
      <c r="B44" s="14" t="s">
        <v>75</v>
      </c>
      <c r="C44" s="14" t="s">
        <v>79</v>
      </c>
      <c r="D44" s="15" t="s">
        <v>28</v>
      </c>
      <c r="E44" s="15">
        <v>0.0</v>
      </c>
      <c r="F44" s="16">
        <f t="shared" ref="F44:Q44" si="44">IF($E44=1,(LOG(S44,2)+1),IF($E44=0,(LOG(1-S44,2)+1),""))</f>
        <v>0.2630344058</v>
      </c>
      <c r="G44" s="16">
        <f t="shared" si="44"/>
        <v>-0.3219280949</v>
      </c>
      <c r="H44" s="16">
        <f t="shared" si="44"/>
        <v>0.4854268272</v>
      </c>
      <c r="I44" s="16">
        <f t="shared" si="44"/>
        <v>0.6780719051</v>
      </c>
      <c r="J44" s="16">
        <f t="shared" si="44"/>
        <v>-0.1202942337</v>
      </c>
      <c r="K44" s="16">
        <f t="shared" si="44"/>
        <v>0.4854268272</v>
      </c>
      <c r="L44" s="16">
        <f t="shared" si="44"/>
        <v>0.8479969066</v>
      </c>
      <c r="M44" s="16">
        <f t="shared" si="44"/>
        <v>0.5849625007</v>
      </c>
      <c r="N44" s="16">
        <f t="shared" si="44"/>
        <v>0.4854268272</v>
      </c>
      <c r="O44" s="16">
        <f t="shared" si="44"/>
        <v>-0.4967787211</v>
      </c>
      <c r="P44" s="16">
        <f t="shared" si="44"/>
        <v>-0.7369655942</v>
      </c>
      <c r="Q44" s="16">
        <f t="shared" si="44"/>
        <v>0.6780719051</v>
      </c>
      <c r="R44" s="17">
        <f t="shared" si="3"/>
        <v>2.832451461</v>
      </c>
      <c r="S44" s="18">
        <f>Andrew!D44</f>
        <v>0.4</v>
      </c>
      <c r="T44" s="18">
        <f>Eileen!D44</f>
        <v>0.6</v>
      </c>
      <c r="U44" s="18">
        <f>Iain!D44</f>
        <v>0.3</v>
      </c>
      <c r="V44" s="18">
        <f>Kate!D44</f>
        <v>0.2</v>
      </c>
      <c r="W44" s="18">
        <f>Rohan!D44</f>
        <v>0.54</v>
      </c>
      <c r="X44" s="18">
        <f>David!D44</f>
        <v>0.3</v>
      </c>
      <c r="Y44" s="18">
        <f>Jac!D44</f>
        <v>0.1</v>
      </c>
      <c r="Z44" s="19">
        <f>James!D44</f>
        <v>0.25</v>
      </c>
      <c r="AA44" s="18">
        <f>Chris!D44</f>
        <v>0.3</v>
      </c>
      <c r="AB44" s="19">
        <f>Lachy!D44</f>
        <v>0.6456563062</v>
      </c>
      <c r="AC44" s="18">
        <f>Gael!D44</f>
        <v>0.7</v>
      </c>
      <c r="AD44" s="18">
        <f>Bruce!D44</f>
        <v>0.2</v>
      </c>
      <c r="AE44" s="18">
        <f>Jac!E44</f>
        <v>0.1</v>
      </c>
      <c r="AF44" s="18">
        <f>Jac!F44</f>
        <v>0.1</v>
      </c>
      <c r="AG44" s="18">
        <f>Jac!G44</f>
        <v>0.2</v>
      </c>
      <c r="AH44" s="18">
        <f>Bruce!E44</f>
        <v>0.3</v>
      </c>
      <c r="AI44" s="18">
        <f>Bruce!F44</f>
        <v>0.1</v>
      </c>
    </row>
    <row r="45" ht="15.75" customHeight="1">
      <c r="A45" s="13">
        <v>44.0</v>
      </c>
      <c r="B45" s="14" t="s">
        <v>75</v>
      </c>
      <c r="C45" s="14" t="s">
        <v>80</v>
      </c>
      <c r="D45" s="15" t="s">
        <v>45</v>
      </c>
      <c r="E45" s="15" t="s">
        <v>81</v>
      </c>
      <c r="F45" s="16" t="str">
        <f t="shared" ref="F45:Q45" si="45">IF($E45=1,(LOG(S45,2)+1),IF($E45=0,(LOG(1-S45,2)+1),""))</f>
        <v/>
      </c>
      <c r="G45" s="16" t="str">
        <f t="shared" si="45"/>
        <v/>
      </c>
      <c r="H45" s="16" t="str">
        <f t="shared" si="45"/>
        <v/>
      </c>
      <c r="I45" s="16" t="str">
        <f t="shared" si="45"/>
        <v/>
      </c>
      <c r="J45" s="16" t="str">
        <f t="shared" si="45"/>
        <v/>
      </c>
      <c r="K45" s="16" t="str">
        <f t="shared" si="45"/>
        <v/>
      </c>
      <c r="L45" s="16" t="str">
        <f t="shared" si="45"/>
        <v/>
      </c>
      <c r="M45" s="16" t="str">
        <f t="shared" si="45"/>
        <v/>
      </c>
      <c r="N45" s="16" t="str">
        <f t="shared" si="45"/>
        <v/>
      </c>
      <c r="O45" s="16" t="str">
        <f t="shared" si="45"/>
        <v/>
      </c>
      <c r="P45" s="16" t="str">
        <f t="shared" si="45"/>
        <v/>
      </c>
      <c r="Q45" s="16" t="str">
        <f t="shared" si="45"/>
        <v/>
      </c>
      <c r="R45" s="17">
        <f t="shared" si="3"/>
        <v>0</v>
      </c>
      <c r="S45" s="18">
        <f>Andrew!D45</f>
        <v>0.6</v>
      </c>
      <c r="T45" s="18">
        <f>Eileen!D45</f>
        <v>0.35</v>
      </c>
      <c r="U45" s="18">
        <f>Iain!D45</f>
        <v>0.6</v>
      </c>
      <c r="V45" s="18">
        <f>Kate!D45</f>
        <v>0.7</v>
      </c>
      <c r="W45" s="18">
        <f>Rohan!D45</f>
        <v>0.39</v>
      </c>
      <c r="X45" s="18">
        <f>David!D45</f>
        <v>0.7</v>
      </c>
      <c r="Y45" s="18">
        <f>Jac!D45</f>
        <v>0.4</v>
      </c>
      <c r="Z45" s="19">
        <f>James!D45</f>
        <v>0.48</v>
      </c>
      <c r="AA45" s="18">
        <f>Chris!D45</f>
        <v>0.4</v>
      </c>
      <c r="AB45" s="19">
        <f>Lachy!D45</f>
        <v>0.3543436938</v>
      </c>
      <c r="AC45" s="18">
        <f>Gael!D45</f>
        <v>0.68</v>
      </c>
      <c r="AD45" s="18">
        <f>Bruce!D45</f>
        <v>0.6</v>
      </c>
      <c r="AE45" s="18">
        <f>Jac!E45</f>
        <v>0.4</v>
      </c>
      <c r="AF45" s="18">
        <f>Jac!F45</f>
        <v>0.3</v>
      </c>
      <c r="AG45" s="18">
        <f>Jac!G45</f>
        <v>0.5</v>
      </c>
      <c r="AH45" s="18">
        <f>Bruce!E45</f>
        <v>0.55</v>
      </c>
      <c r="AI45" s="18">
        <f>Bruce!F45</f>
        <v>0.7</v>
      </c>
    </row>
    <row r="46" ht="15.75" customHeight="1">
      <c r="A46" s="13">
        <v>45.0</v>
      </c>
      <c r="B46" s="14" t="s">
        <v>13</v>
      </c>
      <c r="C46" s="14" t="s">
        <v>82</v>
      </c>
      <c r="D46" s="15" t="s">
        <v>32</v>
      </c>
      <c r="E46" s="15">
        <v>0.0</v>
      </c>
      <c r="F46" s="16">
        <f t="shared" ref="F46:Q46" si="46">IF($E46=1,(LOG(S46,2)+1),IF($E46=0,(LOG(1-S46,2)+1),""))</f>
        <v>0.6780719051</v>
      </c>
      <c r="G46" s="16">
        <f t="shared" si="46"/>
        <v>0.3785116233</v>
      </c>
      <c r="H46" s="16">
        <f t="shared" si="46"/>
        <v>0.4854268272</v>
      </c>
      <c r="I46" s="16">
        <f t="shared" si="46"/>
        <v>0</v>
      </c>
      <c r="J46" s="16">
        <f t="shared" si="46"/>
        <v>0.0285691522</v>
      </c>
      <c r="K46" s="16">
        <f t="shared" si="46"/>
        <v>-0.7369655942</v>
      </c>
      <c r="L46" s="16">
        <f t="shared" si="46"/>
        <v>0.4854268272</v>
      </c>
      <c r="M46" s="16">
        <f t="shared" si="46"/>
        <v>0.2141248054</v>
      </c>
      <c r="N46" s="16">
        <f t="shared" si="46"/>
        <v>-0.3219280949</v>
      </c>
      <c r="O46" s="16">
        <f t="shared" si="46"/>
        <v>-0.894636124</v>
      </c>
      <c r="P46" s="16">
        <f t="shared" si="46"/>
        <v>-0.5145731728</v>
      </c>
      <c r="Q46" s="16">
        <f t="shared" si="46"/>
        <v>-0.3219280949</v>
      </c>
      <c r="R46" s="17">
        <f t="shared" si="3"/>
        <v>-0.5198999405</v>
      </c>
      <c r="S46" s="18">
        <f>Andrew!D46</f>
        <v>0.2</v>
      </c>
      <c r="T46" s="18">
        <f>Eileen!D46</f>
        <v>0.35</v>
      </c>
      <c r="U46" s="18">
        <f>Iain!D46</f>
        <v>0.3</v>
      </c>
      <c r="V46" s="18">
        <f>Kate!D46</f>
        <v>0.5</v>
      </c>
      <c r="W46" s="18">
        <f>Rohan!D46</f>
        <v>0.49</v>
      </c>
      <c r="X46" s="18">
        <f>David!D46</f>
        <v>0.7</v>
      </c>
      <c r="Y46" s="18">
        <f>Jac!D46</f>
        <v>0.3</v>
      </c>
      <c r="Z46" s="19">
        <f>James!D46</f>
        <v>0.42</v>
      </c>
      <c r="AA46" s="18">
        <f>Chris!D46</f>
        <v>0.6</v>
      </c>
      <c r="AB46" s="19">
        <f>Lachy!D46</f>
        <v>0.7310585786</v>
      </c>
      <c r="AC46" s="18">
        <f>Gael!D46</f>
        <v>0.65</v>
      </c>
      <c r="AD46" s="18">
        <f>Bruce!D46</f>
        <v>0.6</v>
      </c>
      <c r="AE46" s="18">
        <f>Jac!E46</f>
        <v>0.3</v>
      </c>
      <c r="AF46" s="18">
        <f>Jac!F46</f>
        <v>0.2</v>
      </c>
      <c r="AG46" s="18">
        <f>Jac!G46</f>
        <v>0.3</v>
      </c>
      <c r="AH46" s="18">
        <f>Bruce!E46</f>
        <v>0.55</v>
      </c>
      <c r="AI46" s="18">
        <f>Bruce!F46</f>
        <v>0.7</v>
      </c>
    </row>
    <row r="47" ht="15.75" customHeight="1">
      <c r="A47" s="13">
        <v>46.0</v>
      </c>
      <c r="B47" s="14" t="s">
        <v>13</v>
      </c>
      <c r="C47" s="14" t="s">
        <v>83</v>
      </c>
      <c r="D47" s="15" t="s">
        <v>39</v>
      </c>
      <c r="E47" s="15">
        <v>1.0</v>
      </c>
      <c r="F47" s="16">
        <f t="shared" ref="F47:Q47" si="47">IF($E47=1,(LOG(S47,2)+1),IF($E47=0,(LOG(1-S47,2)+1),""))</f>
        <v>0.4854268272</v>
      </c>
      <c r="G47" s="16">
        <f t="shared" si="47"/>
        <v>-1</v>
      </c>
      <c r="H47" s="16">
        <f t="shared" si="47"/>
        <v>0.2630344058</v>
      </c>
      <c r="I47" s="16">
        <f t="shared" si="47"/>
        <v>0.4854268272</v>
      </c>
      <c r="J47" s="16">
        <f t="shared" si="47"/>
        <v>0.2630344058</v>
      </c>
      <c r="K47" s="16">
        <f t="shared" si="47"/>
        <v>0.4854268272</v>
      </c>
      <c r="L47" s="16">
        <f t="shared" si="47"/>
        <v>0.2630344058</v>
      </c>
      <c r="M47" s="16">
        <f t="shared" si="47"/>
        <v>0.6229303509</v>
      </c>
      <c r="N47" s="16">
        <f t="shared" si="47"/>
        <v>0.8479969066</v>
      </c>
      <c r="O47" s="16">
        <f t="shared" si="47"/>
        <v>-0.3172025769</v>
      </c>
      <c r="P47" s="16">
        <f t="shared" si="47"/>
        <v>-0.7369655942</v>
      </c>
      <c r="Q47" s="16">
        <f t="shared" si="47"/>
        <v>0.2630344058</v>
      </c>
      <c r="R47" s="17">
        <f t="shared" si="3"/>
        <v>1.925177191</v>
      </c>
      <c r="S47" s="18">
        <f>Andrew!D47</f>
        <v>0.7</v>
      </c>
      <c r="T47" s="18">
        <f>Eileen!D47</f>
        <v>0.25</v>
      </c>
      <c r="U47" s="18">
        <f>Iain!D47</f>
        <v>0.6</v>
      </c>
      <c r="V47" s="18">
        <f>Kate!D47</f>
        <v>0.7</v>
      </c>
      <c r="W47" s="18">
        <f>Rohan!D47</f>
        <v>0.6</v>
      </c>
      <c r="X47" s="18">
        <f>David!D47</f>
        <v>0.7</v>
      </c>
      <c r="Y47" s="18">
        <f>Jac!D47</f>
        <v>0.6</v>
      </c>
      <c r="Z47" s="19">
        <f>James!D47</f>
        <v>0.77</v>
      </c>
      <c r="AA47" s="18">
        <f>Chris!D47</f>
        <v>0.9</v>
      </c>
      <c r="AB47" s="19">
        <f>Lachy!D47</f>
        <v>0.4013123399</v>
      </c>
      <c r="AC47" s="18">
        <f>Gael!D47</f>
        <v>0.3</v>
      </c>
      <c r="AD47" s="18">
        <f>Bruce!D47</f>
        <v>0.6</v>
      </c>
      <c r="AE47" s="18">
        <f>Jac!E47</f>
        <v>0.5</v>
      </c>
      <c r="AF47" s="18">
        <f>Jac!F47</f>
        <v>0.6</v>
      </c>
      <c r="AG47" s="18">
        <f>Jac!G47</f>
        <v>0.5</v>
      </c>
      <c r="AH47" s="18">
        <f>Bruce!E47</f>
        <v>0.55</v>
      </c>
      <c r="AI47" s="18">
        <f>Bruce!F47</f>
        <v>0.7</v>
      </c>
    </row>
    <row r="48" ht="15.75" customHeight="1">
      <c r="A48" s="13">
        <v>47.0</v>
      </c>
      <c r="B48" s="14" t="s">
        <v>13</v>
      </c>
      <c r="C48" s="14" t="s">
        <v>84</v>
      </c>
      <c r="D48" s="15" t="s">
        <v>30</v>
      </c>
      <c r="E48" s="15">
        <v>0.0</v>
      </c>
      <c r="F48" s="16">
        <f t="shared" ref="F48:Q48" si="48">IF($E48=1,(LOG(S48,2)+1),IF($E48=0,(LOG(1-S48,2)+1),""))</f>
        <v>0.4854268272</v>
      </c>
      <c r="G48" s="16">
        <f t="shared" si="48"/>
        <v>0.4854268272</v>
      </c>
      <c r="H48" s="16">
        <f t="shared" si="48"/>
        <v>0.6780719051</v>
      </c>
      <c r="I48" s="16">
        <f t="shared" si="48"/>
        <v>-0.7369655942</v>
      </c>
      <c r="J48" s="16">
        <f t="shared" si="48"/>
        <v>0.9259994186</v>
      </c>
      <c r="K48" s="16">
        <f t="shared" si="48"/>
        <v>0</v>
      </c>
      <c r="L48" s="16">
        <f t="shared" si="48"/>
        <v>0.2630344058</v>
      </c>
      <c r="M48" s="16">
        <f t="shared" si="48"/>
        <v>0.4436066515</v>
      </c>
      <c r="N48" s="16">
        <f t="shared" si="48"/>
        <v>0.4854268272</v>
      </c>
      <c r="O48" s="16">
        <f t="shared" si="48"/>
        <v>0.4646149096</v>
      </c>
      <c r="P48" s="16">
        <f t="shared" si="48"/>
        <v>-0.3219280949</v>
      </c>
      <c r="Q48" s="16">
        <f t="shared" si="48"/>
        <v>-0.1520030934</v>
      </c>
      <c r="R48" s="17">
        <f t="shared" si="3"/>
        <v>3.02071099</v>
      </c>
      <c r="S48" s="18">
        <f>Andrew!D48</f>
        <v>0.3</v>
      </c>
      <c r="T48" s="18">
        <f>Eileen!D48</f>
        <v>0.3</v>
      </c>
      <c r="U48" s="18">
        <f>Iain!D48</f>
        <v>0.2</v>
      </c>
      <c r="V48" s="18">
        <f>Kate!D48</f>
        <v>0.7</v>
      </c>
      <c r="W48" s="18">
        <f>Rohan!D48</f>
        <v>0.05</v>
      </c>
      <c r="X48" s="18">
        <f>David!D48</f>
        <v>0.5</v>
      </c>
      <c r="Y48" s="18">
        <f>Jac!D48</f>
        <v>0.4</v>
      </c>
      <c r="Z48" s="19">
        <f>James!D48</f>
        <v>0.32</v>
      </c>
      <c r="AA48" s="18">
        <f>Chris!D48</f>
        <v>0.3</v>
      </c>
      <c r="AB48" s="19">
        <f>Lachy!D48</f>
        <v>0.3100255189</v>
      </c>
      <c r="AC48" s="18">
        <f>Gael!D48</f>
        <v>0.6</v>
      </c>
      <c r="AD48" s="18">
        <f>Bruce!D48</f>
        <v>0.55</v>
      </c>
      <c r="AE48" s="18">
        <f>Jac!E48</f>
        <v>0.4</v>
      </c>
      <c r="AF48" s="18">
        <f>Jac!F48</f>
        <v>0.3</v>
      </c>
      <c r="AG48" s="18">
        <f>Jac!G48</f>
        <v>0.5</v>
      </c>
      <c r="AH48" s="18">
        <f>Bruce!E48</f>
        <v>0.5</v>
      </c>
      <c r="AI48" s="18">
        <f>Bruce!F48</f>
        <v>0.6</v>
      </c>
    </row>
    <row r="49" ht="15.75" customHeight="1">
      <c r="A49" s="13">
        <v>48.0</v>
      </c>
      <c r="B49" s="14" t="s">
        <v>13</v>
      </c>
      <c r="C49" s="14" t="s">
        <v>85</v>
      </c>
      <c r="D49" s="15" t="s">
        <v>30</v>
      </c>
      <c r="E49" s="15">
        <v>1.0</v>
      </c>
      <c r="F49" s="16">
        <f t="shared" ref="F49:Q49" si="49">IF($E49=1,(LOG(S49,2)+1),IF($E49=0,(LOG(1-S49,2)+1),""))</f>
        <v>0.3785116233</v>
      </c>
      <c r="G49" s="16">
        <f t="shared" si="49"/>
        <v>-0.5145731728</v>
      </c>
      <c r="H49" s="16">
        <f t="shared" si="49"/>
        <v>0.2630344058</v>
      </c>
      <c r="I49" s="16">
        <f t="shared" si="49"/>
        <v>0.2630344058</v>
      </c>
      <c r="J49" s="16">
        <f t="shared" si="49"/>
        <v>0.08406426479</v>
      </c>
      <c r="K49" s="16">
        <f t="shared" si="49"/>
        <v>0</v>
      </c>
      <c r="L49" s="16">
        <f t="shared" si="49"/>
        <v>0.2630344058</v>
      </c>
      <c r="M49" s="16">
        <f t="shared" si="49"/>
        <v>-0.1520030934</v>
      </c>
      <c r="N49" s="16">
        <f t="shared" si="49"/>
        <v>-0.1520030934</v>
      </c>
      <c r="O49" s="16">
        <f t="shared" si="49"/>
        <v>0.5480589169</v>
      </c>
      <c r="P49" s="16">
        <f t="shared" si="49"/>
        <v>0.4854268272</v>
      </c>
      <c r="Q49" s="16">
        <f t="shared" si="49"/>
        <v>0.2630344058</v>
      </c>
      <c r="R49" s="17">
        <f t="shared" si="3"/>
        <v>1.729619896</v>
      </c>
      <c r="S49" s="18">
        <f>Andrew!D49</f>
        <v>0.65</v>
      </c>
      <c r="T49" s="18">
        <f>Eileen!D49</f>
        <v>0.35</v>
      </c>
      <c r="U49" s="18">
        <f>Iain!D49</f>
        <v>0.6</v>
      </c>
      <c r="V49" s="18">
        <f>Kate!D49</f>
        <v>0.6</v>
      </c>
      <c r="W49" s="18">
        <f>Rohan!D49</f>
        <v>0.53</v>
      </c>
      <c r="X49" s="18">
        <f>David!D49</f>
        <v>0.5</v>
      </c>
      <c r="Y49" s="18">
        <f>Jac!D49</f>
        <v>0.6</v>
      </c>
      <c r="Z49" s="19">
        <f>James!D49</f>
        <v>0.45</v>
      </c>
      <c r="AA49" s="18">
        <f>Chris!D49</f>
        <v>0.45</v>
      </c>
      <c r="AB49" s="19">
        <f>Lachy!D49</f>
        <v>0.7310585786</v>
      </c>
      <c r="AC49" s="18">
        <f>Gael!D49</f>
        <v>0.7</v>
      </c>
      <c r="AD49" s="18">
        <f>Bruce!D49</f>
        <v>0.6</v>
      </c>
      <c r="AE49" s="18">
        <f>Jac!E49</f>
        <v>0.4</v>
      </c>
      <c r="AF49" s="18">
        <f>Jac!F49</f>
        <v>0.6</v>
      </c>
      <c r="AG49" s="18">
        <f>Jac!G49</f>
        <v>0.5</v>
      </c>
      <c r="AH49" s="18">
        <f>Bruce!E49</f>
        <v>0.55</v>
      </c>
      <c r="AI49" s="18">
        <f>Bruce!F49</f>
        <v>0.7</v>
      </c>
    </row>
    <row r="50" ht="15.75" customHeight="1">
      <c r="A50" s="13">
        <v>49.0</v>
      </c>
      <c r="B50" s="14" t="s">
        <v>13</v>
      </c>
      <c r="C50" s="14" t="s">
        <v>86</v>
      </c>
      <c r="D50" s="15" t="s">
        <v>32</v>
      </c>
      <c r="E50" s="15">
        <v>0.0</v>
      </c>
      <c r="F50" s="16">
        <f t="shared" ref="F50:Q50" si="50">IF($E50=1,(LOG(S50,2)+1),IF($E50=0,(LOG(1-S50,2)+1),""))</f>
        <v>0.4854268272</v>
      </c>
      <c r="G50" s="16">
        <f t="shared" si="50"/>
        <v>0.8479969066</v>
      </c>
      <c r="H50" s="16">
        <f t="shared" si="50"/>
        <v>0.6780719051</v>
      </c>
      <c r="I50" s="16">
        <f t="shared" si="50"/>
        <v>0.6780719051</v>
      </c>
      <c r="J50" s="16">
        <f t="shared" si="50"/>
        <v>0.7990873061</v>
      </c>
      <c r="K50" s="16">
        <f t="shared" si="50"/>
        <v>0</v>
      </c>
      <c r="L50" s="16">
        <f t="shared" si="50"/>
        <v>0.2630344058</v>
      </c>
      <c r="M50" s="16">
        <f t="shared" si="50"/>
        <v>0.3103401206</v>
      </c>
      <c r="N50" s="16">
        <f t="shared" si="50"/>
        <v>0</v>
      </c>
      <c r="O50" s="16">
        <f t="shared" si="50"/>
        <v>0.4646149096</v>
      </c>
      <c r="P50" s="16">
        <f t="shared" si="50"/>
        <v>0.2630344058</v>
      </c>
      <c r="Q50" s="16">
        <f t="shared" si="50"/>
        <v>0.2630344058</v>
      </c>
      <c r="R50" s="17">
        <f t="shared" si="3"/>
        <v>5.052713098</v>
      </c>
      <c r="S50" s="18">
        <f>Andrew!D50</f>
        <v>0.3</v>
      </c>
      <c r="T50" s="18">
        <f>Eileen!D50</f>
        <v>0.1</v>
      </c>
      <c r="U50" s="18">
        <f>Iain!D50</f>
        <v>0.2</v>
      </c>
      <c r="V50" s="18">
        <f>Kate!D50</f>
        <v>0.2</v>
      </c>
      <c r="W50" s="18">
        <f>Rohan!D50</f>
        <v>0.13</v>
      </c>
      <c r="X50" s="18">
        <f>David!D50</f>
        <v>0.5</v>
      </c>
      <c r="Y50" s="18">
        <f>Jac!D50</f>
        <v>0.4</v>
      </c>
      <c r="Z50" s="19">
        <f>James!D50</f>
        <v>0.38</v>
      </c>
      <c r="AA50" s="18">
        <f>Chris!D50</f>
        <v>0.5</v>
      </c>
      <c r="AB50" s="19">
        <f>Lachy!D50</f>
        <v>0.3100255189</v>
      </c>
      <c r="AC50" s="18">
        <f>Gael!D50</f>
        <v>0.4</v>
      </c>
      <c r="AD50" s="18">
        <f>Bruce!D50</f>
        <v>0.4</v>
      </c>
      <c r="AE50" s="18">
        <f>Jac!E50</f>
        <v>0.4</v>
      </c>
      <c r="AF50" s="18">
        <f>Jac!F50</f>
        <v>0.6</v>
      </c>
      <c r="AG50" s="18">
        <f>Jac!G50</f>
        <v>0.5</v>
      </c>
      <c r="AH50" s="18">
        <f>Bruce!E50</f>
        <v>0.45</v>
      </c>
      <c r="AI50" s="18">
        <f>Bruce!F50</f>
        <v>0.3</v>
      </c>
    </row>
    <row r="51" ht="15.75" customHeight="1">
      <c r="A51" s="13">
        <v>50.0</v>
      </c>
      <c r="B51" s="14" t="s">
        <v>10</v>
      </c>
      <c r="C51" s="14" t="s">
        <v>87</v>
      </c>
      <c r="D51" s="15" t="s">
        <v>30</v>
      </c>
      <c r="E51" s="15">
        <v>0.0</v>
      </c>
      <c r="F51" s="16">
        <f t="shared" ref="F51:Q51" si="51">IF($E51=1,(LOG(S51,2)+1),IF($E51=0,(LOG(1-S51,2)+1),""))</f>
        <v>0.8479969066</v>
      </c>
      <c r="G51" s="16">
        <f t="shared" si="51"/>
        <v>0.6780719051</v>
      </c>
      <c r="H51" s="16">
        <f t="shared" si="51"/>
        <v>-0.7369655942</v>
      </c>
      <c r="I51" s="16">
        <f t="shared" si="51"/>
        <v>-0.7369655942</v>
      </c>
      <c r="J51" s="16">
        <f t="shared" si="51"/>
        <v>-0.251538767</v>
      </c>
      <c r="K51" s="16">
        <f t="shared" si="51"/>
        <v>0</v>
      </c>
      <c r="L51" s="16">
        <f t="shared" si="51"/>
        <v>-2.321928095</v>
      </c>
      <c r="M51" s="16">
        <f t="shared" si="51"/>
        <v>0.2141248054</v>
      </c>
      <c r="N51" s="16">
        <f t="shared" si="51"/>
        <v>0.2630344058</v>
      </c>
      <c r="O51" s="16">
        <f t="shared" si="51"/>
        <v>-0.4967787211</v>
      </c>
      <c r="P51" s="16">
        <f t="shared" si="51"/>
        <v>-0.7369655942</v>
      </c>
      <c r="Q51" s="16">
        <f t="shared" si="51"/>
        <v>-2.321928095</v>
      </c>
      <c r="R51" s="17">
        <f t="shared" si="3"/>
        <v>-5.599842438</v>
      </c>
      <c r="S51" s="18">
        <f>Andrew!D51</f>
        <v>0.1</v>
      </c>
      <c r="T51" s="18">
        <f>Eileen!D51</f>
        <v>0.2</v>
      </c>
      <c r="U51" s="18">
        <f>Iain!D51</f>
        <v>0.7</v>
      </c>
      <c r="V51" s="18">
        <f>Kate!D51</f>
        <v>0.7</v>
      </c>
      <c r="W51" s="18">
        <f>Rohan!D51</f>
        <v>0.58</v>
      </c>
      <c r="X51" s="18">
        <f>David!D51</f>
        <v>0.5</v>
      </c>
      <c r="Y51" s="18">
        <f>Jac!D51</f>
        <v>0.9</v>
      </c>
      <c r="Z51" s="19">
        <f>James!D51</f>
        <v>0.42</v>
      </c>
      <c r="AA51" s="18">
        <f>Chris!D51</f>
        <v>0.4</v>
      </c>
      <c r="AB51" s="19">
        <f>Lachy!D51</f>
        <v>0.6456563062</v>
      </c>
      <c r="AC51" s="18">
        <f>Gael!D51</f>
        <v>0.7</v>
      </c>
      <c r="AD51" s="18">
        <f>Bruce!D51</f>
        <v>0.9</v>
      </c>
      <c r="AE51" s="18">
        <f>Jac!E51</f>
        <v>0.9</v>
      </c>
      <c r="AF51" s="18">
        <f>Jac!F51</f>
        <v>0.9</v>
      </c>
      <c r="AG51" s="18">
        <f>Jac!G51</f>
        <v>0.8</v>
      </c>
      <c r="AH51" s="18">
        <f>Bruce!E51</f>
        <v>0.7</v>
      </c>
      <c r="AI51" s="18">
        <f>Bruce!F51</f>
        <v>0.99</v>
      </c>
    </row>
    <row r="52" ht="15.75" customHeight="1">
      <c r="A52" s="13">
        <v>51.0</v>
      </c>
      <c r="B52" s="14" t="s">
        <v>10</v>
      </c>
      <c r="C52" s="14" t="s">
        <v>88</v>
      </c>
      <c r="D52" s="15" t="s">
        <v>30</v>
      </c>
      <c r="E52" s="15">
        <v>1.0</v>
      </c>
      <c r="F52" s="16">
        <f t="shared" ref="F52:Q52" si="52">IF($E52=1,(LOG(S52,2)+1),IF($E52=0,(LOG(1-S52,2)+1),""))</f>
        <v>0.2630344058</v>
      </c>
      <c r="G52" s="16">
        <f t="shared" si="52"/>
        <v>-0.5145731728</v>
      </c>
      <c r="H52" s="16">
        <f t="shared" si="52"/>
        <v>0.6780719051</v>
      </c>
      <c r="I52" s="16">
        <f t="shared" si="52"/>
        <v>0.9855004303</v>
      </c>
      <c r="J52" s="16">
        <f t="shared" si="52"/>
        <v>0.9855004303</v>
      </c>
      <c r="K52" s="16">
        <f t="shared" si="52"/>
        <v>0.8479969066</v>
      </c>
      <c r="L52" s="16">
        <f t="shared" si="52"/>
        <v>0.9855004303</v>
      </c>
      <c r="M52" s="16">
        <f t="shared" si="52"/>
        <v>0.9855004303</v>
      </c>
      <c r="N52" s="16">
        <f t="shared" si="52"/>
        <v>0.8479969066</v>
      </c>
      <c r="O52" s="16">
        <f t="shared" si="52"/>
        <v>0.2598754395</v>
      </c>
      <c r="P52" s="16">
        <f t="shared" si="52"/>
        <v>0.4854268272</v>
      </c>
      <c r="Q52" s="16">
        <f t="shared" si="52"/>
        <v>0.9855004303</v>
      </c>
      <c r="R52" s="17">
        <f t="shared" si="3"/>
        <v>7.795331369</v>
      </c>
      <c r="S52" s="18">
        <f>Andrew!D52</f>
        <v>0.6</v>
      </c>
      <c r="T52" s="18">
        <f>Eileen!D52</f>
        <v>0.35</v>
      </c>
      <c r="U52" s="18">
        <f>Iain!D52</f>
        <v>0.8</v>
      </c>
      <c r="V52" s="18">
        <f>Kate!D52</f>
        <v>0.99</v>
      </c>
      <c r="W52" s="18">
        <f>Rohan!D52</f>
        <v>0.99</v>
      </c>
      <c r="X52" s="18">
        <f>David!D52</f>
        <v>0.9</v>
      </c>
      <c r="Y52" s="18">
        <f>Jac!D52</f>
        <v>0.99</v>
      </c>
      <c r="Z52" s="19">
        <f>James!D52</f>
        <v>0.99</v>
      </c>
      <c r="AA52" s="18">
        <f>Chris!D52</f>
        <v>0.9</v>
      </c>
      <c r="AB52" s="19">
        <f>Lachy!D52</f>
        <v>0.5986876601</v>
      </c>
      <c r="AC52" s="18">
        <f>Gael!D52</f>
        <v>0.7</v>
      </c>
      <c r="AD52" s="18">
        <f>Bruce!D52</f>
        <v>0.99</v>
      </c>
      <c r="AE52" s="18">
        <f>Jac!E52</f>
        <v>0.9</v>
      </c>
      <c r="AF52" s="18">
        <f>Jac!F52</f>
        <v>0.99</v>
      </c>
      <c r="AG52" s="18">
        <f>Jac!G52</f>
        <v>0.9</v>
      </c>
      <c r="AH52" s="18">
        <f>Bruce!E52</f>
        <v>0.9</v>
      </c>
      <c r="AI52" s="18">
        <f>Bruce!F52</f>
        <v>1</v>
      </c>
    </row>
    <row r="53" ht="15.75" customHeight="1">
      <c r="A53" s="13">
        <v>52.0</v>
      </c>
      <c r="B53" s="14" t="s">
        <v>10</v>
      </c>
      <c r="C53" s="14" t="s">
        <v>89</v>
      </c>
      <c r="D53" s="15" t="s">
        <v>26</v>
      </c>
      <c r="E53" s="15">
        <v>1.0</v>
      </c>
      <c r="F53" s="16">
        <f t="shared" ref="F53:Q53" si="53">IF($E53=1,(LOG(S53,2)+1),IF($E53=0,(LOG(1-S53,2)+1),""))</f>
        <v>-0.7369655942</v>
      </c>
      <c r="G53" s="16">
        <f t="shared" si="53"/>
        <v>-1.321928095</v>
      </c>
      <c r="H53" s="16">
        <f t="shared" si="53"/>
        <v>0.4854268272</v>
      </c>
      <c r="I53" s="16">
        <f t="shared" si="53"/>
        <v>0.6780719051</v>
      </c>
      <c r="J53" s="16">
        <f t="shared" si="53"/>
        <v>-2.321928095</v>
      </c>
      <c r="K53" s="16">
        <f t="shared" si="53"/>
        <v>0.4854268272</v>
      </c>
      <c r="L53" s="16">
        <f t="shared" si="53"/>
        <v>0.6780719051</v>
      </c>
      <c r="M53" s="16">
        <f t="shared" si="53"/>
        <v>0.4436066515</v>
      </c>
      <c r="N53" s="16">
        <f t="shared" si="53"/>
        <v>0</v>
      </c>
      <c r="O53" s="16">
        <f t="shared" si="53"/>
        <v>0.6820048958</v>
      </c>
      <c r="P53" s="16">
        <f t="shared" si="53"/>
        <v>0.8479969066</v>
      </c>
      <c r="Q53" s="16">
        <f t="shared" si="53"/>
        <v>0.4854268272</v>
      </c>
      <c r="R53" s="17">
        <f t="shared" si="3"/>
        <v>0.4052109616</v>
      </c>
      <c r="S53" s="18">
        <f>Andrew!D53</f>
        <v>0.3</v>
      </c>
      <c r="T53" s="18">
        <f>Eileen!D53</f>
        <v>0.2</v>
      </c>
      <c r="U53" s="18">
        <f>Iain!D53</f>
        <v>0.7</v>
      </c>
      <c r="V53" s="18">
        <f>Kate!D53</f>
        <v>0.8</v>
      </c>
      <c r="W53" s="18">
        <f>Rohan!D53</f>
        <v>0.1</v>
      </c>
      <c r="X53" s="18">
        <f>David!D53</f>
        <v>0.7</v>
      </c>
      <c r="Y53" s="18">
        <f>Jac!D53</f>
        <v>0.8</v>
      </c>
      <c r="Z53" s="19">
        <f>James!D53</f>
        <v>0.68</v>
      </c>
      <c r="AA53" s="18">
        <f>Chris!D53</f>
        <v>0.5</v>
      </c>
      <c r="AB53" s="19">
        <f>Lachy!D53</f>
        <v>0.8021838886</v>
      </c>
      <c r="AC53" s="18">
        <f>Gael!D53</f>
        <v>0.9</v>
      </c>
      <c r="AD53" s="18">
        <f>Bruce!D53</f>
        <v>0.7</v>
      </c>
      <c r="AE53" s="18">
        <f>Jac!E53</f>
        <v>0.8</v>
      </c>
      <c r="AF53" s="18">
        <f>Jac!F53</f>
        <v>0.8</v>
      </c>
      <c r="AG53" s="18">
        <f>Jac!G53</f>
        <v>0.7</v>
      </c>
      <c r="AH53" s="18">
        <f>Bruce!E53</f>
        <v>0.6</v>
      </c>
      <c r="AI53" s="18">
        <f>Bruce!F53</f>
        <v>0.8</v>
      </c>
    </row>
    <row r="54" ht="15.75" customHeight="1">
      <c r="A54" s="13">
        <v>53.0</v>
      </c>
      <c r="B54" s="14" t="s">
        <v>10</v>
      </c>
      <c r="C54" s="14" t="s">
        <v>90</v>
      </c>
      <c r="D54" s="15" t="s">
        <v>32</v>
      </c>
      <c r="E54" s="15">
        <v>0.0</v>
      </c>
      <c r="F54" s="16">
        <f t="shared" ref="F54:Q54" si="54">IF($E54=1,(LOG(S54,2)+1),IF($E54=0,(LOG(1-S54,2)+1),""))</f>
        <v>-0.5145731728</v>
      </c>
      <c r="G54" s="16">
        <f t="shared" si="54"/>
        <v>0.7655347464</v>
      </c>
      <c r="H54" s="16">
        <f t="shared" si="54"/>
        <v>-1.321928095</v>
      </c>
      <c r="I54" s="16">
        <f t="shared" si="54"/>
        <v>-0.3219280949</v>
      </c>
      <c r="J54" s="16">
        <f t="shared" si="54"/>
        <v>0.2630344058</v>
      </c>
      <c r="K54" s="16">
        <f t="shared" si="54"/>
        <v>0.4854268272</v>
      </c>
      <c r="L54" s="16">
        <f t="shared" si="54"/>
        <v>0</v>
      </c>
      <c r="M54" s="16">
        <f t="shared" si="54"/>
        <v>-0.6438561898</v>
      </c>
      <c r="N54" s="16">
        <f t="shared" si="54"/>
        <v>0</v>
      </c>
      <c r="O54" s="16">
        <f t="shared" si="54"/>
        <v>0</v>
      </c>
      <c r="P54" s="16">
        <f t="shared" si="54"/>
        <v>-0.7369655942</v>
      </c>
      <c r="Q54" s="16">
        <f t="shared" si="54"/>
        <v>-1</v>
      </c>
      <c r="R54" s="17">
        <f t="shared" si="3"/>
        <v>-3.025255167</v>
      </c>
      <c r="S54" s="18">
        <f>Andrew!D54</f>
        <v>0.65</v>
      </c>
      <c r="T54" s="18">
        <f>Eileen!D54</f>
        <v>0.15</v>
      </c>
      <c r="U54" s="18">
        <f>Iain!D54</f>
        <v>0.8</v>
      </c>
      <c r="V54" s="18">
        <f>Kate!D54</f>
        <v>0.6</v>
      </c>
      <c r="W54" s="18">
        <f>Rohan!D54</f>
        <v>0.4</v>
      </c>
      <c r="X54" s="18">
        <f>David!D54</f>
        <v>0.3</v>
      </c>
      <c r="Y54" s="18">
        <f>Jac!D54</f>
        <v>0.5</v>
      </c>
      <c r="Z54" s="19">
        <f>James!D54</f>
        <v>0.68</v>
      </c>
      <c r="AA54" s="18">
        <f>Chris!D54</f>
        <v>0.5</v>
      </c>
      <c r="AB54" s="19">
        <f>Lachy!D54</f>
        <v>0.5</v>
      </c>
      <c r="AC54" s="18">
        <f>Gael!D54</f>
        <v>0.7</v>
      </c>
      <c r="AD54" s="18">
        <f>Bruce!D54</f>
        <v>0.75</v>
      </c>
      <c r="AE54" s="18">
        <f>Jac!E54</f>
        <v>0.4</v>
      </c>
      <c r="AF54" s="18">
        <f>Jac!F54</f>
        <v>0.4</v>
      </c>
      <c r="AG54" s="18">
        <f>Jac!G54</f>
        <v>0.5</v>
      </c>
      <c r="AH54" s="18">
        <f>Bruce!E54</f>
        <v>0.6</v>
      </c>
      <c r="AI54" s="18">
        <f>Bruce!F54</f>
        <v>0.85</v>
      </c>
    </row>
    <row r="55" ht="15.75" customHeight="1">
      <c r="A55" s="13">
        <v>54.0</v>
      </c>
      <c r="B55" s="14" t="s">
        <v>10</v>
      </c>
      <c r="C55" s="20" t="s">
        <v>91</v>
      </c>
      <c r="D55" s="15" t="s">
        <v>50</v>
      </c>
      <c r="E55" s="15">
        <v>1.0</v>
      </c>
      <c r="F55" s="16">
        <f t="shared" ref="F55:Q55" si="55">IF($E55=1,(LOG(S55,2)+1),IF($E55=0,(LOG(1-S55,2)+1),""))</f>
        <v>0.2630344058</v>
      </c>
      <c r="G55" s="16">
        <f t="shared" si="55"/>
        <v>-2.321928095</v>
      </c>
      <c r="H55" s="16">
        <f t="shared" si="55"/>
        <v>0</v>
      </c>
      <c r="I55" s="16">
        <f t="shared" si="55"/>
        <v>0.6780719051</v>
      </c>
      <c r="J55" s="16">
        <f t="shared" si="55"/>
        <v>0.2630344058</v>
      </c>
      <c r="K55" s="16">
        <f t="shared" si="55"/>
        <v>0.4854268272</v>
      </c>
      <c r="L55" s="16">
        <f t="shared" si="55"/>
        <v>0.6780719051</v>
      </c>
      <c r="M55" s="16">
        <f t="shared" si="55"/>
        <v>-0.8365012677</v>
      </c>
      <c r="N55" s="16">
        <f t="shared" si="55"/>
        <v>-0.7369655942</v>
      </c>
      <c r="O55" s="16">
        <f t="shared" si="55"/>
        <v>0.4646149096</v>
      </c>
      <c r="P55" s="16">
        <f t="shared" si="55"/>
        <v>0.8479969066</v>
      </c>
      <c r="Q55" s="16">
        <f t="shared" si="55"/>
        <v>0.1375035237</v>
      </c>
      <c r="R55" s="17">
        <f t="shared" si="3"/>
        <v>-0.07764016784</v>
      </c>
      <c r="S55" s="18">
        <f>Andrew!D55</f>
        <v>0.6</v>
      </c>
      <c r="T55" s="18">
        <f>Eileen!D55</f>
        <v>0.1</v>
      </c>
      <c r="U55" s="18">
        <f>Iain!D55</f>
        <v>0.5</v>
      </c>
      <c r="V55" s="18">
        <f>Kate!D55</f>
        <v>0.8</v>
      </c>
      <c r="W55" s="18">
        <f>Rohan!D55</f>
        <v>0.6</v>
      </c>
      <c r="X55" s="21">
        <f>David!D55</f>
        <v>0.7</v>
      </c>
      <c r="Y55" s="18">
        <f>Jac!D55</f>
        <v>0.8</v>
      </c>
      <c r="Z55" s="19">
        <f>James!D55</f>
        <v>0.28</v>
      </c>
      <c r="AA55" s="18">
        <f>Chris!D55</f>
        <v>0.3</v>
      </c>
      <c r="AB55" s="19">
        <f>Lachy!D55</f>
        <v>0.6899744811</v>
      </c>
      <c r="AC55" s="18">
        <f>Gael!D55</f>
        <v>0.9</v>
      </c>
      <c r="AD55" s="18">
        <f>Bruce!D55</f>
        <v>0.55</v>
      </c>
      <c r="AE55" s="18">
        <f>Jac!E55</f>
        <v>0.8</v>
      </c>
      <c r="AF55" s="18">
        <f>Jac!F55</f>
        <v>0.9</v>
      </c>
      <c r="AG55" s="18">
        <f>Jac!G55</f>
        <v>0.7</v>
      </c>
      <c r="AH55" s="18">
        <f>Bruce!E55</f>
        <v>0.5</v>
      </c>
      <c r="AI55" s="18">
        <f>Bruce!F55</f>
        <v>0.6</v>
      </c>
    </row>
    <row r="56" ht="15.75" customHeight="1">
      <c r="A56" s="13">
        <v>55.0</v>
      </c>
      <c r="B56" s="14" t="s">
        <v>17</v>
      </c>
      <c r="C56" s="14" t="s">
        <v>92</v>
      </c>
      <c r="D56" s="15" t="s">
        <v>32</v>
      </c>
      <c r="E56" s="15">
        <v>0.0</v>
      </c>
      <c r="F56" s="16">
        <f t="shared" ref="F56:Q56" si="56">IF($E56=1,(LOG(S56,2)+1),IF($E56=0,(LOG(1-S56,2)+1),""))</f>
        <v>-0.5145731728</v>
      </c>
      <c r="G56" s="16">
        <f t="shared" si="56"/>
        <v>0.6780719051</v>
      </c>
      <c r="H56" s="16">
        <f t="shared" si="56"/>
        <v>-1.321928095</v>
      </c>
      <c r="I56" s="16">
        <f t="shared" si="56"/>
        <v>-2.321928095</v>
      </c>
      <c r="J56" s="16">
        <f t="shared" si="56"/>
        <v>-0.3219280949</v>
      </c>
      <c r="K56" s="16">
        <f t="shared" si="56"/>
        <v>-0.7369655942</v>
      </c>
      <c r="L56" s="16">
        <f t="shared" si="56"/>
        <v>-2.321928095</v>
      </c>
      <c r="M56" s="16">
        <f t="shared" si="56"/>
        <v>-0.5145731728</v>
      </c>
      <c r="N56" s="16">
        <f t="shared" si="56"/>
        <v>0</v>
      </c>
      <c r="O56" s="16">
        <f t="shared" si="56"/>
        <v>0.3688383034</v>
      </c>
      <c r="P56" s="16">
        <f t="shared" si="56"/>
        <v>-1.736965594</v>
      </c>
      <c r="Q56" s="16">
        <f t="shared" si="56"/>
        <v>-0.7369655942</v>
      </c>
      <c r="R56" s="17">
        <f t="shared" si="3"/>
        <v>-9.480845299</v>
      </c>
      <c r="S56" s="18">
        <f>Andrew!D56</f>
        <v>0.65</v>
      </c>
      <c r="T56" s="18">
        <f>Eileen!D56</f>
        <v>0.2</v>
      </c>
      <c r="U56" s="18">
        <f>Iain!D56</f>
        <v>0.8</v>
      </c>
      <c r="V56" s="18">
        <f>Kate!D56</f>
        <v>0.9</v>
      </c>
      <c r="W56" s="18">
        <f>Rohan!D56</f>
        <v>0.6</v>
      </c>
      <c r="X56" s="18">
        <f>David!D56</f>
        <v>0.7</v>
      </c>
      <c r="Y56" s="18">
        <f>Jac!D56</f>
        <v>0.9</v>
      </c>
      <c r="Z56" s="19">
        <f>James!D56</f>
        <v>0.65</v>
      </c>
      <c r="AA56" s="18">
        <f>Chris!D56</f>
        <v>0.5</v>
      </c>
      <c r="AB56" s="19">
        <f>Lachy!D56</f>
        <v>0.3543436938</v>
      </c>
      <c r="AC56" s="18">
        <f>Gael!D56</f>
        <v>0.85</v>
      </c>
      <c r="AD56" s="18">
        <f>Bruce!D56</f>
        <v>0.7</v>
      </c>
      <c r="AE56" s="18">
        <f>Jac!E56</f>
        <v>0.6</v>
      </c>
      <c r="AF56" s="18">
        <f>Jac!F56</f>
        <v>0.9</v>
      </c>
      <c r="AG56" s="18">
        <f>Jac!G56</f>
        <v>0.8</v>
      </c>
      <c r="AH56" s="18">
        <f>Bruce!E56</f>
        <v>0.6</v>
      </c>
      <c r="AI56" s="18">
        <f>Bruce!F56</f>
        <v>0.8</v>
      </c>
    </row>
    <row r="57" ht="15.75" customHeight="1">
      <c r="A57" s="13">
        <v>56.0</v>
      </c>
      <c r="B57" s="14" t="s">
        <v>17</v>
      </c>
      <c r="C57" s="14" t="s">
        <v>93</v>
      </c>
      <c r="D57" s="15" t="s">
        <v>32</v>
      </c>
      <c r="E57" s="15">
        <v>0.0</v>
      </c>
      <c r="F57" s="16">
        <f t="shared" ref="F57:Q57" si="57">IF($E57=1,(LOG(S57,2)+1),IF($E57=0,(LOG(1-S57,2)+1),""))</f>
        <v>0.5849625007</v>
      </c>
      <c r="G57" s="16">
        <f t="shared" si="57"/>
        <v>-0.3219280949</v>
      </c>
      <c r="H57" s="16">
        <f t="shared" si="57"/>
        <v>-0.7369655942</v>
      </c>
      <c r="I57" s="16">
        <f t="shared" si="57"/>
        <v>0.4854268272</v>
      </c>
      <c r="J57" s="16">
        <f t="shared" si="57"/>
        <v>0.1110313124</v>
      </c>
      <c r="K57" s="16">
        <f t="shared" si="57"/>
        <v>0</v>
      </c>
      <c r="L57" s="16">
        <f t="shared" si="57"/>
        <v>0.2630344058</v>
      </c>
      <c r="M57" s="16">
        <f t="shared" si="57"/>
        <v>0.4436066515</v>
      </c>
      <c r="N57" s="16">
        <f t="shared" si="57"/>
        <v>0</v>
      </c>
      <c r="O57" s="16">
        <f t="shared" si="57"/>
        <v>0.3688383034</v>
      </c>
      <c r="P57" s="16">
        <f t="shared" si="57"/>
        <v>-0.3219280949</v>
      </c>
      <c r="Q57" s="16">
        <f t="shared" si="57"/>
        <v>0.4854268272</v>
      </c>
      <c r="R57" s="17">
        <f t="shared" si="3"/>
        <v>1.361505044</v>
      </c>
      <c r="S57" s="18">
        <f>Andrew!D57</f>
        <v>0.25</v>
      </c>
      <c r="T57" s="18">
        <f>Eileen!D57</f>
        <v>0.6</v>
      </c>
      <c r="U57" s="18">
        <f>Iain!D57</f>
        <v>0.7</v>
      </c>
      <c r="V57" s="18">
        <f>Kate!D57</f>
        <v>0.3</v>
      </c>
      <c r="W57" s="18">
        <f>Rohan!D57</f>
        <v>0.46</v>
      </c>
      <c r="X57" s="18">
        <f>David!D57</f>
        <v>0.5</v>
      </c>
      <c r="Y57" s="18">
        <f>Jac!D57</f>
        <v>0.4</v>
      </c>
      <c r="Z57" s="19">
        <f>James!D57</f>
        <v>0.32</v>
      </c>
      <c r="AA57" s="18">
        <f>Chris!D57</f>
        <v>0.5</v>
      </c>
      <c r="AB57" s="19">
        <f>Lachy!D57</f>
        <v>0.3543436938</v>
      </c>
      <c r="AC57" s="18">
        <f>Gael!D57</f>
        <v>0.6</v>
      </c>
      <c r="AD57" s="18">
        <f>Bruce!D57</f>
        <v>0.3</v>
      </c>
      <c r="AE57" s="18">
        <f>Jac!E57</f>
        <v>0.4</v>
      </c>
      <c r="AF57" s="18">
        <f>Jac!F57</f>
        <v>0.3</v>
      </c>
      <c r="AG57" s="18">
        <f>Jac!G57</f>
        <v>0.5</v>
      </c>
      <c r="AH57" s="18">
        <f>Bruce!E57</f>
        <v>0.4</v>
      </c>
      <c r="AI57" s="18">
        <f>Bruce!F57</f>
        <v>0.2</v>
      </c>
    </row>
    <row r="58" ht="15.75" customHeight="1">
      <c r="A58" s="13">
        <v>57.0</v>
      </c>
      <c r="B58" s="14" t="s">
        <v>17</v>
      </c>
      <c r="C58" s="14" t="s">
        <v>94</v>
      </c>
      <c r="D58" s="15" t="s">
        <v>30</v>
      </c>
      <c r="E58" s="15">
        <v>0.0</v>
      </c>
      <c r="F58" s="16">
        <f t="shared" ref="F58:Q58" si="58">IF($E58=1,(LOG(S58,2)+1),IF($E58=0,(LOG(1-S58,2)+1),""))</f>
        <v>-0.5145731728</v>
      </c>
      <c r="G58" s="16">
        <f t="shared" si="58"/>
        <v>0</v>
      </c>
      <c r="H58" s="16">
        <f t="shared" si="58"/>
        <v>-2.321928095</v>
      </c>
      <c r="I58" s="16">
        <f t="shared" si="58"/>
        <v>0.4854268272</v>
      </c>
      <c r="J58" s="16">
        <f t="shared" si="58"/>
        <v>0.1375035237</v>
      </c>
      <c r="K58" s="16">
        <f t="shared" si="58"/>
        <v>0</v>
      </c>
      <c r="L58" s="16">
        <f t="shared" si="58"/>
        <v>0</v>
      </c>
      <c r="M58" s="16">
        <f t="shared" si="58"/>
        <v>0</v>
      </c>
      <c r="N58" s="16">
        <f t="shared" si="58"/>
        <v>0.2630344058</v>
      </c>
      <c r="O58" s="16">
        <f t="shared" si="58"/>
        <v>0.6820048958</v>
      </c>
      <c r="P58" s="16">
        <f t="shared" si="58"/>
        <v>-1.321928095</v>
      </c>
      <c r="Q58" s="16">
        <f t="shared" si="58"/>
        <v>0.6780719051</v>
      </c>
      <c r="R58" s="17">
        <f t="shared" si="3"/>
        <v>-1.912387805</v>
      </c>
      <c r="S58" s="18">
        <f>Andrew!D58</f>
        <v>0.65</v>
      </c>
      <c r="T58" s="18">
        <f>Eileen!D58</f>
        <v>0.5</v>
      </c>
      <c r="U58" s="18">
        <f>Iain!D58</f>
        <v>0.9</v>
      </c>
      <c r="V58" s="18">
        <f>Kate!D58</f>
        <v>0.3</v>
      </c>
      <c r="W58" s="18">
        <f>Rohan!D58</f>
        <v>0.45</v>
      </c>
      <c r="X58" s="18">
        <f>David!D58</f>
        <v>0.5</v>
      </c>
      <c r="Y58" s="18">
        <f>Jac!D58</f>
        <v>0.5</v>
      </c>
      <c r="Z58" s="19">
        <f>James!D58</f>
        <v>0.5</v>
      </c>
      <c r="AA58" s="18">
        <f>Chris!D58</f>
        <v>0.4</v>
      </c>
      <c r="AB58" s="19">
        <f>Lachy!D58</f>
        <v>0.1978161114</v>
      </c>
      <c r="AC58" s="18">
        <f>Gael!D58</f>
        <v>0.8</v>
      </c>
      <c r="AD58" s="18">
        <f>Bruce!D58</f>
        <v>0.2</v>
      </c>
      <c r="AE58" s="18">
        <f>Jac!E58</f>
        <v>0.4</v>
      </c>
      <c r="AF58" s="18">
        <f>Jac!F58</f>
        <v>0.4</v>
      </c>
      <c r="AG58" s="18">
        <f>Jac!G58</f>
        <v>0.5</v>
      </c>
      <c r="AH58" s="18">
        <f>Bruce!E58</f>
        <v>0.3</v>
      </c>
      <c r="AI58" s="18">
        <f>Bruce!F58</f>
        <v>0.15</v>
      </c>
    </row>
    <row r="59" ht="15.75" customHeight="1">
      <c r="A59" s="13">
        <v>58.0</v>
      </c>
      <c r="B59" s="14" t="s">
        <v>17</v>
      </c>
      <c r="C59" s="14" t="s">
        <v>95</v>
      </c>
      <c r="D59" s="15" t="s">
        <v>32</v>
      </c>
      <c r="E59" s="15">
        <v>0.0</v>
      </c>
      <c r="F59" s="16">
        <f t="shared" ref="F59:Q59" si="59">IF($E59=1,(LOG(S59,2)+1),IF($E59=0,(LOG(1-S59,2)+1),""))</f>
        <v>-0.7369655942</v>
      </c>
      <c r="G59" s="16">
        <f t="shared" si="59"/>
        <v>0</v>
      </c>
      <c r="H59" s="16">
        <f t="shared" si="59"/>
        <v>-1.321928095</v>
      </c>
      <c r="I59" s="16">
        <f t="shared" si="59"/>
        <v>-0.3219280949</v>
      </c>
      <c r="J59" s="16">
        <f t="shared" si="59"/>
        <v>0.3785116233</v>
      </c>
      <c r="K59" s="16">
        <f t="shared" si="59"/>
        <v>0.2630344058</v>
      </c>
      <c r="L59" s="16">
        <f t="shared" si="59"/>
        <v>0.2630344058</v>
      </c>
      <c r="M59" s="16">
        <f t="shared" si="59"/>
        <v>0.4854268272</v>
      </c>
      <c r="N59" s="16">
        <f t="shared" si="59"/>
        <v>0.2630344058</v>
      </c>
      <c r="O59" s="16">
        <f t="shared" si="59"/>
        <v>0.3688383034</v>
      </c>
      <c r="P59" s="16">
        <f t="shared" si="59"/>
        <v>-1.321928095</v>
      </c>
      <c r="Q59" s="16">
        <f t="shared" si="59"/>
        <v>0.2630344058</v>
      </c>
      <c r="R59" s="17">
        <f t="shared" si="3"/>
        <v>-1.417835502</v>
      </c>
      <c r="S59" s="18">
        <f>Andrew!D59</f>
        <v>0.7</v>
      </c>
      <c r="T59" s="18">
        <f>Eileen!D59</f>
        <v>0.5</v>
      </c>
      <c r="U59" s="18">
        <f>Iain!D59</f>
        <v>0.8</v>
      </c>
      <c r="V59" s="18">
        <f>Kate!D59</f>
        <v>0.6</v>
      </c>
      <c r="W59" s="18">
        <f>Rohan!D59</f>
        <v>0.35</v>
      </c>
      <c r="X59" s="18">
        <f>David!D59</f>
        <v>0.4</v>
      </c>
      <c r="Y59" s="18">
        <f>Jac!D59</f>
        <v>0.4</v>
      </c>
      <c r="Z59" s="19">
        <f>James!D59</f>
        <v>0.3</v>
      </c>
      <c r="AA59" s="18">
        <f>Chris!D59</f>
        <v>0.4</v>
      </c>
      <c r="AB59" s="19">
        <f>Lachy!D59</f>
        <v>0.3543436938</v>
      </c>
      <c r="AC59" s="18">
        <f>Gael!D59</f>
        <v>0.8</v>
      </c>
      <c r="AD59" s="18">
        <f>Bruce!D59</f>
        <v>0.4</v>
      </c>
      <c r="AE59" s="18">
        <f>Jac!E59</f>
        <v>0.4</v>
      </c>
      <c r="AF59" s="18">
        <f>Jac!F59</f>
        <v>0.2</v>
      </c>
      <c r="AG59" s="18">
        <f>Jac!G59</f>
        <v>0.4</v>
      </c>
      <c r="AH59" s="18">
        <f>Bruce!E59</f>
        <v>0.45</v>
      </c>
      <c r="AI59" s="18">
        <f>Bruce!F59</f>
        <v>0.3</v>
      </c>
    </row>
    <row r="60" ht="15.75" customHeight="1">
      <c r="A60" s="13">
        <v>59.0</v>
      </c>
      <c r="B60" s="14" t="s">
        <v>17</v>
      </c>
      <c r="C60" s="14" t="s">
        <v>96</v>
      </c>
      <c r="D60" s="15" t="s">
        <v>32</v>
      </c>
      <c r="E60" s="15">
        <v>1.0</v>
      </c>
      <c r="F60" s="16">
        <f t="shared" ref="F60:Q60" si="60">IF($E60=1,(LOG(S60,2)+1),IF($E60=0,(LOG(1-S60,2)+1),""))</f>
        <v>0.2630344058</v>
      </c>
      <c r="G60" s="16">
        <f t="shared" si="60"/>
        <v>0</v>
      </c>
      <c r="H60" s="16">
        <f t="shared" si="60"/>
        <v>0.2630344058</v>
      </c>
      <c r="I60" s="16">
        <f t="shared" si="60"/>
        <v>0</v>
      </c>
      <c r="J60" s="16">
        <f t="shared" si="60"/>
        <v>0.5849625007</v>
      </c>
      <c r="K60" s="16">
        <f t="shared" si="60"/>
        <v>0.5849625007</v>
      </c>
      <c r="L60" s="16">
        <f t="shared" si="60"/>
        <v>0.8479969066</v>
      </c>
      <c r="M60" s="16">
        <f t="shared" si="60"/>
        <v>0.5849625007</v>
      </c>
      <c r="N60" s="16">
        <f t="shared" si="60"/>
        <v>0</v>
      </c>
      <c r="O60" s="16">
        <f t="shared" si="60"/>
        <v>-0.4967787211</v>
      </c>
      <c r="P60" s="16">
        <f t="shared" si="60"/>
        <v>0.5849625007</v>
      </c>
      <c r="Q60" s="16">
        <f t="shared" si="60"/>
        <v>0.5849625007</v>
      </c>
      <c r="R60" s="17">
        <f t="shared" si="3"/>
        <v>3.802099501</v>
      </c>
      <c r="S60" s="18">
        <f>Andrew!D60</f>
        <v>0.6</v>
      </c>
      <c r="T60" s="18">
        <f>Eileen!D60</f>
        <v>0.5</v>
      </c>
      <c r="U60" s="18">
        <f>Iain!D60</f>
        <v>0.6</v>
      </c>
      <c r="V60" s="18">
        <f>Kate!D60</f>
        <v>0.5</v>
      </c>
      <c r="W60" s="18">
        <f>Rohan!D60</f>
        <v>0.75</v>
      </c>
      <c r="X60" s="18">
        <f>David!D60</f>
        <v>0.75</v>
      </c>
      <c r="Y60" s="18">
        <f>Jac!D60</f>
        <v>0.9</v>
      </c>
      <c r="Z60" s="19">
        <f>James!D60</f>
        <v>0.75</v>
      </c>
      <c r="AA60" s="18">
        <f>Chris!D60</f>
        <v>0.5</v>
      </c>
      <c r="AB60" s="19">
        <f>Lachy!D60</f>
        <v>0.3543436938</v>
      </c>
      <c r="AC60" s="18">
        <f>Gael!D60</f>
        <v>0.75</v>
      </c>
      <c r="AD60" s="18">
        <f>Bruce!D60</f>
        <v>0.75</v>
      </c>
      <c r="AE60" s="18">
        <f>Jac!E60</f>
        <v>0.8</v>
      </c>
      <c r="AF60" s="18">
        <f>Jac!F60</f>
        <v>0.9</v>
      </c>
      <c r="AG60" s="18">
        <f>Jac!G60</f>
        <v>0.8</v>
      </c>
      <c r="AH60" s="18">
        <f>Bruce!E60</f>
        <v>0.6</v>
      </c>
      <c r="AI60" s="18">
        <f>Bruce!F60</f>
        <v>0.9</v>
      </c>
    </row>
    <row r="62">
      <c r="E62" s="22" t="s">
        <v>97</v>
      </c>
      <c r="F62" s="23">
        <f t="shared" ref="F62:Q62" si="61">IF(SUM(F1:F61)&gt;=0,SUM(F1:F61),"")</f>
        <v>9.642331221</v>
      </c>
      <c r="G62" s="23">
        <f t="shared" si="61"/>
        <v>4.400431637</v>
      </c>
      <c r="H62" s="23" t="str">
        <f t="shared" si="61"/>
        <v/>
      </c>
      <c r="I62" s="23">
        <f t="shared" si="61"/>
        <v>2.024465</v>
      </c>
      <c r="J62" s="23">
        <f t="shared" si="61"/>
        <v>5.521194835</v>
      </c>
      <c r="K62" s="23" t="str">
        <f t="shared" si="61"/>
        <v/>
      </c>
      <c r="L62" s="23">
        <f t="shared" si="61"/>
        <v>12.58578719</v>
      </c>
      <c r="M62" s="23">
        <f t="shared" si="61"/>
        <v>13.55334073</v>
      </c>
      <c r="N62" s="23">
        <f t="shared" si="61"/>
        <v>13.0904836</v>
      </c>
      <c r="O62" s="23">
        <f t="shared" si="61"/>
        <v>9.815066037</v>
      </c>
      <c r="P62" s="23" t="str">
        <f t="shared" si="61"/>
        <v/>
      </c>
      <c r="Q62" s="23">
        <f t="shared" si="61"/>
        <v>7.637870141</v>
      </c>
    </row>
    <row r="63">
      <c r="E63" s="24"/>
      <c r="F63" s="25" t="str">
        <f t="shared" ref="F63:Q63" si="62">IF(SUM(F1:F61)&lt;0,SUM(F1:F61),"")</f>
        <v/>
      </c>
      <c r="G63" s="25" t="str">
        <f t="shared" si="62"/>
        <v/>
      </c>
      <c r="H63" s="25">
        <f t="shared" si="62"/>
        <v>-0.5936671821</v>
      </c>
      <c r="I63" s="25" t="str">
        <f t="shared" si="62"/>
        <v/>
      </c>
      <c r="J63" s="25" t="str">
        <f t="shared" si="62"/>
        <v/>
      </c>
      <c r="K63" s="25">
        <f t="shared" si="62"/>
        <v>-1.06592185</v>
      </c>
      <c r="L63" s="25" t="str">
        <f t="shared" si="62"/>
        <v/>
      </c>
      <c r="M63" s="25" t="str">
        <f t="shared" si="62"/>
        <v/>
      </c>
      <c r="N63" s="25" t="str">
        <f t="shared" si="62"/>
        <v/>
      </c>
      <c r="O63" s="25" t="str">
        <f t="shared" si="62"/>
        <v/>
      </c>
      <c r="P63" s="25">
        <f t="shared" si="62"/>
        <v>-13.30226126</v>
      </c>
      <c r="Q63" s="25" t="str">
        <f t="shared" si="62"/>
        <v/>
      </c>
    </row>
    <row r="64">
      <c r="E64" s="10"/>
      <c r="F64" s="10"/>
      <c r="G64" s="10"/>
      <c r="H64" s="10"/>
      <c r="I64" s="10"/>
      <c r="J64" s="10"/>
      <c r="K64" s="10"/>
      <c r="L64" s="10"/>
      <c r="M64" s="10"/>
      <c r="N64" s="10"/>
      <c r="O64" s="10"/>
      <c r="P64" s="10"/>
      <c r="Q64" s="10"/>
    </row>
    <row r="65">
      <c r="E65" s="26" t="s">
        <v>98</v>
      </c>
      <c r="F65" s="17">
        <f t="shared" ref="F65:Q65" si="63">MAX(F1:F61)</f>
        <v>0.9259994186</v>
      </c>
      <c r="G65" s="17">
        <f t="shared" si="63"/>
        <v>0.8479969066</v>
      </c>
      <c r="H65" s="17">
        <f t="shared" si="63"/>
        <v>0.8479969066</v>
      </c>
      <c r="I65" s="17">
        <f t="shared" si="63"/>
        <v>0.9855004303</v>
      </c>
      <c r="J65" s="17">
        <f t="shared" si="63"/>
        <v>0.9855004303</v>
      </c>
      <c r="K65" s="17">
        <f t="shared" si="63"/>
        <v>0.8479969066</v>
      </c>
      <c r="L65" s="17">
        <f t="shared" si="63"/>
        <v>0.9855004303</v>
      </c>
      <c r="M65" s="17">
        <f t="shared" si="63"/>
        <v>1</v>
      </c>
      <c r="N65" s="17">
        <f t="shared" si="63"/>
        <v>0.9855004303</v>
      </c>
      <c r="O65" s="17">
        <f t="shared" si="63"/>
        <v>0.8168815879</v>
      </c>
      <c r="P65" s="17">
        <f t="shared" si="63"/>
        <v>0.8479969066</v>
      </c>
      <c r="Q65" s="17">
        <f t="shared" si="63"/>
        <v>0.9855004303</v>
      </c>
    </row>
    <row r="66">
      <c r="E66" s="26" t="s">
        <v>99</v>
      </c>
      <c r="F66" s="17">
        <f t="shared" ref="F66:Q66" si="64">MIN(F1:F61)</f>
        <v>-1</v>
      </c>
      <c r="G66" s="17">
        <f t="shared" si="64"/>
        <v>-2.321928095</v>
      </c>
      <c r="H66" s="17">
        <f t="shared" si="64"/>
        <v>-2.321928095</v>
      </c>
      <c r="I66" s="17">
        <f t="shared" si="64"/>
        <v>-2.321928095</v>
      </c>
      <c r="J66" s="17">
        <f t="shared" si="64"/>
        <v>-2.321928095</v>
      </c>
      <c r="K66" s="17">
        <f t="shared" si="64"/>
        <v>-2.321928095</v>
      </c>
      <c r="L66" s="17">
        <f t="shared" si="64"/>
        <v>-2.321928095</v>
      </c>
      <c r="M66" s="17">
        <f t="shared" si="64"/>
        <v>-3.321928095</v>
      </c>
      <c r="N66" s="17">
        <f t="shared" si="64"/>
        <v>-1.321928095</v>
      </c>
      <c r="O66" s="17">
        <f t="shared" si="64"/>
        <v>-1.337768161</v>
      </c>
      <c r="P66" s="17">
        <f t="shared" si="64"/>
        <v>-2.321928095</v>
      </c>
      <c r="Q66" s="17">
        <f t="shared" si="64"/>
        <v>-5.64385619</v>
      </c>
    </row>
    <row r="67">
      <c r="E67" s="26" t="s">
        <v>100</v>
      </c>
      <c r="F67" s="17">
        <f>IFERROR(__xludf.DUMMYFUNCTION("AVERAGE(FILTER(F1:F61, F1:F61 &gt; 0))"),0.5343899658097842)</f>
        <v>0.5343899658</v>
      </c>
      <c r="G67" s="17">
        <f>IFERROR(__xludf.DUMMYFUNCTION("AVERAGE(FILTER(G1:G61, G1:G61 &gt; 0))"),0.6398082675215828)</f>
        <v>0.6398082675</v>
      </c>
      <c r="H67" s="17">
        <f>IFERROR(__xludf.DUMMYFUNCTION("AVERAGE(FILTER(H1:H61, H1:H61 &gt; 0))"),0.5004397205478746)</f>
        <v>0.5004397205</v>
      </c>
      <c r="I67" s="17">
        <f>IFERROR(__xludf.DUMMYFUNCTION("AVERAGE(FILTER(I1:I61, I1:I61 &gt; 0))"),0.5896739162635719)</f>
        <v>0.5896739163</v>
      </c>
      <c r="J67" s="17">
        <f>IFERROR(__xludf.DUMMYFUNCTION("AVERAGE(FILTER(J1:J61, J1:J61 &gt; 0))"),0.46672531733079053)</f>
        <v>0.4667253173</v>
      </c>
      <c r="K67" s="17">
        <f>IFERROR(__xludf.DUMMYFUNCTION("AVERAGE(FILTER(K1:K61, K1:K61 &gt; 0))"),0.5996710181408007)</f>
        <v>0.5996710181</v>
      </c>
      <c r="L67" s="17">
        <f>IFERROR(__xludf.DUMMYFUNCTION("AVERAGE(FILTER(L1:L61, L1:L61 &gt; 0))"),0.5224544386238801)</f>
        <v>0.5224544386</v>
      </c>
      <c r="M67" s="17">
        <f>IFERROR(__xludf.DUMMYFUNCTION("AVERAGE(FILTER(M1:M61, M1:M61 &gt; 0))"),0.5183903474749105)</f>
        <v>0.5183903475</v>
      </c>
      <c r="N67" s="17">
        <f>IFERROR(__xludf.DUMMYFUNCTION("AVERAGE(FILTER(N1:N61, N1:N61 &gt; 0))"),0.5339958590297956)</f>
        <v>0.533995859</v>
      </c>
      <c r="O67" s="17">
        <f>IFERROR(__xludf.DUMMYFUNCTION("AVERAGE(FILTER(O1:O61, O1:O61 &gt; 0))"),0.5279855490711125)</f>
        <v>0.5279855491</v>
      </c>
      <c r="P67" s="17">
        <f>IFERROR(__xludf.DUMMYFUNCTION("AVERAGE(FILTER(P1:P61, P1:P61 &gt; 0))"),0.5119673344589917)</f>
        <v>0.5119673345</v>
      </c>
      <c r="Q67" s="17">
        <f>IFERROR(__xludf.DUMMYFUNCTION("AVERAGE(FILTER(Q1:Q61, Q1:Q61 &gt; 0))"),0.5260850598838079)</f>
        <v>0.5260850599</v>
      </c>
    </row>
    <row r="68">
      <c r="E68" s="26" t="s">
        <v>101</v>
      </c>
      <c r="F68" s="27">
        <f>IFERROR(__xludf.DUMMYFUNCTION("AVERAGE(FILTER(F1:F61, F1:F61 &lt; 0))"),-0.5065048757037425)</f>
        <v>-0.5065048757</v>
      </c>
      <c r="G68" s="27">
        <f>IFERROR(__xludf.DUMMYFUNCTION("AVERAGE(FILTER(G1:G61, G1:G61 &lt; 0))"),-0.8929684957451348)</f>
        <v>-0.8929684957</v>
      </c>
      <c r="H68" s="27">
        <f>IFERROR(__xludf.DUMMYFUNCTION("AVERAGE(FILTER(H1:H61, H1:H61 &lt; 0))"),-0.8214136209754183)</f>
        <v>-0.821413621</v>
      </c>
      <c r="I68" s="27">
        <f>IFERROR(__xludf.DUMMYFUNCTION("AVERAGE(FILTER(I1:I61, I1:I61 &lt; 0))"),-0.7459882136945959)</f>
        <v>-0.7459882137</v>
      </c>
      <c r="J68" s="27">
        <f>IFERROR(__xludf.DUMMYFUNCTION("AVERAGE(FILTER(J1:J61, J1:J61 &lt; 0))"),-0.5407095635978298)</f>
        <v>-0.5407095636</v>
      </c>
      <c r="K68" s="27">
        <f>IFERROR(__xludf.DUMMYFUNCTION("AVERAGE(FILTER(K1:K61, K1:K61 &lt; 0))"),-1.189812022943679)</f>
        <v>-1.189812023</v>
      </c>
      <c r="L68" s="27">
        <f>IFERROR(__xludf.DUMMYFUNCTION("AVERAGE(FILTER(L1:L61, L1:L61 &lt; 0))"),-0.9235989281405672)</f>
        <v>-0.9235989281</v>
      </c>
      <c r="M68" s="27">
        <f>IFERROR(__xludf.DUMMYFUNCTION("AVERAGE(FILTER(M1:M61, M1:M61 &lt; 0))"),-0.8885659004568321)</f>
        <v>-0.8885659005</v>
      </c>
      <c r="N68" s="27">
        <f>IFERROR(__xludf.DUMMYFUNCTION("AVERAGE(FILTER(N1:N61, N1:N61 &lt; 0))"),-0.6546690037160326)</f>
        <v>-0.6546690037</v>
      </c>
      <c r="O68" s="27">
        <f>IFERROR(__xludf.DUMMYFUNCTION("AVERAGE(FILTER(O1:O61, O1:O61 &lt; 0))"),-0.5400221821431511)</f>
        <v>-0.5400221821</v>
      </c>
      <c r="P68" s="27">
        <f>IFERROR(__xludf.DUMMYFUNCTION("AVERAGE(FILTER(P1:P61, P1:P61 &lt; 0))"),-0.8419820846627208)</f>
        <v>-0.8419820847</v>
      </c>
      <c r="Q68" s="27">
        <f>IFERROR(__xludf.DUMMYFUNCTION("AVERAGE(FILTER(Q1:Q61, Q1:Q61 &lt; 0))"),-1.0294468445267841)</f>
        <v>-1.029446845</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6.13"/>
    <col customWidth="1" min="3" max="4" width="13.38"/>
    <col customWidth="1" min="5" max="5" width="12.63"/>
  </cols>
  <sheetData>
    <row r="1" ht="15.75" customHeight="1">
      <c r="A1" s="5" t="s">
        <v>3</v>
      </c>
      <c r="B1" s="5" t="s">
        <v>4</v>
      </c>
      <c r="C1" s="4" t="s">
        <v>5</v>
      </c>
      <c r="D1" s="28" t="s">
        <v>102</v>
      </c>
      <c r="E1" s="29"/>
      <c r="F1" s="29"/>
      <c r="G1" s="30"/>
    </row>
    <row r="2" ht="15.75" customHeight="1">
      <c r="A2" s="14" t="s">
        <v>11</v>
      </c>
      <c r="B2" s="14" t="s">
        <v>25</v>
      </c>
      <c r="C2" s="15" t="s">
        <v>26</v>
      </c>
      <c r="D2" s="31">
        <v>0.45</v>
      </c>
      <c r="E2" s="32"/>
      <c r="F2" s="32"/>
    </row>
    <row r="3" ht="15.75" customHeight="1">
      <c r="A3" s="14" t="s">
        <v>11</v>
      </c>
      <c r="B3" s="14" t="s">
        <v>27</v>
      </c>
      <c r="C3" s="15" t="s">
        <v>28</v>
      </c>
      <c r="D3" s="31">
        <v>0.6</v>
      </c>
      <c r="E3" s="32"/>
      <c r="F3" s="32"/>
    </row>
    <row r="4" ht="15.75" customHeight="1">
      <c r="A4" s="14" t="s">
        <v>11</v>
      </c>
      <c r="B4" s="14" t="s">
        <v>29</v>
      </c>
      <c r="C4" s="15" t="s">
        <v>30</v>
      </c>
      <c r="D4" s="31">
        <v>0.58</v>
      </c>
      <c r="E4" s="32"/>
      <c r="F4" s="32"/>
    </row>
    <row r="5" ht="15.75" customHeight="1">
      <c r="A5" s="14" t="s">
        <v>11</v>
      </c>
      <c r="B5" s="14" t="s">
        <v>31</v>
      </c>
      <c r="C5" s="15" t="s">
        <v>32</v>
      </c>
      <c r="D5" s="31">
        <v>0.6</v>
      </c>
      <c r="E5" s="32"/>
      <c r="F5" s="32"/>
    </row>
    <row r="6" ht="15.75" customHeight="1">
      <c r="A6" s="14" t="s">
        <v>18</v>
      </c>
      <c r="B6" s="14" t="s">
        <v>33</v>
      </c>
      <c r="C6" s="15" t="s">
        <v>30</v>
      </c>
      <c r="D6" s="31">
        <v>0.35</v>
      </c>
      <c r="E6" s="32"/>
      <c r="F6" s="32"/>
    </row>
    <row r="7" ht="15.75" customHeight="1">
      <c r="A7" s="14" t="s">
        <v>18</v>
      </c>
      <c r="B7" s="14" t="s">
        <v>34</v>
      </c>
      <c r="C7" s="15" t="s">
        <v>26</v>
      </c>
      <c r="D7" s="31">
        <v>0.7</v>
      </c>
      <c r="E7" s="32"/>
      <c r="F7" s="32"/>
    </row>
    <row r="8" ht="15.75" customHeight="1">
      <c r="A8" s="14" t="s">
        <v>18</v>
      </c>
      <c r="B8" s="14" t="s">
        <v>35</v>
      </c>
      <c r="C8" s="15" t="s">
        <v>26</v>
      </c>
      <c r="D8" s="31">
        <v>0.55</v>
      </c>
      <c r="E8" s="32"/>
      <c r="F8" s="32"/>
    </row>
    <row r="9" ht="15.75" customHeight="1">
      <c r="A9" s="14" t="s">
        <v>18</v>
      </c>
      <c r="B9" s="14" t="s">
        <v>36</v>
      </c>
      <c r="C9" s="15" t="s">
        <v>37</v>
      </c>
      <c r="D9" s="31">
        <v>0.65</v>
      </c>
      <c r="E9" s="32"/>
      <c r="F9" s="32"/>
    </row>
    <row r="10" ht="15.75" customHeight="1">
      <c r="A10" s="14" t="s">
        <v>18</v>
      </c>
      <c r="B10" s="14" t="s">
        <v>38</v>
      </c>
      <c r="C10" s="15" t="s">
        <v>39</v>
      </c>
      <c r="D10" s="31">
        <v>0.85</v>
      </c>
      <c r="E10" s="32"/>
      <c r="F10" s="32"/>
    </row>
    <row r="11" ht="15.75" customHeight="1">
      <c r="A11" s="14" t="s">
        <v>8</v>
      </c>
      <c r="B11" s="14" t="s">
        <v>40</v>
      </c>
      <c r="C11" s="15" t="s">
        <v>39</v>
      </c>
      <c r="D11" s="31">
        <v>0.1</v>
      </c>
      <c r="E11" s="32"/>
      <c r="F11" s="32"/>
    </row>
    <row r="12" ht="15.75" customHeight="1">
      <c r="A12" s="14" t="s">
        <v>8</v>
      </c>
      <c r="B12" s="14" t="s">
        <v>41</v>
      </c>
      <c r="C12" s="15" t="s">
        <v>42</v>
      </c>
      <c r="D12" s="31">
        <v>0.15</v>
      </c>
      <c r="E12" s="32"/>
      <c r="F12" s="32"/>
    </row>
    <row r="13" ht="15.75" customHeight="1">
      <c r="A13" s="14" t="s">
        <v>8</v>
      </c>
      <c r="B13" s="14" t="s">
        <v>43</v>
      </c>
      <c r="C13" s="15" t="s">
        <v>28</v>
      </c>
      <c r="D13" s="31">
        <v>0.05</v>
      </c>
      <c r="E13" s="32"/>
      <c r="F13" s="32"/>
    </row>
    <row r="14" ht="15.75" customHeight="1">
      <c r="A14" s="14" t="s">
        <v>8</v>
      </c>
      <c r="B14" s="14" t="s">
        <v>44</v>
      </c>
      <c r="C14" s="15" t="s">
        <v>45</v>
      </c>
      <c r="D14" s="31">
        <v>0.1</v>
      </c>
      <c r="E14" s="32"/>
      <c r="F14" s="32"/>
    </row>
    <row r="15" ht="15.75" customHeight="1">
      <c r="A15" s="14" t="s">
        <v>8</v>
      </c>
      <c r="B15" s="14" t="s">
        <v>46</v>
      </c>
      <c r="C15" s="15" t="s">
        <v>45</v>
      </c>
      <c r="D15" s="31">
        <v>0.15</v>
      </c>
      <c r="E15" s="32"/>
      <c r="F15" s="32"/>
    </row>
    <row r="16" ht="15.75" customHeight="1">
      <c r="A16" s="14" t="s">
        <v>16</v>
      </c>
      <c r="B16" s="14" t="s">
        <v>47</v>
      </c>
      <c r="C16" s="15" t="s">
        <v>30</v>
      </c>
      <c r="D16" s="31">
        <v>0.65</v>
      </c>
      <c r="E16" s="32"/>
      <c r="F16" s="32"/>
    </row>
    <row r="17" ht="15.75" customHeight="1">
      <c r="A17" s="14" t="s">
        <v>16</v>
      </c>
      <c r="B17" s="14" t="s">
        <v>48</v>
      </c>
      <c r="C17" s="15" t="s">
        <v>30</v>
      </c>
      <c r="D17" s="31">
        <v>0.7</v>
      </c>
      <c r="E17" s="32"/>
      <c r="F17" s="32"/>
    </row>
    <row r="18" ht="15.75" customHeight="1">
      <c r="A18" s="14" t="s">
        <v>16</v>
      </c>
      <c r="B18" s="14" t="s">
        <v>49</v>
      </c>
      <c r="C18" s="15" t="s">
        <v>50</v>
      </c>
      <c r="D18" s="31">
        <v>0.8</v>
      </c>
      <c r="E18" s="32"/>
      <c r="F18" s="32"/>
    </row>
    <row r="19" ht="15.75" customHeight="1">
      <c r="A19" s="14" t="s">
        <v>16</v>
      </c>
      <c r="B19" s="14" t="s">
        <v>51</v>
      </c>
      <c r="C19" s="15" t="s">
        <v>30</v>
      </c>
      <c r="D19" s="31">
        <v>0.25</v>
      </c>
      <c r="E19" s="32"/>
      <c r="F19" s="32"/>
    </row>
    <row r="20" ht="15.75" customHeight="1">
      <c r="A20" s="14" t="s">
        <v>16</v>
      </c>
      <c r="B20" s="14" t="s">
        <v>52</v>
      </c>
      <c r="C20" s="15" t="s">
        <v>42</v>
      </c>
      <c r="D20" s="31">
        <v>0.4</v>
      </c>
      <c r="E20" s="32"/>
      <c r="F20" s="32"/>
    </row>
    <row r="21" ht="15.75" customHeight="1">
      <c r="A21" s="14" t="s">
        <v>14</v>
      </c>
      <c r="B21" s="14" t="s">
        <v>53</v>
      </c>
      <c r="C21" s="15" t="s">
        <v>28</v>
      </c>
      <c r="D21" s="31">
        <v>0.6</v>
      </c>
      <c r="E21" s="32"/>
      <c r="F21" s="32"/>
    </row>
    <row r="22" ht="15.75" customHeight="1">
      <c r="A22" s="14" t="s">
        <v>14</v>
      </c>
      <c r="B22" s="14" t="s">
        <v>54</v>
      </c>
      <c r="C22" s="15" t="s">
        <v>39</v>
      </c>
      <c r="D22" s="31">
        <v>0.65</v>
      </c>
      <c r="E22" s="32"/>
      <c r="F22" s="32"/>
    </row>
    <row r="23" ht="15.75" customHeight="1">
      <c r="A23" s="14" t="s">
        <v>14</v>
      </c>
      <c r="B23" s="14" t="s">
        <v>55</v>
      </c>
      <c r="C23" s="15" t="s">
        <v>32</v>
      </c>
      <c r="D23" s="31">
        <v>0.3</v>
      </c>
      <c r="E23" s="32"/>
      <c r="F23" s="32"/>
    </row>
    <row r="24" ht="15.75" customHeight="1">
      <c r="A24" s="14" t="s">
        <v>14</v>
      </c>
      <c r="B24" s="14" t="s">
        <v>57</v>
      </c>
      <c r="C24" s="15" t="s">
        <v>32</v>
      </c>
      <c r="D24" s="31">
        <v>0.4</v>
      </c>
      <c r="E24" s="32"/>
      <c r="F24" s="32"/>
    </row>
    <row r="25" ht="15.75" customHeight="1">
      <c r="A25" s="14" t="s">
        <v>14</v>
      </c>
      <c r="B25" s="14" t="s">
        <v>58</v>
      </c>
      <c r="C25" s="15" t="s">
        <v>37</v>
      </c>
      <c r="D25" s="31">
        <v>0.2</v>
      </c>
      <c r="E25" s="32"/>
      <c r="F25" s="32"/>
    </row>
    <row r="26" ht="15.75" customHeight="1">
      <c r="A26" s="14" t="s">
        <v>9</v>
      </c>
      <c r="B26" s="14" t="s">
        <v>59</v>
      </c>
      <c r="C26" s="15" t="s">
        <v>30</v>
      </c>
      <c r="D26" s="31">
        <v>0.7</v>
      </c>
      <c r="E26" s="32"/>
      <c r="F26" s="32"/>
    </row>
    <row r="27" ht="15.75" customHeight="1">
      <c r="A27" s="14" t="s">
        <v>9</v>
      </c>
      <c r="B27" s="14" t="s">
        <v>60</v>
      </c>
      <c r="C27" s="15" t="s">
        <v>32</v>
      </c>
      <c r="D27" s="31">
        <v>0.6</v>
      </c>
      <c r="E27" s="32"/>
      <c r="F27" s="32"/>
    </row>
    <row r="28" ht="15.75" customHeight="1">
      <c r="A28" s="14" t="s">
        <v>9</v>
      </c>
      <c r="B28" s="14" t="s">
        <v>61</v>
      </c>
      <c r="C28" s="15" t="s">
        <v>28</v>
      </c>
      <c r="D28" s="31">
        <v>0.35</v>
      </c>
      <c r="E28" s="32"/>
      <c r="F28" s="32"/>
    </row>
    <row r="29" ht="15.75" customHeight="1">
      <c r="A29" s="14" t="s">
        <v>9</v>
      </c>
      <c r="B29" s="14" t="s">
        <v>62</v>
      </c>
      <c r="C29" s="15" t="s">
        <v>28</v>
      </c>
      <c r="D29" s="31">
        <v>0.4</v>
      </c>
      <c r="E29" s="32"/>
      <c r="F29" s="32"/>
    </row>
    <row r="30" ht="15.75" customHeight="1">
      <c r="A30" s="14" t="s">
        <v>9</v>
      </c>
      <c r="B30" s="14" t="s">
        <v>63</v>
      </c>
      <c r="C30" s="15" t="s">
        <v>28</v>
      </c>
      <c r="D30" s="31">
        <v>0.6</v>
      </c>
      <c r="E30" s="32"/>
      <c r="F30" s="32"/>
    </row>
    <row r="31" ht="15.75" customHeight="1">
      <c r="A31" s="14" t="s">
        <v>64</v>
      </c>
      <c r="B31" s="14" t="s">
        <v>65</v>
      </c>
      <c r="C31" s="15" t="s">
        <v>32</v>
      </c>
      <c r="D31" s="31">
        <v>0.4</v>
      </c>
      <c r="E31" s="32"/>
      <c r="F31" s="32"/>
    </row>
    <row r="32" ht="15.75" customHeight="1">
      <c r="A32" s="14" t="s">
        <v>64</v>
      </c>
      <c r="B32" s="14" t="s">
        <v>66</v>
      </c>
      <c r="C32" s="15" t="s">
        <v>26</v>
      </c>
      <c r="D32" s="31">
        <v>0.25</v>
      </c>
      <c r="E32" s="32"/>
      <c r="F32" s="32"/>
    </row>
    <row r="33" ht="15.75" customHeight="1">
      <c r="A33" s="14" t="s">
        <v>64</v>
      </c>
      <c r="B33" s="14" t="s">
        <v>67</v>
      </c>
      <c r="C33" s="15" t="s">
        <v>32</v>
      </c>
      <c r="D33" s="31">
        <v>0.4</v>
      </c>
      <c r="E33" s="32"/>
      <c r="F33" s="32"/>
    </row>
    <row r="34" ht="15.75" customHeight="1">
      <c r="A34" s="14" t="s">
        <v>64</v>
      </c>
      <c r="B34" s="14" t="s">
        <v>68</v>
      </c>
      <c r="C34" s="15" t="s">
        <v>39</v>
      </c>
      <c r="D34" s="31">
        <v>0.2</v>
      </c>
      <c r="E34" s="32"/>
      <c r="F34" s="32"/>
    </row>
    <row r="35" ht="15.75" customHeight="1">
      <c r="A35" s="14" t="s">
        <v>64</v>
      </c>
      <c r="B35" s="14" t="s">
        <v>69</v>
      </c>
      <c r="C35" s="15" t="s">
        <v>28</v>
      </c>
      <c r="D35" s="31">
        <v>0.8</v>
      </c>
      <c r="E35" s="32"/>
      <c r="F35" s="32"/>
    </row>
    <row r="36" ht="15.75" customHeight="1">
      <c r="A36" s="14" t="s">
        <v>7</v>
      </c>
      <c r="B36" s="14" t="s">
        <v>70</v>
      </c>
      <c r="C36" s="15" t="s">
        <v>32</v>
      </c>
      <c r="D36" s="31">
        <v>0.75</v>
      </c>
      <c r="E36" s="32"/>
      <c r="F36" s="32"/>
    </row>
    <row r="37" ht="15.75" customHeight="1">
      <c r="A37" s="14" t="s">
        <v>7</v>
      </c>
      <c r="B37" s="14" t="s">
        <v>71</v>
      </c>
      <c r="C37" s="15" t="s">
        <v>28</v>
      </c>
      <c r="D37" s="31">
        <v>0.7</v>
      </c>
      <c r="E37" s="32"/>
      <c r="F37" s="32"/>
    </row>
    <row r="38" ht="15.75" customHeight="1">
      <c r="A38" s="14" t="s">
        <v>7</v>
      </c>
      <c r="B38" s="14" t="s">
        <v>72</v>
      </c>
      <c r="C38" s="15" t="s">
        <v>42</v>
      </c>
      <c r="D38" s="31">
        <v>0.3</v>
      </c>
      <c r="E38" s="32"/>
      <c r="F38" s="32"/>
    </row>
    <row r="39" ht="15.75" customHeight="1">
      <c r="A39" s="14" t="s">
        <v>7</v>
      </c>
      <c r="B39" s="14" t="s">
        <v>73</v>
      </c>
      <c r="C39" s="15" t="s">
        <v>45</v>
      </c>
      <c r="D39" s="31">
        <v>0.65</v>
      </c>
      <c r="E39" s="32"/>
      <c r="F39" s="32"/>
    </row>
    <row r="40" ht="15.75" customHeight="1">
      <c r="A40" s="14" t="s">
        <v>7</v>
      </c>
      <c r="B40" s="14" t="s">
        <v>74</v>
      </c>
      <c r="C40" s="15" t="s">
        <v>30</v>
      </c>
      <c r="D40" s="31">
        <v>0.05</v>
      </c>
      <c r="E40" s="32"/>
      <c r="F40" s="32"/>
    </row>
    <row r="41" ht="15.75" customHeight="1">
      <c r="A41" s="14" t="s">
        <v>75</v>
      </c>
      <c r="B41" s="14" t="s">
        <v>76</v>
      </c>
      <c r="C41" s="15" t="s">
        <v>28</v>
      </c>
      <c r="D41" s="31">
        <v>0.2</v>
      </c>
      <c r="E41" s="32"/>
      <c r="F41" s="32"/>
    </row>
    <row r="42" ht="15.75" customHeight="1">
      <c r="A42" s="14" t="s">
        <v>75</v>
      </c>
      <c r="B42" s="14" t="s">
        <v>77</v>
      </c>
      <c r="C42" s="15" t="s">
        <v>32</v>
      </c>
      <c r="D42" s="31">
        <v>0.95</v>
      </c>
      <c r="E42" s="32"/>
      <c r="F42" s="32"/>
    </row>
    <row r="43" ht="15.75" customHeight="1">
      <c r="A43" s="14" t="s">
        <v>75</v>
      </c>
      <c r="B43" s="14" t="s">
        <v>78</v>
      </c>
      <c r="C43" s="15" t="s">
        <v>32</v>
      </c>
      <c r="D43" s="31">
        <v>0.55</v>
      </c>
      <c r="E43" s="32"/>
      <c r="F43" s="32"/>
    </row>
    <row r="44" ht="15.75" customHeight="1">
      <c r="A44" s="14" t="s">
        <v>75</v>
      </c>
      <c r="B44" s="14" t="s">
        <v>79</v>
      </c>
      <c r="C44" s="15" t="s">
        <v>28</v>
      </c>
      <c r="D44" s="31">
        <v>0.4</v>
      </c>
      <c r="E44" s="32"/>
      <c r="F44" s="32"/>
    </row>
    <row r="45" ht="15.75" customHeight="1">
      <c r="A45" s="14" t="s">
        <v>75</v>
      </c>
      <c r="B45" s="14" t="s">
        <v>80</v>
      </c>
      <c r="C45" s="15" t="s">
        <v>45</v>
      </c>
      <c r="D45" s="31">
        <v>0.6</v>
      </c>
      <c r="E45" s="32"/>
      <c r="F45" s="32"/>
    </row>
    <row r="46" ht="15.75" customHeight="1">
      <c r="A46" s="14" t="s">
        <v>13</v>
      </c>
      <c r="B46" s="14" t="s">
        <v>82</v>
      </c>
      <c r="C46" s="15" t="s">
        <v>32</v>
      </c>
      <c r="D46" s="31">
        <v>0.2</v>
      </c>
      <c r="E46" s="32"/>
      <c r="F46" s="32"/>
    </row>
    <row r="47" ht="15.75" customHeight="1">
      <c r="A47" s="14" t="s">
        <v>13</v>
      </c>
      <c r="B47" s="14" t="s">
        <v>83</v>
      </c>
      <c r="C47" s="15" t="s">
        <v>39</v>
      </c>
      <c r="D47" s="31">
        <v>0.7</v>
      </c>
      <c r="E47" s="32"/>
      <c r="F47" s="32"/>
    </row>
    <row r="48" ht="15.75" customHeight="1">
      <c r="A48" s="14" t="s">
        <v>13</v>
      </c>
      <c r="B48" s="14" t="s">
        <v>84</v>
      </c>
      <c r="C48" s="15" t="s">
        <v>30</v>
      </c>
      <c r="D48" s="31">
        <v>0.3</v>
      </c>
      <c r="E48" s="32"/>
      <c r="F48" s="32"/>
    </row>
    <row r="49" ht="15.75" customHeight="1">
      <c r="A49" s="14" t="s">
        <v>13</v>
      </c>
      <c r="B49" s="14" t="s">
        <v>85</v>
      </c>
      <c r="C49" s="15" t="s">
        <v>30</v>
      </c>
      <c r="D49" s="31">
        <v>0.65</v>
      </c>
      <c r="E49" s="32"/>
      <c r="F49" s="32"/>
    </row>
    <row r="50" ht="15.75" customHeight="1">
      <c r="A50" s="14" t="s">
        <v>13</v>
      </c>
      <c r="B50" s="14" t="s">
        <v>86</v>
      </c>
      <c r="C50" s="15" t="s">
        <v>32</v>
      </c>
      <c r="D50" s="31">
        <v>0.3</v>
      </c>
      <c r="E50" s="32"/>
      <c r="F50" s="32"/>
    </row>
    <row r="51" ht="15.75" customHeight="1">
      <c r="A51" s="14" t="s">
        <v>10</v>
      </c>
      <c r="B51" s="14" t="s">
        <v>87</v>
      </c>
      <c r="C51" s="15" t="s">
        <v>30</v>
      </c>
      <c r="D51" s="31">
        <v>0.1</v>
      </c>
      <c r="E51" s="32"/>
      <c r="F51" s="32"/>
    </row>
    <row r="52" ht="15.75" customHeight="1">
      <c r="A52" s="14" t="s">
        <v>10</v>
      </c>
      <c r="B52" s="14" t="s">
        <v>88</v>
      </c>
      <c r="C52" s="15" t="s">
        <v>30</v>
      </c>
      <c r="D52" s="31">
        <v>0.6</v>
      </c>
      <c r="E52" s="32"/>
      <c r="F52" s="32"/>
    </row>
    <row r="53" ht="15.75" customHeight="1">
      <c r="A53" s="14" t="s">
        <v>10</v>
      </c>
      <c r="B53" s="14" t="s">
        <v>89</v>
      </c>
      <c r="C53" s="15" t="s">
        <v>26</v>
      </c>
      <c r="D53" s="31">
        <v>0.3</v>
      </c>
      <c r="E53" s="32"/>
      <c r="F53" s="32"/>
    </row>
    <row r="54" ht="15.75" customHeight="1">
      <c r="A54" s="14" t="s">
        <v>10</v>
      </c>
      <c r="B54" s="14" t="s">
        <v>90</v>
      </c>
      <c r="C54" s="15" t="s">
        <v>32</v>
      </c>
      <c r="D54" s="31">
        <v>0.65</v>
      </c>
      <c r="E54" s="32"/>
      <c r="F54" s="32"/>
    </row>
    <row r="55" ht="15.75" customHeight="1">
      <c r="A55" s="14" t="s">
        <v>10</v>
      </c>
      <c r="B55" s="20" t="s">
        <v>91</v>
      </c>
      <c r="C55" s="15" t="s">
        <v>50</v>
      </c>
      <c r="D55" s="31">
        <v>0.6</v>
      </c>
      <c r="E55" s="32"/>
      <c r="F55" s="32"/>
    </row>
    <row r="56" ht="15.75" customHeight="1">
      <c r="A56" s="14" t="s">
        <v>17</v>
      </c>
      <c r="B56" s="14" t="s">
        <v>92</v>
      </c>
      <c r="C56" s="15" t="s">
        <v>32</v>
      </c>
      <c r="D56" s="31">
        <v>0.65</v>
      </c>
      <c r="E56" s="32"/>
      <c r="F56" s="32"/>
    </row>
    <row r="57" ht="15.75" customHeight="1">
      <c r="A57" s="14" t="s">
        <v>17</v>
      </c>
      <c r="B57" s="14" t="s">
        <v>93</v>
      </c>
      <c r="C57" s="15" t="s">
        <v>32</v>
      </c>
      <c r="D57" s="31">
        <v>0.25</v>
      </c>
      <c r="E57" s="32"/>
      <c r="F57" s="32"/>
    </row>
    <row r="58" ht="15.75" customHeight="1">
      <c r="A58" s="14" t="s">
        <v>17</v>
      </c>
      <c r="B58" s="14" t="s">
        <v>94</v>
      </c>
      <c r="C58" s="15" t="s">
        <v>30</v>
      </c>
      <c r="D58" s="31">
        <v>0.65</v>
      </c>
      <c r="E58" s="32"/>
      <c r="F58" s="32"/>
    </row>
    <row r="59" ht="15.75" customHeight="1">
      <c r="A59" s="14" t="s">
        <v>17</v>
      </c>
      <c r="B59" s="14" t="s">
        <v>95</v>
      </c>
      <c r="C59" s="15" t="s">
        <v>32</v>
      </c>
      <c r="D59" s="31">
        <v>0.7</v>
      </c>
      <c r="E59" s="32"/>
      <c r="F59" s="32"/>
    </row>
    <row r="60" ht="15.75" customHeight="1">
      <c r="A60" s="14" t="s">
        <v>17</v>
      </c>
      <c r="B60" s="14" t="s">
        <v>96</v>
      </c>
      <c r="C60" s="15" t="s">
        <v>32</v>
      </c>
      <c r="D60" s="31">
        <v>0.6</v>
      </c>
      <c r="E60" s="32"/>
      <c r="F60" s="32"/>
    </row>
    <row r="61">
      <c r="C61" s="33"/>
      <c r="D61" s="33"/>
      <c r="E61" s="33"/>
      <c r="F61" s="33"/>
    </row>
    <row r="62">
      <c r="C62" s="33"/>
      <c r="D62" s="33"/>
      <c r="E62" s="33"/>
      <c r="F62" s="33"/>
    </row>
    <row r="63">
      <c r="C63" s="33"/>
      <c r="D63" s="33"/>
      <c r="E63" s="33"/>
      <c r="F63" s="33"/>
    </row>
    <row r="64">
      <c r="C64" s="33"/>
      <c r="D64" s="33"/>
      <c r="E64" s="33"/>
      <c r="F64" s="33"/>
    </row>
    <row r="65">
      <c r="C65" s="33"/>
      <c r="D65" s="33"/>
      <c r="E65" s="33"/>
      <c r="F65" s="33"/>
    </row>
    <row r="66">
      <c r="C66" s="33"/>
      <c r="D66" s="33"/>
      <c r="E66" s="33"/>
      <c r="F66" s="33"/>
    </row>
    <row r="67">
      <c r="C67" s="33"/>
      <c r="D67" s="33"/>
      <c r="E67" s="33"/>
      <c r="F67" s="33"/>
    </row>
    <row r="68">
      <c r="C68" s="33"/>
      <c r="D68" s="33"/>
      <c r="E68" s="33"/>
      <c r="F68" s="33"/>
    </row>
    <row r="69">
      <c r="C69" s="33"/>
      <c r="D69" s="33"/>
      <c r="E69" s="33"/>
      <c r="F69" s="33"/>
    </row>
    <row r="70">
      <c r="C70" s="33"/>
      <c r="D70" s="33"/>
      <c r="E70" s="33"/>
      <c r="F70" s="33"/>
    </row>
    <row r="71">
      <c r="C71" s="33"/>
      <c r="D71" s="33"/>
      <c r="E71" s="33"/>
      <c r="F71" s="33"/>
    </row>
    <row r="72">
      <c r="C72" s="33"/>
      <c r="D72" s="33"/>
      <c r="E72" s="33"/>
      <c r="F72" s="33"/>
    </row>
    <row r="73">
      <c r="C73" s="33"/>
      <c r="D73" s="33"/>
      <c r="E73" s="33"/>
      <c r="F73" s="33"/>
    </row>
    <row r="74">
      <c r="C74" s="33"/>
      <c r="D74" s="33"/>
      <c r="E74" s="33"/>
      <c r="F74" s="33"/>
    </row>
    <row r="75">
      <c r="C75" s="33"/>
      <c r="D75" s="33"/>
      <c r="E75" s="33"/>
      <c r="F75" s="33"/>
    </row>
    <row r="76">
      <c r="C76" s="33"/>
      <c r="D76" s="33"/>
      <c r="E76" s="33"/>
      <c r="F76" s="33"/>
    </row>
    <row r="77">
      <c r="C77" s="33"/>
      <c r="D77" s="33"/>
      <c r="E77" s="33"/>
      <c r="F77" s="33"/>
    </row>
    <row r="78">
      <c r="C78" s="33"/>
      <c r="D78" s="33"/>
      <c r="E78" s="33"/>
      <c r="F78" s="33"/>
    </row>
    <row r="79">
      <c r="C79" s="33"/>
      <c r="D79" s="33"/>
      <c r="E79" s="33"/>
      <c r="F79" s="33"/>
    </row>
    <row r="80">
      <c r="C80" s="33"/>
      <c r="D80" s="33"/>
      <c r="E80" s="33"/>
      <c r="F80" s="33"/>
    </row>
    <row r="81">
      <c r="C81" s="33"/>
      <c r="D81" s="33"/>
      <c r="E81" s="33"/>
      <c r="F81" s="33"/>
    </row>
    <row r="82" ht="15.75" customHeight="1">
      <c r="C82" s="33"/>
      <c r="D82" s="33"/>
      <c r="E82" s="33"/>
      <c r="F82" s="33"/>
    </row>
    <row r="83" ht="15.75" customHeight="1">
      <c r="C83" s="33"/>
      <c r="D83" s="33"/>
      <c r="E83" s="33"/>
      <c r="F83" s="33"/>
    </row>
    <row r="84" ht="15.75" customHeight="1">
      <c r="C84" s="33"/>
      <c r="D84" s="33"/>
      <c r="E84" s="33"/>
      <c r="F84" s="33"/>
    </row>
    <row r="85" ht="15.75" customHeight="1">
      <c r="C85" s="33"/>
      <c r="D85" s="33"/>
      <c r="E85" s="33"/>
      <c r="F85" s="33"/>
    </row>
    <row r="86" ht="15.75" customHeight="1">
      <c r="C86" s="33"/>
      <c r="D86" s="33"/>
      <c r="E86" s="33"/>
      <c r="F86" s="33"/>
    </row>
    <row r="87" ht="15.75" customHeight="1">
      <c r="C87" s="33"/>
      <c r="D87" s="33"/>
      <c r="E87" s="33"/>
      <c r="F87" s="33"/>
    </row>
    <row r="88" ht="15.75" customHeight="1">
      <c r="C88" s="33"/>
      <c r="D88" s="33"/>
      <c r="E88" s="33"/>
      <c r="F88" s="33"/>
    </row>
    <row r="89" ht="15.75" customHeight="1">
      <c r="C89" s="33"/>
      <c r="D89" s="33"/>
      <c r="E89" s="33"/>
      <c r="F89" s="33"/>
    </row>
    <row r="90" ht="15.75" customHeight="1">
      <c r="C90" s="33"/>
      <c r="D90" s="33"/>
      <c r="E90" s="33"/>
      <c r="F90" s="33"/>
    </row>
    <row r="91" ht="15.75" customHeight="1">
      <c r="C91" s="33"/>
      <c r="D91" s="33"/>
      <c r="E91" s="33"/>
      <c r="F91" s="33"/>
    </row>
    <row r="92" ht="15.75" customHeight="1">
      <c r="C92" s="33"/>
      <c r="D92" s="33"/>
      <c r="E92" s="33"/>
      <c r="F92" s="33"/>
    </row>
    <row r="93" ht="15.75" customHeight="1">
      <c r="C93" s="33"/>
      <c r="D93" s="33"/>
      <c r="E93" s="33"/>
      <c r="F93" s="33"/>
    </row>
    <row r="94" ht="15.75" customHeight="1">
      <c r="C94" s="33"/>
      <c r="D94" s="33"/>
      <c r="E94" s="33"/>
      <c r="F94" s="33"/>
    </row>
    <row r="95" ht="15.75" customHeight="1">
      <c r="C95" s="33"/>
      <c r="D95" s="33"/>
      <c r="E95" s="33"/>
      <c r="F95" s="33"/>
    </row>
    <row r="96" ht="15.75" customHeight="1">
      <c r="C96" s="33"/>
      <c r="D96" s="33"/>
      <c r="E96" s="33"/>
      <c r="F96" s="33"/>
    </row>
    <row r="97" ht="15.75" customHeight="1">
      <c r="C97" s="33"/>
      <c r="D97" s="33"/>
      <c r="E97" s="33"/>
      <c r="F97" s="33"/>
    </row>
    <row r="98" ht="15.75" customHeight="1">
      <c r="C98" s="33"/>
      <c r="D98" s="33"/>
      <c r="E98" s="33"/>
      <c r="F98" s="33"/>
    </row>
    <row r="99" ht="15.75" customHeight="1">
      <c r="C99" s="33"/>
      <c r="D99" s="33"/>
      <c r="E99" s="33"/>
      <c r="F99" s="33"/>
    </row>
    <row r="100" ht="15.75" customHeight="1">
      <c r="C100" s="33"/>
      <c r="D100" s="33"/>
      <c r="E100" s="33"/>
      <c r="F100" s="33"/>
    </row>
    <row r="101" ht="15.75" customHeight="1">
      <c r="C101" s="33"/>
      <c r="D101" s="33"/>
      <c r="E101" s="33"/>
      <c r="F101" s="33"/>
    </row>
    <row r="102" ht="15.75" customHeight="1">
      <c r="C102" s="33"/>
      <c r="D102" s="33"/>
      <c r="E102" s="33"/>
      <c r="F102" s="33"/>
    </row>
    <row r="103" ht="15.75" customHeight="1">
      <c r="C103" s="33"/>
      <c r="D103" s="33"/>
      <c r="E103" s="33"/>
      <c r="F103" s="33"/>
    </row>
    <row r="104" ht="15.75" customHeight="1">
      <c r="C104" s="33"/>
      <c r="D104" s="33"/>
      <c r="E104" s="33"/>
      <c r="F104" s="33"/>
    </row>
    <row r="105" ht="15.75" customHeight="1">
      <c r="C105" s="33"/>
      <c r="D105" s="33"/>
      <c r="E105" s="33"/>
      <c r="F105" s="33"/>
    </row>
    <row r="106" ht="15.75" customHeight="1">
      <c r="C106" s="33"/>
      <c r="D106" s="33"/>
      <c r="E106" s="33"/>
      <c r="F106" s="33"/>
    </row>
    <row r="107" ht="15.75" customHeight="1">
      <c r="C107" s="33"/>
      <c r="D107" s="33"/>
      <c r="E107" s="33"/>
      <c r="F107" s="33"/>
    </row>
    <row r="108" ht="15.75" customHeight="1">
      <c r="C108" s="33"/>
      <c r="D108" s="33"/>
      <c r="E108" s="33"/>
      <c r="F108" s="33"/>
    </row>
    <row r="109" ht="15.75" customHeight="1">
      <c r="C109" s="33"/>
      <c r="D109" s="33"/>
      <c r="E109" s="33"/>
      <c r="F109" s="33"/>
    </row>
    <row r="110" ht="15.75" customHeight="1">
      <c r="C110" s="33"/>
      <c r="D110" s="33"/>
      <c r="E110" s="33"/>
      <c r="F110" s="33"/>
    </row>
    <row r="111" ht="15.75" customHeight="1">
      <c r="C111" s="33"/>
      <c r="D111" s="33"/>
      <c r="E111" s="33"/>
      <c r="F111" s="33"/>
    </row>
    <row r="112" ht="15.75" customHeight="1">
      <c r="C112" s="33"/>
      <c r="D112" s="33"/>
      <c r="E112" s="33"/>
      <c r="F112" s="33"/>
    </row>
    <row r="113" ht="15.75" customHeight="1">
      <c r="C113" s="33"/>
      <c r="D113" s="33"/>
      <c r="E113" s="33"/>
      <c r="F113" s="33"/>
    </row>
    <row r="114" ht="15.75" customHeight="1">
      <c r="C114" s="33"/>
      <c r="D114" s="33"/>
      <c r="E114" s="33"/>
      <c r="F114" s="33"/>
    </row>
    <row r="115" ht="15.75" customHeight="1">
      <c r="C115" s="33"/>
      <c r="D115" s="33"/>
      <c r="E115" s="33"/>
      <c r="F115" s="33"/>
    </row>
    <row r="116" ht="15.75" customHeight="1">
      <c r="C116" s="33"/>
      <c r="D116" s="33"/>
      <c r="E116" s="33"/>
      <c r="F116" s="33"/>
    </row>
    <row r="117" ht="15.75" customHeight="1">
      <c r="C117" s="33"/>
      <c r="D117" s="33"/>
      <c r="E117" s="33"/>
      <c r="F117" s="33"/>
    </row>
    <row r="118" ht="15.75" customHeight="1">
      <c r="C118" s="33"/>
      <c r="D118" s="33"/>
      <c r="E118" s="33"/>
      <c r="F118" s="33"/>
    </row>
    <row r="119" ht="15.75" customHeight="1">
      <c r="C119" s="33"/>
      <c r="D119" s="33"/>
      <c r="E119" s="33"/>
      <c r="F119" s="33"/>
    </row>
    <row r="120" ht="15.75" customHeight="1">
      <c r="C120" s="33"/>
      <c r="D120" s="33"/>
      <c r="E120" s="33"/>
      <c r="F120" s="33"/>
    </row>
    <row r="121" ht="15.75" customHeight="1">
      <c r="C121" s="33"/>
      <c r="D121" s="33"/>
      <c r="E121" s="33"/>
      <c r="F121" s="33"/>
    </row>
    <row r="122" ht="15.75" customHeight="1">
      <c r="C122" s="33"/>
      <c r="D122" s="33"/>
      <c r="E122" s="33"/>
      <c r="F122" s="33"/>
    </row>
    <row r="123" ht="15.75" customHeight="1">
      <c r="C123" s="33"/>
      <c r="D123" s="33"/>
      <c r="E123" s="33"/>
      <c r="F123" s="33"/>
    </row>
    <row r="124" ht="15.75" customHeight="1">
      <c r="C124" s="33"/>
      <c r="D124" s="33"/>
      <c r="E124" s="33"/>
      <c r="F124" s="33"/>
    </row>
    <row r="125" ht="15.75" customHeight="1">
      <c r="C125" s="33"/>
      <c r="D125" s="33"/>
      <c r="E125" s="33"/>
      <c r="F125" s="33"/>
    </row>
    <row r="126" ht="15.75" customHeight="1">
      <c r="C126" s="33"/>
      <c r="D126" s="33"/>
      <c r="E126" s="33"/>
      <c r="F126" s="33"/>
    </row>
    <row r="127" ht="15.75" customHeight="1">
      <c r="C127" s="33"/>
      <c r="D127" s="33"/>
      <c r="E127" s="33"/>
      <c r="F127" s="33"/>
    </row>
    <row r="128" ht="15.75" customHeight="1">
      <c r="C128" s="33"/>
      <c r="D128" s="33"/>
      <c r="E128" s="33"/>
      <c r="F128" s="33"/>
    </row>
    <row r="129" ht="15.75" customHeight="1">
      <c r="C129" s="33"/>
      <c r="D129" s="33"/>
      <c r="E129" s="33"/>
      <c r="F129" s="33"/>
    </row>
    <row r="130" ht="15.75" customHeight="1">
      <c r="C130" s="33"/>
      <c r="D130" s="33"/>
      <c r="E130" s="33"/>
      <c r="F130" s="33"/>
    </row>
    <row r="131" ht="15.75" customHeight="1">
      <c r="C131" s="33"/>
      <c r="D131" s="33"/>
      <c r="E131" s="33"/>
      <c r="F131" s="33"/>
    </row>
    <row r="132" ht="15.75" customHeight="1">
      <c r="C132" s="33"/>
      <c r="D132" s="33"/>
      <c r="E132" s="33"/>
      <c r="F132" s="33"/>
    </row>
    <row r="133" ht="15.75" customHeight="1">
      <c r="C133" s="33"/>
      <c r="D133" s="33"/>
      <c r="E133" s="33"/>
      <c r="F133" s="33"/>
    </row>
    <row r="134" ht="15.75" customHeight="1">
      <c r="C134" s="33"/>
      <c r="D134" s="33"/>
      <c r="E134" s="33"/>
      <c r="F134" s="33"/>
    </row>
    <row r="135" ht="15.75" customHeight="1">
      <c r="C135" s="33"/>
      <c r="D135" s="33"/>
      <c r="E135" s="33"/>
      <c r="F135" s="33"/>
    </row>
    <row r="136" ht="15.75" customHeight="1">
      <c r="C136" s="33"/>
      <c r="D136" s="33"/>
      <c r="E136" s="33"/>
      <c r="F136" s="33"/>
    </row>
    <row r="137" ht="15.75" customHeight="1">
      <c r="C137" s="33"/>
      <c r="D137" s="33"/>
      <c r="E137" s="33"/>
      <c r="F137" s="33"/>
    </row>
    <row r="138" ht="15.75" customHeight="1">
      <c r="C138" s="33"/>
      <c r="D138" s="33"/>
      <c r="E138" s="33"/>
      <c r="F138" s="33"/>
    </row>
    <row r="139" ht="15.75" customHeight="1">
      <c r="C139" s="33"/>
      <c r="D139" s="33"/>
      <c r="E139" s="33"/>
      <c r="F139" s="33"/>
    </row>
    <row r="140" ht="15.75" customHeight="1">
      <c r="C140" s="33"/>
      <c r="D140" s="33"/>
      <c r="E140" s="33"/>
      <c r="F140" s="33"/>
    </row>
    <row r="141" ht="15.75" customHeight="1">
      <c r="C141" s="33"/>
      <c r="D141" s="33"/>
      <c r="E141" s="33"/>
      <c r="F141" s="33"/>
    </row>
    <row r="142" ht="15.75" customHeight="1">
      <c r="C142" s="33"/>
      <c r="D142" s="33"/>
      <c r="E142" s="33"/>
      <c r="F142" s="33"/>
    </row>
    <row r="143" ht="15.75" customHeight="1">
      <c r="C143" s="33"/>
      <c r="D143" s="33"/>
      <c r="E143" s="33"/>
      <c r="F143" s="33"/>
    </row>
    <row r="144" ht="15.75" customHeight="1">
      <c r="C144" s="33"/>
      <c r="D144" s="33"/>
      <c r="E144" s="33"/>
      <c r="F144" s="33"/>
    </row>
    <row r="145" ht="15.75" customHeight="1">
      <c r="C145" s="33"/>
      <c r="D145" s="33"/>
      <c r="E145" s="33"/>
      <c r="F145" s="33"/>
    </row>
    <row r="146" ht="15.75" customHeight="1">
      <c r="C146" s="33"/>
      <c r="D146" s="33"/>
      <c r="E146" s="33"/>
      <c r="F146" s="33"/>
    </row>
    <row r="147" ht="15.75" customHeight="1">
      <c r="C147" s="33"/>
      <c r="D147" s="33"/>
      <c r="E147" s="33"/>
      <c r="F147" s="33"/>
    </row>
    <row r="148" ht="15.75" customHeight="1">
      <c r="C148" s="33"/>
      <c r="D148" s="33"/>
      <c r="E148" s="33"/>
      <c r="F148" s="33"/>
    </row>
    <row r="149" ht="15.75" customHeight="1">
      <c r="C149" s="33"/>
      <c r="D149" s="33"/>
      <c r="E149" s="33"/>
      <c r="F149" s="33"/>
    </row>
    <row r="150" ht="15.75" customHeight="1">
      <c r="C150" s="33"/>
      <c r="D150" s="33"/>
      <c r="E150" s="33"/>
      <c r="F150" s="33"/>
    </row>
    <row r="151" ht="15.75" customHeight="1">
      <c r="C151" s="33"/>
      <c r="D151" s="33"/>
      <c r="E151" s="33"/>
      <c r="F151" s="33"/>
    </row>
    <row r="152" ht="15.75" customHeight="1">
      <c r="C152" s="33"/>
      <c r="D152" s="33"/>
      <c r="E152" s="33"/>
      <c r="F152" s="33"/>
    </row>
    <row r="153" ht="15.75" customHeight="1">
      <c r="C153" s="33"/>
      <c r="D153" s="33"/>
      <c r="E153" s="33"/>
      <c r="F153" s="33"/>
    </row>
    <row r="154" ht="15.75" customHeight="1">
      <c r="C154" s="33"/>
      <c r="D154" s="33"/>
      <c r="E154" s="33"/>
      <c r="F154" s="33"/>
    </row>
    <row r="155" ht="15.75" customHeight="1">
      <c r="C155" s="33"/>
      <c r="D155" s="33"/>
      <c r="E155" s="33"/>
      <c r="F155" s="33"/>
    </row>
    <row r="156" ht="15.75" customHeight="1">
      <c r="C156" s="33"/>
      <c r="D156" s="33"/>
      <c r="E156" s="33"/>
      <c r="F156" s="33"/>
    </row>
    <row r="157" ht="15.75" customHeight="1">
      <c r="C157" s="33"/>
      <c r="D157" s="33"/>
      <c r="E157" s="33"/>
      <c r="F157" s="33"/>
    </row>
    <row r="158" ht="15.75" customHeight="1">
      <c r="C158" s="33"/>
      <c r="D158" s="33"/>
      <c r="E158" s="33"/>
      <c r="F158" s="33"/>
    </row>
    <row r="159" ht="15.75" customHeight="1">
      <c r="C159" s="33"/>
      <c r="D159" s="33"/>
      <c r="E159" s="33"/>
      <c r="F159" s="33"/>
    </row>
    <row r="160" ht="15.75" customHeight="1">
      <c r="C160" s="33"/>
      <c r="D160" s="33"/>
      <c r="E160" s="33"/>
      <c r="F160" s="33"/>
    </row>
    <row r="161" ht="15.75" customHeight="1">
      <c r="C161" s="33"/>
      <c r="D161" s="33"/>
      <c r="E161" s="33"/>
      <c r="F161" s="33"/>
    </row>
    <row r="162" ht="15.75" customHeight="1">
      <c r="C162" s="33"/>
      <c r="D162" s="33"/>
      <c r="E162" s="33"/>
      <c r="F162" s="33"/>
    </row>
    <row r="163" ht="15.75" customHeight="1">
      <c r="C163" s="33"/>
      <c r="D163" s="33"/>
      <c r="E163" s="33"/>
      <c r="F163" s="33"/>
    </row>
    <row r="164" ht="15.75" customHeight="1">
      <c r="C164" s="33"/>
      <c r="D164" s="33"/>
      <c r="E164" s="33"/>
      <c r="F164" s="33"/>
    </row>
    <row r="165" ht="15.75" customHeight="1">
      <c r="C165" s="33"/>
      <c r="D165" s="33"/>
      <c r="E165" s="33"/>
      <c r="F165" s="33"/>
    </row>
    <row r="166" ht="15.75" customHeight="1">
      <c r="C166" s="33"/>
      <c r="D166" s="33"/>
      <c r="E166" s="33"/>
      <c r="F166" s="33"/>
    </row>
    <row r="167" ht="15.75" customHeight="1">
      <c r="C167" s="33"/>
      <c r="D167" s="33"/>
      <c r="E167" s="33"/>
      <c r="F167" s="33"/>
    </row>
    <row r="168" ht="15.75" customHeight="1">
      <c r="C168" s="33"/>
      <c r="D168" s="33"/>
      <c r="E168" s="33"/>
      <c r="F168" s="33"/>
    </row>
    <row r="169" ht="15.75" customHeight="1">
      <c r="C169" s="33"/>
      <c r="D169" s="33"/>
      <c r="E169" s="33"/>
      <c r="F169" s="33"/>
    </row>
    <row r="170" ht="15.75" customHeight="1">
      <c r="C170" s="33"/>
      <c r="D170" s="33"/>
      <c r="E170" s="33"/>
      <c r="F170" s="33"/>
    </row>
    <row r="171" ht="15.75" customHeight="1">
      <c r="C171" s="33"/>
      <c r="D171" s="33"/>
      <c r="E171" s="33"/>
      <c r="F171" s="33"/>
    </row>
    <row r="172" ht="15.75" customHeight="1">
      <c r="C172" s="33"/>
      <c r="D172" s="33"/>
      <c r="E172" s="33"/>
      <c r="F172" s="33"/>
    </row>
    <row r="173" ht="15.75" customHeight="1">
      <c r="C173" s="33"/>
      <c r="D173" s="33"/>
      <c r="E173" s="33"/>
      <c r="F173" s="33"/>
    </row>
    <row r="174" ht="15.75" customHeight="1">
      <c r="C174" s="33"/>
      <c r="D174" s="33"/>
      <c r="E174" s="33"/>
      <c r="F174" s="33"/>
    </row>
    <row r="175" ht="15.75" customHeight="1">
      <c r="C175" s="33"/>
      <c r="D175" s="33"/>
      <c r="E175" s="33"/>
      <c r="F175" s="33"/>
    </row>
    <row r="176" ht="15.75" customHeight="1">
      <c r="C176" s="33"/>
      <c r="D176" s="33"/>
      <c r="E176" s="33"/>
      <c r="F176" s="33"/>
    </row>
    <row r="177" ht="15.75" customHeight="1">
      <c r="C177" s="33"/>
      <c r="D177" s="33"/>
      <c r="E177" s="33"/>
      <c r="F177" s="33"/>
    </row>
    <row r="178" ht="15.75" customHeight="1">
      <c r="C178" s="33"/>
      <c r="D178" s="33"/>
      <c r="E178" s="33"/>
      <c r="F178" s="33"/>
    </row>
    <row r="179" ht="15.75" customHeight="1">
      <c r="C179" s="33"/>
      <c r="D179" s="33"/>
      <c r="E179" s="33"/>
      <c r="F179" s="33"/>
    </row>
    <row r="180" ht="15.75" customHeight="1">
      <c r="C180" s="33"/>
      <c r="D180" s="33"/>
      <c r="E180" s="33"/>
      <c r="F180" s="33"/>
    </row>
    <row r="181" ht="15.75" customHeight="1">
      <c r="C181" s="33"/>
      <c r="D181" s="33"/>
      <c r="E181" s="33"/>
      <c r="F181" s="33"/>
    </row>
    <row r="182" ht="15.75" customHeight="1">
      <c r="C182" s="33"/>
      <c r="D182" s="33"/>
      <c r="E182" s="33"/>
      <c r="F182" s="33"/>
    </row>
    <row r="183" ht="15.75" customHeight="1">
      <c r="C183" s="33"/>
      <c r="D183" s="33"/>
      <c r="E183" s="33"/>
      <c r="F183" s="33"/>
    </row>
    <row r="184" ht="15.75" customHeight="1">
      <c r="C184" s="33"/>
      <c r="D184" s="33"/>
      <c r="E184" s="33"/>
      <c r="F184" s="33"/>
    </row>
    <row r="185" ht="15.75" customHeight="1">
      <c r="C185" s="33"/>
      <c r="D185" s="33"/>
      <c r="E185" s="33"/>
      <c r="F185" s="33"/>
    </row>
    <row r="186" ht="15.75" customHeight="1">
      <c r="C186" s="33"/>
      <c r="D186" s="33"/>
      <c r="E186" s="33"/>
      <c r="F186" s="33"/>
    </row>
    <row r="187" ht="15.75" customHeight="1">
      <c r="C187" s="33"/>
      <c r="D187" s="33"/>
      <c r="E187" s="33"/>
      <c r="F187" s="33"/>
    </row>
    <row r="188" ht="15.75" customHeight="1">
      <c r="C188" s="33"/>
      <c r="D188" s="33"/>
      <c r="E188" s="33"/>
      <c r="F188" s="33"/>
    </row>
    <row r="189" ht="15.75" customHeight="1">
      <c r="C189" s="33"/>
      <c r="D189" s="33"/>
      <c r="E189" s="33"/>
      <c r="F189" s="33"/>
    </row>
    <row r="190" ht="15.75" customHeight="1">
      <c r="C190" s="33"/>
      <c r="D190" s="33"/>
      <c r="E190" s="33"/>
      <c r="F190" s="33"/>
    </row>
    <row r="191" ht="15.75" customHeight="1">
      <c r="C191" s="33"/>
      <c r="D191" s="33"/>
      <c r="E191" s="33"/>
      <c r="F191" s="33"/>
    </row>
    <row r="192" ht="15.75" customHeight="1">
      <c r="C192" s="33"/>
      <c r="D192" s="33"/>
      <c r="E192" s="33"/>
      <c r="F192" s="33"/>
    </row>
    <row r="193" ht="15.75" customHeight="1">
      <c r="C193" s="33"/>
      <c r="D193" s="33"/>
      <c r="E193" s="33"/>
      <c r="F193" s="33"/>
    </row>
    <row r="194" ht="15.75" customHeight="1">
      <c r="C194" s="33"/>
      <c r="D194" s="33"/>
      <c r="E194" s="33"/>
      <c r="F194" s="33"/>
    </row>
    <row r="195" ht="15.75" customHeight="1">
      <c r="C195" s="33"/>
      <c r="D195" s="33"/>
      <c r="E195" s="33"/>
      <c r="F195" s="33"/>
    </row>
    <row r="196" ht="15.75" customHeight="1">
      <c r="C196" s="33"/>
      <c r="D196" s="33"/>
      <c r="E196" s="33"/>
      <c r="F196" s="33"/>
    </row>
    <row r="197" ht="15.75" customHeight="1">
      <c r="C197" s="33"/>
      <c r="D197" s="33"/>
      <c r="E197" s="33"/>
      <c r="F197" s="33"/>
    </row>
    <row r="198" ht="15.75" customHeight="1">
      <c r="C198" s="33"/>
      <c r="D198" s="33"/>
      <c r="E198" s="33"/>
      <c r="F198" s="33"/>
    </row>
    <row r="199" ht="15.75" customHeight="1">
      <c r="C199" s="33"/>
      <c r="D199" s="33"/>
      <c r="E199" s="33"/>
      <c r="F199" s="33"/>
    </row>
    <row r="200" ht="15.75" customHeight="1">
      <c r="C200" s="33"/>
      <c r="D200" s="33"/>
      <c r="E200" s="33"/>
      <c r="F200" s="33"/>
    </row>
    <row r="201" ht="15.75" customHeight="1">
      <c r="C201" s="33"/>
      <c r="D201" s="33"/>
      <c r="E201" s="33"/>
      <c r="F201" s="33"/>
    </row>
    <row r="202" ht="15.75" customHeight="1">
      <c r="C202" s="33"/>
      <c r="D202" s="33"/>
      <c r="E202" s="33"/>
      <c r="F202" s="33"/>
    </row>
    <row r="203" ht="15.75" customHeight="1">
      <c r="C203" s="33"/>
      <c r="D203" s="33"/>
      <c r="E203" s="33"/>
      <c r="F203" s="33"/>
    </row>
    <row r="204" ht="15.75" customHeight="1">
      <c r="C204" s="33"/>
      <c r="D204" s="33"/>
      <c r="E204" s="33"/>
      <c r="F204" s="33"/>
    </row>
    <row r="205" ht="15.75" customHeight="1">
      <c r="C205" s="33"/>
      <c r="D205" s="33"/>
      <c r="E205" s="33"/>
      <c r="F205" s="33"/>
    </row>
    <row r="206" ht="15.75" customHeight="1">
      <c r="C206" s="33"/>
      <c r="D206" s="33"/>
      <c r="E206" s="33"/>
      <c r="F206" s="33"/>
    </row>
    <row r="207" ht="15.75" customHeight="1">
      <c r="C207" s="33"/>
      <c r="D207" s="33"/>
      <c r="E207" s="33"/>
      <c r="F207" s="33"/>
    </row>
    <row r="208" ht="15.75" customHeight="1">
      <c r="C208" s="33"/>
      <c r="D208" s="33"/>
      <c r="E208" s="33"/>
      <c r="F208" s="33"/>
    </row>
    <row r="209" ht="15.75" customHeight="1">
      <c r="C209" s="33"/>
      <c r="D209" s="33"/>
      <c r="E209" s="33"/>
      <c r="F209" s="33"/>
    </row>
    <row r="210" ht="15.75" customHeight="1">
      <c r="C210" s="33"/>
      <c r="D210" s="33"/>
      <c r="E210" s="33"/>
      <c r="F210" s="33"/>
    </row>
    <row r="211" ht="15.75" customHeight="1">
      <c r="C211" s="33"/>
      <c r="D211" s="33"/>
      <c r="E211" s="33"/>
      <c r="F211" s="33"/>
    </row>
    <row r="212" ht="15.75" customHeight="1">
      <c r="C212" s="33"/>
      <c r="D212" s="33"/>
      <c r="E212" s="33"/>
      <c r="F212" s="33"/>
    </row>
    <row r="213" ht="15.75" customHeight="1">
      <c r="C213" s="33"/>
      <c r="D213" s="33"/>
      <c r="E213" s="33"/>
      <c r="F213" s="33"/>
    </row>
    <row r="214" ht="15.75" customHeight="1">
      <c r="C214" s="33"/>
      <c r="D214" s="33"/>
      <c r="E214" s="33"/>
      <c r="F214" s="33"/>
    </row>
    <row r="215" ht="15.75" customHeight="1">
      <c r="C215" s="33"/>
      <c r="D215" s="33"/>
      <c r="E215" s="33"/>
      <c r="F215" s="33"/>
    </row>
    <row r="216" ht="15.75" customHeight="1">
      <c r="C216" s="33"/>
      <c r="D216" s="33"/>
      <c r="E216" s="33"/>
      <c r="F216" s="33"/>
    </row>
    <row r="217" ht="15.75" customHeight="1">
      <c r="C217" s="33"/>
      <c r="D217" s="33"/>
      <c r="E217" s="33"/>
      <c r="F217" s="33"/>
    </row>
    <row r="218" ht="15.75" customHeight="1">
      <c r="C218" s="33"/>
      <c r="D218" s="33"/>
      <c r="E218" s="33"/>
      <c r="F218" s="33"/>
    </row>
    <row r="219" ht="15.75" customHeight="1">
      <c r="C219" s="33"/>
      <c r="D219" s="33"/>
      <c r="E219" s="33"/>
      <c r="F219" s="33"/>
    </row>
    <row r="220" ht="15.75" customHeight="1">
      <c r="C220" s="33"/>
      <c r="D220" s="33"/>
      <c r="E220" s="33"/>
      <c r="F220" s="33"/>
    </row>
    <row r="221" ht="15.75" customHeight="1">
      <c r="C221" s="33"/>
      <c r="D221" s="33"/>
      <c r="E221" s="33"/>
      <c r="F221" s="33"/>
    </row>
    <row r="222" ht="15.75" customHeight="1">
      <c r="C222" s="33"/>
      <c r="D222" s="33"/>
      <c r="E222" s="33"/>
      <c r="F222" s="33"/>
    </row>
    <row r="223" ht="15.75" customHeight="1">
      <c r="C223" s="33"/>
      <c r="D223" s="33"/>
      <c r="E223" s="33"/>
      <c r="F223" s="33"/>
    </row>
    <row r="224" ht="15.75" customHeight="1">
      <c r="C224" s="33"/>
      <c r="D224" s="33"/>
      <c r="E224" s="33"/>
      <c r="F224" s="33"/>
    </row>
    <row r="225" ht="15.75" customHeight="1">
      <c r="C225" s="33"/>
      <c r="D225" s="33"/>
      <c r="E225" s="33"/>
      <c r="F225" s="33"/>
    </row>
    <row r="226" ht="15.75" customHeight="1">
      <c r="C226" s="33"/>
      <c r="D226" s="33"/>
      <c r="E226" s="33"/>
      <c r="F226" s="33"/>
    </row>
    <row r="227" ht="15.75" customHeight="1">
      <c r="C227" s="33"/>
      <c r="D227" s="33"/>
      <c r="E227" s="33"/>
      <c r="F227" s="33"/>
    </row>
    <row r="228" ht="15.75" customHeight="1">
      <c r="C228" s="33"/>
      <c r="D228" s="33"/>
      <c r="E228" s="33"/>
      <c r="F228" s="33"/>
    </row>
    <row r="229" ht="15.75" customHeight="1">
      <c r="C229" s="33"/>
      <c r="D229" s="33"/>
      <c r="E229" s="33"/>
      <c r="F229" s="33"/>
    </row>
    <row r="230" ht="15.75" customHeight="1">
      <c r="C230" s="33"/>
      <c r="D230" s="33"/>
      <c r="E230" s="33"/>
      <c r="F230" s="33"/>
    </row>
    <row r="231" ht="15.75" customHeight="1">
      <c r="C231" s="33"/>
      <c r="D231" s="33"/>
      <c r="E231" s="33"/>
      <c r="F231" s="33"/>
    </row>
    <row r="232" ht="15.75" customHeight="1">
      <c r="C232" s="33"/>
      <c r="D232" s="33"/>
      <c r="E232" s="33"/>
      <c r="F232" s="33"/>
    </row>
    <row r="233" ht="15.75" customHeight="1">
      <c r="C233" s="33"/>
      <c r="D233" s="33"/>
      <c r="E233" s="33"/>
      <c r="F233" s="33"/>
    </row>
    <row r="234" ht="15.75" customHeight="1">
      <c r="C234" s="33"/>
      <c r="D234" s="33"/>
      <c r="E234" s="33"/>
      <c r="F234" s="33"/>
    </row>
    <row r="235" ht="15.75" customHeight="1">
      <c r="C235" s="33"/>
      <c r="D235" s="33"/>
      <c r="E235" s="33"/>
      <c r="F235" s="33"/>
    </row>
    <row r="236" ht="15.75" customHeight="1">
      <c r="C236" s="33"/>
      <c r="D236" s="33"/>
      <c r="E236" s="33"/>
      <c r="F236" s="33"/>
    </row>
    <row r="237" ht="15.75" customHeight="1">
      <c r="C237" s="33"/>
      <c r="D237" s="33"/>
      <c r="E237" s="33"/>
      <c r="F237" s="33"/>
    </row>
    <row r="238" ht="15.75" customHeight="1">
      <c r="C238" s="33"/>
      <c r="D238" s="33"/>
      <c r="E238" s="33"/>
      <c r="F238" s="33"/>
    </row>
    <row r="239" ht="15.75" customHeight="1">
      <c r="C239" s="33"/>
      <c r="D239" s="33"/>
      <c r="E239" s="33"/>
      <c r="F239" s="33"/>
    </row>
    <row r="240" ht="15.75" customHeight="1">
      <c r="C240" s="33"/>
      <c r="D240" s="33"/>
      <c r="E240" s="33"/>
      <c r="F240" s="33"/>
    </row>
    <row r="241" ht="15.75" customHeight="1">
      <c r="C241" s="33"/>
      <c r="D241" s="33"/>
      <c r="E241" s="33"/>
      <c r="F241" s="33"/>
    </row>
    <row r="242" ht="15.75" customHeight="1">
      <c r="C242" s="33"/>
      <c r="D242" s="33"/>
      <c r="E242" s="33"/>
      <c r="F242" s="33"/>
    </row>
    <row r="243" ht="15.75" customHeight="1">
      <c r="C243" s="33"/>
      <c r="D243" s="33"/>
      <c r="E243" s="33"/>
      <c r="F243" s="33"/>
    </row>
    <row r="244" ht="15.75" customHeight="1">
      <c r="C244" s="33"/>
      <c r="D244" s="33"/>
      <c r="E244" s="33"/>
      <c r="F244" s="33"/>
    </row>
    <row r="245" ht="15.75" customHeight="1">
      <c r="C245" s="33"/>
      <c r="D245" s="33"/>
      <c r="E245" s="33"/>
      <c r="F245" s="33"/>
    </row>
    <row r="246" ht="15.75" customHeight="1">
      <c r="C246" s="33"/>
      <c r="D246" s="33"/>
      <c r="E246" s="33"/>
      <c r="F246" s="33"/>
    </row>
    <row r="247" ht="15.75" customHeight="1">
      <c r="C247" s="33"/>
      <c r="D247" s="33"/>
      <c r="E247" s="33"/>
      <c r="F247" s="33"/>
    </row>
    <row r="248" ht="15.75" customHeight="1">
      <c r="C248" s="33"/>
      <c r="D248" s="33"/>
      <c r="E248" s="33"/>
      <c r="F248" s="33"/>
    </row>
    <row r="249" ht="15.75" customHeight="1">
      <c r="C249" s="33"/>
      <c r="D249" s="33"/>
      <c r="E249" s="33"/>
      <c r="F249" s="33"/>
    </row>
    <row r="250" ht="15.75" customHeight="1">
      <c r="C250" s="33"/>
      <c r="D250" s="33"/>
      <c r="E250" s="33"/>
      <c r="F250" s="33"/>
    </row>
    <row r="251" ht="15.75" customHeight="1">
      <c r="C251" s="33"/>
      <c r="D251" s="33"/>
      <c r="E251" s="33"/>
      <c r="F251" s="33"/>
    </row>
    <row r="252" ht="15.75" customHeight="1">
      <c r="C252" s="33"/>
      <c r="D252" s="33"/>
      <c r="E252" s="33"/>
      <c r="F252" s="33"/>
    </row>
    <row r="253" ht="15.75" customHeight="1">
      <c r="C253" s="33"/>
      <c r="D253" s="33"/>
      <c r="E253" s="33"/>
      <c r="F253" s="33"/>
    </row>
    <row r="254" ht="15.75" customHeight="1">
      <c r="C254" s="33"/>
      <c r="D254" s="33"/>
      <c r="E254" s="33"/>
      <c r="F254" s="33"/>
    </row>
    <row r="255" ht="15.75" customHeight="1">
      <c r="C255" s="33"/>
      <c r="D255" s="33"/>
      <c r="E255" s="33"/>
      <c r="F255" s="33"/>
    </row>
    <row r="256" ht="15.75" customHeight="1">
      <c r="C256" s="33"/>
      <c r="D256" s="33"/>
      <c r="E256" s="33"/>
      <c r="F256" s="33"/>
    </row>
    <row r="257" ht="15.75" customHeight="1">
      <c r="C257" s="33"/>
      <c r="D257" s="33"/>
      <c r="E257" s="33"/>
      <c r="F257" s="33"/>
    </row>
    <row r="258" ht="15.75" customHeight="1">
      <c r="C258" s="33"/>
      <c r="D258" s="33"/>
      <c r="E258" s="33"/>
      <c r="F258" s="33"/>
    </row>
    <row r="259" ht="15.75" customHeight="1">
      <c r="C259" s="33"/>
      <c r="D259" s="33"/>
      <c r="E259" s="33"/>
      <c r="F259" s="33"/>
    </row>
    <row r="260" ht="15.75" customHeight="1">
      <c r="C260" s="33"/>
      <c r="D260" s="33"/>
      <c r="E260" s="33"/>
      <c r="F260" s="33"/>
    </row>
    <row r="261" ht="15.75" customHeight="1">
      <c r="C261" s="33"/>
      <c r="D261" s="33"/>
      <c r="E261" s="33"/>
      <c r="F261" s="33"/>
    </row>
    <row r="262" ht="15.75" customHeight="1">
      <c r="C262" s="33"/>
      <c r="D262" s="33"/>
      <c r="E262" s="33"/>
      <c r="F262" s="33"/>
    </row>
    <row r="263" ht="15.75" customHeight="1">
      <c r="C263" s="33"/>
      <c r="D263" s="33"/>
      <c r="E263" s="33"/>
      <c r="F263" s="33"/>
    </row>
    <row r="264" ht="15.75" customHeight="1">
      <c r="C264" s="33"/>
      <c r="D264" s="33"/>
      <c r="E264" s="33"/>
      <c r="F264" s="33"/>
    </row>
    <row r="265" ht="15.75" customHeight="1">
      <c r="C265" s="33"/>
      <c r="D265" s="33"/>
      <c r="E265" s="33"/>
      <c r="F265" s="33"/>
    </row>
    <row r="266" ht="15.75" customHeight="1">
      <c r="C266" s="33"/>
      <c r="D266" s="33"/>
      <c r="E266" s="33"/>
      <c r="F266" s="33"/>
    </row>
    <row r="267" ht="15.75" customHeight="1">
      <c r="C267" s="33"/>
      <c r="D267" s="33"/>
      <c r="E267" s="33"/>
      <c r="F267" s="33"/>
    </row>
    <row r="268" ht="15.75" customHeight="1">
      <c r="C268" s="33"/>
      <c r="D268" s="33"/>
      <c r="E268" s="33"/>
      <c r="F268" s="33"/>
    </row>
    <row r="269" ht="15.75" customHeight="1">
      <c r="C269" s="33"/>
      <c r="D269" s="33"/>
      <c r="E269" s="33"/>
      <c r="F269" s="33"/>
    </row>
    <row r="270" ht="15.75" customHeight="1">
      <c r="C270" s="33"/>
      <c r="D270" s="33"/>
      <c r="E270" s="33"/>
      <c r="F270" s="33"/>
    </row>
    <row r="271" ht="15.75" customHeight="1">
      <c r="C271" s="33"/>
      <c r="D271" s="33"/>
      <c r="E271" s="33"/>
      <c r="F271" s="33"/>
    </row>
    <row r="272" ht="15.75" customHeight="1">
      <c r="C272" s="33"/>
      <c r="D272" s="33"/>
      <c r="E272" s="33"/>
      <c r="F272" s="33"/>
    </row>
    <row r="273" ht="15.75" customHeight="1">
      <c r="C273" s="33"/>
      <c r="D273" s="33"/>
      <c r="E273" s="33"/>
      <c r="F273" s="33"/>
    </row>
    <row r="274" ht="15.75" customHeight="1">
      <c r="C274" s="33"/>
      <c r="D274" s="33"/>
      <c r="E274" s="33"/>
      <c r="F274" s="33"/>
    </row>
    <row r="275" ht="15.75" customHeight="1">
      <c r="C275" s="33"/>
      <c r="D275" s="33"/>
      <c r="E275" s="33"/>
      <c r="F275" s="33"/>
    </row>
    <row r="276" ht="15.75" customHeight="1">
      <c r="C276" s="33"/>
      <c r="D276" s="33"/>
      <c r="E276" s="33"/>
      <c r="F276" s="33"/>
    </row>
    <row r="277" ht="15.75" customHeight="1">
      <c r="C277" s="33"/>
      <c r="D277" s="33"/>
      <c r="E277" s="33"/>
      <c r="F277" s="33"/>
    </row>
    <row r="278" ht="15.75" customHeight="1">
      <c r="C278" s="33"/>
      <c r="D278" s="33"/>
      <c r="E278" s="33"/>
      <c r="F278" s="33"/>
    </row>
    <row r="279" ht="15.75" customHeight="1">
      <c r="C279" s="33"/>
      <c r="D279" s="33"/>
      <c r="E279" s="33"/>
      <c r="F279" s="33"/>
    </row>
    <row r="280" ht="15.75" customHeight="1">
      <c r="C280" s="33"/>
      <c r="D280" s="33"/>
      <c r="E280" s="33"/>
      <c r="F280" s="33"/>
    </row>
    <row r="281" ht="15.75" customHeight="1">
      <c r="C281" s="33"/>
      <c r="D281" s="33"/>
      <c r="E281" s="33"/>
      <c r="F281" s="33"/>
    </row>
    <row r="282" ht="15.75" customHeight="1">
      <c r="C282" s="33"/>
      <c r="D282" s="33"/>
      <c r="E282" s="33"/>
      <c r="F282" s="33"/>
    </row>
    <row r="283" ht="15.75" customHeight="1">
      <c r="C283" s="33"/>
      <c r="D283" s="33"/>
      <c r="E283" s="33"/>
      <c r="F283" s="33"/>
    </row>
    <row r="284" ht="15.75" customHeight="1">
      <c r="C284" s="33"/>
      <c r="D284" s="33"/>
      <c r="E284" s="33"/>
      <c r="F284" s="33"/>
    </row>
    <row r="285" ht="15.75" customHeight="1">
      <c r="C285" s="33"/>
      <c r="D285" s="33"/>
      <c r="E285" s="33"/>
      <c r="F285" s="33"/>
    </row>
    <row r="286" ht="15.75" customHeight="1">
      <c r="C286" s="33"/>
      <c r="D286" s="33"/>
      <c r="E286" s="33"/>
      <c r="F286" s="33"/>
    </row>
    <row r="287" ht="15.75" customHeight="1">
      <c r="C287" s="33"/>
      <c r="D287" s="33"/>
      <c r="E287" s="33"/>
      <c r="F287" s="33"/>
    </row>
    <row r="288" ht="15.75" customHeight="1">
      <c r="C288" s="33"/>
      <c r="D288" s="33"/>
      <c r="E288" s="33"/>
      <c r="F288" s="33"/>
    </row>
    <row r="289" ht="15.75" customHeight="1">
      <c r="C289" s="33"/>
      <c r="D289" s="33"/>
      <c r="E289" s="33"/>
      <c r="F289" s="33"/>
    </row>
    <row r="290" ht="15.75" customHeight="1">
      <c r="C290" s="33"/>
      <c r="D290" s="33"/>
      <c r="E290" s="33"/>
      <c r="F290" s="33"/>
    </row>
    <row r="291" ht="15.75" customHeight="1">
      <c r="C291" s="33"/>
      <c r="D291" s="33"/>
      <c r="E291" s="33"/>
      <c r="F291" s="33"/>
    </row>
    <row r="292" ht="15.75" customHeight="1">
      <c r="C292" s="33"/>
      <c r="D292" s="33"/>
      <c r="E292" s="33"/>
      <c r="F292" s="33"/>
    </row>
    <row r="293" ht="15.75" customHeight="1">
      <c r="C293" s="33"/>
      <c r="D293" s="33"/>
      <c r="E293" s="33"/>
      <c r="F293" s="33"/>
    </row>
    <row r="294" ht="15.75" customHeight="1">
      <c r="C294" s="33"/>
      <c r="D294" s="33"/>
      <c r="E294" s="33"/>
      <c r="F294" s="33"/>
    </row>
    <row r="295" ht="15.75" customHeight="1">
      <c r="C295" s="33"/>
      <c r="D295" s="33"/>
      <c r="E295" s="33"/>
      <c r="F295" s="33"/>
    </row>
    <row r="296" ht="15.75" customHeight="1">
      <c r="C296" s="33"/>
      <c r="D296" s="33"/>
      <c r="E296" s="33"/>
      <c r="F296" s="33"/>
    </row>
    <row r="297" ht="15.75" customHeight="1">
      <c r="C297" s="33"/>
      <c r="D297" s="33"/>
      <c r="E297" s="33"/>
      <c r="F297" s="33"/>
    </row>
    <row r="298" ht="15.75" customHeight="1">
      <c r="C298" s="33"/>
      <c r="D298" s="33"/>
      <c r="E298" s="33"/>
      <c r="F298" s="33"/>
    </row>
    <row r="299" ht="15.75" customHeight="1">
      <c r="C299" s="33"/>
      <c r="D299" s="33"/>
      <c r="E299" s="33"/>
      <c r="F299" s="33"/>
    </row>
    <row r="300" ht="15.75" customHeight="1">
      <c r="C300" s="33"/>
      <c r="D300" s="33"/>
      <c r="E300" s="33"/>
      <c r="F300" s="33"/>
    </row>
    <row r="301" ht="15.75" customHeight="1">
      <c r="C301" s="33"/>
      <c r="D301" s="33"/>
      <c r="E301" s="33"/>
      <c r="F301" s="33"/>
    </row>
    <row r="302" ht="15.75" customHeight="1">
      <c r="C302" s="33"/>
      <c r="D302" s="33"/>
      <c r="E302" s="33"/>
      <c r="F302" s="33"/>
    </row>
    <row r="303" ht="15.75" customHeight="1">
      <c r="C303" s="33"/>
      <c r="D303" s="33"/>
      <c r="E303" s="33"/>
      <c r="F303" s="33"/>
    </row>
    <row r="304" ht="15.75" customHeight="1">
      <c r="C304" s="33"/>
      <c r="D304" s="33"/>
      <c r="E304" s="33"/>
      <c r="F304" s="33"/>
    </row>
    <row r="305" ht="15.75" customHeight="1">
      <c r="C305" s="33"/>
      <c r="D305" s="33"/>
      <c r="E305" s="33"/>
      <c r="F305" s="33"/>
    </row>
    <row r="306" ht="15.75" customHeight="1">
      <c r="C306" s="33"/>
      <c r="D306" s="33"/>
      <c r="E306" s="33"/>
      <c r="F306" s="33"/>
    </row>
    <row r="307" ht="15.75" customHeight="1">
      <c r="C307" s="33"/>
      <c r="D307" s="33"/>
      <c r="E307" s="33"/>
      <c r="F307" s="33"/>
    </row>
    <row r="308" ht="15.75" customHeight="1">
      <c r="C308" s="33"/>
      <c r="D308" s="33"/>
      <c r="E308" s="33"/>
      <c r="F308" s="33"/>
    </row>
    <row r="309" ht="15.75" customHeight="1">
      <c r="C309" s="33"/>
      <c r="D309" s="33"/>
      <c r="E309" s="33"/>
      <c r="F309" s="33"/>
    </row>
    <row r="310" ht="15.75" customHeight="1">
      <c r="C310" s="33"/>
      <c r="D310" s="33"/>
      <c r="E310" s="33"/>
      <c r="F310" s="33"/>
    </row>
    <row r="311" ht="15.75" customHeight="1">
      <c r="C311" s="33"/>
      <c r="D311" s="33"/>
      <c r="E311" s="33"/>
      <c r="F311" s="33"/>
    </row>
    <row r="312" ht="15.75" customHeight="1">
      <c r="C312" s="33"/>
      <c r="D312" s="33"/>
      <c r="E312" s="33"/>
      <c r="F312" s="33"/>
    </row>
    <row r="313" ht="15.75" customHeight="1">
      <c r="C313" s="33"/>
      <c r="D313" s="33"/>
      <c r="E313" s="33"/>
      <c r="F313" s="33"/>
    </row>
    <row r="314" ht="15.75" customHeight="1">
      <c r="C314" s="33"/>
      <c r="D314" s="33"/>
      <c r="E314" s="33"/>
      <c r="F314" s="33"/>
    </row>
    <row r="315" ht="15.75" customHeight="1">
      <c r="C315" s="33"/>
      <c r="D315" s="33"/>
      <c r="E315" s="33"/>
      <c r="F315" s="33"/>
    </row>
    <row r="316" ht="15.75" customHeight="1">
      <c r="C316" s="33"/>
      <c r="D316" s="33"/>
      <c r="E316" s="33"/>
      <c r="F316" s="33"/>
    </row>
    <row r="317" ht="15.75" customHeight="1">
      <c r="C317" s="33"/>
      <c r="D317" s="33"/>
      <c r="E317" s="33"/>
      <c r="F317" s="33"/>
    </row>
    <row r="318" ht="15.75" customHeight="1">
      <c r="C318" s="33"/>
      <c r="D318" s="33"/>
      <c r="E318" s="33"/>
      <c r="F318" s="33"/>
    </row>
    <row r="319" ht="15.75" customHeight="1">
      <c r="C319" s="33"/>
      <c r="D319" s="33"/>
      <c r="E319" s="33"/>
      <c r="F319" s="33"/>
    </row>
    <row r="320" ht="15.75" customHeight="1">
      <c r="C320" s="33"/>
      <c r="D320" s="33"/>
      <c r="E320" s="33"/>
      <c r="F320" s="33"/>
    </row>
    <row r="321" ht="15.75" customHeight="1">
      <c r="C321" s="33"/>
      <c r="D321" s="33"/>
      <c r="E321" s="33"/>
      <c r="F321" s="33"/>
    </row>
    <row r="322" ht="15.75" customHeight="1">
      <c r="C322" s="33"/>
      <c r="D322" s="33"/>
      <c r="E322" s="33"/>
      <c r="F322" s="33"/>
    </row>
    <row r="323" ht="15.75" customHeight="1">
      <c r="C323" s="33"/>
      <c r="D323" s="33"/>
      <c r="E323" s="33"/>
      <c r="F323" s="33"/>
    </row>
    <row r="324" ht="15.75" customHeight="1">
      <c r="C324" s="33"/>
      <c r="D324" s="33"/>
      <c r="E324" s="33"/>
      <c r="F324" s="33"/>
    </row>
    <row r="325" ht="15.75" customHeight="1">
      <c r="C325" s="33"/>
      <c r="D325" s="33"/>
      <c r="E325" s="33"/>
      <c r="F325" s="33"/>
    </row>
    <row r="326" ht="15.75" customHeight="1">
      <c r="C326" s="33"/>
      <c r="D326" s="33"/>
      <c r="E326" s="33"/>
      <c r="F326" s="33"/>
    </row>
    <row r="327" ht="15.75" customHeight="1">
      <c r="C327" s="33"/>
      <c r="D327" s="33"/>
      <c r="E327" s="33"/>
      <c r="F327" s="33"/>
    </row>
    <row r="328" ht="15.75" customHeight="1">
      <c r="C328" s="33"/>
      <c r="D328" s="33"/>
      <c r="E328" s="33"/>
      <c r="F328" s="33"/>
    </row>
    <row r="329" ht="15.75" customHeight="1">
      <c r="C329" s="33"/>
      <c r="D329" s="33"/>
      <c r="E329" s="33"/>
      <c r="F329" s="33"/>
    </row>
    <row r="330" ht="15.75" customHeight="1">
      <c r="C330" s="33"/>
      <c r="D330" s="33"/>
      <c r="E330" s="33"/>
      <c r="F330" s="33"/>
    </row>
    <row r="331" ht="15.75" customHeight="1">
      <c r="C331" s="33"/>
      <c r="D331" s="33"/>
      <c r="E331" s="33"/>
      <c r="F331" s="33"/>
    </row>
    <row r="332" ht="15.75" customHeight="1">
      <c r="C332" s="33"/>
      <c r="D332" s="33"/>
      <c r="E332" s="33"/>
      <c r="F332" s="33"/>
    </row>
    <row r="333" ht="15.75" customHeight="1">
      <c r="C333" s="33"/>
      <c r="D333" s="33"/>
      <c r="E333" s="33"/>
      <c r="F333" s="33"/>
    </row>
    <row r="334" ht="15.75" customHeight="1">
      <c r="C334" s="33"/>
      <c r="D334" s="33"/>
      <c r="E334" s="33"/>
      <c r="F334" s="33"/>
    </row>
    <row r="335" ht="15.75" customHeight="1">
      <c r="C335" s="33"/>
      <c r="D335" s="33"/>
      <c r="E335" s="33"/>
      <c r="F335" s="33"/>
    </row>
    <row r="336" ht="15.75" customHeight="1">
      <c r="C336" s="33"/>
      <c r="D336" s="33"/>
      <c r="E336" s="33"/>
      <c r="F336" s="33"/>
    </row>
    <row r="337" ht="15.75" customHeight="1">
      <c r="C337" s="33"/>
      <c r="D337" s="33"/>
      <c r="E337" s="33"/>
      <c r="F337" s="33"/>
    </row>
    <row r="338" ht="15.75" customHeight="1">
      <c r="C338" s="33"/>
      <c r="D338" s="33"/>
      <c r="E338" s="33"/>
      <c r="F338" s="33"/>
    </row>
    <row r="339" ht="15.75" customHeight="1">
      <c r="C339" s="33"/>
      <c r="D339" s="33"/>
      <c r="E339" s="33"/>
      <c r="F339" s="33"/>
    </row>
    <row r="340" ht="15.75" customHeight="1">
      <c r="C340" s="33"/>
      <c r="D340" s="33"/>
      <c r="E340" s="33"/>
      <c r="F340" s="33"/>
    </row>
    <row r="341" ht="15.75" customHeight="1">
      <c r="C341" s="33"/>
      <c r="D341" s="33"/>
      <c r="E341" s="33"/>
      <c r="F341" s="33"/>
    </row>
    <row r="342" ht="15.75" customHeight="1">
      <c r="C342" s="33"/>
      <c r="D342" s="33"/>
      <c r="E342" s="33"/>
      <c r="F342" s="33"/>
    </row>
    <row r="343" ht="15.75" customHeight="1">
      <c r="C343" s="33"/>
      <c r="D343" s="33"/>
      <c r="E343" s="33"/>
      <c r="F343" s="33"/>
    </row>
    <row r="344" ht="15.75" customHeight="1">
      <c r="C344" s="33"/>
      <c r="D344" s="33"/>
      <c r="E344" s="33"/>
      <c r="F344" s="33"/>
    </row>
    <row r="345" ht="15.75" customHeight="1">
      <c r="C345" s="33"/>
      <c r="D345" s="33"/>
      <c r="E345" s="33"/>
      <c r="F345" s="33"/>
    </row>
    <row r="346" ht="15.75" customHeight="1">
      <c r="C346" s="33"/>
      <c r="D346" s="33"/>
      <c r="E346" s="33"/>
      <c r="F346" s="33"/>
    </row>
    <row r="347" ht="15.75" customHeight="1">
      <c r="C347" s="33"/>
      <c r="D347" s="33"/>
      <c r="E347" s="33"/>
      <c r="F347" s="33"/>
    </row>
    <row r="348" ht="15.75" customHeight="1">
      <c r="C348" s="33"/>
      <c r="D348" s="33"/>
      <c r="E348" s="33"/>
      <c r="F348" s="33"/>
    </row>
    <row r="349" ht="15.75" customHeight="1">
      <c r="C349" s="33"/>
      <c r="D349" s="33"/>
      <c r="E349" s="33"/>
      <c r="F349" s="33"/>
    </row>
    <row r="350" ht="15.75" customHeight="1">
      <c r="C350" s="33"/>
      <c r="D350" s="33"/>
      <c r="E350" s="33"/>
      <c r="F350" s="33"/>
    </row>
    <row r="351" ht="15.75" customHeight="1">
      <c r="C351" s="33"/>
      <c r="D351" s="33"/>
      <c r="E351" s="33"/>
      <c r="F351" s="33"/>
    </row>
    <row r="352" ht="15.75" customHeight="1">
      <c r="C352" s="33"/>
      <c r="D352" s="33"/>
      <c r="E352" s="33"/>
      <c r="F352" s="33"/>
    </row>
    <row r="353" ht="15.75" customHeight="1">
      <c r="C353" s="33"/>
      <c r="D353" s="33"/>
      <c r="E353" s="33"/>
      <c r="F353" s="33"/>
    </row>
    <row r="354" ht="15.75" customHeight="1">
      <c r="C354" s="33"/>
      <c r="D354" s="33"/>
      <c r="E354" s="33"/>
      <c r="F354" s="33"/>
    </row>
    <row r="355" ht="15.75" customHeight="1">
      <c r="C355" s="33"/>
      <c r="D355" s="33"/>
      <c r="E355" s="33"/>
      <c r="F355" s="33"/>
    </row>
    <row r="356" ht="15.75" customHeight="1">
      <c r="C356" s="33"/>
      <c r="D356" s="33"/>
      <c r="E356" s="33"/>
      <c r="F356" s="33"/>
    </row>
    <row r="357" ht="15.75" customHeight="1">
      <c r="C357" s="33"/>
      <c r="D357" s="33"/>
      <c r="E357" s="33"/>
      <c r="F357" s="33"/>
    </row>
    <row r="358" ht="15.75" customHeight="1">
      <c r="C358" s="33"/>
      <c r="D358" s="33"/>
      <c r="E358" s="33"/>
      <c r="F358" s="33"/>
    </row>
    <row r="359" ht="15.75" customHeight="1">
      <c r="C359" s="33"/>
      <c r="D359" s="33"/>
      <c r="E359" s="33"/>
      <c r="F359" s="33"/>
    </row>
    <row r="360" ht="15.75" customHeight="1">
      <c r="C360" s="33"/>
      <c r="D360" s="33"/>
      <c r="E360" s="33"/>
      <c r="F360" s="33"/>
    </row>
    <row r="361" ht="15.75" customHeight="1">
      <c r="C361" s="33"/>
      <c r="D361" s="33"/>
      <c r="E361" s="33"/>
      <c r="F361" s="33"/>
    </row>
    <row r="362" ht="15.75" customHeight="1">
      <c r="C362" s="33"/>
      <c r="D362" s="33"/>
      <c r="E362" s="33"/>
      <c r="F362" s="33"/>
    </row>
    <row r="363" ht="15.75" customHeight="1">
      <c r="C363" s="33"/>
      <c r="D363" s="33"/>
      <c r="E363" s="33"/>
      <c r="F363" s="33"/>
    </row>
    <row r="364" ht="15.75" customHeight="1">
      <c r="C364" s="33"/>
      <c r="D364" s="33"/>
      <c r="E364" s="33"/>
      <c r="F364" s="33"/>
    </row>
    <row r="365" ht="15.75" customHeight="1">
      <c r="C365" s="33"/>
      <c r="D365" s="33"/>
      <c r="E365" s="33"/>
      <c r="F365" s="33"/>
    </row>
    <row r="366" ht="15.75" customHeight="1">
      <c r="C366" s="33"/>
      <c r="D366" s="33"/>
      <c r="E366" s="33"/>
      <c r="F366" s="33"/>
    </row>
    <row r="367" ht="15.75" customHeight="1">
      <c r="C367" s="33"/>
      <c r="D367" s="33"/>
      <c r="E367" s="33"/>
      <c r="F367" s="33"/>
    </row>
    <row r="368" ht="15.75" customHeight="1">
      <c r="C368" s="33"/>
      <c r="D368" s="33"/>
      <c r="E368" s="33"/>
      <c r="F368" s="33"/>
    </row>
    <row r="369" ht="15.75" customHeight="1">
      <c r="C369" s="33"/>
      <c r="D369" s="33"/>
      <c r="E369" s="33"/>
      <c r="F369" s="33"/>
    </row>
    <row r="370" ht="15.75" customHeight="1">
      <c r="C370" s="33"/>
      <c r="D370" s="33"/>
      <c r="E370" s="33"/>
      <c r="F370" s="33"/>
    </row>
    <row r="371" ht="15.75" customHeight="1">
      <c r="C371" s="33"/>
      <c r="D371" s="33"/>
      <c r="E371" s="33"/>
      <c r="F371" s="33"/>
    </row>
    <row r="372" ht="15.75" customHeight="1">
      <c r="C372" s="33"/>
      <c r="D372" s="33"/>
      <c r="E372" s="33"/>
      <c r="F372" s="33"/>
    </row>
    <row r="373" ht="15.75" customHeight="1">
      <c r="C373" s="33"/>
      <c r="D373" s="33"/>
      <c r="E373" s="33"/>
      <c r="F373" s="33"/>
    </row>
    <row r="374" ht="15.75" customHeight="1">
      <c r="C374" s="33"/>
      <c r="D374" s="33"/>
      <c r="E374" s="33"/>
      <c r="F374" s="33"/>
    </row>
    <row r="375" ht="15.75" customHeight="1">
      <c r="C375" s="33"/>
      <c r="D375" s="33"/>
      <c r="E375" s="33"/>
      <c r="F375" s="33"/>
    </row>
    <row r="376" ht="15.75" customHeight="1">
      <c r="C376" s="33"/>
      <c r="D376" s="33"/>
      <c r="E376" s="33"/>
      <c r="F376" s="33"/>
    </row>
    <row r="377" ht="15.75" customHeight="1">
      <c r="C377" s="33"/>
      <c r="D377" s="33"/>
      <c r="E377" s="33"/>
      <c r="F377" s="33"/>
    </row>
    <row r="378" ht="15.75" customHeight="1">
      <c r="C378" s="33"/>
      <c r="D378" s="33"/>
      <c r="E378" s="33"/>
      <c r="F378" s="33"/>
    </row>
    <row r="379" ht="15.75" customHeight="1">
      <c r="C379" s="33"/>
      <c r="D379" s="33"/>
      <c r="E379" s="33"/>
      <c r="F379" s="33"/>
    </row>
    <row r="380" ht="15.75" customHeight="1">
      <c r="C380" s="33"/>
      <c r="D380" s="33"/>
      <c r="E380" s="33"/>
      <c r="F380" s="33"/>
    </row>
    <row r="381" ht="15.75" customHeight="1">
      <c r="C381" s="33"/>
      <c r="D381" s="33"/>
      <c r="E381" s="33"/>
      <c r="F381" s="33"/>
    </row>
    <row r="382" ht="15.75" customHeight="1">
      <c r="C382" s="33"/>
      <c r="D382" s="33"/>
      <c r="E382" s="33"/>
      <c r="F382" s="33"/>
    </row>
    <row r="383" ht="15.75" customHeight="1">
      <c r="C383" s="33"/>
      <c r="D383" s="33"/>
      <c r="E383" s="33"/>
      <c r="F383" s="33"/>
    </row>
    <row r="384" ht="15.75" customHeight="1">
      <c r="C384" s="33"/>
      <c r="D384" s="33"/>
      <c r="E384" s="33"/>
      <c r="F384" s="33"/>
    </row>
    <row r="385" ht="15.75" customHeight="1">
      <c r="C385" s="33"/>
      <c r="D385" s="33"/>
      <c r="E385" s="33"/>
      <c r="F385" s="33"/>
    </row>
    <row r="386" ht="15.75" customHeight="1">
      <c r="C386" s="33"/>
      <c r="D386" s="33"/>
      <c r="E386" s="33"/>
      <c r="F386" s="33"/>
    </row>
    <row r="387" ht="15.75" customHeight="1">
      <c r="C387" s="33"/>
      <c r="D387" s="33"/>
      <c r="E387" s="33"/>
      <c r="F387" s="33"/>
    </row>
    <row r="388" ht="15.75" customHeight="1">
      <c r="C388" s="33"/>
      <c r="D388" s="33"/>
      <c r="E388" s="33"/>
      <c r="F388" s="33"/>
    </row>
    <row r="389" ht="15.75" customHeight="1">
      <c r="C389" s="33"/>
      <c r="D389" s="33"/>
      <c r="E389" s="33"/>
      <c r="F389" s="33"/>
    </row>
    <row r="390" ht="15.75" customHeight="1">
      <c r="C390" s="33"/>
      <c r="D390" s="33"/>
      <c r="E390" s="33"/>
      <c r="F390" s="33"/>
    </row>
    <row r="391" ht="15.75" customHeight="1">
      <c r="C391" s="33"/>
      <c r="D391" s="33"/>
      <c r="E391" s="33"/>
      <c r="F391" s="33"/>
    </row>
    <row r="392" ht="15.75" customHeight="1">
      <c r="C392" s="33"/>
      <c r="D392" s="33"/>
      <c r="E392" s="33"/>
      <c r="F392" s="33"/>
    </row>
    <row r="393" ht="15.75" customHeight="1">
      <c r="C393" s="33"/>
      <c r="D393" s="33"/>
      <c r="E393" s="33"/>
      <c r="F393" s="33"/>
    </row>
    <row r="394" ht="15.75" customHeight="1">
      <c r="C394" s="33"/>
      <c r="D394" s="33"/>
      <c r="E394" s="33"/>
      <c r="F394" s="33"/>
    </row>
    <row r="395" ht="15.75" customHeight="1">
      <c r="C395" s="33"/>
      <c r="D395" s="33"/>
      <c r="E395" s="33"/>
      <c r="F395" s="33"/>
    </row>
    <row r="396" ht="15.75" customHeight="1">
      <c r="C396" s="33"/>
      <c r="D396" s="33"/>
      <c r="E396" s="33"/>
      <c r="F396" s="33"/>
    </row>
    <row r="397" ht="15.75" customHeight="1">
      <c r="C397" s="33"/>
      <c r="D397" s="33"/>
      <c r="E397" s="33"/>
      <c r="F397" s="33"/>
    </row>
    <row r="398" ht="15.75" customHeight="1">
      <c r="C398" s="33"/>
      <c r="D398" s="33"/>
      <c r="E398" s="33"/>
      <c r="F398" s="33"/>
    </row>
    <row r="399" ht="15.75" customHeight="1">
      <c r="C399" s="33"/>
      <c r="D399" s="33"/>
      <c r="E399" s="33"/>
      <c r="F399" s="33"/>
    </row>
    <row r="400" ht="15.75" customHeight="1">
      <c r="C400" s="33"/>
      <c r="D400" s="33"/>
      <c r="E400" s="33"/>
      <c r="F400" s="33"/>
    </row>
    <row r="401" ht="15.75" customHeight="1">
      <c r="C401" s="33"/>
      <c r="D401" s="33"/>
      <c r="E401" s="33"/>
      <c r="F401" s="33"/>
    </row>
    <row r="402" ht="15.75" customHeight="1">
      <c r="C402" s="33"/>
      <c r="D402" s="33"/>
      <c r="E402" s="33"/>
      <c r="F402" s="33"/>
    </row>
    <row r="403" ht="15.75" customHeight="1">
      <c r="C403" s="33"/>
      <c r="D403" s="33"/>
      <c r="E403" s="33"/>
      <c r="F403" s="33"/>
    </row>
    <row r="404" ht="15.75" customHeight="1">
      <c r="C404" s="33"/>
      <c r="D404" s="33"/>
      <c r="E404" s="33"/>
      <c r="F404" s="33"/>
    </row>
    <row r="405" ht="15.75" customHeight="1">
      <c r="C405" s="33"/>
      <c r="D405" s="33"/>
      <c r="E405" s="33"/>
      <c r="F405" s="33"/>
    </row>
    <row r="406" ht="15.75" customHeight="1">
      <c r="C406" s="33"/>
      <c r="D406" s="33"/>
      <c r="E406" s="33"/>
      <c r="F406" s="33"/>
    </row>
    <row r="407" ht="15.75" customHeight="1">
      <c r="C407" s="33"/>
      <c r="D407" s="33"/>
      <c r="E407" s="33"/>
      <c r="F407" s="33"/>
    </row>
    <row r="408" ht="15.75" customHeight="1">
      <c r="C408" s="33"/>
      <c r="D408" s="33"/>
      <c r="E408" s="33"/>
      <c r="F408" s="33"/>
    </row>
    <row r="409" ht="15.75" customHeight="1">
      <c r="C409" s="33"/>
      <c r="D409" s="33"/>
      <c r="E409" s="33"/>
      <c r="F409" s="33"/>
    </row>
    <row r="410" ht="15.75" customHeight="1">
      <c r="C410" s="33"/>
      <c r="D410" s="33"/>
      <c r="E410" s="33"/>
      <c r="F410" s="33"/>
    </row>
    <row r="411" ht="15.75" customHeight="1">
      <c r="C411" s="33"/>
      <c r="D411" s="33"/>
      <c r="E411" s="33"/>
      <c r="F411" s="33"/>
    </row>
    <row r="412" ht="15.75" customHeight="1">
      <c r="C412" s="33"/>
      <c r="D412" s="33"/>
      <c r="E412" s="33"/>
      <c r="F412" s="33"/>
    </row>
    <row r="413" ht="15.75" customHeight="1">
      <c r="C413" s="33"/>
      <c r="D413" s="33"/>
      <c r="E413" s="33"/>
      <c r="F413" s="33"/>
    </row>
    <row r="414" ht="15.75" customHeight="1">
      <c r="C414" s="33"/>
      <c r="D414" s="33"/>
      <c r="E414" s="33"/>
      <c r="F414" s="33"/>
    </row>
    <row r="415" ht="15.75" customHeight="1">
      <c r="C415" s="33"/>
      <c r="D415" s="33"/>
      <c r="E415" s="33"/>
      <c r="F415" s="33"/>
    </row>
    <row r="416" ht="15.75" customHeight="1">
      <c r="C416" s="33"/>
      <c r="D416" s="33"/>
      <c r="E416" s="33"/>
      <c r="F416" s="33"/>
    </row>
    <row r="417" ht="15.75" customHeight="1">
      <c r="C417" s="33"/>
      <c r="D417" s="33"/>
      <c r="E417" s="33"/>
      <c r="F417" s="33"/>
    </row>
    <row r="418" ht="15.75" customHeight="1">
      <c r="C418" s="33"/>
      <c r="D418" s="33"/>
      <c r="E418" s="33"/>
      <c r="F418" s="33"/>
    </row>
    <row r="419" ht="15.75" customHeight="1">
      <c r="C419" s="33"/>
      <c r="D419" s="33"/>
      <c r="E419" s="33"/>
      <c r="F419" s="33"/>
    </row>
    <row r="420" ht="15.75" customHeight="1">
      <c r="C420" s="33"/>
      <c r="D420" s="33"/>
      <c r="E420" s="33"/>
      <c r="F420" s="33"/>
    </row>
    <row r="421" ht="15.75" customHeight="1">
      <c r="C421" s="33"/>
      <c r="D421" s="33"/>
      <c r="E421" s="33"/>
      <c r="F421" s="33"/>
    </row>
    <row r="422" ht="15.75" customHeight="1">
      <c r="C422" s="33"/>
      <c r="D422" s="33"/>
      <c r="E422" s="33"/>
      <c r="F422" s="33"/>
    </row>
    <row r="423" ht="15.75" customHeight="1">
      <c r="C423" s="33"/>
      <c r="D423" s="33"/>
      <c r="E423" s="33"/>
      <c r="F423" s="33"/>
    </row>
    <row r="424" ht="15.75" customHeight="1">
      <c r="C424" s="33"/>
      <c r="D424" s="33"/>
      <c r="E424" s="33"/>
      <c r="F424" s="33"/>
    </row>
    <row r="425" ht="15.75" customHeight="1">
      <c r="C425" s="33"/>
      <c r="D425" s="33"/>
      <c r="E425" s="33"/>
      <c r="F425" s="33"/>
    </row>
    <row r="426" ht="15.75" customHeight="1">
      <c r="C426" s="33"/>
      <c r="D426" s="33"/>
      <c r="E426" s="33"/>
      <c r="F426" s="33"/>
    </row>
    <row r="427" ht="15.75" customHeight="1">
      <c r="C427" s="33"/>
      <c r="D427" s="33"/>
      <c r="E427" s="33"/>
      <c r="F427" s="33"/>
    </row>
    <row r="428" ht="15.75" customHeight="1">
      <c r="C428" s="33"/>
      <c r="D428" s="33"/>
      <c r="E428" s="33"/>
      <c r="F428" s="33"/>
    </row>
    <row r="429" ht="15.75" customHeight="1">
      <c r="C429" s="33"/>
      <c r="D429" s="33"/>
      <c r="E429" s="33"/>
      <c r="F429" s="33"/>
    </row>
    <row r="430" ht="15.75" customHeight="1">
      <c r="C430" s="33"/>
      <c r="D430" s="33"/>
      <c r="E430" s="33"/>
      <c r="F430" s="33"/>
    </row>
    <row r="431" ht="15.75" customHeight="1">
      <c r="C431" s="33"/>
      <c r="D431" s="33"/>
      <c r="E431" s="33"/>
      <c r="F431" s="33"/>
    </row>
    <row r="432" ht="15.75" customHeight="1">
      <c r="C432" s="33"/>
      <c r="D432" s="33"/>
      <c r="E432" s="33"/>
      <c r="F432" s="33"/>
    </row>
    <row r="433" ht="15.75" customHeight="1">
      <c r="C433" s="33"/>
      <c r="D433" s="33"/>
      <c r="E433" s="33"/>
      <c r="F433" s="33"/>
    </row>
    <row r="434" ht="15.75" customHeight="1">
      <c r="C434" s="33"/>
      <c r="D434" s="33"/>
      <c r="E434" s="33"/>
      <c r="F434" s="33"/>
    </row>
    <row r="435" ht="15.75" customHeight="1">
      <c r="C435" s="33"/>
      <c r="D435" s="33"/>
      <c r="E435" s="33"/>
      <c r="F435" s="33"/>
    </row>
    <row r="436" ht="15.75" customHeight="1">
      <c r="C436" s="33"/>
      <c r="D436" s="33"/>
      <c r="E436" s="33"/>
      <c r="F436" s="33"/>
    </row>
    <row r="437" ht="15.75" customHeight="1">
      <c r="C437" s="33"/>
      <c r="D437" s="33"/>
      <c r="E437" s="33"/>
      <c r="F437" s="33"/>
    </row>
    <row r="438" ht="15.75" customHeight="1">
      <c r="C438" s="33"/>
      <c r="D438" s="33"/>
      <c r="E438" s="33"/>
      <c r="F438" s="33"/>
    </row>
    <row r="439" ht="15.75" customHeight="1">
      <c r="C439" s="33"/>
      <c r="D439" s="33"/>
      <c r="E439" s="33"/>
      <c r="F439" s="33"/>
    </row>
    <row r="440" ht="15.75" customHeight="1">
      <c r="C440" s="33"/>
      <c r="D440" s="33"/>
      <c r="E440" s="33"/>
      <c r="F440" s="33"/>
    </row>
    <row r="441" ht="15.75" customHeight="1">
      <c r="C441" s="33"/>
      <c r="D441" s="33"/>
      <c r="E441" s="33"/>
      <c r="F441" s="33"/>
    </row>
    <row r="442" ht="15.75" customHeight="1">
      <c r="C442" s="33"/>
      <c r="D442" s="33"/>
      <c r="E442" s="33"/>
      <c r="F442" s="33"/>
    </row>
    <row r="443" ht="15.75" customHeight="1">
      <c r="C443" s="33"/>
      <c r="D443" s="33"/>
      <c r="E443" s="33"/>
      <c r="F443" s="33"/>
    </row>
    <row r="444" ht="15.75" customHeight="1">
      <c r="C444" s="33"/>
      <c r="D444" s="33"/>
      <c r="E444" s="33"/>
      <c r="F444" s="33"/>
    </row>
    <row r="445" ht="15.75" customHeight="1">
      <c r="C445" s="33"/>
      <c r="D445" s="33"/>
      <c r="E445" s="33"/>
      <c r="F445" s="33"/>
    </row>
    <row r="446" ht="15.75" customHeight="1">
      <c r="C446" s="33"/>
      <c r="D446" s="33"/>
      <c r="E446" s="33"/>
      <c r="F446" s="33"/>
    </row>
    <row r="447" ht="15.75" customHeight="1">
      <c r="C447" s="33"/>
      <c r="D447" s="33"/>
      <c r="E447" s="33"/>
      <c r="F447" s="33"/>
    </row>
    <row r="448" ht="15.75" customHeight="1">
      <c r="C448" s="33"/>
      <c r="D448" s="33"/>
      <c r="E448" s="33"/>
      <c r="F448" s="33"/>
    </row>
    <row r="449" ht="15.75" customHeight="1">
      <c r="C449" s="33"/>
      <c r="D449" s="33"/>
      <c r="E449" s="33"/>
      <c r="F449" s="33"/>
    </row>
    <row r="450" ht="15.75" customHeight="1">
      <c r="C450" s="33"/>
      <c r="D450" s="33"/>
      <c r="E450" s="33"/>
      <c r="F450" s="33"/>
    </row>
    <row r="451" ht="15.75" customHeight="1">
      <c r="C451" s="33"/>
      <c r="D451" s="33"/>
      <c r="E451" s="33"/>
      <c r="F451" s="33"/>
    </row>
    <row r="452" ht="15.75" customHeight="1">
      <c r="C452" s="33"/>
      <c r="D452" s="33"/>
      <c r="E452" s="33"/>
      <c r="F452" s="33"/>
    </row>
    <row r="453" ht="15.75" customHeight="1">
      <c r="C453" s="33"/>
      <c r="D453" s="33"/>
      <c r="E453" s="33"/>
      <c r="F453" s="33"/>
    </row>
    <row r="454" ht="15.75" customHeight="1">
      <c r="C454" s="33"/>
      <c r="D454" s="33"/>
      <c r="E454" s="33"/>
      <c r="F454" s="33"/>
    </row>
    <row r="455" ht="15.75" customHeight="1">
      <c r="C455" s="33"/>
      <c r="D455" s="33"/>
      <c r="E455" s="33"/>
      <c r="F455" s="33"/>
    </row>
    <row r="456" ht="15.75" customHeight="1">
      <c r="C456" s="33"/>
      <c r="D456" s="33"/>
      <c r="E456" s="33"/>
      <c r="F456" s="33"/>
    </row>
    <row r="457" ht="15.75" customHeight="1">
      <c r="C457" s="33"/>
      <c r="D457" s="33"/>
      <c r="E457" s="33"/>
      <c r="F457" s="33"/>
    </row>
    <row r="458" ht="15.75" customHeight="1">
      <c r="C458" s="33"/>
      <c r="D458" s="33"/>
      <c r="E458" s="33"/>
      <c r="F458" s="33"/>
    </row>
    <row r="459" ht="15.75" customHeight="1">
      <c r="C459" s="33"/>
      <c r="D459" s="33"/>
      <c r="E459" s="33"/>
      <c r="F459" s="33"/>
    </row>
    <row r="460" ht="15.75" customHeight="1">
      <c r="C460" s="33"/>
      <c r="D460" s="33"/>
      <c r="E460" s="33"/>
      <c r="F460" s="33"/>
    </row>
    <row r="461" ht="15.75" customHeight="1">
      <c r="C461" s="33"/>
      <c r="D461" s="33"/>
      <c r="E461" s="33"/>
      <c r="F461" s="33"/>
    </row>
    <row r="462" ht="15.75" customHeight="1">
      <c r="C462" s="33"/>
      <c r="D462" s="33"/>
      <c r="E462" s="33"/>
      <c r="F462" s="33"/>
    </row>
    <row r="463" ht="15.75" customHeight="1">
      <c r="C463" s="33"/>
      <c r="D463" s="33"/>
      <c r="E463" s="33"/>
      <c r="F463" s="33"/>
    </row>
    <row r="464" ht="15.75" customHeight="1">
      <c r="C464" s="33"/>
      <c r="D464" s="33"/>
      <c r="E464" s="33"/>
      <c r="F464" s="33"/>
    </row>
    <row r="465" ht="15.75" customHeight="1">
      <c r="C465" s="33"/>
      <c r="D465" s="33"/>
      <c r="E465" s="33"/>
      <c r="F465" s="33"/>
    </row>
    <row r="466" ht="15.75" customHeight="1">
      <c r="C466" s="33"/>
      <c r="D466" s="33"/>
      <c r="E466" s="33"/>
      <c r="F466" s="33"/>
    </row>
    <row r="467" ht="15.75" customHeight="1">
      <c r="C467" s="33"/>
      <c r="D467" s="33"/>
      <c r="E467" s="33"/>
      <c r="F467" s="33"/>
    </row>
    <row r="468" ht="15.75" customHeight="1">
      <c r="C468" s="33"/>
      <c r="D468" s="33"/>
      <c r="E468" s="33"/>
      <c r="F468" s="33"/>
    </row>
    <row r="469" ht="15.75" customHeight="1">
      <c r="C469" s="33"/>
      <c r="D469" s="33"/>
      <c r="E469" s="33"/>
      <c r="F469" s="33"/>
    </row>
    <row r="470" ht="15.75" customHeight="1">
      <c r="C470" s="33"/>
      <c r="D470" s="33"/>
      <c r="E470" s="33"/>
      <c r="F470" s="33"/>
    </row>
    <row r="471" ht="15.75" customHeight="1">
      <c r="C471" s="33"/>
      <c r="D471" s="33"/>
      <c r="E471" s="33"/>
      <c r="F471" s="33"/>
    </row>
    <row r="472" ht="15.75" customHeight="1">
      <c r="C472" s="33"/>
      <c r="D472" s="33"/>
      <c r="E472" s="33"/>
      <c r="F472" s="33"/>
    </row>
    <row r="473" ht="15.75" customHeight="1">
      <c r="C473" s="33"/>
      <c r="D473" s="33"/>
      <c r="E473" s="33"/>
      <c r="F473" s="33"/>
    </row>
    <row r="474" ht="15.75" customHeight="1">
      <c r="C474" s="33"/>
      <c r="D474" s="33"/>
      <c r="E474" s="33"/>
      <c r="F474" s="33"/>
    </row>
    <row r="475" ht="15.75" customHeight="1">
      <c r="C475" s="33"/>
      <c r="D475" s="33"/>
      <c r="E475" s="33"/>
      <c r="F475" s="33"/>
    </row>
    <row r="476" ht="15.75" customHeight="1">
      <c r="C476" s="33"/>
      <c r="D476" s="33"/>
      <c r="E476" s="33"/>
      <c r="F476" s="33"/>
    </row>
    <row r="477" ht="15.75" customHeight="1">
      <c r="C477" s="33"/>
      <c r="D477" s="33"/>
      <c r="E477" s="33"/>
      <c r="F477" s="33"/>
    </row>
    <row r="478" ht="15.75" customHeight="1">
      <c r="C478" s="33"/>
      <c r="D478" s="33"/>
      <c r="E478" s="33"/>
      <c r="F478" s="33"/>
    </row>
    <row r="479" ht="15.75" customHeight="1">
      <c r="C479" s="33"/>
      <c r="D479" s="33"/>
      <c r="E479" s="33"/>
      <c r="F479" s="33"/>
    </row>
    <row r="480" ht="15.75" customHeight="1">
      <c r="C480" s="33"/>
      <c r="D480" s="33"/>
      <c r="E480" s="33"/>
      <c r="F480" s="33"/>
    </row>
    <row r="481" ht="15.75" customHeight="1">
      <c r="C481" s="33"/>
      <c r="D481" s="33"/>
      <c r="E481" s="33"/>
      <c r="F481" s="33"/>
    </row>
    <row r="482" ht="15.75" customHeight="1">
      <c r="C482" s="33"/>
      <c r="D482" s="33"/>
      <c r="E482" s="33"/>
      <c r="F482" s="33"/>
    </row>
    <row r="483" ht="15.75" customHeight="1">
      <c r="C483" s="33"/>
      <c r="D483" s="33"/>
      <c r="E483" s="33"/>
      <c r="F483" s="33"/>
    </row>
    <row r="484" ht="15.75" customHeight="1">
      <c r="C484" s="33"/>
      <c r="D484" s="33"/>
      <c r="E484" s="33"/>
      <c r="F484" s="33"/>
    </row>
    <row r="485" ht="15.75" customHeight="1">
      <c r="C485" s="33"/>
      <c r="D485" s="33"/>
      <c r="E485" s="33"/>
      <c r="F485" s="33"/>
    </row>
    <row r="486" ht="15.75" customHeight="1">
      <c r="C486" s="33"/>
      <c r="D486" s="33"/>
      <c r="E486" s="33"/>
      <c r="F486" s="33"/>
    </row>
    <row r="487" ht="15.75" customHeight="1">
      <c r="C487" s="33"/>
      <c r="D487" s="33"/>
      <c r="E487" s="33"/>
      <c r="F487" s="33"/>
    </row>
    <row r="488" ht="15.75" customHeight="1">
      <c r="C488" s="33"/>
      <c r="D488" s="33"/>
      <c r="E488" s="33"/>
      <c r="F488" s="33"/>
    </row>
    <row r="489" ht="15.75" customHeight="1">
      <c r="C489" s="33"/>
      <c r="D489" s="33"/>
      <c r="E489" s="33"/>
      <c r="F489" s="33"/>
    </row>
    <row r="490" ht="15.75" customHeight="1">
      <c r="C490" s="33"/>
      <c r="D490" s="33"/>
      <c r="E490" s="33"/>
      <c r="F490" s="33"/>
    </row>
    <row r="491" ht="15.75" customHeight="1">
      <c r="C491" s="33"/>
      <c r="D491" s="33"/>
      <c r="E491" s="33"/>
      <c r="F491" s="33"/>
    </row>
    <row r="492" ht="15.75" customHeight="1">
      <c r="C492" s="33"/>
      <c r="D492" s="33"/>
      <c r="E492" s="33"/>
      <c r="F492" s="33"/>
    </row>
    <row r="493" ht="15.75" customHeight="1">
      <c r="C493" s="33"/>
      <c r="D493" s="33"/>
      <c r="E493" s="33"/>
      <c r="F493" s="33"/>
    </row>
    <row r="494" ht="15.75" customHeight="1">
      <c r="C494" s="33"/>
      <c r="D494" s="33"/>
      <c r="E494" s="33"/>
      <c r="F494" s="33"/>
    </row>
    <row r="495" ht="15.75" customHeight="1">
      <c r="C495" s="33"/>
      <c r="D495" s="33"/>
      <c r="E495" s="33"/>
      <c r="F495" s="33"/>
    </row>
    <row r="496" ht="15.75" customHeight="1">
      <c r="C496" s="33"/>
      <c r="D496" s="33"/>
      <c r="E496" s="33"/>
      <c r="F496" s="33"/>
    </row>
    <row r="497" ht="15.75" customHeight="1">
      <c r="C497" s="33"/>
      <c r="D497" s="33"/>
      <c r="E497" s="33"/>
      <c r="F497" s="33"/>
    </row>
    <row r="498" ht="15.75" customHeight="1">
      <c r="C498" s="33"/>
      <c r="D498" s="33"/>
      <c r="E498" s="33"/>
      <c r="F498" s="33"/>
    </row>
    <row r="499" ht="15.75" customHeight="1">
      <c r="C499" s="33"/>
      <c r="D499" s="33"/>
      <c r="E499" s="33"/>
      <c r="F499" s="33"/>
    </row>
    <row r="500" ht="15.75" customHeight="1">
      <c r="C500" s="33"/>
      <c r="D500" s="33"/>
      <c r="E500" s="33"/>
      <c r="F500" s="33"/>
    </row>
    <row r="501" ht="15.75" customHeight="1">
      <c r="C501" s="33"/>
      <c r="D501" s="33"/>
      <c r="E501" s="33"/>
      <c r="F501" s="33"/>
    </row>
    <row r="502" ht="15.75" customHeight="1">
      <c r="C502" s="33"/>
      <c r="D502" s="33"/>
      <c r="E502" s="33"/>
      <c r="F502" s="33"/>
    </row>
    <row r="503" ht="15.75" customHeight="1">
      <c r="C503" s="33"/>
      <c r="D503" s="33"/>
      <c r="E503" s="33"/>
      <c r="F503" s="33"/>
    </row>
    <row r="504" ht="15.75" customHeight="1">
      <c r="C504" s="33"/>
      <c r="D504" s="33"/>
      <c r="E504" s="33"/>
      <c r="F504" s="33"/>
    </row>
    <row r="505" ht="15.75" customHeight="1">
      <c r="C505" s="33"/>
      <c r="D505" s="33"/>
      <c r="E505" s="33"/>
      <c r="F505" s="33"/>
    </row>
    <row r="506" ht="15.75" customHeight="1">
      <c r="C506" s="33"/>
      <c r="D506" s="33"/>
      <c r="E506" s="33"/>
      <c r="F506" s="33"/>
    </row>
    <row r="507" ht="15.75" customHeight="1">
      <c r="C507" s="33"/>
      <c r="D507" s="33"/>
      <c r="E507" s="33"/>
      <c r="F507" s="33"/>
    </row>
    <row r="508" ht="15.75" customHeight="1">
      <c r="C508" s="33"/>
      <c r="D508" s="33"/>
      <c r="E508" s="33"/>
      <c r="F508" s="33"/>
    </row>
    <row r="509" ht="15.75" customHeight="1">
      <c r="C509" s="33"/>
      <c r="D509" s="33"/>
      <c r="E509" s="33"/>
      <c r="F509" s="33"/>
    </row>
    <row r="510" ht="15.75" customHeight="1">
      <c r="C510" s="33"/>
      <c r="D510" s="33"/>
      <c r="E510" s="33"/>
      <c r="F510" s="33"/>
    </row>
    <row r="511" ht="15.75" customHeight="1">
      <c r="C511" s="33"/>
      <c r="D511" s="33"/>
      <c r="E511" s="33"/>
      <c r="F511" s="33"/>
    </row>
    <row r="512" ht="15.75" customHeight="1">
      <c r="C512" s="33"/>
      <c r="D512" s="33"/>
      <c r="E512" s="33"/>
      <c r="F512" s="33"/>
    </row>
    <row r="513" ht="15.75" customHeight="1">
      <c r="C513" s="33"/>
      <c r="D513" s="33"/>
      <c r="E513" s="33"/>
      <c r="F513" s="33"/>
    </row>
    <row r="514" ht="15.75" customHeight="1">
      <c r="C514" s="33"/>
      <c r="D514" s="33"/>
      <c r="E514" s="33"/>
      <c r="F514" s="33"/>
    </row>
    <row r="515" ht="15.75" customHeight="1">
      <c r="C515" s="33"/>
      <c r="D515" s="33"/>
      <c r="E515" s="33"/>
      <c r="F515" s="33"/>
    </row>
    <row r="516" ht="15.75" customHeight="1">
      <c r="C516" s="33"/>
      <c r="D516" s="33"/>
      <c r="E516" s="33"/>
      <c r="F516" s="33"/>
    </row>
    <row r="517" ht="15.75" customHeight="1">
      <c r="C517" s="33"/>
      <c r="D517" s="33"/>
      <c r="E517" s="33"/>
      <c r="F517" s="33"/>
    </row>
    <row r="518" ht="15.75" customHeight="1">
      <c r="C518" s="33"/>
      <c r="D518" s="33"/>
      <c r="E518" s="33"/>
      <c r="F518" s="33"/>
    </row>
    <row r="519" ht="15.75" customHeight="1">
      <c r="C519" s="33"/>
      <c r="D519" s="33"/>
      <c r="E519" s="33"/>
      <c r="F519" s="33"/>
    </row>
    <row r="520" ht="15.75" customHeight="1">
      <c r="C520" s="33"/>
      <c r="D520" s="33"/>
      <c r="E520" s="33"/>
      <c r="F520" s="33"/>
    </row>
    <row r="521" ht="15.75" customHeight="1">
      <c r="C521" s="33"/>
      <c r="D521" s="33"/>
      <c r="E521" s="33"/>
      <c r="F521" s="33"/>
    </row>
    <row r="522" ht="15.75" customHeight="1">
      <c r="C522" s="33"/>
      <c r="D522" s="33"/>
      <c r="E522" s="33"/>
      <c r="F522" s="33"/>
    </row>
    <row r="523" ht="15.75" customHeight="1">
      <c r="C523" s="33"/>
      <c r="D523" s="33"/>
      <c r="E523" s="33"/>
      <c r="F523" s="33"/>
    </row>
    <row r="524" ht="15.75" customHeight="1">
      <c r="C524" s="33"/>
      <c r="D524" s="33"/>
      <c r="E524" s="33"/>
      <c r="F524" s="33"/>
    </row>
    <row r="525" ht="15.75" customHeight="1">
      <c r="C525" s="33"/>
      <c r="D525" s="33"/>
      <c r="E525" s="33"/>
      <c r="F525" s="33"/>
    </row>
    <row r="526" ht="15.75" customHeight="1">
      <c r="C526" s="33"/>
      <c r="D526" s="33"/>
      <c r="E526" s="33"/>
      <c r="F526" s="33"/>
    </row>
    <row r="527" ht="15.75" customHeight="1">
      <c r="C527" s="33"/>
      <c r="D527" s="33"/>
      <c r="E527" s="33"/>
      <c r="F527" s="33"/>
    </row>
    <row r="528" ht="15.75" customHeight="1">
      <c r="C528" s="33"/>
      <c r="D528" s="33"/>
      <c r="E528" s="33"/>
      <c r="F528" s="33"/>
    </row>
    <row r="529" ht="15.75" customHeight="1">
      <c r="C529" s="33"/>
      <c r="D529" s="33"/>
      <c r="E529" s="33"/>
      <c r="F529" s="33"/>
    </row>
    <row r="530" ht="15.75" customHeight="1">
      <c r="C530" s="33"/>
      <c r="D530" s="33"/>
      <c r="E530" s="33"/>
      <c r="F530" s="33"/>
    </row>
    <row r="531" ht="15.75" customHeight="1">
      <c r="C531" s="33"/>
      <c r="D531" s="33"/>
      <c r="E531" s="33"/>
      <c r="F531" s="33"/>
    </row>
    <row r="532" ht="15.75" customHeight="1">
      <c r="C532" s="33"/>
      <c r="D532" s="33"/>
      <c r="E532" s="33"/>
      <c r="F532" s="33"/>
    </row>
    <row r="533" ht="15.75" customHeight="1">
      <c r="C533" s="33"/>
      <c r="D533" s="33"/>
      <c r="E533" s="33"/>
      <c r="F533" s="33"/>
    </row>
    <row r="534" ht="15.75" customHeight="1">
      <c r="C534" s="33"/>
      <c r="D534" s="33"/>
      <c r="E534" s="33"/>
      <c r="F534" s="33"/>
    </row>
    <row r="535" ht="15.75" customHeight="1">
      <c r="C535" s="33"/>
      <c r="D535" s="33"/>
      <c r="E535" s="33"/>
      <c r="F535" s="33"/>
    </row>
    <row r="536" ht="15.75" customHeight="1">
      <c r="C536" s="33"/>
      <c r="D536" s="33"/>
      <c r="E536" s="33"/>
      <c r="F536" s="33"/>
    </row>
    <row r="537" ht="15.75" customHeight="1">
      <c r="C537" s="33"/>
      <c r="D537" s="33"/>
      <c r="E537" s="33"/>
      <c r="F537" s="33"/>
    </row>
    <row r="538" ht="15.75" customHeight="1">
      <c r="C538" s="33"/>
      <c r="D538" s="33"/>
      <c r="E538" s="33"/>
      <c r="F538" s="33"/>
    </row>
    <row r="539" ht="15.75" customHeight="1">
      <c r="C539" s="33"/>
      <c r="D539" s="33"/>
      <c r="E539" s="33"/>
      <c r="F539" s="33"/>
    </row>
    <row r="540" ht="15.75" customHeight="1">
      <c r="C540" s="33"/>
      <c r="D540" s="33"/>
      <c r="E540" s="33"/>
      <c r="F540" s="33"/>
    </row>
    <row r="541" ht="15.75" customHeight="1">
      <c r="C541" s="33"/>
      <c r="D541" s="33"/>
      <c r="E541" s="33"/>
      <c r="F541" s="33"/>
    </row>
    <row r="542" ht="15.75" customHeight="1">
      <c r="C542" s="33"/>
      <c r="D542" s="33"/>
      <c r="E542" s="33"/>
      <c r="F542" s="33"/>
    </row>
    <row r="543" ht="15.75" customHeight="1">
      <c r="C543" s="33"/>
      <c r="D543" s="33"/>
      <c r="E543" s="33"/>
      <c r="F543" s="33"/>
    </row>
    <row r="544" ht="15.75" customHeight="1">
      <c r="C544" s="33"/>
      <c r="D544" s="33"/>
      <c r="E544" s="33"/>
      <c r="F544" s="33"/>
    </row>
    <row r="545" ht="15.75" customHeight="1">
      <c r="C545" s="33"/>
      <c r="D545" s="33"/>
      <c r="E545" s="33"/>
      <c r="F545" s="33"/>
    </row>
    <row r="546" ht="15.75" customHeight="1">
      <c r="C546" s="33"/>
      <c r="D546" s="33"/>
      <c r="E546" s="33"/>
      <c r="F546" s="33"/>
    </row>
    <row r="547" ht="15.75" customHeight="1">
      <c r="C547" s="33"/>
      <c r="D547" s="33"/>
      <c r="E547" s="33"/>
      <c r="F547" s="33"/>
    </row>
    <row r="548" ht="15.75" customHeight="1">
      <c r="C548" s="33"/>
      <c r="D548" s="33"/>
      <c r="E548" s="33"/>
      <c r="F548" s="33"/>
    </row>
    <row r="549" ht="15.75" customHeight="1">
      <c r="C549" s="33"/>
      <c r="D549" s="33"/>
      <c r="E549" s="33"/>
      <c r="F549" s="33"/>
    </row>
    <row r="550" ht="15.75" customHeight="1">
      <c r="C550" s="33"/>
      <c r="D550" s="33"/>
      <c r="E550" s="33"/>
      <c r="F550" s="33"/>
    </row>
    <row r="551" ht="15.75" customHeight="1">
      <c r="C551" s="33"/>
      <c r="D551" s="33"/>
      <c r="E551" s="33"/>
      <c r="F551" s="33"/>
    </row>
    <row r="552" ht="15.75" customHeight="1">
      <c r="C552" s="33"/>
      <c r="D552" s="33"/>
      <c r="E552" s="33"/>
      <c r="F552" s="33"/>
    </row>
    <row r="553" ht="15.75" customHeight="1">
      <c r="C553" s="33"/>
      <c r="D553" s="33"/>
      <c r="E553" s="33"/>
      <c r="F553" s="33"/>
    </row>
    <row r="554" ht="15.75" customHeight="1">
      <c r="C554" s="33"/>
      <c r="D554" s="33"/>
      <c r="E554" s="33"/>
      <c r="F554" s="33"/>
    </row>
    <row r="555" ht="15.75" customHeight="1">
      <c r="C555" s="33"/>
      <c r="D555" s="33"/>
      <c r="E555" s="33"/>
      <c r="F555" s="33"/>
    </row>
    <row r="556" ht="15.75" customHeight="1">
      <c r="C556" s="33"/>
      <c r="D556" s="33"/>
      <c r="E556" s="33"/>
      <c r="F556" s="33"/>
    </row>
    <row r="557" ht="15.75" customHeight="1">
      <c r="C557" s="33"/>
      <c r="D557" s="33"/>
      <c r="E557" s="33"/>
      <c r="F557" s="33"/>
    </row>
    <row r="558" ht="15.75" customHeight="1">
      <c r="C558" s="33"/>
      <c r="D558" s="33"/>
      <c r="E558" s="33"/>
      <c r="F558" s="33"/>
    </row>
    <row r="559" ht="15.75" customHeight="1">
      <c r="C559" s="33"/>
      <c r="D559" s="33"/>
      <c r="E559" s="33"/>
      <c r="F559" s="33"/>
    </row>
    <row r="560" ht="15.75" customHeight="1">
      <c r="C560" s="33"/>
      <c r="D560" s="33"/>
      <c r="E560" s="33"/>
      <c r="F560" s="33"/>
    </row>
    <row r="561" ht="15.75" customHeight="1">
      <c r="C561" s="33"/>
      <c r="D561" s="33"/>
      <c r="E561" s="33"/>
      <c r="F561" s="33"/>
    </row>
    <row r="562" ht="15.75" customHeight="1">
      <c r="C562" s="33"/>
      <c r="D562" s="33"/>
      <c r="E562" s="33"/>
      <c r="F562" s="33"/>
    </row>
    <row r="563" ht="15.75" customHeight="1">
      <c r="C563" s="33"/>
      <c r="D563" s="33"/>
      <c r="E563" s="33"/>
      <c r="F563" s="33"/>
    </row>
    <row r="564" ht="15.75" customHeight="1">
      <c r="C564" s="33"/>
      <c r="D564" s="33"/>
      <c r="E564" s="33"/>
      <c r="F564" s="33"/>
    </row>
    <row r="565" ht="15.75" customHeight="1">
      <c r="C565" s="33"/>
      <c r="D565" s="33"/>
      <c r="E565" s="33"/>
      <c r="F565" s="33"/>
    </row>
    <row r="566" ht="15.75" customHeight="1">
      <c r="C566" s="33"/>
      <c r="D566" s="33"/>
      <c r="E566" s="33"/>
      <c r="F566" s="33"/>
    </row>
    <row r="567" ht="15.75" customHeight="1">
      <c r="C567" s="33"/>
      <c r="D567" s="33"/>
      <c r="E567" s="33"/>
      <c r="F567" s="33"/>
    </row>
    <row r="568" ht="15.75" customHeight="1">
      <c r="C568" s="33"/>
      <c r="D568" s="33"/>
      <c r="E568" s="33"/>
      <c r="F568" s="33"/>
    </row>
    <row r="569" ht="15.75" customHeight="1">
      <c r="C569" s="33"/>
      <c r="D569" s="33"/>
      <c r="E569" s="33"/>
      <c r="F569" s="33"/>
    </row>
    <row r="570" ht="15.75" customHeight="1">
      <c r="C570" s="33"/>
      <c r="D570" s="33"/>
      <c r="E570" s="33"/>
      <c r="F570" s="33"/>
    </row>
    <row r="571" ht="15.75" customHeight="1">
      <c r="C571" s="33"/>
      <c r="D571" s="33"/>
      <c r="E571" s="33"/>
      <c r="F571" s="33"/>
    </row>
    <row r="572" ht="15.75" customHeight="1">
      <c r="C572" s="33"/>
      <c r="D572" s="33"/>
      <c r="E572" s="33"/>
      <c r="F572" s="33"/>
    </row>
    <row r="573" ht="15.75" customHeight="1">
      <c r="C573" s="33"/>
      <c r="D573" s="33"/>
      <c r="E573" s="33"/>
      <c r="F573" s="33"/>
    </row>
    <row r="574" ht="15.75" customHeight="1">
      <c r="C574" s="33"/>
      <c r="D574" s="33"/>
      <c r="E574" s="33"/>
      <c r="F574" s="33"/>
    </row>
    <row r="575" ht="15.75" customHeight="1">
      <c r="C575" s="33"/>
      <c r="D575" s="33"/>
      <c r="E575" s="33"/>
      <c r="F575" s="33"/>
    </row>
    <row r="576" ht="15.75" customHeight="1">
      <c r="C576" s="33"/>
      <c r="D576" s="33"/>
      <c r="E576" s="33"/>
      <c r="F576" s="33"/>
    </row>
    <row r="577" ht="15.75" customHeight="1">
      <c r="C577" s="33"/>
      <c r="D577" s="33"/>
      <c r="E577" s="33"/>
      <c r="F577" s="33"/>
    </row>
    <row r="578" ht="15.75" customHeight="1">
      <c r="C578" s="33"/>
      <c r="D578" s="33"/>
      <c r="E578" s="33"/>
      <c r="F578" s="33"/>
    </row>
    <row r="579" ht="15.75" customHeight="1">
      <c r="C579" s="33"/>
      <c r="D579" s="33"/>
      <c r="E579" s="33"/>
      <c r="F579" s="33"/>
    </row>
    <row r="580" ht="15.75" customHeight="1">
      <c r="C580" s="33"/>
      <c r="D580" s="33"/>
      <c r="E580" s="33"/>
      <c r="F580" s="33"/>
    </row>
    <row r="581" ht="15.75" customHeight="1">
      <c r="C581" s="33"/>
      <c r="D581" s="33"/>
      <c r="E581" s="33"/>
      <c r="F581" s="33"/>
    </row>
    <row r="582" ht="15.75" customHeight="1">
      <c r="C582" s="33"/>
      <c r="D582" s="33"/>
      <c r="E582" s="33"/>
      <c r="F582" s="33"/>
    </row>
    <row r="583" ht="15.75" customHeight="1">
      <c r="C583" s="33"/>
      <c r="D583" s="33"/>
      <c r="E583" s="33"/>
      <c r="F583" s="33"/>
    </row>
    <row r="584" ht="15.75" customHeight="1">
      <c r="C584" s="33"/>
      <c r="D584" s="33"/>
      <c r="E584" s="33"/>
      <c r="F584" s="33"/>
    </row>
    <row r="585" ht="15.75" customHeight="1">
      <c r="C585" s="33"/>
      <c r="D585" s="33"/>
      <c r="E585" s="33"/>
      <c r="F585" s="33"/>
    </row>
    <row r="586" ht="15.75" customHeight="1">
      <c r="C586" s="33"/>
      <c r="D586" s="33"/>
      <c r="E586" s="33"/>
      <c r="F586" s="33"/>
    </row>
    <row r="587" ht="15.75" customHeight="1">
      <c r="C587" s="33"/>
      <c r="D587" s="33"/>
      <c r="E587" s="33"/>
      <c r="F587" s="33"/>
    </row>
    <row r="588" ht="15.75" customHeight="1">
      <c r="C588" s="33"/>
      <c r="D588" s="33"/>
      <c r="E588" s="33"/>
      <c r="F588" s="33"/>
    </row>
    <row r="589" ht="15.75" customHeight="1">
      <c r="C589" s="33"/>
      <c r="D589" s="33"/>
      <c r="E589" s="33"/>
      <c r="F589" s="33"/>
    </row>
    <row r="590" ht="15.75" customHeight="1">
      <c r="C590" s="33"/>
      <c r="D590" s="33"/>
      <c r="E590" s="33"/>
      <c r="F590" s="33"/>
    </row>
    <row r="591" ht="15.75" customHeight="1">
      <c r="C591" s="33"/>
      <c r="D591" s="33"/>
      <c r="E591" s="33"/>
      <c r="F591" s="33"/>
    </row>
    <row r="592" ht="15.75" customHeight="1">
      <c r="C592" s="33"/>
      <c r="D592" s="33"/>
      <c r="E592" s="33"/>
      <c r="F592" s="33"/>
    </row>
    <row r="593" ht="15.75" customHeight="1">
      <c r="C593" s="33"/>
      <c r="D593" s="33"/>
      <c r="E593" s="33"/>
      <c r="F593" s="33"/>
    </row>
    <row r="594" ht="15.75" customHeight="1">
      <c r="C594" s="33"/>
      <c r="D594" s="33"/>
      <c r="E594" s="33"/>
      <c r="F594" s="33"/>
    </row>
    <row r="595" ht="15.75" customHeight="1">
      <c r="C595" s="33"/>
      <c r="D595" s="33"/>
      <c r="E595" s="33"/>
      <c r="F595" s="33"/>
    </row>
    <row r="596" ht="15.75" customHeight="1">
      <c r="C596" s="33"/>
      <c r="D596" s="33"/>
      <c r="E596" s="33"/>
      <c r="F596" s="33"/>
    </row>
    <row r="597" ht="15.75" customHeight="1">
      <c r="C597" s="33"/>
      <c r="D597" s="33"/>
      <c r="E597" s="33"/>
      <c r="F597" s="33"/>
    </row>
    <row r="598" ht="15.75" customHeight="1">
      <c r="C598" s="33"/>
      <c r="D598" s="33"/>
      <c r="E598" s="33"/>
      <c r="F598" s="33"/>
    </row>
    <row r="599" ht="15.75" customHeight="1">
      <c r="C599" s="33"/>
      <c r="D599" s="33"/>
      <c r="E599" s="33"/>
      <c r="F599" s="33"/>
    </row>
    <row r="600" ht="15.75" customHeight="1">
      <c r="C600" s="33"/>
      <c r="D600" s="33"/>
      <c r="E600" s="33"/>
      <c r="F600" s="33"/>
    </row>
    <row r="601" ht="15.75" customHeight="1">
      <c r="C601" s="33"/>
      <c r="D601" s="33"/>
      <c r="E601" s="33"/>
      <c r="F601" s="33"/>
    </row>
    <row r="602" ht="15.75" customHeight="1">
      <c r="C602" s="33"/>
      <c r="D602" s="33"/>
      <c r="E602" s="33"/>
      <c r="F602" s="33"/>
    </row>
    <row r="603" ht="15.75" customHeight="1">
      <c r="C603" s="33"/>
      <c r="D603" s="33"/>
      <c r="E603" s="33"/>
      <c r="F603" s="33"/>
    </row>
    <row r="604" ht="15.75" customHeight="1">
      <c r="C604" s="33"/>
      <c r="D604" s="33"/>
      <c r="E604" s="33"/>
      <c r="F604" s="33"/>
    </row>
    <row r="605" ht="15.75" customHeight="1">
      <c r="C605" s="33"/>
      <c r="D605" s="33"/>
      <c r="E605" s="33"/>
      <c r="F605" s="33"/>
    </row>
    <row r="606" ht="15.75" customHeight="1">
      <c r="C606" s="33"/>
      <c r="D606" s="33"/>
      <c r="E606" s="33"/>
      <c r="F606" s="33"/>
    </row>
    <row r="607" ht="15.75" customHeight="1">
      <c r="C607" s="33"/>
      <c r="D607" s="33"/>
      <c r="E607" s="33"/>
      <c r="F607" s="33"/>
    </row>
    <row r="608" ht="15.75" customHeight="1">
      <c r="C608" s="33"/>
      <c r="D608" s="33"/>
      <c r="E608" s="33"/>
      <c r="F608" s="33"/>
    </row>
    <row r="609" ht="15.75" customHeight="1">
      <c r="C609" s="33"/>
      <c r="D609" s="33"/>
      <c r="E609" s="33"/>
      <c r="F609" s="33"/>
    </row>
    <row r="610" ht="15.75" customHeight="1">
      <c r="C610" s="33"/>
      <c r="D610" s="33"/>
      <c r="E610" s="33"/>
      <c r="F610" s="33"/>
    </row>
    <row r="611" ht="15.75" customHeight="1">
      <c r="C611" s="33"/>
      <c r="D611" s="33"/>
      <c r="E611" s="33"/>
      <c r="F611" s="33"/>
    </row>
    <row r="612" ht="15.75" customHeight="1">
      <c r="C612" s="33"/>
      <c r="D612" s="33"/>
      <c r="E612" s="33"/>
      <c r="F612" s="33"/>
    </row>
    <row r="613" ht="15.75" customHeight="1">
      <c r="C613" s="33"/>
      <c r="D613" s="33"/>
      <c r="E613" s="33"/>
      <c r="F613" s="33"/>
    </row>
    <row r="614" ht="15.75" customHeight="1">
      <c r="C614" s="33"/>
      <c r="D614" s="33"/>
      <c r="E614" s="33"/>
      <c r="F614" s="33"/>
    </row>
    <row r="615" ht="15.75" customHeight="1">
      <c r="C615" s="33"/>
      <c r="D615" s="33"/>
      <c r="E615" s="33"/>
      <c r="F615" s="33"/>
    </row>
    <row r="616" ht="15.75" customHeight="1">
      <c r="C616" s="33"/>
      <c r="D616" s="33"/>
      <c r="E616" s="33"/>
      <c r="F616" s="33"/>
    </row>
    <row r="617" ht="15.75" customHeight="1">
      <c r="C617" s="33"/>
      <c r="D617" s="33"/>
      <c r="E617" s="33"/>
      <c r="F617" s="33"/>
    </row>
    <row r="618" ht="15.75" customHeight="1">
      <c r="C618" s="33"/>
      <c r="D618" s="33"/>
      <c r="E618" s="33"/>
      <c r="F618" s="33"/>
    </row>
    <row r="619" ht="15.75" customHeight="1">
      <c r="C619" s="33"/>
      <c r="D619" s="33"/>
      <c r="E619" s="33"/>
      <c r="F619" s="33"/>
    </row>
    <row r="620" ht="15.75" customHeight="1">
      <c r="C620" s="33"/>
      <c r="D620" s="33"/>
      <c r="E620" s="33"/>
      <c r="F620" s="33"/>
    </row>
    <row r="621" ht="15.75" customHeight="1">
      <c r="C621" s="33"/>
      <c r="D621" s="33"/>
      <c r="E621" s="33"/>
      <c r="F621" s="33"/>
    </row>
    <row r="622" ht="15.75" customHeight="1">
      <c r="C622" s="33"/>
      <c r="D622" s="33"/>
      <c r="E622" s="33"/>
      <c r="F622" s="33"/>
    </row>
    <row r="623" ht="15.75" customHeight="1">
      <c r="C623" s="33"/>
      <c r="D623" s="33"/>
      <c r="E623" s="33"/>
      <c r="F623" s="33"/>
    </row>
    <row r="624" ht="15.75" customHeight="1">
      <c r="C624" s="33"/>
      <c r="D624" s="33"/>
      <c r="E624" s="33"/>
      <c r="F624" s="33"/>
    </row>
    <row r="625" ht="15.75" customHeight="1">
      <c r="C625" s="33"/>
      <c r="D625" s="33"/>
      <c r="E625" s="33"/>
      <c r="F625" s="33"/>
    </row>
    <row r="626" ht="15.75" customHeight="1">
      <c r="C626" s="33"/>
      <c r="D626" s="33"/>
      <c r="E626" s="33"/>
      <c r="F626" s="33"/>
    </row>
    <row r="627" ht="15.75" customHeight="1">
      <c r="C627" s="33"/>
      <c r="D627" s="33"/>
      <c r="E627" s="33"/>
      <c r="F627" s="33"/>
    </row>
    <row r="628" ht="15.75" customHeight="1">
      <c r="C628" s="33"/>
      <c r="D628" s="33"/>
      <c r="E628" s="33"/>
      <c r="F628" s="33"/>
    </row>
    <row r="629" ht="15.75" customHeight="1">
      <c r="C629" s="33"/>
      <c r="D629" s="33"/>
      <c r="E629" s="33"/>
      <c r="F629" s="33"/>
    </row>
    <row r="630" ht="15.75" customHeight="1">
      <c r="C630" s="33"/>
      <c r="D630" s="33"/>
      <c r="E630" s="33"/>
      <c r="F630" s="33"/>
    </row>
    <row r="631" ht="15.75" customHeight="1">
      <c r="C631" s="33"/>
      <c r="D631" s="33"/>
      <c r="E631" s="33"/>
      <c r="F631" s="33"/>
    </row>
    <row r="632" ht="15.75" customHeight="1">
      <c r="C632" s="33"/>
      <c r="D632" s="33"/>
      <c r="E632" s="33"/>
      <c r="F632" s="33"/>
    </row>
    <row r="633" ht="15.75" customHeight="1">
      <c r="C633" s="33"/>
      <c r="D633" s="33"/>
      <c r="E633" s="33"/>
      <c r="F633" s="33"/>
    </row>
    <row r="634" ht="15.75" customHeight="1">
      <c r="C634" s="33"/>
      <c r="D634" s="33"/>
      <c r="E634" s="33"/>
      <c r="F634" s="33"/>
    </row>
    <row r="635" ht="15.75" customHeight="1">
      <c r="C635" s="33"/>
      <c r="D635" s="33"/>
      <c r="E635" s="33"/>
      <c r="F635" s="33"/>
    </row>
    <row r="636" ht="15.75" customHeight="1">
      <c r="C636" s="33"/>
      <c r="D636" s="33"/>
      <c r="E636" s="33"/>
      <c r="F636" s="33"/>
    </row>
    <row r="637" ht="15.75" customHeight="1">
      <c r="C637" s="33"/>
      <c r="D637" s="33"/>
      <c r="E637" s="33"/>
      <c r="F637" s="33"/>
    </row>
    <row r="638" ht="15.75" customHeight="1">
      <c r="C638" s="33"/>
      <c r="D638" s="33"/>
      <c r="E638" s="33"/>
      <c r="F638" s="33"/>
    </row>
    <row r="639" ht="15.75" customHeight="1">
      <c r="C639" s="33"/>
      <c r="D639" s="33"/>
      <c r="E639" s="33"/>
      <c r="F639" s="33"/>
    </row>
    <row r="640" ht="15.75" customHeight="1">
      <c r="C640" s="33"/>
      <c r="D640" s="33"/>
      <c r="E640" s="33"/>
      <c r="F640" s="33"/>
    </row>
    <row r="641" ht="15.75" customHeight="1">
      <c r="C641" s="33"/>
      <c r="D641" s="33"/>
      <c r="E641" s="33"/>
      <c r="F641" s="33"/>
    </row>
    <row r="642" ht="15.75" customHeight="1">
      <c r="C642" s="33"/>
      <c r="D642" s="33"/>
      <c r="E642" s="33"/>
      <c r="F642" s="33"/>
    </row>
    <row r="643" ht="15.75" customHeight="1">
      <c r="C643" s="33"/>
      <c r="D643" s="33"/>
      <c r="E643" s="33"/>
      <c r="F643" s="33"/>
    </row>
    <row r="644" ht="15.75" customHeight="1">
      <c r="C644" s="33"/>
      <c r="D644" s="33"/>
      <c r="E644" s="33"/>
      <c r="F644" s="33"/>
    </row>
    <row r="645" ht="15.75" customHeight="1">
      <c r="C645" s="33"/>
      <c r="D645" s="33"/>
      <c r="E645" s="33"/>
      <c r="F645" s="33"/>
    </row>
    <row r="646" ht="15.75" customHeight="1">
      <c r="C646" s="33"/>
      <c r="D646" s="33"/>
      <c r="E646" s="33"/>
      <c r="F646" s="33"/>
    </row>
    <row r="647" ht="15.75" customHeight="1">
      <c r="C647" s="33"/>
      <c r="D647" s="33"/>
      <c r="E647" s="33"/>
      <c r="F647" s="33"/>
    </row>
    <row r="648" ht="15.75" customHeight="1">
      <c r="C648" s="33"/>
      <c r="D648" s="33"/>
      <c r="E648" s="33"/>
      <c r="F648" s="33"/>
    </row>
    <row r="649" ht="15.75" customHeight="1">
      <c r="C649" s="33"/>
      <c r="D649" s="33"/>
      <c r="E649" s="33"/>
      <c r="F649" s="33"/>
    </row>
    <row r="650" ht="15.75" customHeight="1">
      <c r="C650" s="33"/>
      <c r="D650" s="33"/>
      <c r="E650" s="33"/>
      <c r="F650" s="33"/>
    </row>
    <row r="651" ht="15.75" customHeight="1">
      <c r="C651" s="33"/>
      <c r="D651" s="33"/>
      <c r="E651" s="33"/>
      <c r="F651" s="33"/>
    </row>
    <row r="652" ht="15.75" customHeight="1">
      <c r="C652" s="33"/>
      <c r="D652" s="33"/>
      <c r="E652" s="33"/>
      <c r="F652" s="33"/>
    </row>
    <row r="653" ht="15.75" customHeight="1">
      <c r="C653" s="33"/>
      <c r="D653" s="33"/>
      <c r="E653" s="33"/>
      <c r="F653" s="33"/>
    </row>
    <row r="654" ht="15.75" customHeight="1">
      <c r="C654" s="33"/>
      <c r="D654" s="33"/>
      <c r="E654" s="33"/>
      <c r="F654" s="33"/>
    </row>
    <row r="655" ht="15.75" customHeight="1">
      <c r="C655" s="33"/>
      <c r="D655" s="33"/>
      <c r="E655" s="33"/>
      <c r="F655" s="33"/>
    </row>
    <row r="656" ht="15.75" customHeight="1">
      <c r="C656" s="33"/>
      <c r="D656" s="33"/>
      <c r="E656" s="33"/>
      <c r="F656" s="33"/>
    </row>
    <row r="657" ht="15.75" customHeight="1">
      <c r="C657" s="33"/>
      <c r="D657" s="33"/>
      <c r="E657" s="33"/>
      <c r="F657" s="33"/>
    </row>
    <row r="658" ht="15.75" customHeight="1">
      <c r="C658" s="33"/>
      <c r="D658" s="33"/>
      <c r="E658" s="33"/>
      <c r="F658" s="33"/>
    </row>
    <row r="659" ht="15.75" customHeight="1">
      <c r="C659" s="33"/>
      <c r="D659" s="33"/>
      <c r="E659" s="33"/>
      <c r="F659" s="33"/>
    </row>
    <row r="660" ht="15.75" customHeight="1">
      <c r="C660" s="33"/>
      <c r="D660" s="33"/>
      <c r="E660" s="33"/>
      <c r="F660" s="33"/>
    </row>
    <row r="661" ht="15.75" customHeight="1">
      <c r="C661" s="33"/>
      <c r="D661" s="33"/>
      <c r="E661" s="33"/>
      <c r="F661" s="33"/>
    </row>
    <row r="662" ht="15.75" customHeight="1">
      <c r="C662" s="33"/>
      <c r="D662" s="33"/>
      <c r="E662" s="33"/>
      <c r="F662" s="33"/>
    </row>
    <row r="663" ht="15.75" customHeight="1">
      <c r="C663" s="33"/>
      <c r="D663" s="33"/>
      <c r="E663" s="33"/>
      <c r="F663" s="33"/>
    </row>
    <row r="664" ht="15.75" customHeight="1">
      <c r="C664" s="33"/>
      <c r="D664" s="33"/>
      <c r="E664" s="33"/>
      <c r="F664" s="33"/>
    </row>
    <row r="665" ht="15.75" customHeight="1">
      <c r="C665" s="33"/>
      <c r="D665" s="33"/>
      <c r="E665" s="33"/>
      <c r="F665" s="33"/>
    </row>
    <row r="666" ht="15.75" customHeight="1">
      <c r="C666" s="33"/>
      <c r="D666" s="33"/>
      <c r="E666" s="33"/>
      <c r="F666" s="33"/>
    </row>
    <row r="667" ht="15.75" customHeight="1">
      <c r="C667" s="33"/>
      <c r="D667" s="33"/>
      <c r="E667" s="33"/>
      <c r="F667" s="33"/>
    </row>
    <row r="668" ht="15.75" customHeight="1">
      <c r="C668" s="33"/>
      <c r="D668" s="33"/>
      <c r="E668" s="33"/>
      <c r="F668" s="33"/>
    </row>
    <row r="669" ht="15.75" customHeight="1">
      <c r="C669" s="33"/>
      <c r="D669" s="33"/>
      <c r="E669" s="33"/>
      <c r="F669" s="33"/>
    </row>
    <row r="670" ht="15.75" customHeight="1">
      <c r="C670" s="33"/>
      <c r="D670" s="33"/>
      <c r="E670" s="33"/>
      <c r="F670" s="33"/>
    </row>
    <row r="671" ht="15.75" customHeight="1">
      <c r="C671" s="33"/>
      <c r="D671" s="33"/>
      <c r="E671" s="33"/>
      <c r="F671" s="33"/>
    </row>
    <row r="672" ht="15.75" customHeight="1">
      <c r="C672" s="33"/>
      <c r="D672" s="33"/>
      <c r="E672" s="33"/>
      <c r="F672" s="33"/>
    </row>
    <row r="673" ht="15.75" customHeight="1">
      <c r="C673" s="33"/>
      <c r="D673" s="33"/>
      <c r="E673" s="33"/>
      <c r="F673" s="33"/>
    </row>
    <row r="674" ht="15.75" customHeight="1">
      <c r="C674" s="33"/>
      <c r="D674" s="33"/>
      <c r="E674" s="33"/>
      <c r="F674" s="33"/>
    </row>
    <row r="675" ht="15.75" customHeight="1">
      <c r="C675" s="33"/>
      <c r="D675" s="33"/>
      <c r="E675" s="33"/>
      <c r="F675" s="33"/>
    </row>
    <row r="676" ht="15.75" customHeight="1">
      <c r="C676" s="33"/>
      <c r="D676" s="33"/>
      <c r="E676" s="33"/>
      <c r="F676" s="33"/>
    </row>
    <row r="677" ht="15.75" customHeight="1">
      <c r="C677" s="33"/>
      <c r="D677" s="33"/>
      <c r="E677" s="33"/>
      <c r="F677" s="33"/>
    </row>
    <row r="678" ht="15.75" customHeight="1">
      <c r="C678" s="33"/>
      <c r="D678" s="33"/>
      <c r="E678" s="33"/>
      <c r="F678" s="33"/>
    </row>
    <row r="679" ht="15.75" customHeight="1">
      <c r="C679" s="33"/>
      <c r="D679" s="33"/>
      <c r="E679" s="33"/>
      <c r="F679" s="33"/>
    </row>
    <row r="680" ht="15.75" customHeight="1">
      <c r="C680" s="33"/>
      <c r="D680" s="33"/>
      <c r="E680" s="33"/>
      <c r="F680" s="33"/>
    </row>
    <row r="681" ht="15.75" customHeight="1">
      <c r="C681" s="33"/>
      <c r="D681" s="33"/>
      <c r="E681" s="33"/>
      <c r="F681" s="33"/>
    </row>
    <row r="682" ht="15.75" customHeight="1">
      <c r="C682" s="33"/>
      <c r="D682" s="33"/>
      <c r="E682" s="33"/>
      <c r="F682" s="33"/>
    </row>
    <row r="683" ht="15.75" customHeight="1">
      <c r="C683" s="33"/>
      <c r="D683" s="33"/>
      <c r="E683" s="33"/>
      <c r="F683" s="33"/>
    </row>
    <row r="684" ht="15.75" customHeight="1">
      <c r="C684" s="33"/>
      <c r="D684" s="33"/>
      <c r="E684" s="33"/>
      <c r="F684" s="33"/>
    </row>
    <row r="685" ht="15.75" customHeight="1">
      <c r="C685" s="33"/>
      <c r="D685" s="33"/>
      <c r="E685" s="33"/>
      <c r="F685" s="33"/>
    </row>
    <row r="686" ht="15.75" customHeight="1">
      <c r="C686" s="33"/>
      <c r="D686" s="33"/>
      <c r="E686" s="33"/>
      <c r="F686" s="33"/>
    </row>
    <row r="687" ht="15.75" customHeight="1">
      <c r="C687" s="33"/>
      <c r="D687" s="33"/>
      <c r="E687" s="33"/>
      <c r="F687" s="33"/>
    </row>
    <row r="688" ht="15.75" customHeight="1">
      <c r="C688" s="33"/>
      <c r="D688" s="33"/>
      <c r="E688" s="33"/>
      <c r="F688" s="33"/>
    </row>
    <row r="689" ht="15.75" customHeight="1">
      <c r="C689" s="33"/>
      <c r="D689" s="33"/>
      <c r="E689" s="33"/>
      <c r="F689" s="33"/>
    </row>
    <row r="690" ht="15.75" customHeight="1">
      <c r="C690" s="33"/>
      <c r="D690" s="33"/>
      <c r="E690" s="33"/>
      <c r="F690" s="33"/>
    </row>
    <row r="691" ht="15.75" customHeight="1">
      <c r="C691" s="33"/>
      <c r="D691" s="33"/>
      <c r="E691" s="33"/>
      <c r="F691" s="33"/>
    </row>
    <row r="692" ht="15.75" customHeight="1">
      <c r="C692" s="33"/>
      <c r="D692" s="33"/>
      <c r="E692" s="33"/>
      <c r="F692" s="33"/>
    </row>
    <row r="693" ht="15.75" customHeight="1">
      <c r="C693" s="33"/>
      <c r="D693" s="33"/>
      <c r="E693" s="33"/>
      <c r="F693" s="33"/>
    </row>
    <row r="694" ht="15.75" customHeight="1">
      <c r="C694" s="33"/>
      <c r="D694" s="33"/>
      <c r="E694" s="33"/>
      <c r="F694" s="33"/>
    </row>
    <row r="695" ht="15.75" customHeight="1">
      <c r="C695" s="33"/>
      <c r="D695" s="33"/>
      <c r="E695" s="33"/>
      <c r="F695" s="33"/>
    </row>
    <row r="696" ht="15.75" customHeight="1">
      <c r="C696" s="33"/>
      <c r="D696" s="33"/>
      <c r="E696" s="33"/>
      <c r="F696" s="33"/>
    </row>
    <row r="697" ht="15.75" customHeight="1">
      <c r="C697" s="33"/>
      <c r="D697" s="33"/>
      <c r="E697" s="33"/>
      <c r="F697" s="33"/>
    </row>
    <row r="698" ht="15.75" customHeight="1">
      <c r="C698" s="33"/>
      <c r="D698" s="33"/>
      <c r="E698" s="33"/>
      <c r="F698" s="33"/>
    </row>
    <row r="699" ht="15.75" customHeight="1">
      <c r="C699" s="33"/>
      <c r="D699" s="33"/>
      <c r="E699" s="33"/>
      <c r="F699" s="33"/>
    </row>
    <row r="700" ht="15.75" customHeight="1">
      <c r="C700" s="33"/>
      <c r="D700" s="33"/>
      <c r="E700" s="33"/>
      <c r="F700" s="33"/>
    </row>
    <row r="701" ht="15.75" customHeight="1">
      <c r="C701" s="33"/>
      <c r="D701" s="33"/>
      <c r="E701" s="33"/>
      <c r="F701" s="33"/>
    </row>
    <row r="702" ht="15.75" customHeight="1">
      <c r="C702" s="33"/>
      <c r="D702" s="33"/>
      <c r="E702" s="33"/>
      <c r="F702" s="33"/>
    </row>
    <row r="703" ht="15.75" customHeight="1">
      <c r="C703" s="33"/>
      <c r="D703" s="33"/>
      <c r="E703" s="33"/>
      <c r="F703" s="33"/>
    </row>
    <row r="704" ht="15.75" customHeight="1">
      <c r="C704" s="33"/>
      <c r="D704" s="33"/>
      <c r="E704" s="33"/>
      <c r="F704" s="33"/>
    </row>
    <row r="705" ht="15.75" customHeight="1">
      <c r="C705" s="33"/>
      <c r="D705" s="33"/>
      <c r="E705" s="33"/>
      <c r="F705" s="33"/>
    </row>
    <row r="706" ht="15.75" customHeight="1">
      <c r="C706" s="33"/>
      <c r="D706" s="33"/>
      <c r="E706" s="33"/>
      <c r="F706" s="33"/>
    </row>
    <row r="707" ht="15.75" customHeight="1">
      <c r="C707" s="33"/>
      <c r="D707" s="33"/>
      <c r="E707" s="33"/>
      <c r="F707" s="33"/>
    </row>
    <row r="708" ht="15.75" customHeight="1">
      <c r="C708" s="33"/>
      <c r="D708" s="33"/>
      <c r="E708" s="33"/>
      <c r="F708" s="33"/>
    </row>
    <row r="709" ht="15.75" customHeight="1">
      <c r="C709" s="33"/>
      <c r="D709" s="33"/>
      <c r="E709" s="33"/>
      <c r="F709" s="33"/>
    </row>
    <row r="710" ht="15.75" customHeight="1">
      <c r="C710" s="33"/>
      <c r="D710" s="33"/>
      <c r="E710" s="33"/>
      <c r="F710" s="33"/>
    </row>
    <row r="711" ht="15.75" customHeight="1">
      <c r="C711" s="33"/>
      <c r="D711" s="33"/>
      <c r="E711" s="33"/>
      <c r="F711" s="33"/>
    </row>
    <row r="712" ht="15.75" customHeight="1">
      <c r="C712" s="33"/>
      <c r="D712" s="33"/>
      <c r="E712" s="33"/>
      <c r="F712" s="33"/>
    </row>
    <row r="713" ht="15.75" customHeight="1">
      <c r="C713" s="33"/>
      <c r="D713" s="33"/>
      <c r="E713" s="33"/>
      <c r="F713" s="33"/>
    </row>
    <row r="714" ht="15.75" customHeight="1">
      <c r="C714" s="33"/>
      <c r="D714" s="33"/>
      <c r="E714" s="33"/>
      <c r="F714" s="33"/>
    </row>
    <row r="715" ht="15.75" customHeight="1">
      <c r="C715" s="33"/>
      <c r="D715" s="33"/>
      <c r="E715" s="33"/>
      <c r="F715" s="33"/>
    </row>
    <row r="716" ht="15.75" customHeight="1">
      <c r="C716" s="33"/>
      <c r="D716" s="33"/>
      <c r="E716" s="33"/>
      <c r="F716" s="33"/>
    </row>
    <row r="717" ht="15.75" customHeight="1">
      <c r="C717" s="33"/>
      <c r="D717" s="33"/>
      <c r="E717" s="33"/>
      <c r="F717" s="33"/>
    </row>
    <row r="718" ht="15.75" customHeight="1">
      <c r="C718" s="33"/>
      <c r="D718" s="33"/>
      <c r="E718" s="33"/>
      <c r="F718" s="33"/>
    </row>
    <row r="719" ht="15.75" customHeight="1">
      <c r="C719" s="33"/>
      <c r="D719" s="33"/>
      <c r="E719" s="33"/>
      <c r="F719" s="33"/>
    </row>
    <row r="720" ht="15.75" customHeight="1">
      <c r="C720" s="33"/>
      <c r="D720" s="33"/>
      <c r="E720" s="33"/>
      <c r="F720" s="33"/>
    </row>
    <row r="721" ht="15.75" customHeight="1">
      <c r="C721" s="33"/>
      <c r="D721" s="33"/>
      <c r="E721" s="33"/>
      <c r="F721" s="33"/>
    </row>
    <row r="722" ht="15.75" customHeight="1">
      <c r="C722" s="33"/>
      <c r="D722" s="33"/>
      <c r="E722" s="33"/>
      <c r="F722" s="33"/>
    </row>
    <row r="723" ht="15.75" customHeight="1">
      <c r="C723" s="33"/>
      <c r="D723" s="33"/>
      <c r="E723" s="33"/>
      <c r="F723" s="33"/>
    </row>
    <row r="724" ht="15.75" customHeight="1">
      <c r="C724" s="33"/>
      <c r="D724" s="33"/>
      <c r="E724" s="33"/>
      <c r="F724" s="33"/>
    </row>
    <row r="725" ht="15.75" customHeight="1">
      <c r="C725" s="33"/>
      <c r="D725" s="33"/>
      <c r="E725" s="33"/>
      <c r="F725" s="33"/>
    </row>
    <row r="726" ht="15.75" customHeight="1">
      <c r="C726" s="33"/>
      <c r="D726" s="33"/>
      <c r="E726" s="33"/>
      <c r="F726" s="33"/>
    </row>
    <row r="727" ht="15.75" customHeight="1">
      <c r="C727" s="33"/>
      <c r="D727" s="33"/>
      <c r="E727" s="33"/>
      <c r="F727" s="33"/>
    </row>
    <row r="728" ht="15.75" customHeight="1">
      <c r="C728" s="33"/>
      <c r="D728" s="33"/>
      <c r="E728" s="33"/>
      <c r="F728" s="33"/>
    </row>
    <row r="729" ht="15.75" customHeight="1">
      <c r="C729" s="33"/>
      <c r="D729" s="33"/>
      <c r="E729" s="33"/>
      <c r="F729" s="33"/>
    </row>
    <row r="730" ht="15.75" customHeight="1">
      <c r="C730" s="33"/>
      <c r="D730" s="33"/>
      <c r="E730" s="33"/>
      <c r="F730" s="33"/>
    </row>
    <row r="731" ht="15.75" customHeight="1">
      <c r="C731" s="33"/>
      <c r="D731" s="33"/>
      <c r="E731" s="33"/>
      <c r="F731" s="33"/>
    </row>
    <row r="732" ht="15.75" customHeight="1">
      <c r="C732" s="33"/>
      <c r="D732" s="33"/>
      <c r="E732" s="33"/>
      <c r="F732" s="33"/>
    </row>
    <row r="733" ht="15.75" customHeight="1">
      <c r="C733" s="33"/>
      <c r="D733" s="33"/>
      <c r="E733" s="33"/>
      <c r="F733" s="33"/>
    </row>
    <row r="734" ht="15.75" customHeight="1">
      <c r="C734" s="33"/>
      <c r="D734" s="33"/>
      <c r="E734" s="33"/>
      <c r="F734" s="33"/>
    </row>
    <row r="735" ht="15.75" customHeight="1">
      <c r="C735" s="33"/>
      <c r="D735" s="33"/>
      <c r="E735" s="33"/>
      <c r="F735" s="33"/>
    </row>
    <row r="736" ht="15.75" customHeight="1">
      <c r="C736" s="33"/>
      <c r="D736" s="33"/>
      <c r="E736" s="33"/>
      <c r="F736" s="33"/>
    </row>
    <row r="737" ht="15.75" customHeight="1">
      <c r="C737" s="33"/>
      <c r="D737" s="33"/>
      <c r="E737" s="33"/>
      <c r="F737" s="33"/>
    </row>
    <row r="738" ht="15.75" customHeight="1">
      <c r="C738" s="33"/>
      <c r="D738" s="33"/>
      <c r="E738" s="33"/>
      <c r="F738" s="33"/>
    </row>
    <row r="739" ht="15.75" customHeight="1">
      <c r="C739" s="33"/>
      <c r="D739" s="33"/>
      <c r="E739" s="33"/>
      <c r="F739" s="33"/>
    </row>
    <row r="740" ht="15.75" customHeight="1">
      <c r="C740" s="33"/>
      <c r="D740" s="33"/>
      <c r="E740" s="33"/>
      <c r="F740" s="33"/>
    </row>
    <row r="741" ht="15.75" customHeight="1">
      <c r="C741" s="33"/>
      <c r="D741" s="33"/>
      <c r="E741" s="33"/>
      <c r="F741" s="33"/>
    </row>
    <row r="742" ht="15.75" customHeight="1">
      <c r="C742" s="33"/>
      <c r="D742" s="33"/>
      <c r="E742" s="33"/>
      <c r="F742" s="33"/>
    </row>
    <row r="743" ht="15.75" customHeight="1">
      <c r="C743" s="33"/>
      <c r="D743" s="33"/>
      <c r="E743" s="33"/>
      <c r="F743" s="33"/>
    </row>
    <row r="744" ht="15.75" customHeight="1">
      <c r="C744" s="33"/>
      <c r="D744" s="33"/>
      <c r="E744" s="33"/>
      <c r="F744" s="33"/>
    </row>
    <row r="745" ht="15.75" customHeight="1">
      <c r="C745" s="33"/>
      <c r="D745" s="33"/>
      <c r="E745" s="33"/>
      <c r="F745" s="33"/>
    </row>
    <row r="746" ht="15.75" customHeight="1">
      <c r="C746" s="33"/>
      <c r="D746" s="33"/>
      <c r="E746" s="33"/>
      <c r="F746" s="33"/>
    </row>
    <row r="747" ht="15.75" customHeight="1">
      <c r="C747" s="33"/>
      <c r="D747" s="33"/>
      <c r="E747" s="33"/>
      <c r="F747" s="33"/>
    </row>
    <row r="748" ht="15.75" customHeight="1">
      <c r="C748" s="33"/>
      <c r="D748" s="33"/>
      <c r="E748" s="33"/>
      <c r="F748" s="33"/>
    </row>
    <row r="749" ht="15.75" customHeight="1">
      <c r="C749" s="33"/>
      <c r="D749" s="33"/>
      <c r="E749" s="33"/>
      <c r="F749" s="33"/>
    </row>
    <row r="750" ht="15.75" customHeight="1">
      <c r="C750" s="33"/>
      <c r="D750" s="33"/>
      <c r="E750" s="33"/>
      <c r="F750" s="33"/>
    </row>
    <row r="751" ht="15.75" customHeight="1">
      <c r="C751" s="33"/>
      <c r="D751" s="33"/>
      <c r="E751" s="33"/>
      <c r="F751" s="33"/>
    </row>
    <row r="752" ht="15.75" customHeight="1">
      <c r="C752" s="33"/>
      <c r="D752" s="33"/>
      <c r="E752" s="33"/>
      <c r="F752" s="33"/>
    </row>
    <row r="753" ht="15.75" customHeight="1">
      <c r="C753" s="33"/>
      <c r="D753" s="33"/>
      <c r="E753" s="33"/>
      <c r="F753" s="33"/>
    </row>
    <row r="754" ht="15.75" customHeight="1">
      <c r="C754" s="33"/>
      <c r="D754" s="33"/>
      <c r="E754" s="33"/>
      <c r="F754" s="33"/>
    </row>
    <row r="755" ht="15.75" customHeight="1">
      <c r="C755" s="33"/>
      <c r="D755" s="33"/>
      <c r="E755" s="33"/>
      <c r="F755" s="33"/>
    </row>
    <row r="756" ht="15.75" customHeight="1">
      <c r="C756" s="33"/>
      <c r="D756" s="33"/>
      <c r="E756" s="33"/>
      <c r="F756" s="33"/>
    </row>
    <row r="757" ht="15.75" customHeight="1">
      <c r="C757" s="33"/>
      <c r="D757" s="33"/>
      <c r="E757" s="33"/>
      <c r="F757" s="33"/>
    </row>
    <row r="758" ht="15.75" customHeight="1">
      <c r="C758" s="33"/>
      <c r="D758" s="33"/>
      <c r="E758" s="33"/>
      <c r="F758" s="33"/>
    </row>
    <row r="759" ht="15.75" customHeight="1">
      <c r="C759" s="33"/>
      <c r="D759" s="33"/>
      <c r="E759" s="33"/>
      <c r="F759" s="33"/>
    </row>
    <row r="760" ht="15.75" customHeight="1">
      <c r="C760" s="33"/>
      <c r="D760" s="33"/>
      <c r="E760" s="33"/>
      <c r="F760" s="33"/>
    </row>
    <row r="761" ht="15.75" customHeight="1">
      <c r="C761" s="33"/>
      <c r="D761" s="33"/>
      <c r="E761" s="33"/>
      <c r="F761" s="33"/>
    </row>
    <row r="762" ht="15.75" customHeight="1">
      <c r="C762" s="33"/>
      <c r="D762" s="33"/>
      <c r="E762" s="33"/>
      <c r="F762" s="33"/>
    </row>
    <row r="763" ht="15.75" customHeight="1">
      <c r="C763" s="33"/>
      <c r="D763" s="33"/>
      <c r="E763" s="33"/>
      <c r="F763" s="33"/>
    </row>
    <row r="764" ht="15.75" customHeight="1">
      <c r="C764" s="33"/>
      <c r="D764" s="33"/>
      <c r="E764" s="33"/>
      <c r="F764" s="33"/>
    </row>
    <row r="765" ht="15.75" customHeight="1">
      <c r="C765" s="33"/>
      <c r="D765" s="33"/>
      <c r="E765" s="33"/>
      <c r="F765" s="33"/>
    </row>
    <row r="766" ht="15.75" customHeight="1">
      <c r="C766" s="33"/>
      <c r="D766" s="33"/>
      <c r="E766" s="33"/>
      <c r="F766" s="33"/>
    </row>
    <row r="767" ht="15.75" customHeight="1">
      <c r="C767" s="33"/>
      <c r="D767" s="33"/>
      <c r="E767" s="33"/>
      <c r="F767" s="33"/>
    </row>
    <row r="768" ht="15.75" customHeight="1">
      <c r="C768" s="33"/>
      <c r="D768" s="33"/>
      <c r="E768" s="33"/>
      <c r="F768" s="33"/>
    </row>
    <row r="769" ht="15.75" customHeight="1">
      <c r="C769" s="33"/>
      <c r="D769" s="33"/>
      <c r="E769" s="33"/>
      <c r="F769" s="33"/>
    </row>
    <row r="770" ht="15.75" customHeight="1">
      <c r="C770" s="33"/>
      <c r="D770" s="33"/>
      <c r="E770" s="33"/>
      <c r="F770" s="33"/>
    </row>
    <row r="771" ht="15.75" customHeight="1">
      <c r="C771" s="33"/>
      <c r="D771" s="33"/>
      <c r="E771" s="33"/>
      <c r="F771" s="33"/>
    </row>
    <row r="772" ht="15.75" customHeight="1">
      <c r="C772" s="33"/>
      <c r="D772" s="33"/>
      <c r="E772" s="33"/>
      <c r="F772" s="33"/>
    </row>
    <row r="773" ht="15.75" customHeight="1">
      <c r="C773" s="33"/>
      <c r="D773" s="33"/>
      <c r="E773" s="33"/>
      <c r="F773" s="33"/>
    </row>
    <row r="774" ht="15.75" customHeight="1">
      <c r="C774" s="33"/>
      <c r="D774" s="33"/>
      <c r="E774" s="33"/>
      <c r="F774" s="33"/>
    </row>
    <row r="775" ht="15.75" customHeight="1">
      <c r="C775" s="33"/>
      <c r="D775" s="33"/>
      <c r="E775" s="33"/>
      <c r="F775" s="33"/>
    </row>
    <row r="776" ht="15.75" customHeight="1">
      <c r="C776" s="33"/>
      <c r="D776" s="33"/>
      <c r="E776" s="33"/>
      <c r="F776" s="33"/>
    </row>
    <row r="777" ht="15.75" customHeight="1">
      <c r="C777" s="33"/>
      <c r="D777" s="33"/>
      <c r="E777" s="33"/>
      <c r="F777" s="33"/>
    </row>
    <row r="778" ht="15.75" customHeight="1">
      <c r="C778" s="33"/>
      <c r="D778" s="33"/>
      <c r="E778" s="33"/>
      <c r="F778" s="33"/>
    </row>
    <row r="779" ht="15.75" customHeight="1">
      <c r="C779" s="33"/>
      <c r="D779" s="33"/>
      <c r="E779" s="33"/>
      <c r="F779" s="33"/>
    </row>
    <row r="780" ht="15.75" customHeight="1">
      <c r="C780" s="33"/>
      <c r="D780" s="33"/>
      <c r="E780" s="33"/>
      <c r="F780" s="33"/>
    </row>
    <row r="781" ht="15.75" customHeight="1">
      <c r="C781" s="33"/>
      <c r="D781" s="33"/>
      <c r="E781" s="33"/>
      <c r="F781" s="33"/>
    </row>
    <row r="782" ht="15.75" customHeight="1">
      <c r="C782" s="33"/>
      <c r="D782" s="33"/>
      <c r="E782" s="33"/>
      <c r="F782" s="33"/>
    </row>
    <row r="783" ht="15.75" customHeight="1">
      <c r="C783" s="33"/>
      <c r="D783" s="33"/>
      <c r="E783" s="33"/>
      <c r="F783" s="33"/>
    </row>
    <row r="784" ht="15.75" customHeight="1">
      <c r="C784" s="33"/>
      <c r="D784" s="33"/>
      <c r="E784" s="33"/>
      <c r="F784" s="33"/>
    </row>
    <row r="785" ht="15.75" customHeight="1">
      <c r="C785" s="33"/>
      <c r="D785" s="33"/>
      <c r="E785" s="33"/>
      <c r="F785" s="33"/>
    </row>
    <row r="786" ht="15.75" customHeight="1">
      <c r="C786" s="33"/>
      <c r="D786" s="33"/>
      <c r="E786" s="33"/>
      <c r="F786" s="33"/>
    </row>
    <row r="787" ht="15.75" customHeight="1">
      <c r="C787" s="33"/>
      <c r="D787" s="33"/>
      <c r="E787" s="33"/>
      <c r="F787" s="33"/>
    </row>
    <row r="788" ht="15.75" customHeight="1">
      <c r="C788" s="33"/>
      <c r="D788" s="33"/>
      <c r="E788" s="33"/>
      <c r="F788" s="33"/>
    </row>
    <row r="789" ht="15.75" customHeight="1">
      <c r="C789" s="33"/>
      <c r="D789" s="33"/>
      <c r="E789" s="33"/>
      <c r="F789" s="33"/>
    </row>
    <row r="790" ht="15.75" customHeight="1">
      <c r="C790" s="33"/>
      <c r="D790" s="33"/>
      <c r="E790" s="33"/>
      <c r="F790" s="33"/>
    </row>
    <row r="791" ht="15.75" customHeight="1">
      <c r="C791" s="33"/>
      <c r="D791" s="33"/>
      <c r="E791" s="33"/>
      <c r="F791" s="33"/>
    </row>
    <row r="792" ht="15.75" customHeight="1">
      <c r="C792" s="33"/>
      <c r="D792" s="33"/>
      <c r="E792" s="33"/>
      <c r="F792" s="33"/>
    </row>
    <row r="793" ht="15.75" customHeight="1">
      <c r="C793" s="33"/>
      <c r="D793" s="33"/>
      <c r="E793" s="33"/>
      <c r="F793" s="33"/>
    </row>
    <row r="794" ht="15.75" customHeight="1">
      <c r="C794" s="33"/>
      <c r="D794" s="33"/>
      <c r="E794" s="33"/>
      <c r="F794" s="33"/>
    </row>
    <row r="795" ht="15.75" customHeight="1">
      <c r="C795" s="33"/>
      <c r="D795" s="33"/>
      <c r="E795" s="33"/>
      <c r="F795" s="33"/>
    </row>
    <row r="796" ht="15.75" customHeight="1">
      <c r="C796" s="33"/>
      <c r="D796" s="33"/>
      <c r="E796" s="33"/>
      <c r="F796" s="33"/>
    </row>
    <row r="797" ht="15.75" customHeight="1">
      <c r="C797" s="33"/>
      <c r="D797" s="33"/>
      <c r="E797" s="33"/>
      <c r="F797" s="33"/>
    </row>
    <row r="798" ht="15.75" customHeight="1">
      <c r="C798" s="33"/>
      <c r="D798" s="33"/>
      <c r="E798" s="33"/>
      <c r="F798" s="33"/>
    </row>
    <row r="799" ht="15.75" customHeight="1">
      <c r="C799" s="33"/>
      <c r="D799" s="33"/>
      <c r="E799" s="33"/>
      <c r="F799" s="33"/>
    </row>
    <row r="800" ht="15.75" customHeight="1">
      <c r="C800" s="33"/>
      <c r="D800" s="33"/>
      <c r="E800" s="33"/>
      <c r="F800" s="33"/>
    </row>
    <row r="801" ht="15.75" customHeight="1">
      <c r="C801" s="33"/>
      <c r="D801" s="33"/>
      <c r="E801" s="33"/>
      <c r="F801" s="33"/>
    </row>
    <row r="802" ht="15.75" customHeight="1">
      <c r="C802" s="33"/>
      <c r="D802" s="33"/>
      <c r="E802" s="33"/>
      <c r="F802" s="33"/>
    </row>
    <row r="803" ht="15.75" customHeight="1">
      <c r="C803" s="33"/>
      <c r="D803" s="33"/>
      <c r="E803" s="33"/>
      <c r="F803" s="33"/>
    </row>
    <row r="804" ht="15.75" customHeight="1">
      <c r="C804" s="33"/>
      <c r="D804" s="33"/>
      <c r="E804" s="33"/>
      <c r="F804" s="33"/>
    </row>
    <row r="805" ht="15.75" customHeight="1">
      <c r="C805" s="33"/>
      <c r="D805" s="33"/>
      <c r="E805" s="33"/>
      <c r="F805" s="33"/>
    </row>
    <row r="806" ht="15.75" customHeight="1">
      <c r="C806" s="33"/>
      <c r="D806" s="33"/>
      <c r="E806" s="33"/>
      <c r="F806" s="33"/>
    </row>
    <row r="807" ht="15.75" customHeight="1">
      <c r="C807" s="33"/>
      <c r="D807" s="33"/>
      <c r="E807" s="33"/>
      <c r="F807" s="33"/>
    </row>
    <row r="808" ht="15.75" customHeight="1">
      <c r="C808" s="33"/>
      <c r="D808" s="33"/>
      <c r="E808" s="33"/>
      <c r="F808" s="33"/>
    </row>
    <row r="809" ht="15.75" customHeight="1">
      <c r="C809" s="33"/>
      <c r="D809" s="33"/>
      <c r="E809" s="33"/>
      <c r="F809" s="33"/>
    </row>
    <row r="810" ht="15.75" customHeight="1">
      <c r="C810" s="33"/>
      <c r="D810" s="33"/>
      <c r="E810" s="33"/>
      <c r="F810" s="33"/>
    </row>
    <row r="811" ht="15.75" customHeight="1">
      <c r="C811" s="33"/>
      <c r="D811" s="33"/>
      <c r="E811" s="33"/>
      <c r="F811" s="33"/>
    </row>
    <row r="812" ht="15.75" customHeight="1">
      <c r="C812" s="33"/>
      <c r="D812" s="33"/>
      <c r="E812" s="33"/>
      <c r="F812" s="33"/>
    </row>
    <row r="813" ht="15.75" customHeight="1">
      <c r="C813" s="33"/>
      <c r="D813" s="33"/>
      <c r="E813" s="33"/>
      <c r="F813" s="33"/>
    </row>
    <row r="814" ht="15.75" customHeight="1">
      <c r="C814" s="33"/>
      <c r="D814" s="33"/>
      <c r="E814" s="33"/>
      <c r="F814" s="33"/>
    </row>
    <row r="815" ht="15.75" customHeight="1">
      <c r="C815" s="33"/>
      <c r="D815" s="33"/>
      <c r="E815" s="33"/>
      <c r="F815" s="33"/>
    </row>
    <row r="816" ht="15.75" customHeight="1">
      <c r="C816" s="33"/>
      <c r="D816" s="33"/>
      <c r="E816" s="33"/>
      <c r="F816" s="33"/>
    </row>
    <row r="817" ht="15.75" customHeight="1">
      <c r="C817" s="33"/>
      <c r="D817" s="33"/>
      <c r="E817" s="33"/>
      <c r="F817" s="33"/>
    </row>
    <row r="818" ht="15.75" customHeight="1">
      <c r="C818" s="33"/>
      <c r="D818" s="33"/>
      <c r="E818" s="33"/>
      <c r="F818" s="33"/>
    </row>
    <row r="819" ht="15.75" customHeight="1">
      <c r="C819" s="33"/>
      <c r="D819" s="33"/>
      <c r="E819" s="33"/>
      <c r="F819" s="33"/>
    </row>
    <row r="820" ht="15.75" customHeight="1">
      <c r="C820" s="33"/>
      <c r="D820" s="33"/>
      <c r="E820" s="33"/>
      <c r="F820" s="33"/>
    </row>
    <row r="821" ht="15.75" customHeight="1">
      <c r="C821" s="33"/>
      <c r="D821" s="33"/>
      <c r="E821" s="33"/>
      <c r="F821" s="33"/>
    </row>
    <row r="822" ht="15.75" customHeight="1">
      <c r="C822" s="33"/>
      <c r="D822" s="33"/>
      <c r="E822" s="33"/>
      <c r="F822" s="33"/>
    </row>
    <row r="823" ht="15.75" customHeight="1">
      <c r="C823" s="33"/>
      <c r="D823" s="33"/>
      <c r="E823" s="33"/>
      <c r="F823" s="33"/>
    </row>
    <row r="824" ht="15.75" customHeight="1">
      <c r="C824" s="33"/>
      <c r="D824" s="33"/>
      <c r="E824" s="33"/>
      <c r="F824" s="33"/>
    </row>
    <row r="825" ht="15.75" customHeight="1">
      <c r="C825" s="33"/>
      <c r="D825" s="33"/>
      <c r="E825" s="33"/>
      <c r="F825" s="33"/>
    </row>
    <row r="826" ht="15.75" customHeight="1">
      <c r="C826" s="33"/>
      <c r="D826" s="33"/>
      <c r="E826" s="33"/>
      <c r="F826" s="33"/>
    </row>
    <row r="827" ht="15.75" customHeight="1">
      <c r="C827" s="33"/>
      <c r="D827" s="33"/>
      <c r="E827" s="33"/>
      <c r="F827" s="33"/>
    </row>
    <row r="828" ht="15.75" customHeight="1">
      <c r="C828" s="33"/>
      <c r="D828" s="33"/>
      <c r="E828" s="33"/>
      <c r="F828" s="33"/>
    </row>
    <row r="829" ht="15.75" customHeight="1">
      <c r="C829" s="33"/>
      <c r="D829" s="33"/>
      <c r="E829" s="33"/>
      <c r="F829" s="33"/>
    </row>
    <row r="830" ht="15.75" customHeight="1">
      <c r="C830" s="33"/>
      <c r="D830" s="33"/>
      <c r="E830" s="33"/>
      <c r="F830" s="33"/>
    </row>
    <row r="831" ht="15.75" customHeight="1">
      <c r="C831" s="33"/>
      <c r="D831" s="33"/>
      <c r="E831" s="33"/>
      <c r="F831" s="33"/>
    </row>
    <row r="832" ht="15.75" customHeight="1">
      <c r="C832" s="33"/>
      <c r="D832" s="33"/>
      <c r="E832" s="33"/>
      <c r="F832" s="33"/>
    </row>
    <row r="833" ht="15.75" customHeight="1">
      <c r="C833" s="33"/>
      <c r="D833" s="33"/>
      <c r="E833" s="33"/>
      <c r="F833" s="33"/>
    </row>
    <row r="834" ht="15.75" customHeight="1">
      <c r="C834" s="33"/>
      <c r="D834" s="33"/>
      <c r="E834" s="33"/>
      <c r="F834" s="33"/>
    </row>
    <row r="835" ht="15.75" customHeight="1">
      <c r="C835" s="33"/>
      <c r="D835" s="33"/>
      <c r="E835" s="33"/>
      <c r="F835" s="33"/>
    </row>
    <row r="836" ht="15.75" customHeight="1">
      <c r="C836" s="33"/>
      <c r="D836" s="33"/>
      <c r="E836" s="33"/>
      <c r="F836" s="33"/>
    </row>
    <row r="837" ht="15.75" customHeight="1">
      <c r="C837" s="33"/>
      <c r="D837" s="33"/>
      <c r="E837" s="33"/>
      <c r="F837" s="33"/>
    </row>
    <row r="838" ht="15.75" customHeight="1">
      <c r="C838" s="33"/>
      <c r="D838" s="33"/>
      <c r="E838" s="33"/>
      <c r="F838" s="33"/>
    </row>
    <row r="839" ht="15.75" customHeight="1">
      <c r="C839" s="33"/>
      <c r="D839" s="33"/>
      <c r="E839" s="33"/>
      <c r="F839" s="33"/>
    </row>
    <row r="840" ht="15.75" customHeight="1">
      <c r="C840" s="33"/>
      <c r="D840" s="33"/>
      <c r="E840" s="33"/>
      <c r="F840" s="33"/>
    </row>
    <row r="841" ht="15.75" customHeight="1">
      <c r="C841" s="33"/>
      <c r="D841" s="33"/>
      <c r="E841" s="33"/>
      <c r="F841" s="33"/>
    </row>
    <row r="842" ht="15.75" customHeight="1">
      <c r="C842" s="33"/>
      <c r="D842" s="33"/>
      <c r="E842" s="33"/>
      <c r="F842" s="33"/>
    </row>
    <row r="843" ht="15.75" customHeight="1">
      <c r="C843" s="33"/>
      <c r="D843" s="33"/>
      <c r="E843" s="33"/>
      <c r="F843" s="33"/>
    </row>
    <row r="844" ht="15.75" customHeight="1">
      <c r="C844" s="33"/>
      <c r="D844" s="33"/>
      <c r="E844" s="33"/>
      <c r="F844" s="33"/>
    </row>
    <row r="845" ht="15.75" customHeight="1">
      <c r="C845" s="33"/>
      <c r="D845" s="33"/>
      <c r="E845" s="33"/>
      <c r="F845" s="33"/>
    </row>
    <row r="846" ht="15.75" customHeight="1">
      <c r="C846" s="33"/>
      <c r="D846" s="33"/>
      <c r="E846" s="33"/>
      <c r="F846" s="33"/>
    </row>
    <row r="847" ht="15.75" customHeight="1">
      <c r="C847" s="33"/>
      <c r="D847" s="33"/>
      <c r="E847" s="33"/>
      <c r="F847" s="33"/>
    </row>
    <row r="848" ht="15.75" customHeight="1">
      <c r="C848" s="33"/>
      <c r="D848" s="33"/>
      <c r="E848" s="33"/>
      <c r="F848" s="33"/>
    </row>
    <row r="849" ht="15.75" customHeight="1">
      <c r="C849" s="33"/>
      <c r="D849" s="33"/>
      <c r="E849" s="33"/>
      <c r="F849" s="33"/>
    </row>
    <row r="850" ht="15.75" customHeight="1">
      <c r="C850" s="33"/>
      <c r="D850" s="33"/>
      <c r="E850" s="33"/>
      <c r="F850" s="33"/>
    </row>
    <row r="851" ht="15.75" customHeight="1">
      <c r="C851" s="33"/>
      <c r="D851" s="33"/>
      <c r="E851" s="33"/>
      <c r="F851" s="33"/>
    </row>
    <row r="852" ht="15.75" customHeight="1">
      <c r="C852" s="33"/>
      <c r="D852" s="33"/>
      <c r="E852" s="33"/>
      <c r="F852" s="33"/>
    </row>
    <row r="853" ht="15.75" customHeight="1">
      <c r="C853" s="33"/>
      <c r="D853" s="33"/>
      <c r="E853" s="33"/>
      <c r="F853" s="33"/>
    </row>
    <row r="854" ht="15.75" customHeight="1">
      <c r="C854" s="33"/>
      <c r="D854" s="33"/>
      <c r="E854" s="33"/>
      <c r="F854" s="33"/>
    </row>
    <row r="855" ht="15.75" customHeight="1">
      <c r="C855" s="33"/>
      <c r="D855" s="33"/>
      <c r="E855" s="33"/>
      <c r="F855" s="33"/>
    </row>
    <row r="856" ht="15.75" customHeight="1">
      <c r="C856" s="33"/>
      <c r="D856" s="33"/>
      <c r="E856" s="33"/>
      <c r="F856" s="33"/>
    </row>
    <row r="857" ht="15.75" customHeight="1">
      <c r="C857" s="33"/>
      <c r="D857" s="33"/>
      <c r="E857" s="33"/>
      <c r="F857" s="33"/>
    </row>
    <row r="858" ht="15.75" customHeight="1">
      <c r="C858" s="33"/>
      <c r="D858" s="33"/>
      <c r="E858" s="33"/>
      <c r="F858" s="33"/>
    </row>
    <row r="859" ht="15.75" customHeight="1">
      <c r="C859" s="33"/>
      <c r="D859" s="33"/>
      <c r="E859" s="33"/>
      <c r="F859" s="33"/>
    </row>
    <row r="860" ht="15.75" customHeight="1">
      <c r="C860" s="33"/>
      <c r="D860" s="33"/>
      <c r="E860" s="33"/>
      <c r="F860" s="33"/>
    </row>
    <row r="861" ht="15.75" customHeight="1">
      <c r="C861" s="33"/>
      <c r="D861" s="33"/>
      <c r="E861" s="33"/>
      <c r="F861" s="33"/>
    </row>
    <row r="862" ht="15.75" customHeight="1">
      <c r="C862" s="33"/>
      <c r="D862" s="33"/>
      <c r="E862" s="33"/>
      <c r="F862" s="33"/>
    </row>
    <row r="863" ht="15.75" customHeight="1">
      <c r="C863" s="33"/>
      <c r="D863" s="33"/>
      <c r="E863" s="33"/>
      <c r="F863" s="33"/>
    </row>
    <row r="864" ht="15.75" customHeight="1">
      <c r="C864" s="33"/>
      <c r="D864" s="33"/>
      <c r="E864" s="33"/>
      <c r="F864" s="33"/>
    </row>
    <row r="865" ht="15.75" customHeight="1">
      <c r="C865" s="33"/>
      <c r="D865" s="33"/>
      <c r="E865" s="33"/>
      <c r="F865" s="33"/>
    </row>
    <row r="866" ht="15.75" customHeight="1">
      <c r="C866" s="33"/>
      <c r="D866" s="33"/>
      <c r="E866" s="33"/>
      <c r="F866" s="33"/>
    </row>
    <row r="867" ht="15.75" customHeight="1">
      <c r="C867" s="33"/>
      <c r="D867" s="33"/>
      <c r="E867" s="33"/>
      <c r="F867" s="33"/>
    </row>
    <row r="868" ht="15.75" customHeight="1">
      <c r="C868" s="33"/>
      <c r="D868" s="33"/>
      <c r="E868" s="33"/>
      <c r="F868" s="33"/>
    </row>
    <row r="869" ht="15.75" customHeight="1">
      <c r="C869" s="33"/>
      <c r="D869" s="33"/>
      <c r="E869" s="33"/>
      <c r="F869" s="33"/>
    </row>
    <row r="870" ht="15.75" customHeight="1">
      <c r="C870" s="33"/>
      <c r="D870" s="33"/>
      <c r="E870" s="33"/>
      <c r="F870" s="33"/>
    </row>
    <row r="871" ht="15.75" customHeight="1">
      <c r="C871" s="33"/>
      <c r="D871" s="33"/>
      <c r="E871" s="33"/>
      <c r="F871" s="33"/>
    </row>
    <row r="872" ht="15.75" customHeight="1">
      <c r="C872" s="33"/>
      <c r="D872" s="33"/>
      <c r="E872" s="33"/>
      <c r="F872" s="33"/>
    </row>
    <row r="873" ht="15.75" customHeight="1">
      <c r="C873" s="33"/>
      <c r="D873" s="33"/>
      <c r="E873" s="33"/>
      <c r="F873" s="33"/>
    </row>
    <row r="874" ht="15.75" customHeight="1">
      <c r="C874" s="33"/>
      <c r="D874" s="33"/>
      <c r="E874" s="33"/>
      <c r="F874" s="33"/>
    </row>
    <row r="875" ht="15.75" customHeight="1">
      <c r="C875" s="33"/>
      <c r="D875" s="33"/>
      <c r="E875" s="33"/>
      <c r="F875" s="33"/>
    </row>
    <row r="876" ht="15.75" customHeight="1">
      <c r="C876" s="33"/>
      <c r="D876" s="33"/>
      <c r="E876" s="33"/>
      <c r="F876" s="33"/>
    </row>
    <row r="877" ht="15.75" customHeight="1">
      <c r="C877" s="33"/>
      <c r="D877" s="33"/>
      <c r="E877" s="33"/>
      <c r="F877" s="33"/>
    </row>
    <row r="878" ht="15.75" customHeight="1">
      <c r="C878" s="33"/>
      <c r="D878" s="33"/>
      <c r="E878" s="33"/>
      <c r="F878" s="33"/>
    </row>
    <row r="879" ht="15.75" customHeight="1">
      <c r="C879" s="33"/>
      <c r="D879" s="33"/>
      <c r="E879" s="33"/>
      <c r="F879" s="33"/>
    </row>
    <row r="880" ht="15.75" customHeight="1">
      <c r="C880" s="33"/>
      <c r="D880" s="33"/>
      <c r="E880" s="33"/>
      <c r="F880" s="33"/>
    </row>
    <row r="881" ht="15.75" customHeight="1">
      <c r="C881" s="33"/>
      <c r="D881" s="33"/>
      <c r="E881" s="33"/>
      <c r="F881" s="33"/>
    </row>
    <row r="882" ht="15.75" customHeight="1">
      <c r="C882" s="33"/>
      <c r="D882" s="33"/>
      <c r="E882" s="33"/>
      <c r="F882" s="33"/>
    </row>
    <row r="883" ht="15.75" customHeight="1">
      <c r="C883" s="33"/>
      <c r="D883" s="33"/>
      <c r="E883" s="33"/>
      <c r="F883" s="33"/>
    </row>
    <row r="884" ht="15.75" customHeight="1">
      <c r="C884" s="33"/>
      <c r="D884" s="33"/>
      <c r="E884" s="33"/>
      <c r="F884" s="33"/>
    </row>
    <row r="885" ht="15.75" customHeight="1">
      <c r="C885" s="33"/>
      <c r="D885" s="33"/>
      <c r="E885" s="33"/>
      <c r="F885" s="33"/>
    </row>
    <row r="886" ht="15.75" customHeight="1">
      <c r="C886" s="33"/>
      <c r="D886" s="33"/>
      <c r="E886" s="33"/>
      <c r="F886" s="33"/>
    </row>
    <row r="887" ht="15.75" customHeight="1">
      <c r="C887" s="33"/>
      <c r="D887" s="33"/>
      <c r="E887" s="33"/>
      <c r="F887" s="33"/>
    </row>
    <row r="888" ht="15.75" customHeight="1">
      <c r="C888" s="33"/>
      <c r="D888" s="33"/>
      <c r="E888" s="33"/>
      <c r="F888" s="33"/>
    </row>
    <row r="889" ht="15.75" customHeight="1">
      <c r="C889" s="33"/>
      <c r="D889" s="33"/>
      <c r="E889" s="33"/>
      <c r="F889" s="33"/>
    </row>
    <row r="890" ht="15.75" customHeight="1">
      <c r="C890" s="33"/>
      <c r="D890" s="33"/>
      <c r="E890" s="33"/>
      <c r="F890" s="33"/>
    </row>
    <row r="891" ht="15.75" customHeight="1">
      <c r="C891" s="33"/>
      <c r="D891" s="33"/>
      <c r="E891" s="33"/>
      <c r="F891" s="33"/>
    </row>
    <row r="892" ht="15.75" customHeight="1">
      <c r="C892" s="33"/>
      <c r="D892" s="33"/>
      <c r="E892" s="33"/>
      <c r="F892" s="33"/>
    </row>
    <row r="893" ht="15.75" customHeight="1">
      <c r="C893" s="33"/>
      <c r="D893" s="33"/>
      <c r="E893" s="33"/>
      <c r="F893" s="33"/>
    </row>
    <row r="894" ht="15.75" customHeight="1">
      <c r="C894" s="33"/>
      <c r="D894" s="33"/>
      <c r="E894" s="33"/>
      <c r="F894" s="33"/>
    </row>
    <row r="895" ht="15.75" customHeight="1">
      <c r="C895" s="33"/>
      <c r="D895" s="33"/>
      <c r="E895" s="33"/>
      <c r="F895" s="33"/>
    </row>
    <row r="896" ht="15.75" customHeight="1">
      <c r="C896" s="33"/>
      <c r="D896" s="33"/>
      <c r="E896" s="33"/>
      <c r="F896" s="33"/>
    </row>
    <row r="897" ht="15.75" customHeight="1">
      <c r="C897" s="33"/>
      <c r="D897" s="33"/>
      <c r="E897" s="33"/>
      <c r="F897" s="33"/>
    </row>
    <row r="898" ht="15.75" customHeight="1">
      <c r="C898" s="33"/>
      <c r="D898" s="33"/>
      <c r="E898" s="33"/>
      <c r="F898" s="33"/>
    </row>
    <row r="899" ht="15.75" customHeight="1">
      <c r="C899" s="33"/>
      <c r="D899" s="33"/>
      <c r="E899" s="33"/>
      <c r="F899" s="33"/>
    </row>
    <row r="900" ht="15.75" customHeight="1">
      <c r="C900" s="33"/>
      <c r="D900" s="33"/>
      <c r="E900" s="33"/>
      <c r="F900" s="33"/>
    </row>
    <row r="901" ht="15.75" customHeight="1">
      <c r="C901" s="33"/>
      <c r="D901" s="33"/>
      <c r="E901" s="33"/>
      <c r="F901" s="33"/>
    </row>
    <row r="902" ht="15.75" customHeight="1">
      <c r="C902" s="33"/>
      <c r="D902" s="33"/>
      <c r="E902" s="33"/>
      <c r="F902" s="33"/>
    </row>
    <row r="903" ht="15.75" customHeight="1">
      <c r="C903" s="33"/>
      <c r="D903" s="33"/>
      <c r="E903" s="33"/>
      <c r="F903" s="33"/>
    </row>
    <row r="904" ht="15.75" customHeight="1">
      <c r="C904" s="33"/>
      <c r="D904" s="33"/>
      <c r="E904" s="33"/>
      <c r="F904" s="33"/>
    </row>
    <row r="905" ht="15.75" customHeight="1">
      <c r="C905" s="33"/>
      <c r="D905" s="33"/>
      <c r="E905" s="33"/>
      <c r="F905" s="33"/>
    </row>
    <row r="906" ht="15.75" customHeight="1">
      <c r="C906" s="33"/>
      <c r="D906" s="33"/>
      <c r="E906" s="33"/>
      <c r="F906" s="33"/>
    </row>
    <row r="907" ht="15.75" customHeight="1">
      <c r="C907" s="33"/>
      <c r="D907" s="33"/>
      <c r="E907" s="33"/>
      <c r="F907" s="33"/>
    </row>
    <row r="908" ht="15.75" customHeight="1">
      <c r="C908" s="33"/>
      <c r="D908" s="33"/>
      <c r="E908" s="33"/>
      <c r="F908" s="33"/>
    </row>
    <row r="909" ht="15.75" customHeight="1">
      <c r="C909" s="33"/>
      <c r="D909" s="33"/>
      <c r="E909" s="33"/>
      <c r="F909" s="33"/>
    </row>
    <row r="910" ht="15.75" customHeight="1">
      <c r="C910" s="33"/>
      <c r="D910" s="33"/>
      <c r="E910" s="33"/>
      <c r="F910" s="33"/>
    </row>
    <row r="911" ht="15.75" customHeight="1">
      <c r="C911" s="33"/>
      <c r="D911" s="33"/>
      <c r="E911" s="33"/>
      <c r="F911" s="33"/>
    </row>
    <row r="912" ht="15.75" customHeight="1">
      <c r="C912" s="33"/>
      <c r="D912" s="33"/>
      <c r="E912" s="33"/>
      <c r="F912" s="33"/>
    </row>
    <row r="913" ht="15.75" customHeight="1">
      <c r="C913" s="33"/>
      <c r="D913" s="33"/>
      <c r="E913" s="33"/>
      <c r="F913" s="33"/>
    </row>
    <row r="914" ht="15.75" customHeight="1">
      <c r="C914" s="33"/>
      <c r="D914" s="33"/>
      <c r="E914" s="33"/>
      <c r="F914" s="33"/>
    </row>
    <row r="915" ht="15.75" customHeight="1">
      <c r="C915" s="33"/>
      <c r="D915" s="33"/>
      <c r="E915" s="33"/>
      <c r="F915" s="33"/>
    </row>
    <row r="916" ht="15.75" customHeight="1">
      <c r="C916" s="33"/>
      <c r="D916" s="33"/>
      <c r="E916" s="33"/>
      <c r="F916" s="33"/>
    </row>
    <row r="917" ht="15.75" customHeight="1">
      <c r="C917" s="33"/>
      <c r="D917" s="33"/>
      <c r="E917" s="33"/>
      <c r="F917" s="33"/>
    </row>
    <row r="918" ht="15.75" customHeight="1">
      <c r="C918" s="33"/>
      <c r="D918" s="33"/>
      <c r="E918" s="33"/>
      <c r="F918" s="33"/>
    </row>
    <row r="919" ht="15.75" customHeight="1">
      <c r="C919" s="33"/>
      <c r="D919" s="33"/>
      <c r="E919" s="33"/>
      <c r="F919" s="33"/>
    </row>
    <row r="920" ht="15.75" customHeight="1">
      <c r="C920" s="33"/>
      <c r="D920" s="33"/>
      <c r="E920" s="33"/>
      <c r="F920" s="33"/>
    </row>
    <row r="921" ht="15.75" customHeight="1">
      <c r="C921" s="33"/>
      <c r="D921" s="33"/>
      <c r="E921" s="33"/>
      <c r="F921" s="33"/>
    </row>
    <row r="922" ht="15.75" customHeight="1">
      <c r="C922" s="33"/>
      <c r="D922" s="33"/>
      <c r="E922" s="33"/>
      <c r="F922" s="33"/>
    </row>
    <row r="923" ht="15.75" customHeight="1">
      <c r="C923" s="33"/>
      <c r="D923" s="33"/>
      <c r="E923" s="33"/>
      <c r="F923" s="33"/>
    </row>
    <row r="924" ht="15.75" customHeight="1">
      <c r="C924" s="33"/>
      <c r="D924" s="33"/>
      <c r="E924" s="33"/>
      <c r="F924" s="33"/>
    </row>
    <row r="925" ht="15.75" customHeight="1">
      <c r="C925" s="33"/>
      <c r="D925" s="33"/>
      <c r="E925" s="33"/>
      <c r="F925" s="33"/>
    </row>
    <row r="926" ht="15.75" customHeight="1">
      <c r="C926" s="33"/>
      <c r="D926" s="33"/>
      <c r="E926" s="33"/>
      <c r="F926" s="33"/>
    </row>
    <row r="927" ht="15.75" customHeight="1">
      <c r="C927" s="33"/>
      <c r="D927" s="33"/>
      <c r="E927" s="33"/>
      <c r="F927" s="33"/>
    </row>
    <row r="928" ht="15.75" customHeight="1">
      <c r="C928" s="33"/>
      <c r="D928" s="33"/>
      <c r="E928" s="33"/>
      <c r="F928" s="33"/>
    </row>
    <row r="929" ht="15.75" customHeight="1">
      <c r="C929" s="33"/>
      <c r="D929" s="33"/>
      <c r="E929" s="33"/>
      <c r="F929" s="33"/>
    </row>
    <row r="930" ht="15.75" customHeight="1">
      <c r="C930" s="33"/>
      <c r="D930" s="33"/>
      <c r="E930" s="33"/>
      <c r="F930" s="33"/>
    </row>
    <row r="931" ht="15.75" customHeight="1">
      <c r="C931" s="33"/>
      <c r="D931" s="33"/>
      <c r="E931" s="33"/>
      <c r="F931" s="33"/>
    </row>
    <row r="932" ht="15.75" customHeight="1">
      <c r="C932" s="33"/>
      <c r="D932" s="33"/>
      <c r="E932" s="33"/>
      <c r="F932" s="33"/>
    </row>
    <row r="933" ht="15.75" customHeight="1">
      <c r="C933" s="33"/>
      <c r="D933" s="33"/>
      <c r="E933" s="33"/>
      <c r="F933" s="33"/>
    </row>
    <row r="934" ht="15.75" customHeight="1">
      <c r="C934" s="33"/>
      <c r="D934" s="33"/>
      <c r="E934" s="33"/>
      <c r="F934" s="33"/>
    </row>
    <row r="935" ht="15.75" customHeight="1">
      <c r="C935" s="33"/>
      <c r="D935" s="33"/>
      <c r="E935" s="33"/>
      <c r="F935" s="33"/>
    </row>
    <row r="936" ht="15.75" customHeight="1">
      <c r="C936" s="33"/>
      <c r="D936" s="33"/>
      <c r="E936" s="33"/>
      <c r="F936" s="33"/>
    </row>
    <row r="937" ht="15.75" customHeight="1">
      <c r="C937" s="33"/>
      <c r="D937" s="33"/>
      <c r="E937" s="33"/>
      <c r="F937" s="33"/>
    </row>
    <row r="938" ht="15.75" customHeight="1">
      <c r="C938" s="33"/>
      <c r="D938" s="33"/>
      <c r="E938" s="33"/>
      <c r="F938" s="33"/>
    </row>
    <row r="939" ht="15.75" customHeight="1">
      <c r="C939" s="33"/>
      <c r="D939" s="33"/>
      <c r="E939" s="33"/>
      <c r="F939" s="33"/>
    </row>
    <row r="940" ht="15.75" customHeight="1">
      <c r="C940" s="33"/>
      <c r="D940" s="33"/>
      <c r="E940" s="33"/>
      <c r="F940" s="33"/>
    </row>
    <row r="941" ht="15.75" customHeight="1">
      <c r="C941" s="33"/>
      <c r="D941" s="33"/>
      <c r="E941" s="33"/>
      <c r="F941" s="33"/>
    </row>
    <row r="942" ht="15.75" customHeight="1">
      <c r="C942" s="33"/>
      <c r="D942" s="33"/>
      <c r="E942" s="33"/>
      <c r="F942" s="33"/>
    </row>
    <row r="943" ht="15.75" customHeight="1">
      <c r="C943" s="33"/>
      <c r="D943" s="33"/>
      <c r="E943" s="33"/>
      <c r="F943" s="33"/>
    </row>
    <row r="944" ht="15.75" customHeight="1">
      <c r="C944" s="33"/>
      <c r="D944" s="33"/>
      <c r="E944" s="33"/>
      <c r="F944" s="33"/>
    </row>
    <row r="945" ht="15.75" customHeight="1">
      <c r="C945" s="33"/>
      <c r="D945" s="33"/>
      <c r="E945" s="33"/>
      <c r="F945" s="33"/>
    </row>
    <row r="946" ht="15.75" customHeight="1">
      <c r="C946" s="33"/>
      <c r="D946" s="33"/>
      <c r="E946" s="33"/>
      <c r="F946" s="33"/>
    </row>
    <row r="947" ht="15.75" customHeight="1">
      <c r="C947" s="33"/>
      <c r="D947" s="33"/>
      <c r="E947" s="33"/>
      <c r="F947" s="33"/>
    </row>
    <row r="948" ht="15.75" customHeight="1">
      <c r="C948" s="33"/>
      <c r="D948" s="33"/>
      <c r="E948" s="33"/>
      <c r="F948" s="33"/>
    </row>
    <row r="949" ht="15.75" customHeight="1">
      <c r="C949" s="33"/>
      <c r="D949" s="33"/>
      <c r="E949" s="33"/>
      <c r="F949" s="33"/>
    </row>
    <row r="950" ht="15.75" customHeight="1">
      <c r="C950" s="33"/>
      <c r="D950" s="33"/>
      <c r="E950" s="33"/>
      <c r="F950" s="33"/>
    </row>
    <row r="951" ht="15.75" customHeight="1">
      <c r="C951" s="33"/>
      <c r="D951" s="33"/>
      <c r="E951" s="33"/>
      <c r="F951" s="33"/>
    </row>
    <row r="952" ht="15.75" customHeight="1">
      <c r="C952" s="33"/>
      <c r="D952" s="33"/>
      <c r="E952" s="33"/>
      <c r="F952" s="33"/>
    </row>
    <row r="953" ht="15.75" customHeight="1">
      <c r="C953" s="33"/>
      <c r="D953" s="33"/>
      <c r="E953" s="33"/>
      <c r="F953" s="33"/>
    </row>
    <row r="954" ht="15.75" customHeight="1">
      <c r="C954" s="33"/>
      <c r="D954" s="33"/>
      <c r="E954" s="33"/>
      <c r="F954" s="33"/>
    </row>
    <row r="955" ht="15.75" customHeight="1">
      <c r="C955" s="33"/>
      <c r="D955" s="33"/>
      <c r="E955" s="33"/>
      <c r="F955" s="33"/>
    </row>
    <row r="956" ht="15.75" customHeight="1">
      <c r="C956" s="33"/>
      <c r="D956" s="33"/>
      <c r="E956" s="33"/>
      <c r="F956" s="33"/>
    </row>
    <row r="957" ht="15.75" customHeight="1">
      <c r="C957" s="33"/>
      <c r="D957" s="33"/>
      <c r="E957" s="33"/>
      <c r="F957" s="33"/>
    </row>
    <row r="958" ht="15.75" customHeight="1">
      <c r="C958" s="33"/>
      <c r="D958" s="33"/>
      <c r="E958" s="33"/>
      <c r="F958" s="33"/>
    </row>
    <row r="959" ht="15.75" customHeight="1">
      <c r="C959" s="33"/>
      <c r="D959" s="33"/>
      <c r="E959" s="33"/>
      <c r="F959" s="33"/>
    </row>
    <row r="960" ht="15.75" customHeight="1">
      <c r="C960" s="33"/>
      <c r="D960" s="33"/>
      <c r="E960" s="33"/>
      <c r="F960" s="33"/>
    </row>
    <row r="961" ht="15.75" customHeight="1">
      <c r="C961" s="33"/>
      <c r="D961" s="33"/>
      <c r="E961" s="33"/>
      <c r="F961" s="33"/>
    </row>
    <row r="962" ht="15.75" customHeight="1">
      <c r="C962" s="33"/>
      <c r="D962" s="33"/>
      <c r="E962" s="33"/>
      <c r="F962" s="33"/>
    </row>
    <row r="963" ht="15.75" customHeight="1">
      <c r="C963" s="33"/>
      <c r="D963" s="33"/>
      <c r="E963" s="33"/>
      <c r="F963" s="33"/>
    </row>
    <row r="964" ht="15.75" customHeight="1">
      <c r="C964" s="33"/>
      <c r="D964" s="33"/>
      <c r="E964" s="33"/>
      <c r="F964" s="33"/>
    </row>
    <row r="965" ht="15.75" customHeight="1">
      <c r="C965" s="33"/>
      <c r="D965" s="33"/>
      <c r="E965" s="33"/>
      <c r="F965" s="33"/>
    </row>
    <row r="966" ht="15.75" customHeight="1">
      <c r="C966" s="33"/>
      <c r="D966" s="33"/>
      <c r="E966" s="33"/>
      <c r="F966" s="33"/>
    </row>
    <row r="967" ht="15.75" customHeight="1">
      <c r="C967" s="33"/>
      <c r="D967" s="33"/>
      <c r="E967" s="33"/>
      <c r="F967" s="33"/>
    </row>
    <row r="968" ht="15.75" customHeight="1">
      <c r="C968" s="33"/>
      <c r="D968" s="33"/>
      <c r="E968" s="33"/>
      <c r="F968" s="33"/>
    </row>
    <row r="969" ht="15.75" customHeight="1">
      <c r="C969" s="33"/>
      <c r="D969" s="33"/>
      <c r="E969" s="33"/>
      <c r="F969" s="33"/>
    </row>
    <row r="970" ht="15.75" customHeight="1">
      <c r="C970" s="33"/>
      <c r="D970" s="33"/>
      <c r="E970" s="33"/>
      <c r="F970" s="33"/>
    </row>
    <row r="971" ht="15.75" customHeight="1">
      <c r="C971" s="33"/>
      <c r="D971" s="33"/>
      <c r="E971" s="33"/>
      <c r="F971" s="33"/>
    </row>
    <row r="972" ht="15.75" customHeight="1">
      <c r="C972" s="33"/>
      <c r="D972" s="33"/>
      <c r="E972" s="33"/>
      <c r="F972" s="33"/>
    </row>
    <row r="973" ht="15.75" customHeight="1">
      <c r="C973" s="33"/>
      <c r="D973" s="33"/>
      <c r="E973" s="33"/>
      <c r="F973" s="33"/>
    </row>
    <row r="974" ht="15.75" customHeight="1">
      <c r="C974" s="33"/>
      <c r="D974" s="33"/>
      <c r="E974" s="33"/>
      <c r="F974" s="33"/>
    </row>
    <row r="975" ht="15.75" customHeight="1">
      <c r="C975" s="33"/>
      <c r="D975" s="33"/>
      <c r="E975" s="33"/>
      <c r="F975" s="33"/>
    </row>
    <row r="976" ht="15.75" customHeight="1">
      <c r="C976" s="33"/>
      <c r="D976" s="33"/>
      <c r="E976" s="33"/>
      <c r="F976" s="33"/>
    </row>
    <row r="977" ht="15.75" customHeight="1">
      <c r="C977" s="33"/>
      <c r="D977" s="33"/>
      <c r="E977" s="33"/>
      <c r="F977" s="33"/>
    </row>
    <row r="978" ht="15.75" customHeight="1">
      <c r="C978" s="33"/>
      <c r="D978" s="33"/>
      <c r="E978" s="33"/>
      <c r="F978" s="33"/>
    </row>
    <row r="979" ht="15.75" customHeight="1">
      <c r="C979" s="33"/>
      <c r="D979" s="33"/>
      <c r="E979" s="33"/>
      <c r="F979" s="33"/>
    </row>
    <row r="980" ht="15.75" customHeight="1">
      <c r="C980" s="33"/>
      <c r="D980" s="33"/>
      <c r="E980" s="33"/>
      <c r="F980" s="33"/>
    </row>
    <row r="981" ht="15.75" customHeight="1">
      <c r="C981" s="33"/>
      <c r="D981" s="33"/>
      <c r="E981" s="33"/>
      <c r="F981" s="33"/>
    </row>
    <row r="982" ht="15.75" customHeight="1">
      <c r="C982" s="33"/>
      <c r="D982" s="33"/>
      <c r="E982" s="33"/>
      <c r="F982" s="33"/>
    </row>
    <row r="983" ht="15.75" customHeight="1">
      <c r="C983" s="33"/>
      <c r="D983" s="33"/>
      <c r="E983" s="33"/>
      <c r="F983" s="33"/>
    </row>
    <row r="984" ht="15.75" customHeight="1">
      <c r="C984" s="33"/>
      <c r="D984" s="33"/>
      <c r="E984" s="33"/>
      <c r="F984" s="33"/>
    </row>
    <row r="985" ht="15.75" customHeight="1">
      <c r="C985" s="33"/>
      <c r="D985" s="33"/>
      <c r="E985" s="33"/>
      <c r="F985" s="33"/>
    </row>
    <row r="986" ht="15.75" customHeight="1">
      <c r="C986" s="33"/>
      <c r="D986" s="33"/>
      <c r="E986" s="33"/>
      <c r="F986" s="33"/>
    </row>
    <row r="987" ht="15.75" customHeight="1">
      <c r="C987" s="33"/>
      <c r="D987" s="33"/>
      <c r="E987" s="33"/>
      <c r="F987" s="33"/>
    </row>
    <row r="988" ht="15.75" customHeight="1">
      <c r="C988" s="33"/>
      <c r="D988" s="33"/>
      <c r="E988" s="33"/>
      <c r="F988" s="33"/>
    </row>
    <row r="989" ht="15.75" customHeight="1">
      <c r="C989" s="33"/>
      <c r="D989" s="33"/>
      <c r="E989" s="33"/>
      <c r="F989" s="33"/>
    </row>
    <row r="990" ht="15.75" customHeight="1">
      <c r="C990" s="33"/>
      <c r="D990" s="33"/>
      <c r="E990" s="33"/>
      <c r="F990" s="33"/>
    </row>
    <row r="991" ht="15.75" customHeight="1">
      <c r="C991" s="33"/>
      <c r="D991" s="33"/>
      <c r="E991" s="33"/>
      <c r="F991" s="33"/>
    </row>
    <row r="992" ht="15.75" customHeight="1">
      <c r="C992" s="33"/>
      <c r="D992" s="33"/>
      <c r="E992" s="33"/>
      <c r="F992" s="33"/>
    </row>
    <row r="993" ht="15.75" customHeight="1">
      <c r="C993" s="33"/>
      <c r="D993" s="33"/>
      <c r="E993" s="33"/>
      <c r="F993" s="33"/>
    </row>
    <row r="994" ht="15.75" customHeight="1">
      <c r="C994" s="33"/>
      <c r="D994" s="33"/>
      <c r="E994" s="33"/>
      <c r="F994" s="33"/>
    </row>
    <row r="995" ht="15.75" customHeight="1">
      <c r="C995" s="33"/>
      <c r="D995" s="33"/>
      <c r="E995" s="33"/>
      <c r="F995" s="33"/>
    </row>
    <row r="996" ht="15.75" customHeight="1">
      <c r="C996" s="33"/>
      <c r="D996" s="33"/>
      <c r="E996" s="33"/>
      <c r="F996" s="33"/>
    </row>
    <row r="997" ht="15.75" customHeight="1">
      <c r="C997" s="33"/>
      <c r="D997" s="33"/>
      <c r="E997" s="33"/>
      <c r="F997" s="33"/>
    </row>
    <row r="998" ht="15.75" customHeight="1">
      <c r="C998" s="33"/>
      <c r="D998" s="33"/>
      <c r="E998" s="33"/>
      <c r="F998" s="33"/>
    </row>
    <row r="999" ht="15.75" customHeight="1">
      <c r="C999" s="33"/>
      <c r="D999" s="33"/>
      <c r="E999" s="33"/>
      <c r="F999" s="33"/>
    </row>
    <row r="1000" ht="15.75" customHeight="1">
      <c r="C1000" s="33"/>
      <c r="D1000" s="33"/>
      <c r="E1000" s="33"/>
      <c r="F1000" s="33"/>
    </row>
    <row r="1001" ht="15.75" customHeight="1">
      <c r="C1001" s="33"/>
      <c r="D1001" s="33"/>
      <c r="E1001" s="33"/>
      <c r="F1001" s="33"/>
    </row>
    <row r="1002" ht="15.75" customHeight="1">
      <c r="C1002" s="33"/>
      <c r="D1002" s="33"/>
      <c r="E1002" s="33"/>
      <c r="F1002" s="33"/>
    </row>
    <row r="1003" ht="15.75" customHeight="1">
      <c r="C1003" s="33"/>
      <c r="D1003" s="33"/>
      <c r="E1003" s="33"/>
      <c r="F1003" s="33"/>
    </row>
    <row r="1004" ht="15.75" customHeight="1">
      <c r="C1004" s="33"/>
      <c r="D1004" s="33"/>
      <c r="E1004" s="33"/>
      <c r="F1004" s="33"/>
    </row>
    <row r="1005" ht="15.75" customHeight="1">
      <c r="C1005" s="33"/>
      <c r="D1005" s="33"/>
      <c r="E1005" s="33"/>
      <c r="F1005" s="33"/>
    </row>
    <row r="1006" ht="15.75" customHeight="1">
      <c r="C1006" s="33"/>
      <c r="D1006" s="33"/>
      <c r="E1006" s="33"/>
      <c r="F1006" s="33"/>
    </row>
    <row r="1007" ht="15.75" customHeight="1">
      <c r="C1007" s="33"/>
      <c r="D1007" s="33"/>
      <c r="E1007" s="33"/>
      <c r="F1007" s="33"/>
    </row>
    <row r="1008" ht="15.75" customHeight="1">
      <c r="C1008" s="33"/>
      <c r="D1008" s="33"/>
      <c r="E1008" s="33"/>
      <c r="F1008" s="33"/>
    </row>
    <row r="1009" ht="15.75" customHeight="1">
      <c r="C1009" s="33"/>
      <c r="D1009" s="33"/>
      <c r="E1009" s="33"/>
      <c r="F1009" s="33"/>
    </row>
    <row r="1010" ht="15.75" customHeight="1">
      <c r="C1010" s="33"/>
      <c r="D1010" s="33"/>
      <c r="E1010" s="33"/>
      <c r="F1010" s="33"/>
    </row>
    <row r="1011" ht="15.75" customHeight="1">
      <c r="C1011" s="33"/>
      <c r="D1011" s="33"/>
      <c r="E1011" s="33"/>
      <c r="F1011" s="33"/>
    </row>
    <row r="1012" ht="15.75" customHeight="1">
      <c r="C1012" s="33"/>
      <c r="D1012" s="33"/>
      <c r="E1012" s="33"/>
      <c r="F1012" s="33"/>
    </row>
    <row r="1013" ht="15.75" customHeight="1">
      <c r="C1013" s="33"/>
      <c r="D1013" s="33"/>
      <c r="E1013" s="33"/>
      <c r="F1013" s="33"/>
    </row>
    <row r="1014" ht="15.75" customHeight="1">
      <c r="C1014" s="33"/>
      <c r="D1014" s="33"/>
      <c r="E1014" s="33"/>
      <c r="F1014" s="33"/>
    </row>
    <row r="1015" ht="15.75" customHeight="1">
      <c r="C1015" s="33"/>
      <c r="D1015" s="33"/>
      <c r="E1015" s="33"/>
      <c r="F1015" s="33"/>
    </row>
    <row r="1016" ht="15.75" customHeight="1">
      <c r="C1016" s="33"/>
      <c r="D1016" s="33"/>
      <c r="E1016" s="33"/>
      <c r="F1016" s="33"/>
    </row>
    <row r="1017" ht="15.75" customHeight="1">
      <c r="C1017" s="33"/>
      <c r="D1017" s="33"/>
      <c r="E1017" s="33"/>
      <c r="F1017" s="33"/>
    </row>
    <row r="1018" ht="15.75" customHeight="1">
      <c r="C1018" s="33"/>
      <c r="D1018" s="33"/>
      <c r="E1018" s="33"/>
      <c r="F1018" s="33"/>
    </row>
    <row r="1019" ht="15.75" customHeight="1">
      <c r="C1019" s="33"/>
      <c r="D1019" s="33"/>
      <c r="E1019" s="33"/>
      <c r="F1019" s="33"/>
    </row>
    <row r="1020" ht="15.75" customHeight="1">
      <c r="C1020" s="33"/>
      <c r="D1020" s="33"/>
      <c r="E1020" s="33"/>
      <c r="F1020" s="33"/>
    </row>
    <row r="1021" ht="15.75" customHeight="1">
      <c r="C1021" s="33"/>
      <c r="D1021" s="33"/>
      <c r="E1021" s="33"/>
      <c r="F1021" s="33"/>
    </row>
    <row r="1022" ht="15.75" customHeight="1">
      <c r="C1022" s="33"/>
      <c r="D1022" s="33"/>
      <c r="E1022" s="33"/>
      <c r="F1022" s="3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6.13"/>
    <col customWidth="1" min="3" max="4" width="13.38"/>
    <col customWidth="1" min="5" max="5" width="12.63"/>
  </cols>
  <sheetData>
    <row r="1" ht="15.75" customHeight="1">
      <c r="A1" s="5" t="s">
        <v>3</v>
      </c>
      <c r="B1" s="5" t="s">
        <v>4</v>
      </c>
      <c r="C1" s="4" t="s">
        <v>5</v>
      </c>
      <c r="D1" s="28" t="s">
        <v>102</v>
      </c>
      <c r="E1" s="29"/>
      <c r="F1" s="29"/>
      <c r="G1" s="30"/>
    </row>
    <row r="2" ht="15.75" customHeight="1">
      <c r="A2" s="14" t="s">
        <v>11</v>
      </c>
      <c r="B2" s="14" t="s">
        <v>25</v>
      </c>
      <c r="C2" s="15" t="s">
        <v>26</v>
      </c>
      <c r="D2" s="31">
        <v>0.3</v>
      </c>
      <c r="E2" s="32"/>
      <c r="F2" s="32"/>
    </row>
    <row r="3" ht="15.75" customHeight="1">
      <c r="A3" s="14" t="s">
        <v>11</v>
      </c>
      <c r="B3" s="14" t="s">
        <v>27</v>
      </c>
      <c r="C3" s="15" t="s">
        <v>28</v>
      </c>
      <c r="D3" s="31">
        <v>0.1</v>
      </c>
      <c r="E3" s="32"/>
      <c r="F3" s="32"/>
    </row>
    <row r="4" ht="15.75" customHeight="1">
      <c r="A4" s="14" t="s">
        <v>11</v>
      </c>
      <c r="B4" s="14" t="s">
        <v>29</v>
      </c>
      <c r="C4" s="15" t="s">
        <v>30</v>
      </c>
      <c r="D4" s="31">
        <v>0.1</v>
      </c>
      <c r="E4" s="32"/>
      <c r="F4" s="32"/>
    </row>
    <row r="5" ht="15.75" customHeight="1">
      <c r="A5" s="14" t="s">
        <v>11</v>
      </c>
      <c r="B5" s="14" t="s">
        <v>31</v>
      </c>
      <c r="C5" s="15" t="s">
        <v>32</v>
      </c>
      <c r="D5" s="31">
        <v>0.2</v>
      </c>
      <c r="E5" s="32"/>
      <c r="F5" s="32"/>
    </row>
    <row r="6" ht="15.75" customHeight="1">
      <c r="A6" s="14" t="s">
        <v>18</v>
      </c>
      <c r="B6" s="14" t="s">
        <v>33</v>
      </c>
      <c r="C6" s="15" t="s">
        <v>30</v>
      </c>
      <c r="D6" s="31">
        <v>0.3</v>
      </c>
      <c r="E6" s="32"/>
      <c r="F6" s="32"/>
    </row>
    <row r="7" ht="15.75" customHeight="1">
      <c r="A7" s="14" t="s">
        <v>18</v>
      </c>
      <c r="B7" s="14" t="s">
        <v>34</v>
      </c>
      <c r="C7" s="15" t="s">
        <v>26</v>
      </c>
      <c r="D7" s="31">
        <v>0.5</v>
      </c>
      <c r="E7" s="32"/>
      <c r="F7" s="32"/>
    </row>
    <row r="8" ht="15.75" customHeight="1">
      <c r="A8" s="14" t="s">
        <v>18</v>
      </c>
      <c r="B8" s="14" t="s">
        <v>35</v>
      </c>
      <c r="C8" s="15" t="s">
        <v>26</v>
      </c>
      <c r="D8" s="31">
        <v>0.8</v>
      </c>
      <c r="E8" s="32"/>
      <c r="F8" s="32"/>
    </row>
    <row r="9" ht="15.75" customHeight="1">
      <c r="A9" s="14" t="s">
        <v>18</v>
      </c>
      <c r="B9" s="14" t="s">
        <v>36</v>
      </c>
      <c r="C9" s="15" t="s">
        <v>37</v>
      </c>
      <c r="D9" s="31">
        <v>0.5</v>
      </c>
      <c r="E9" s="32"/>
      <c r="F9" s="32"/>
    </row>
    <row r="10" ht="15.75" customHeight="1">
      <c r="A10" s="14" t="s">
        <v>18</v>
      </c>
      <c r="B10" s="14" t="s">
        <v>38</v>
      </c>
      <c r="C10" s="15" t="s">
        <v>39</v>
      </c>
      <c r="D10" s="31">
        <v>0.6</v>
      </c>
      <c r="E10" s="32"/>
      <c r="F10" s="32"/>
    </row>
    <row r="11" ht="15.75" customHeight="1">
      <c r="A11" s="14" t="s">
        <v>8</v>
      </c>
      <c r="B11" s="14" t="s">
        <v>40</v>
      </c>
      <c r="C11" s="15" t="s">
        <v>39</v>
      </c>
      <c r="D11" s="31">
        <v>0.4</v>
      </c>
      <c r="E11" s="32"/>
      <c r="F11" s="32"/>
    </row>
    <row r="12" ht="15.75" customHeight="1">
      <c r="A12" s="14" t="s">
        <v>8</v>
      </c>
      <c r="B12" s="14" t="s">
        <v>41</v>
      </c>
      <c r="C12" s="15" t="s">
        <v>42</v>
      </c>
      <c r="D12" s="31">
        <v>0.65</v>
      </c>
      <c r="E12" s="32"/>
      <c r="F12" s="32"/>
    </row>
    <row r="13" ht="15.75" customHeight="1">
      <c r="A13" s="14" t="s">
        <v>8</v>
      </c>
      <c r="B13" s="14" t="s">
        <v>43</v>
      </c>
      <c r="C13" s="15" t="s">
        <v>28</v>
      </c>
      <c r="D13" s="31">
        <v>0.2</v>
      </c>
      <c r="E13" s="32"/>
      <c r="F13" s="32"/>
    </row>
    <row r="14" ht="15.75" customHeight="1">
      <c r="A14" s="14" t="s">
        <v>8</v>
      </c>
      <c r="B14" s="14" t="s">
        <v>44</v>
      </c>
      <c r="C14" s="15" t="s">
        <v>45</v>
      </c>
      <c r="D14" s="31">
        <v>0.1</v>
      </c>
      <c r="E14" s="32"/>
      <c r="F14" s="32"/>
    </row>
    <row r="15" ht="15.75" customHeight="1">
      <c r="A15" s="14" t="s">
        <v>8</v>
      </c>
      <c r="B15" s="14" t="s">
        <v>46</v>
      </c>
      <c r="C15" s="15" t="s">
        <v>45</v>
      </c>
      <c r="D15" s="31">
        <v>0.25</v>
      </c>
      <c r="E15" s="32"/>
      <c r="F15" s="32"/>
    </row>
    <row r="16" ht="15.75" customHeight="1">
      <c r="A16" s="14" t="s">
        <v>16</v>
      </c>
      <c r="B16" s="14" t="s">
        <v>47</v>
      </c>
      <c r="C16" s="15" t="s">
        <v>30</v>
      </c>
      <c r="D16" s="31">
        <v>0.6</v>
      </c>
      <c r="E16" s="32"/>
      <c r="F16" s="32"/>
    </row>
    <row r="17" ht="15.75" customHeight="1">
      <c r="A17" s="14" t="s">
        <v>16</v>
      </c>
      <c r="B17" s="14" t="s">
        <v>48</v>
      </c>
      <c r="C17" s="15" t="s">
        <v>30</v>
      </c>
      <c r="D17" s="31">
        <v>0.5</v>
      </c>
      <c r="E17" s="32"/>
      <c r="F17" s="32"/>
    </row>
    <row r="18" ht="15.75" customHeight="1">
      <c r="A18" s="14" t="s">
        <v>16</v>
      </c>
      <c r="B18" s="14" t="s">
        <v>49</v>
      </c>
      <c r="C18" s="15" t="s">
        <v>50</v>
      </c>
      <c r="D18" s="31">
        <v>0.1</v>
      </c>
      <c r="E18" s="32"/>
      <c r="F18" s="32"/>
    </row>
    <row r="19" ht="15.75" customHeight="1">
      <c r="A19" s="14" t="s">
        <v>16</v>
      </c>
      <c r="B19" s="14" t="s">
        <v>51</v>
      </c>
      <c r="C19" s="15" t="s">
        <v>30</v>
      </c>
      <c r="D19" s="31">
        <v>0.4</v>
      </c>
      <c r="E19" s="32"/>
      <c r="F19" s="32"/>
    </row>
    <row r="20" ht="15.75" customHeight="1">
      <c r="A20" s="14" t="s">
        <v>16</v>
      </c>
      <c r="B20" s="14" t="s">
        <v>52</v>
      </c>
      <c r="C20" s="15" t="s">
        <v>42</v>
      </c>
      <c r="D20" s="31">
        <v>0.2</v>
      </c>
      <c r="E20" s="32"/>
      <c r="F20" s="32"/>
    </row>
    <row r="21" ht="15.75" customHeight="1">
      <c r="A21" s="14" t="s">
        <v>14</v>
      </c>
      <c r="B21" s="14" t="s">
        <v>53</v>
      </c>
      <c r="C21" s="15" t="s">
        <v>28</v>
      </c>
      <c r="D21" s="31">
        <v>0.6</v>
      </c>
      <c r="E21" s="32"/>
      <c r="F21" s="32"/>
    </row>
    <row r="22" ht="15.75" customHeight="1">
      <c r="A22" s="14" t="s">
        <v>14</v>
      </c>
      <c r="B22" s="14" t="s">
        <v>54</v>
      </c>
      <c r="C22" s="15" t="s">
        <v>39</v>
      </c>
      <c r="D22" s="31">
        <v>0.35</v>
      </c>
      <c r="E22" s="32"/>
      <c r="F22" s="32"/>
    </row>
    <row r="23" ht="15.75" customHeight="1">
      <c r="A23" s="14" t="s">
        <v>14</v>
      </c>
      <c r="B23" s="14" t="s">
        <v>55</v>
      </c>
      <c r="C23" s="15" t="s">
        <v>32</v>
      </c>
      <c r="D23" s="31">
        <v>0.1</v>
      </c>
      <c r="E23" s="32"/>
      <c r="F23" s="32"/>
    </row>
    <row r="24" ht="15.75" customHeight="1">
      <c r="A24" s="14" t="s">
        <v>14</v>
      </c>
      <c r="B24" s="14" t="s">
        <v>57</v>
      </c>
      <c r="C24" s="15" t="s">
        <v>32</v>
      </c>
      <c r="D24" s="31">
        <v>0.65</v>
      </c>
      <c r="E24" s="32"/>
      <c r="F24" s="32"/>
    </row>
    <row r="25" ht="15.75" customHeight="1">
      <c r="A25" s="14" t="s">
        <v>14</v>
      </c>
      <c r="B25" s="14" t="s">
        <v>58</v>
      </c>
      <c r="C25" s="15" t="s">
        <v>37</v>
      </c>
      <c r="D25" s="31">
        <v>0.1</v>
      </c>
      <c r="E25" s="32"/>
      <c r="F25" s="32"/>
    </row>
    <row r="26" ht="15.75" customHeight="1">
      <c r="A26" s="14" t="s">
        <v>9</v>
      </c>
      <c r="B26" s="14" t="s">
        <v>59</v>
      </c>
      <c r="C26" s="15" t="s">
        <v>30</v>
      </c>
      <c r="D26" s="31">
        <v>0.1</v>
      </c>
      <c r="E26" s="32"/>
      <c r="F26" s="32"/>
    </row>
    <row r="27" ht="15.75" customHeight="1">
      <c r="A27" s="14" t="s">
        <v>9</v>
      </c>
      <c r="B27" s="14" t="s">
        <v>60</v>
      </c>
      <c r="C27" s="15" t="s">
        <v>32</v>
      </c>
      <c r="D27" s="31">
        <v>0.15</v>
      </c>
      <c r="E27" s="32"/>
      <c r="F27" s="32"/>
    </row>
    <row r="28" ht="15.75" customHeight="1">
      <c r="A28" s="14" t="s">
        <v>9</v>
      </c>
      <c r="B28" s="14" t="s">
        <v>61</v>
      </c>
      <c r="C28" s="15" t="s">
        <v>28</v>
      </c>
      <c r="D28" s="31">
        <v>0.1</v>
      </c>
      <c r="E28" s="32"/>
      <c r="F28" s="32"/>
    </row>
    <row r="29" ht="15.75" customHeight="1">
      <c r="A29" s="14" t="s">
        <v>9</v>
      </c>
      <c r="B29" s="14" t="s">
        <v>62</v>
      </c>
      <c r="C29" s="15" t="s">
        <v>28</v>
      </c>
      <c r="D29" s="31">
        <v>0.7</v>
      </c>
      <c r="E29" s="32"/>
      <c r="F29" s="32"/>
    </row>
    <row r="30" ht="15.75" customHeight="1">
      <c r="A30" s="14" t="s">
        <v>9</v>
      </c>
      <c r="B30" s="14" t="s">
        <v>63</v>
      </c>
      <c r="C30" s="15" t="s">
        <v>28</v>
      </c>
      <c r="D30" s="31">
        <v>0.5</v>
      </c>
      <c r="E30" s="32"/>
      <c r="F30" s="32"/>
    </row>
    <row r="31" ht="15.75" customHeight="1">
      <c r="A31" s="14" t="s">
        <v>64</v>
      </c>
      <c r="B31" s="14" t="s">
        <v>65</v>
      </c>
      <c r="C31" s="15" t="s">
        <v>32</v>
      </c>
      <c r="D31" s="31">
        <v>0.1</v>
      </c>
      <c r="E31" s="32"/>
      <c r="F31" s="32"/>
    </row>
    <row r="32" ht="15.75" customHeight="1">
      <c r="A32" s="14" t="s">
        <v>64</v>
      </c>
      <c r="B32" s="14" t="s">
        <v>66</v>
      </c>
      <c r="C32" s="15" t="s">
        <v>26</v>
      </c>
      <c r="D32" s="31">
        <v>0.7</v>
      </c>
      <c r="E32" s="32"/>
      <c r="F32" s="32"/>
    </row>
    <row r="33" ht="15.75" customHeight="1">
      <c r="A33" s="14" t="s">
        <v>64</v>
      </c>
      <c r="B33" s="14" t="s">
        <v>67</v>
      </c>
      <c r="C33" s="15" t="s">
        <v>32</v>
      </c>
      <c r="D33" s="31">
        <v>0.4</v>
      </c>
      <c r="E33" s="32"/>
      <c r="F33" s="32"/>
    </row>
    <row r="34" ht="15.75" customHeight="1">
      <c r="A34" s="14" t="s">
        <v>64</v>
      </c>
      <c r="B34" s="14" t="s">
        <v>68</v>
      </c>
      <c r="C34" s="15" t="s">
        <v>39</v>
      </c>
      <c r="D34" s="31">
        <v>0.1</v>
      </c>
      <c r="E34" s="32"/>
      <c r="F34" s="32"/>
    </row>
    <row r="35" ht="15.75" customHeight="1">
      <c r="A35" s="14" t="s">
        <v>64</v>
      </c>
      <c r="B35" s="14" t="s">
        <v>69</v>
      </c>
      <c r="C35" s="15" t="s">
        <v>28</v>
      </c>
      <c r="D35" s="31">
        <v>0.75</v>
      </c>
      <c r="E35" s="32"/>
      <c r="F35" s="32"/>
    </row>
    <row r="36" ht="15.75" customHeight="1">
      <c r="A36" s="14" t="s">
        <v>7</v>
      </c>
      <c r="B36" s="14" t="s">
        <v>70</v>
      </c>
      <c r="C36" s="15" t="s">
        <v>32</v>
      </c>
      <c r="D36" s="31">
        <v>0.8</v>
      </c>
      <c r="E36" s="32"/>
      <c r="F36" s="32"/>
    </row>
    <row r="37" ht="15.75" customHeight="1">
      <c r="A37" s="14" t="s">
        <v>7</v>
      </c>
      <c r="B37" s="14" t="s">
        <v>71</v>
      </c>
      <c r="C37" s="15" t="s">
        <v>28</v>
      </c>
      <c r="D37" s="31">
        <v>0.6</v>
      </c>
      <c r="E37" s="32"/>
      <c r="F37" s="32"/>
    </row>
    <row r="38" ht="15.75" customHeight="1">
      <c r="A38" s="14" t="s">
        <v>7</v>
      </c>
      <c r="B38" s="14" t="s">
        <v>72</v>
      </c>
      <c r="C38" s="15" t="s">
        <v>42</v>
      </c>
      <c r="D38" s="31">
        <v>0.6</v>
      </c>
      <c r="E38" s="32"/>
      <c r="F38" s="32"/>
    </row>
    <row r="39" ht="15.75" customHeight="1">
      <c r="A39" s="14" t="s">
        <v>7</v>
      </c>
      <c r="B39" s="14" t="s">
        <v>73</v>
      </c>
      <c r="C39" s="15" t="s">
        <v>45</v>
      </c>
      <c r="D39" s="31">
        <v>0.2</v>
      </c>
      <c r="E39" s="32"/>
      <c r="F39" s="32"/>
    </row>
    <row r="40" ht="15.75" customHeight="1">
      <c r="A40" s="14" t="s">
        <v>7</v>
      </c>
      <c r="B40" s="14" t="s">
        <v>74</v>
      </c>
      <c r="C40" s="15" t="s">
        <v>30</v>
      </c>
      <c r="D40" s="31">
        <v>0.1</v>
      </c>
      <c r="E40" s="32"/>
      <c r="F40" s="32"/>
    </row>
    <row r="41" ht="15.75" customHeight="1">
      <c r="A41" s="14" t="s">
        <v>75</v>
      </c>
      <c r="B41" s="14" t="s">
        <v>76</v>
      </c>
      <c r="C41" s="15" t="s">
        <v>28</v>
      </c>
      <c r="D41" s="31">
        <v>0.1</v>
      </c>
      <c r="E41" s="32"/>
      <c r="F41" s="32"/>
    </row>
    <row r="42" ht="15.75" customHeight="1">
      <c r="A42" s="14" t="s">
        <v>75</v>
      </c>
      <c r="B42" s="14" t="s">
        <v>77</v>
      </c>
      <c r="C42" s="15" t="s">
        <v>32</v>
      </c>
      <c r="D42" s="31">
        <v>0.2</v>
      </c>
      <c r="E42" s="32"/>
      <c r="F42" s="32"/>
    </row>
    <row r="43" ht="15.75" customHeight="1">
      <c r="A43" s="14" t="s">
        <v>75</v>
      </c>
      <c r="B43" s="14" t="s">
        <v>78</v>
      </c>
      <c r="C43" s="15" t="s">
        <v>32</v>
      </c>
      <c r="D43" s="31">
        <v>0.1</v>
      </c>
      <c r="E43" s="32"/>
      <c r="F43" s="32"/>
    </row>
    <row r="44" ht="15.75" customHeight="1">
      <c r="A44" s="14" t="s">
        <v>75</v>
      </c>
      <c r="B44" s="14" t="s">
        <v>79</v>
      </c>
      <c r="C44" s="15" t="s">
        <v>28</v>
      </c>
      <c r="D44" s="31">
        <v>0.6</v>
      </c>
      <c r="E44" s="32"/>
      <c r="F44" s="32"/>
    </row>
    <row r="45" ht="15.75" customHeight="1">
      <c r="A45" s="14" t="s">
        <v>75</v>
      </c>
      <c r="B45" s="14" t="s">
        <v>80</v>
      </c>
      <c r="C45" s="15" t="s">
        <v>45</v>
      </c>
      <c r="D45" s="31">
        <v>0.35</v>
      </c>
      <c r="E45" s="32"/>
      <c r="F45" s="32"/>
    </row>
    <row r="46" ht="15.75" customHeight="1">
      <c r="A46" s="14" t="s">
        <v>13</v>
      </c>
      <c r="B46" s="14" t="s">
        <v>82</v>
      </c>
      <c r="C46" s="15" t="s">
        <v>32</v>
      </c>
      <c r="D46" s="31">
        <v>0.35</v>
      </c>
      <c r="E46" s="32"/>
      <c r="F46" s="32"/>
    </row>
    <row r="47" ht="15.75" customHeight="1">
      <c r="A47" s="14" t="s">
        <v>13</v>
      </c>
      <c r="B47" s="14" t="s">
        <v>83</v>
      </c>
      <c r="C47" s="15" t="s">
        <v>39</v>
      </c>
      <c r="D47" s="31">
        <v>0.25</v>
      </c>
      <c r="E47" s="32"/>
      <c r="F47" s="32"/>
    </row>
    <row r="48" ht="15.75" customHeight="1">
      <c r="A48" s="14" t="s">
        <v>13</v>
      </c>
      <c r="B48" s="14" t="s">
        <v>84</v>
      </c>
      <c r="C48" s="15" t="s">
        <v>30</v>
      </c>
      <c r="D48" s="31">
        <v>0.3</v>
      </c>
      <c r="E48" s="32"/>
      <c r="F48" s="32"/>
    </row>
    <row r="49" ht="15.75" customHeight="1">
      <c r="A49" s="14" t="s">
        <v>13</v>
      </c>
      <c r="B49" s="14" t="s">
        <v>85</v>
      </c>
      <c r="C49" s="15" t="s">
        <v>30</v>
      </c>
      <c r="D49" s="31">
        <v>0.35</v>
      </c>
      <c r="E49" s="32"/>
      <c r="F49" s="32"/>
    </row>
    <row r="50" ht="15.75" customHeight="1">
      <c r="A50" s="14" t="s">
        <v>13</v>
      </c>
      <c r="B50" s="14" t="s">
        <v>86</v>
      </c>
      <c r="C50" s="15" t="s">
        <v>32</v>
      </c>
      <c r="D50" s="31">
        <v>0.1</v>
      </c>
      <c r="E50" s="32"/>
      <c r="F50" s="32"/>
    </row>
    <row r="51" ht="15.75" customHeight="1">
      <c r="A51" s="14" t="s">
        <v>10</v>
      </c>
      <c r="B51" s="14" t="s">
        <v>87</v>
      </c>
      <c r="C51" s="15" t="s">
        <v>30</v>
      </c>
      <c r="D51" s="31">
        <v>0.2</v>
      </c>
      <c r="E51" s="32"/>
      <c r="F51" s="32"/>
    </row>
    <row r="52" ht="15.75" customHeight="1">
      <c r="A52" s="14" t="s">
        <v>10</v>
      </c>
      <c r="B52" s="14" t="s">
        <v>88</v>
      </c>
      <c r="C52" s="15" t="s">
        <v>30</v>
      </c>
      <c r="D52" s="31">
        <v>0.35</v>
      </c>
      <c r="E52" s="32"/>
      <c r="F52" s="32"/>
    </row>
    <row r="53" ht="15.75" customHeight="1">
      <c r="A53" s="14" t="s">
        <v>10</v>
      </c>
      <c r="B53" s="14" t="s">
        <v>89</v>
      </c>
      <c r="C53" s="15" t="s">
        <v>26</v>
      </c>
      <c r="D53" s="31">
        <v>0.2</v>
      </c>
      <c r="E53" s="32"/>
      <c r="F53" s="32"/>
    </row>
    <row r="54" ht="15.75" customHeight="1">
      <c r="A54" s="14" t="s">
        <v>10</v>
      </c>
      <c r="B54" s="14" t="s">
        <v>90</v>
      </c>
      <c r="C54" s="15" t="s">
        <v>32</v>
      </c>
      <c r="D54" s="31">
        <v>0.15</v>
      </c>
      <c r="E54" s="32"/>
      <c r="F54" s="32"/>
    </row>
    <row r="55" ht="15.75" customHeight="1">
      <c r="A55" s="14" t="s">
        <v>10</v>
      </c>
      <c r="B55" s="20" t="s">
        <v>91</v>
      </c>
      <c r="C55" s="15" t="s">
        <v>50</v>
      </c>
      <c r="D55" s="31">
        <v>0.1</v>
      </c>
      <c r="E55" s="32"/>
      <c r="F55" s="32"/>
    </row>
    <row r="56" ht="15.75" customHeight="1">
      <c r="A56" s="14" t="s">
        <v>17</v>
      </c>
      <c r="B56" s="14" t="s">
        <v>92</v>
      </c>
      <c r="C56" s="15" t="s">
        <v>32</v>
      </c>
      <c r="D56" s="31">
        <v>0.2</v>
      </c>
      <c r="E56" s="32"/>
      <c r="F56" s="32"/>
    </row>
    <row r="57" ht="15.75" customHeight="1">
      <c r="A57" s="14" t="s">
        <v>17</v>
      </c>
      <c r="B57" s="14" t="s">
        <v>93</v>
      </c>
      <c r="C57" s="15" t="s">
        <v>32</v>
      </c>
      <c r="D57" s="31">
        <v>0.6</v>
      </c>
      <c r="E57" s="32"/>
      <c r="F57" s="32"/>
    </row>
    <row r="58" ht="15.75" customHeight="1">
      <c r="A58" s="14" t="s">
        <v>17</v>
      </c>
      <c r="B58" s="14" t="s">
        <v>94</v>
      </c>
      <c r="C58" s="15" t="s">
        <v>30</v>
      </c>
      <c r="D58" s="31">
        <v>0.5</v>
      </c>
      <c r="E58" s="32"/>
      <c r="F58" s="32"/>
    </row>
    <row r="59" ht="15.75" customHeight="1">
      <c r="A59" s="14" t="s">
        <v>17</v>
      </c>
      <c r="B59" s="14" t="s">
        <v>95</v>
      </c>
      <c r="C59" s="15" t="s">
        <v>32</v>
      </c>
      <c r="D59" s="31">
        <v>0.5</v>
      </c>
      <c r="E59" s="32"/>
      <c r="F59" s="32"/>
    </row>
    <row r="60" ht="15.75" customHeight="1">
      <c r="A60" s="14" t="s">
        <v>17</v>
      </c>
      <c r="B60" s="14" t="s">
        <v>96</v>
      </c>
      <c r="C60" s="15" t="s">
        <v>32</v>
      </c>
      <c r="D60" s="31">
        <v>0.5</v>
      </c>
      <c r="E60" s="32"/>
      <c r="F60" s="32"/>
    </row>
    <row r="61">
      <c r="C61" s="33"/>
      <c r="D61" s="33"/>
      <c r="E61" s="33"/>
      <c r="F61" s="33"/>
    </row>
    <row r="62">
      <c r="C62" s="33"/>
      <c r="D62" s="33"/>
      <c r="E62" s="33"/>
      <c r="F62" s="33"/>
    </row>
    <row r="63">
      <c r="C63" s="33"/>
      <c r="D63" s="33"/>
      <c r="E63" s="33"/>
      <c r="F63" s="33"/>
    </row>
    <row r="64">
      <c r="C64" s="33"/>
      <c r="D64" s="33"/>
      <c r="E64" s="33"/>
      <c r="F64" s="33"/>
    </row>
    <row r="65">
      <c r="C65" s="33"/>
      <c r="D65" s="33"/>
      <c r="E65" s="33"/>
      <c r="F65" s="33"/>
    </row>
    <row r="66">
      <c r="C66" s="33"/>
      <c r="D66" s="33"/>
      <c r="E66" s="33"/>
      <c r="F66" s="33"/>
    </row>
    <row r="67">
      <c r="C67" s="33"/>
      <c r="D67" s="33"/>
      <c r="E67" s="33"/>
      <c r="F67" s="33"/>
    </row>
    <row r="68">
      <c r="C68" s="33"/>
      <c r="D68" s="33"/>
      <c r="E68" s="33"/>
      <c r="F68" s="33"/>
    </row>
    <row r="69">
      <c r="C69" s="33"/>
      <c r="D69" s="33"/>
      <c r="E69" s="33"/>
      <c r="F69" s="33"/>
    </row>
    <row r="70">
      <c r="C70" s="33"/>
      <c r="D70" s="33"/>
      <c r="E70" s="33"/>
      <c r="F70" s="33"/>
    </row>
    <row r="71">
      <c r="C71" s="33"/>
      <c r="D71" s="33"/>
      <c r="E71" s="33"/>
      <c r="F71" s="33"/>
    </row>
    <row r="72">
      <c r="C72" s="33"/>
      <c r="D72" s="33"/>
      <c r="E72" s="33"/>
      <c r="F72" s="33"/>
    </row>
    <row r="73">
      <c r="C73" s="33"/>
      <c r="D73" s="33"/>
      <c r="E73" s="33"/>
      <c r="F73" s="33"/>
    </row>
    <row r="74">
      <c r="C74" s="33"/>
      <c r="D74" s="33"/>
      <c r="E74" s="33"/>
      <c r="F74" s="33"/>
    </row>
    <row r="75">
      <c r="C75" s="33"/>
      <c r="D75" s="33"/>
      <c r="E75" s="33"/>
      <c r="F75" s="33"/>
    </row>
    <row r="76">
      <c r="C76" s="33"/>
      <c r="D76" s="33"/>
      <c r="E76" s="33"/>
      <c r="F76" s="33"/>
    </row>
    <row r="77">
      <c r="C77" s="33"/>
      <c r="D77" s="33"/>
      <c r="E77" s="33"/>
      <c r="F77" s="33"/>
    </row>
    <row r="78">
      <c r="C78" s="33"/>
      <c r="D78" s="33"/>
      <c r="E78" s="33"/>
      <c r="F78" s="33"/>
    </row>
    <row r="79">
      <c r="C79" s="33"/>
      <c r="D79" s="33"/>
      <c r="E79" s="33"/>
      <c r="F79" s="33"/>
    </row>
    <row r="80">
      <c r="C80" s="33"/>
      <c r="D80" s="33"/>
      <c r="E80" s="33"/>
      <c r="F80" s="33"/>
    </row>
    <row r="81">
      <c r="C81" s="33"/>
      <c r="D81" s="33"/>
      <c r="E81" s="33"/>
      <c r="F81" s="33"/>
    </row>
    <row r="82" ht="15.75" customHeight="1">
      <c r="C82" s="33"/>
      <c r="D82" s="33"/>
      <c r="E82" s="33"/>
      <c r="F82" s="33"/>
    </row>
    <row r="83" ht="15.75" customHeight="1">
      <c r="C83" s="33"/>
      <c r="D83" s="33"/>
      <c r="E83" s="33"/>
      <c r="F83" s="33"/>
    </row>
    <row r="84" ht="15.75" customHeight="1">
      <c r="C84" s="33"/>
      <c r="D84" s="33"/>
      <c r="E84" s="33"/>
      <c r="F84" s="33"/>
    </row>
    <row r="85" ht="15.75" customHeight="1">
      <c r="C85" s="33"/>
      <c r="D85" s="33"/>
      <c r="E85" s="33"/>
      <c r="F85" s="33"/>
    </row>
    <row r="86" ht="15.75" customHeight="1">
      <c r="C86" s="33"/>
      <c r="D86" s="33"/>
      <c r="E86" s="33"/>
      <c r="F86" s="33"/>
    </row>
    <row r="87" ht="15.75" customHeight="1">
      <c r="C87" s="33"/>
      <c r="D87" s="33"/>
      <c r="E87" s="33"/>
      <c r="F87" s="33"/>
    </row>
    <row r="88" ht="15.75" customHeight="1">
      <c r="C88" s="33"/>
      <c r="D88" s="33"/>
      <c r="E88" s="33"/>
      <c r="F88" s="33"/>
    </row>
    <row r="89" ht="15.75" customHeight="1">
      <c r="C89" s="33"/>
      <c r="D89" s="33"/>
      <c r="E89" s="33"/>
      <c r="F89" s="33"/>
    </row>
    <row r="90" ht="15.75" customHeight="1">
      <c r="C90" s="33"/>
      <c r="D90" s="33"/>
      <c r="E90" s="33"/>
      <c r="F90" s="33"/>
    </row>
    <row r="91" ht="15.75" customHeight="1">
      <c r="C91" s="33"/>
      <c r="D91" s="33"/>
      <c r="E91" s="33"/>
      <c r="F91" s="33"/>
    </row>
    <row r="92" ht="15.75" customHeight="1">
      <c r="C92" s="33"/>
      <c r="D92" s="33"/>
      <c r="E92" s="33"/>
      <c r="F92" s="33"/>
    </row>
    <row r="93" ht="15.75" customHeight="1">
      <c r="C93" s="33"/>
      <c r="D93" s="33"/>
      <c r="E93" s="33"/>
      <c r="F93" s="33"/>
    </row>
    <row r="94" ht="15.75" customHeight="1">
      <c r="C94" s="33"/>
      <c r="D94" s="33"/>
      <c r="E94" s="33"/>
      <c r="F94" s="33"/>
    </row>
    <row r="95" ht="15.75" customHeight="1">
      <c r="C95" s="33"/>
      <c r="D95" s="33"/>
      <c r="E95" s="33"/>
      <c r="F95" s="33"/>
    </row>
    <row r="96" ht="15.75" customHeight="1">
      <c r="C96" s="33"/>
      <c r="D96" s="33"/>
      <c r="E96" s="33"/>
      <c r="F96" s="33"/>
    </row>
    <row r="97" ht="15.75" customHeight="1">
      <c r="C97" s="33"/>
      <c r="D97" s="33"/>
      <c r="E97" s="33"/>
      <c r="F97" s="33"/>
    </row>
    <row r="98" ht="15.75" customHeight="1">
      <c r="C98" s="33"/>
      <c r="D98" s="33"/>
      <c r="E98" s="33"/>
      <c r="F98" s="33"/>
    </row>
    <row r="99" ht="15.75" customHeight="1">
      <c r="C99" s="33"/>
      <c r="D99" s="33"/>
      <c r="E99" s="33"/>
      <c r="F99" s="33"/>
    </row>
    <row r="100" ht="15.75" customHeight="1">
      <c r="C100" s="33"/>
      <c r="D100" s="33"/>
      <c r="E100" s="33"/>
      <c r="F100" s="33"/>
    </row>
    <row r="101" ht="15.75" customHeight="1">
      <c r="C101" s="33"/>
      <c r="D101" s="33"/>
      <c r="E101" s="33"/>
      <c r="F101" s="33"/>
    </row>
    <row r="102" ht="15.75" customHeight="1">
      <c r="C102" s="33"/>
      <c r="D102" s="33"/>
      <c r="E102" s="33"/>
      <c r="F102" s="33"/>
    </row>
    <row r="103" ht="15.75" customHeight="1">
      <c r="C103" s="33"/>
      <c r="D103" s="33"/>
      <c r="E103" s="33"/>
      <c r="F103" s="33"/>
    </row>
    <row r="104" ht="15.75" customHeight="1">
      <c r="C104" s="33"/>
      <c r="D104" s="33"/>
      <c r="E104" s="33"/>
      <c r="F104" s="33"/>
    </row>
    <row r="105" ht="15.75" customHeight="1">
      <c r="C105" s="33"/>
      <c r="D105" s="33"/>
      <c r="E105" s="33"/>
      <c r="F105" s="33"/>
    </row>
    <row r="106" ht="15.75" customHeight="1">
      <c r="C106" s="33"/>
      <c r="D106" s="33"/>
      <c r="E106" s="33"/>
      <c r="F106" s="33"/>
    </row>
    <row r="107" ht="15.75" customHeight="1">
      <c r="C107" s="33"/>
      <c r="D107" s="33"/>
      <c r="E107" s="33"/>
      <c r="F107" s="33"/>
    </row>
    <row r="108" ht="15.75" customHeight="1">
      <c r="C108" s="33"/>
      <c r="D108" s="33"/>
      <c r="E108" s="33"/>
      <c r="F108" s="33"/>
    </row>
    <row r="109" ht="15.75" customHeight="1">
      <c r="C109" s="33"/>
      <c r="D109" s="33"/>
      <c r="E109" s="33"/>
      <c r="F109" s="33"/>
    </row>
    <row r="110" ht="15.75" customHeight="1">
      <c r="C110" s="33"/>
      <c r="D110" s="33"/>
      <c r="E110" s="33"/>
      <c r="F110" s="33"/>
    </row>
    <row r="111" ht="15.75" customHeight="1">
      <c r="C111" s="33"/>
      <c r="D111" s="33"/>
      <c r="E111" s="33"/>
      <c r="F111" s="33"/>
    </row>
    <row r="112" ht="15.75" customHeight="1">
      <c r="C112" s="33"/>
      <c r="D112" s="33"/>
      <c r="E112" s="33"/>
      <c r="F112" s="33"/>
    </row>
    <row r="113" ht="15.75" customHeight="1">
      <c r="C113" s="33"/>
      <c r="D113" s="33"/>
      <c r="E113" s="33"/>
      <c r="F113" s="33"/>
    </row>
    <row r="114" ht="15.75" customHeight="1">
      <c r="C114" s="33"/>
      <c r="D114" s="33"/>
      <c r="E114" s="33"/>
      <c r="F114" s="33"/>
    </row>
    <row r="115" ht="15.75" customHeight="1">
      <c r="C115" s="33"/>
      <c r="D115" s="33"/>
      <c r="E115" s="33"/>
      <c r="F115" s="33"/>
    </row>
    <row r="116" ht="15.75" customHeight="1">
      <c r="C116" s="33"/>
      <c r="D116" s="33"/>
      <c r="E116" s="33"/>
      <c r="F116" s="33"/>
    </row>
    <row r="117" ht="15.75" customHeight="1">
      <c r="C117" s="33"/>
      <c r="D117" s="33"/>
      <c r="E117" s="33"/>
      <c r="F117" s="33"/>
    </row>
    <row r="118" ht="15.75" customHeight="1">
      <c r="C118" s="33"/>
      <c r="D118" s="33"/>
      <c r="E118" s="33"/>
      <c r="F118" s="33"/>
    </row>
    <row r="119" ht="15.75" customHeight="1">
      <c r="C119" s="33"/>
      <c r="D119" s="33"/>
      <c r="E119" s="33"/>
      <c r="F119" s="33"/>
    </row>
    <row r="120" ht="15.75" customHeight="1">
      <c r="C120" s="33"/>
      <c r="D120" s="33"/>
      <c r="E120" s="33"/>
      <c r="F120" s="33"/>
    </row>
    <row r="121" ht="15.75" customHeight="1">
      <c r="C121" s="33"/>
      <c r="D121" s="33"/>
      <c r="E121" s="33"/>
      <c r="F121" s="33"/>
    </row>
    <row r="122" ht="15.75" customHeight="1">
      <c r="C122" s="33"/>
      <c r="D122" s="33"/>
      <c r="E122" s="33"/>
      <c r="F122" s="33"/>
    </row>
    <row r="123" ht="15.75" customHeight="1">
      <c r="C123" s="33"/>
      <c r="D123" s="33"/>
      <c r="E123" s="33"/>
      <c r="F123" s="33"/>
    </row>
    <row r="124" ht="15.75" customHeight="1">
      <c r="C124" s="33"/>
      <c r="D124" s="33"/>
      <c r="E124" s="33"/>
      <c r="F124" s="33"/>
    </row>
    <row r="125" ht="15.75" customHeight="1">
      <c r="C125" s="33"/>
      <c r="D125" s="33"/>
      <c r="E125" s="33"/>
      <c r="F125" s="33"/>
    </row>
    <row r="126" ht="15.75" customHeight="1">
      <c r="C126" s="33"/>
      <c r="D126" s="33"/>
      <c r="E126" s="33"/>
      <c r="F126" s="33"/>
    </row>
    <row r="127" ht="15.75" customHeight="1">
      <c r="C127" s="33"/>
      <c r="D127" s="33"/>
      <c r="E127" s="33"/>
      <c r="F127" s="33"/>
    </row>
    <row r="128" ht="15.75" customHeight="1">
      <c r="C128" s="33"/>
      <c r="D128" s="33"/>
      <c r="E128" s="33"/>
      <c r="F128" s="33"/>
    </row>
    <row r="129" ht="15.75" customHeight="1">
      <c r="C129" s="33"/>
      <c r="D129" s="33"/>
      <c r="E129" s="33"/>
      <c r="F129" s="33"/>
    </row>
    <row r="130" ht="15.75" customHeight="1">
      <c r="C130" s="33"/>
      <c r="D130" s="33"/>
      <c r="E130" s="33"/>
      <c r="F130" s="33"/>
    </row>
    <row r="131" ht="15.75" customHeight="1">
      <c r="C131" s="33"/>
      <c r="D131" s="33"/>
      <c r="E131" s="33"/>
      <c r="F131" s="33"/>
    </row>
    <row r="132" ht="15.75" customHeight="1">
      <c r="C132" s="33"/>
      <c r="D132" s="33"/>
      <c r="E132" s="33"/>
      <c r="F132" s="33"/>
    </row>
    <row r="133" ht="15.75" customHeight="1">
      <c r="C133" s="33"/>
      <c r="D133" s="33"/>
      <c r="E133" s="33"/>
      <c r="F133" s="33"/>
    </row>
    <row r="134" ht="15.75" customHeight="1">
      <c r="C134" s="33"/>
      <c r="D134" s="33"/>
      <c r="E134" s="33"/>
      <c r="F134" s="33"/>
    </row>
    <row r="135" ht="15.75" customHeight="1">
      <c r="C135" s="33"/>
      <c r="D135" s="33"/>
      <c r="E135" s="33"/>
      <c r="F135" s="33"/>
    </row>
    <row r="136" ht="15.75" customHeight="1">
      <c r="C136" s="33"/>
      <c r="D136" s="33"/>
      <c r="E136" s="33"/>
      <c r="F136" s="33"/>
    </row>
    <row r="137" ht="15.75" customHeight="1">
      <c r="C137" s="33"/>
      <c r="D137" s="33"/>
      <c r="E137" s="33"/>
      <c r="F137" s="33"/>
    </row>
    <row r="138" ht="15.75" customHeight="1">
      <c r="C138" s="33"/>
      <c r="D138" s="33"/>
      <c r="E138" s="33"/>
      <c r="F138" s="33"/>
    </row>
    <row r="139" ht="15.75" customHeight="1">
      <c r="C139" s="33"/>
      <c r="D139" s="33"/>
      <c r="E139" s="33"/>
      <c r="F139" s="33"/>
    </row>
    <row r="140" ht="15.75" customHeight="1">
      <c r="C140" s="33"/>
      <c r="D140" s="33"/>
      <c r="E140" s="33"/>
      <c r="F140" s="33"/>
    </row>
    <row r="141" ht="15.75" customHeight="1">
      <c r="C141" s="33"/>
      <c r="D141" s="33"/>
      <c r="E141" s="33"/>
      <c r="F141" s="33"/>
    </row>
    <row r="142" ht="15.75" customHeight="1">
      <c r="C142" s="33"/>
      <c r="D142" s="33"/>
      <c r="E142" s="33"/>
      <c r="F142" s="33"/>
    </row>
    <row r="143" ht="15.75" customHeight="1">
      <c r="C143" s="33"/>
      <c r="D143" s="33"/>
      <c r="E143" s="33"/>
      <c r="F143" s="33"/>
    </row>
    <row r="144" ht="15.75" customHeight="1">
      <c r="C144" s="33"/>
      <c r="D144" s="33"/>
      <c r="E144" s="33"/>
      <c r="F144" s="33"/>
    </row>
    <row r="145" ht="15.75" customHeight="1">
      <c r="C145" s="33"/>
      <c r="D145" s="33"/>
      <c r="E145" s="33"/>
      <c r="F145" s="33"/>
    </row>
    <row r="146" ht="15.75" customHeight="1">
      <c r="C146" s="33"/>
      <c r="D146" s="33"/>
      <c r="E146" s="33"/>
      <c r="F146" s="33"/>
    </row>
    <row r="147" ht="15.75" customHeight="1">
      <c r="C147" s="33"/>
      <c r="D147" s="33"/>
      <c r="E147" s="33"/>
      <c r="F147" s="33"/>
    </row>
    <row r="148" ht="15.75" customHeight="1">
      <c r="C148" s="33"/>
      <c r="D148" s="33"/>
      <c r="E148" s="33"/>
      <c r="F148" s="33"/>
    </row>
    <row r="149" ht="15.75" customHeight="1">
      <c r="C149" s="33"/>
      <c r="D149" s="33"/>
      <c r="E149" s="33"/>
      <c r="F149" s="33"/>
    </row>
    <row r="150" ht="15.75" customHeight="1">
      <c r="C150" s="33"/>
      <c r="D150" s="33"/>
      <c r="E150" s="33"/>
      <c r="F150" s="33"/>
    </row>
    <row r="151" ht="15.75" customHeight="1">
      <c r="C151" s="33"/>
      <c r="D151" s="33"/>
      <c r="E151" s="33"/>
      <c r="F151" s="33"/>
    </row>
    <row r="152" ht="15.75" customHeight="1">
      <c r="C152" s="33"/>
      <c r="D152" s="33"/>
      <c r="E152" s="33"/>
      <c r="F152" s="33"/>
    </row>
    <row r="153" ht="15.75" customHeight="1">
      <c r="C153" s="33"/>
      <c r="D153" s="33"/>
      <c r="E153" s="33"/>
      <c r="F153" s="33"/>
    </row>
    <row r="154" ht="15.75" customHeight="1">
      <c r="C154" s="33"/>
      <c r="D154" s="33"/>
      <c r="E154" s="33"/>
      <c r="F154" s="33"/>
    </row>
    <row r="155" ht="15.75" customHeight="1">
      <c r="C155" s="33"/>
      <c r="D155" s="33"/>
      <c r="E155" s="33"/>
      <c r="F155" s="33"/>
    </row>
    <row r="156" ht="15.75" customHeight="1">
      <c r="C156" s="33"/>
      <c r="D156" s="33"/>
      <c r="E156" s="33"/>
      <c r="F156" s="33"/>
    </row>
    <row r="157" ht="15.75" customHeight="1">
      <c r="C157" s="33"/>
      <c r="D157" s="33"/>
      <c r="E157" s="33"/>
      <c r="F157" s="33"/>
    </row>
    <row r="158" ht="15.75" customHeight="1">
      <c r="C158" s="33"/>
      <c r="D158" s="33"/>
      <c r="E158" s="33"/>
      <c r="F158" s="33"/>
    </row>
    <row r="159" ht="15.75" customHeight="1">
      <c r="C159" s="33"/>
      <c r="D159" s="33"/>
      <c r="E159" s="33"/>
      <c r="F159" s="33"/>
    </row>
    <row r="160" ht="15.75" customHeight="1">
      <c r="C160" s="33"/>
      <c r="D160" s="33"/>
      <c r="E160" s="33"/>
      <c r="F160" s="33"/>
    </row>
    <row r="161" ht="15.75" customHeight="1">
      <c r="C161" s="33"/>
      <c r="D161" s="33"/>
      <c r="E161" s="33"/>
      <c r="F161" s="33"/>
    </row>
    <row r="162" ht="15.75" customHeight="1">
      <c r="C162" s="33"/>
      <c r="D162" s="33"/>
      <c r="E162" s="33"/>
      <c r="F162" s="33"/>
    </row>
    <row r="163" ht="15.75" customHeight="1">
      <c r="C163" s="33"/>
      <c r="D163" s="33"/>
      <c r="E163" s="33"/>
      <c r="F163" s="33"/>
    </row>
    <row r="164" ht="15.75" customHeight="1">
      <c r="C164" s="33"/>
      <c r="D164" s="33"/>
      <c r="E164" s="33"/>
      <c r="F164" s="33"/>
    </row>
    <row r="165" ht="15.75" customHeight="1">
      <c r="C165" s="33"/>
      <c r="D165" s="33"/>
      <c r="E165" s="33"/>
      <c r="F165" s="33"/>
    </row>
    <row r="166" ht="15.75" customHeight="1">
      <c r="C166" s="33"/>
      <c r="D166" s="33"/>
      <c r="E166" s="33"/>
      <c r="F166" s="33"/>
    </row>
    <row r="167" ht="15.75" customHeight="1">
      <c r="C167" s="33"/>
      <c r="D167" s="33"/>
      <c r="E167" s="33"/>
      <c r="F167" s="33"/>
    </row>
    <row r="168" ht="15.75" customHeight="1">
      <c r="C168" s="33"/>
      <c r="D168" s="33"/>
      <c r="E168" s="33"/>
      <c r="F168" s="33"/>
    </row>
    <row r="169" ht="15.75" customHeight="1">
      <c r="C169" s="33"/>
      <c r="D169" s="33"/>
      <c r="E169" s="33"/>
      <c r="F169" s="33"/>
    </row>
    <row r="170" ht="15.75" customHeight="1">
      <c r="C170" s="33"/>
      <c r="D170" s="33"/>
      <c r="E170" s="33"/>
      <c r="F170" s="33"/>
    </row>
    <row r="171" ht="15.75" customHeight="1">
      <c r="C171" s="33"/>
      <c r="D171" s="33"/>
      <c r="E171" s="33"/>
      <c r="F171" s="33"/>
    </row>
    <row r="172" ht="15.75" customHeight="1">
      <c r="C172" s="33"/>
      <c r="D172" s="33"/>
      <c r="E172" s="33"/>
      <c r="F172" s="33"/>
    </row>
    <row r="173" ht="15.75" customHeight="1">
      <c r="C173" s="33"/>
      <c r="D173" s="33"/>
      <c r="E173" s="33"/>
      <c r="F173" s="33"/>
    </row>
    <row r="174" ht="15.75" customHeight="1">
      <c r="C174" s="33"/>
      <c r="D174" s="33"/>
      <c r="E174" s="33"/>
      <c r="F174" s="33"/>
    </row>
    <row r="175" ht="15.75" customHeight="1">
      <c r="C175" s="33"/>
      <c r="D175" s="33"/>
      <c r="E175" s="33"/>
      <c r="F175" s="33"/>
    </row>
    <row r="176" ht="15.75" customHeight="1">
      <c r="C176" s="33"/>
      <c r="D176" s="33"/>
      <c r="E176" s="33"/>
      <c r="F176" s="33"/>
    </row>
    <row r="177" ht="15.75" customHeight="1">
      <c r="C177" s="33"/>
      <c r="D177" s="33"/>
      <c r="E177" s="33"/>
      <c r="F177" s="33"/>
    </row>
    <row r="178" ht="15.75" customHeight="1">
      <c r="C178" s="33"/>
      <c r="D178" s="33"/>
      <c r="E178" s="33"/>
      <c r="F178" s="33"/>
    </row>
    <row r="179" ht="15.75" customHeight="1">
      <c r="C179" s="33"/>
      <c r="D179" s="33"/>
      <c r="E179" s="33"/>
      <c r="F179" s="33"/>
    </row>
    <row r="180" ht="15.75" customHeight="1">
      <c r="C180" s="33"/>
      <c r="D180" s="33"/>
      <c r="E180" s="33"/>
      <c r="F180" s="33"/>
    </row>
    <row r="181" ht="15.75" customHeight="1">
      <c r="C181" s="33"/>
      <c r="D181" s="33"/>
      <c r="E181" s="33"/>
      <c r="F181" s="33"/>
    </row>
    <row r="182" ht="15.75" customHeight="1">
      <c r="C182" s="33"/>
      <c r="D182" s="33"/>
      <c r="E182" s="33"/>
      <c r="F182" s="33"/>
    </row>
    <row r="183" ht="15.75" customHeight="1">
      <c r="C183" s="33"/>
      <c r="D183" s="33"/>
      <c r="E183" s="33"/>
      <c r="F183" s="33"/>
    </row>
    <row r="184" ht="15.75" customHeight="1">
      <c r="C184" s="33"/>
      <c r="D184" s="33"/>
      <c r="E184" s="33"/>
      <c r="F184" s="33"/>
    </row>
    <row r="185" ht="15.75" customHeight="1">
      <c r="C185" s="33"/>
      <c r="D185" s="33"/>
      <c r="E185" s="33"/>
      <c r="F185" s="33"/>
    </row>
    <row r="186" ht="15.75" customHeight="1">
      <c r="C186" s="33"/>
      <c r="D186" s="33"/>
      <c r="E186" s="33"/>
      <c r="F186" s="33"/>
    </row>
    <row r="187" ht="15.75" customHeight="1">
      <c r="C187" s="33"/>
      <c r="D187" s="33"/>
      <c r="E187" s="33"/>
      <c r="F187" s="33"/>
    </row>
    <row r="188" ht="15.75" customHeight="1">
      <c r="C188" s="33"/>
      <c r="D188" s="33"/>
      <c r="E188" s="33"/>
      <c r="F188" s="33"/>
    </row>
    <row r="189" ht="15.75" customHeight="1">
      <c r="C189" s="33"/>
      <c r="D189" s="33"/>
      <c r="E189" s="33"/>
      <c r="F189" s="33"/>
    </row>
    <row r="190" ht="15.75" customHeight="1">
      <c r="C190" s="33"/>
      <c r="D190" s="33"/>
      <c r="E190" s="33"/>
      <c r="F190" s="33"/>
    </row>
    <row r="191" ht="15.75" customHeight="1">
      <c r="C191" s="33"/>
      <c r="D191" s="33"/>
      <c r="E191" s="33"/>
      <c r="F191" s="33"/>
    </row>
    <row r="192" ht="15.75" customHeight="1">
      <c r="C192" s="33"/>
      <c r="D192" s="33"/>
      <c r="E192" s="33"/>
      <c r="F192" s="33"/>
    </row>
    <row r="193" ht="15.75" customHeight="1">
      <c r="C193" s="33"/>
      <c r="D193" s="33"/>
      <c r="E193" s="33"/>
      <c r="F193" s="33"/>
    </row>
    <row r="194" ht="15.75" customHeight="1">
      <c r="C194" s="33"/>
      <c r="D194" s="33"/>
      <c r="E194" s="33"/>
      <c r="F194" s="33"/>
    </row>
    <row r="195" ht="15.75" customHeight="1">
      <c r="C195" s="33"/>
      <c r="D195" s="33"/>
      <c r="E195" s="33"/>
      <c r="F195" s="33"/>
    </row>
    <row r="196" ht="15.75" customHeight="1">
      <c r="C196" s="33"/>
      <c r="D196" s="33"/>
      <c r="E196" s="33"/>
      <c r="F196" s="33"/>
    </row>
    <row r="197" ht="15.75" customHeight="1">
      <c r="C197" s="33"/>
      <c r="D197" s="33"/>
      <c r="E197" s="33"/>
      <c r="F197" s="33"/>
    </row>
    <row r="198" ht="15.75" customHeight="1">
      <c r="C198" s="33"/>
      <c r="D198" s="33"/>
      <c r="E198" s="33"/>
      <c r="F198" s="33"/>
    </row>
    <row r="199" ht="15.75" customHeight="1">
      <c r="C199" s="33"/>
      <c r="D199" s="33"/>
      <c r="E199" s="33"/>
      <c r="F199" s="33"/>
    </row>
    <row r="200" ht="15.75" customHeight="1">
      <c r="C200" s="33"/>
      <c r="D200" s="33"/>
      <c r="E200" s="33"/>
      <c r="F200" s="33"/>
    </row>
    <row r="201" ht="15.75" customHeight="1">
      <c r="C201" s="33"/>
      <c r="D201" s="33"/>
      <c r="E201" s="33"/>
      <c r="F201" s="33"/>
    </row>
    <row r="202" ht="15.75" customHeight="1">
      <c r="C202" s="33"/>
      <c r="D202" s="33"/>
      <c r="E202" s="33"/>
      <c r="F202" s="33"/>
    </row>
    <row r="203" ht="15.75" customHeight="1">
      <c r="C203" s="33"/>
      <c r="D203" s="33"/>
      <c r="E203" s="33"/>
      <c r="F203" s="33"/>
    </row>
    <row r="204" ht="15.75" customHeight="1">
      <c r="C204" s="33"/>
      <c r="D204" s="33"/>
      <c r="E204" s="33"/>
      <c r="F204" s="33"/>
    </row>
    <row r="205" ht="15.75" customHeight="1">
      <c r="C205" s="33"/>
      <c r="D205" s="33"/>
      <c r="E205" s="33"/>
      <c r="F205" s="33"/>
    </row>
    <row r="206" ht="15.75" customHeight="1">
      <c r="C206" s="33"/>
      <c r="D206" s="33"/>
      <c r="E206" s="33"/>
      <c r="F206" s="33"/>
    </row>
    <row r="207" ht="15.75" customHeight="1">
      <c r="C207" s="33"/>
      <c r="D207" s="33"/>
      <c r="E207" s="33"/>
      <c r="F207" s="33"/>
    </row>
    <row r="208" ht="15.75" customHeight="1">
      <c r="C208" s="33"/>
      <c r="D208" s="33"/>
      <c r="E208" s="33"/>
      <c r="F208" s="33"/>
    </row>
    <row r="209" ht="15.75" customHeight="1">
      <c r="C209" s="33"/>
      <c r="D209" s="33"/>
      <c r="E209" s="33"/>
      <c r="F209" s="33"/>
    </row>
    <row r="210" ht="15.75" customHeight="1">
      <c r="C210" s="33"/>
      <c r="D210" s="33"/>
      <c r="E210" s="33"/>
      <c r="F210" s="33"/>
    </row>
    <row r="211" ht="15.75" customHeight="1">
      <c r="C211" s="33"/>
      <c r="D211" s="33"/>
      <c r="E211" s="33"/>
      <c r="F211" s="33"/>
    </row>
    <row r="212" ht="15.75" customHeight="1">
      <c r="C212" s="33"/>
      <c r="D212" s="33"/>
      <c r="E212" s="33"/>
      <c r="F212" s="33"/>
    </row>
    <row r="213" ht="15.75" customHeight="1">
      <c r="C213" s="33"/>
      <c r="D213" s="33"/>
      <c r="E213" s="33"/>
      <c r="F213" s="33"/>
    </row>
    <row r="214" ht="15.75" customHeight="1">
      <c r="C214" s="33"/>
      <c r="D214" s="33"/>
      <c r="E214" s="33"/>
      <c r="F214" s="33"/>
    </row>
    <row r="215" ht="15.75" customHeight="1">
      <c r="C215" s="33"/>
      <c r="D215" s="33"/>
      <c r="E215" s="33"/>
      <c r="F215" s="33"/>
    </row>
    <row r="216" ht="15.75" customHeight="1">
      <c r="C216" s="33"/>
      <c r="D216" s="33"/>
      <c r="E216" s="33"/>
      <c r="F216" s="33"/>
    </row>
    <row r="217" ht="15.75" customHeight="1">
      <c r="C217" s="33"/>
      <c r="D217" s="33"/>
      <c r="E217" s="33"/>
      <c r="F217" s="33"/>
    </row>
    <row r="218" ht="15.75" customHeight="1">
      <c r="C218" s="33"/>
      <c r="D218" s="33"/>
      <c r="E218" s="33"/>
      <c r="F218" s="33"/>
    </row>
    <row r="219" ht="15.75" customHeight="1">
      <c r="C219" s="33"/>
      <c r="D219" s="33"/>
      <c r="E219" s="33"/>
      <c r="F219" s="33"/>
    </row>
    <row r="220" ht="15.75" customHeight="1">
      <c r="C220" s="33"/>
      <c r="D220" s="33"/>
      <c r="E220" s="33"/>
      <c r="F220" s="33"/>
    </row>
    <row r="221" ht="15.75" customHeight="1">
      <c r="C221" s="33"/>
      <c r="D221" s="33"/>
      <c r="E221" s="33"/>
      <c r="F221" s="33"/>
    </row>
    <row r="222" ht="15.75" customHeight="1">
      <c r="C222" s="33"/>
      <c r="D222" s="33"/>
      <c r="E222" s="33"/>
      <c r="F222" s="33"/>
    </row>
    <row r="223" ht="15.75" customHeight="1">
      <c r="C223" s="33"/>
      <c r="D223" s="33"/>
      <c r="E223" s="33"/>
      <c r="F223" s="33"/>
    </row>
    <row r="224" ht="15.75" customHeight="1">
      <c r="C224" s="33"/>
      <c r="D224" s="33"/>
      <c r="E224" s="33"/>
      <c r="F224" s="33"/>
    </row>
    <row r="225" ht="15.75" customHeight="1">
      <c r="C225" s="33"/>
      <c r="D225" s="33"/>
      <c r="E225" s="33"/>
      <c r="F225" s="33"/>
    </row>
    <row r="226" ht="15.75" customHeight="1">
      <c r="C226" s="33"/>
      <c r="D226" s="33"/>
      <c r="E226" s="33"/>
      <c r="F226" s="33"/>
    </row>
    <row r="227" ht="15.75" customHeight="1">
      <c r="C227" s="33"/>
      <c r="D227" s="33"/>
      <c r="E227" s="33"/>
      <c r="F227" s="33"/>
    </row>
    <row r="228" ht="15.75" customHeight="1">
      <c r="C228" s="33"/>
      <c r="D228" s="33"/>
      <c r="E228" s="33"/>
      <c r="F228" s="33"/>
    </row>
    <row r="229" ht="15.75" customHeight="1">
      <c r="C229" s="33"/>
      <c r="D229" s="33"/>
      <c r="E229" s="33"/>
      <c r="F229" s="33"/>
    </row>
    <row r="230" ht="15.75" customHeight="1">
      <c r="C230" s="33"/>
      <c r="D230" s="33"/>
      <c r="E230" s="33"/>
      <c r="F230" s="33"/>
    </row>
    <row r="231" ht="15.75" customHeight="1">
      <c r="C231" s="33"/>
      <c r="D231" s="33"/>
      <c r="E231" s="33"/>
      <c r="F231" s="33"/>
    </row>
    <row r="232" ht="15.75" customHeight="1">
      <c r="C232" s="33"/>
      <c r="D232" s="33"/>
      <c r="E232" s="33"/>
      <c r="F232" s="33"/>
    </row>
    <row r="233" ht="15.75" customHeight="1">
      <c r="C233" s="33"/>
      <c r="D233" s="33"/>
      <c r="E233" s="33"/>
      <c r="F233" s="33"/>
    </row>
    <row r="234" ht="15.75" customHeight="1">
      <c r="C234" s="33"/>
      <c r="D234" s="33"/>
      <c r="E234" s="33"/>
      <c r="F234" s="33"/>
    </row>
    <row r="235" ht="15.75" customHeight="1">
      <c r="C235" s="33"/>
      <c r="D235" s="33"/>
      <c r="E235" s="33"/>
      <c r="F235" s="33"/>
    </row>
    <row r="236" ht="15.75" customHeight="1">
      <c r="C236" s="33"/>
      <c r="D236" s="33"/>
      <c r="E236" s="33"/>
      <c r="F236" s="33"/>
    </row>
    <row r="237" ht="15.75" customHeight="1">
      <c r="C237" s="33"/>
      <c r="D237" s="33"/>
      <c r="E237" s="33"/>
      <c r="F237" s="33"/>
    </row>
    <row r="238" ht="15.75" customHeight="1">
      <c r="C238" s="33"/>
      <c r="D238" s="33"/>
      <c r="E238" s="33"/>
      <c r="F238" s="33"/>
    </row>
    <row r="239" ht="15.75" customHeight="1">
      <c r="C239" s="33"/>
      <c r="D239" s="33"/>
      <c r="E239" s="33"/>
      <c r="F239" s="33"/>
    </row>
    <row r="240" ht="15.75" customHeight="1">
      <c r="C240" s="33"/>
      <c r="D240" s="33"/>
      <c r="E240" s="33"/>
      <c r="F240" s="33"/>
    </row>
    <row r="241" ht="15.75" customHeight="1">
      <c r="C241" s="33"/>
      <c r="D241" s="33"/>
      <c r="E241" s="33"/>
      <c r="F241" s="33"/>
    </row>
    <row r="242" ht="15.75" customHeight="1">
      <c r="C242" s="33"/>
      <c r="D242" s="33"/>
      <c r="E242" s="33"/>
      <c r="F242" s="33"/>
    </row>
    <row r="243" ht="15.75" customHeight="1">
      <c r="C243" s="33"/>
      <c r="D243" s="33"/>
      <c r="E243" s="33"/>
      <c r="F243" s="33"/>
    </row>
    <row r="244" ht="15.75" customHeight="1">
      <c r="C244" s="33"/>
      <c r="D244" s="33"/>
      <c r="E244" s="33"/>
      <c r="F244" s="33"/>
    </row>
    <row r="245" ht="15.75" customHeight="1">
      <c r="C245" s="33"/>
      <c r="D245" s="33"/>
      <c r="E245" s="33"/>
      <c r="F245" s="33"/>
    </row>
    <row r="246" ht="15.75" customHeight="1">
      <c r="C246" s="33"/>
      <c r="D246" s="33"/>
      <c r="E246" s="33"/>
      <c r="F246" s="33"/>
    </row>
    <row r="247" ht="15.75" customHeight="1">
      <c r="C247" s="33"/>
      <c r="D247" s="33"/>
      <c r="E247" s="33"/>
      <c r="F247" s="33"/>
    </row>
    <row r="248" ht="15.75" customHeight="1">
      <c r="C248" s="33"/>
      <c r="D248" s="33"/>
      <c r="E248" s="33"/>
      <c r="F248" s="33"/>
    </row>
    <row r="249" ht="15.75" customHeight="1">
      <c r="C249" s="33"/>
      <c r="D249" s="33"/>
      <c r="E249" s="33"/>
      <c r="F249" s="33"/>
    </row>
    <row r="250" ht="15.75" customHeight="1">
      <c r="C250" s="33"/>
      <c r="D250" s="33"/>
      <c r="E250" s="33"/>
      <c r="F250" s="33"/>
    </row>
    <row r="251" ht="15.75" customHeight="1">
      <c r="C251" s="33"/>
      <c r="D251" s="33"/>
      <c r="E251" s="33"/>
      <c r="F251" s="33"/>
    </row>
    <row r="252" ht="15.75" customHeight="1">
      <c r="C252" s="33"/>
      <c r="D252" s="33"/>
      <c r="E252" s="33"/>
      <c r="F252" s="33"/>
    </row>
    <row r="253" ht="15.75" customHeight="1">
      <c r="C253" s="33"/>
      <c r="D253" s="33"/>
      <c r="E253" s="33"/>
      <c r="F253" s="33"/>
    </row>
    <row r="254" ht="15.75" customHeight="1">
      <c r="C254" s="33"/>
      <c r="D254" s="33"/>
      <c r="E254" s="33"/>
      <c r="F254" s="33"/>
    </row>
    <row r="255" ht="15.75" customHeight="1">
      <c r="C255" s="33"/>
      <c r="D255" s="33"/>
      <c r="E255" s="33"/>
      <c r="F255" s="33"/>
    </row>
    <row r="256" ht="15.75" customHeight="1">
      <c r="C256" s="33"/>
      <c r="D256" s="33"/>
      <c r="E256" s="33"/>
      <c r="F256" s="33"/>
    </row>
    <row r="257" ht="15.75" customHeight="1">
      <c r="C257" s="33"/>
      <c r="D257" s="33"/>
      <c r="E257" s="33"/>
      <c r="F257" s="33"/>
    </row>
    <row r="258" ht="15.75" customHeight="1">
      <c r="C258" s="33"/>
      <c r="D258" s="33"/>
      <c r="E258" s="33"/>
      <c r="F258" s="33"/>
    </row>
    <row r="259" ht="15.75" customHeight="1">
      <c r="C259" s="33"/>
      <c r="D259" s="33"/>
      <c r="E259" s="33"/>
      <c r="F259" s="33"/>
    </row>
    <row r="260" ht="15.75" customHeight="1">
      <c r="C260" s="33"/>
      <c r="D260" s="33"/>
      <c r="E260" s="33"/>
      <c r="F260" s="33"/>
    </row>
    <row r="261" ht="15.75" customHeight="1">
      <c r="C261" s="33"/>
      <c r="D261" s="33"/>
      <c r="E261" s="33"/>
      <c r="F261" s="33"/>
    </row>
    <row r="262" ht="15.75" customHeight="1">
      <c r="C262" s="33"/>
      <c r="D262" s="33"/>
      <c r="E262" s="33"/>
      <c r="F262" s="33"/>
    </row>
    <row r="263" ht="15.75" customHeight="1">
      <c r="C263" s="33"/>
      <c r="D263" s="33"/>
      <c r="E263" s="33"/>
      <c r="F263" s="33"/>
    </row>
    <row r="264" ht="15.75" customHeight="1">
      <c r="C264" s="33"/>
      <c r="D264" s="33"/>
      <c r="E264" s="33"/>
      <c r="F264" s="33"/>
    </row>
    <row r="265" ht="15.75" customHeight="1">
      <c r="C265" s="33"/>
      <c r="D265" s="33"/>
      <c r="E265" s="33"/>
      <c r="F265" s="33"/>
    </row>
    <row r="266" ht="15.75" customHeight="1">
      <c r="C266" s="33"/>
      <c r="D266" s="33"/>
      <c r="E266" s="33"/>
      <c r="F266" s="33"/>
    </row>
    <row r="267" ht="15.75" customHeight="1">
      <c r="C267" s="33"/>
      <c r="D267" s="33"/>
      <c r="E267" s="33"/>
      <c r="F267" s="33"/>
    </row>
    <row r="268" ht="15.75" customHeight="1">
      <c r="C268" s="33"/>
      <c r="D268" s="33"/>
      <c r="E268" s="33"/>
      <c r="F268" s="33"/>
    </row>
    <row r="269" ht="15.75" customHeight="1">
      <c r="C269" s="33"/>
      <c r="D269" s="33"/>
      <c r="E269" s="33"/>
      <c r="F269" s="33"/>
    </row>
    <row r="270" ht="15.75" customHeight="1">
      <c r="C270" s="33"/>
      <c r="D270" s="33"/>
      <c r="E270" s="33"/>
      <c r="F270" s="33"/>
    </row>
    <row r="271" ht="15.75" customHeight="1">
      <c r="C271" s="33"/>
      <c r="D271" s="33"/>
      <c r="E271" s="33"/>
      <c r="F271" s="33"/>
    </row>
    <row r="272" ht="15.75" customHeight="1">
      <c r="C272" s="33"/>
      <c r="D272" s="33"/>
      <c r="E272" s="33"/>
      <c r="F272" s="33"/>
    </row>
    <row r="273" ht="15.75" customHeight="1">
      <c r="C273" s="33"/>
      <c r="D273" s="33"/>
      <c r="E273" s="33"/>
      <c r="F273" s="33"/>
    </row>
    <row r="274" ht="15.75" customHeight="1">
      <c r="C274" s="33"/>
      <c r="D274" s="33"/>
      <c r="E274" s="33"/>
      <c r="F274" s="33"/>
    </row>
    <row r="275" ht="15.75" customHeight="1">
      <c r="C275" s="33"/>
      <c r="D275" s="33"/>
      <c r="E275" s="33"/>
      <c r="F275" s="33"/>
    </row>
    <row r="276" ht="15.75" customHeight="1">
      <c r="C276" s="33"/>
      <c r="D276" s="33"/>
      <c r="E276" s="33"/>
      <c r="F276" s="33"/>
    </row>
    <row r="277" ht="15.75" customHeight="1">
      <c r="C277" s="33"/>
      <c r="D277" s="33"/>
      <c r="E277" s="33"/>
      <c r="F277" s="33"/>
    </row>
    <row r="278" ht="15.75" customHeight="1">
      <c r="C278" s="33"/>
      <c r="D278" s="33"/>
      <c r="E278" s="33"/>
      <c r="F278" s="33"/>
    </row>
    <row r="279" ht="15.75" customHeight="1">
      <c r="C279" s="33"/>
      <c r="D279" s="33"/>
      <c r="E279" s="33"/>
      <c r="F279" s="33"/>
    </row>
    <row r="280" ht="15.75" customHeight="1">
      <c r="C280" s="33"/>
      <c r="D280" s="33"/>
      <c r="E280" s="33"/>
      <c r="F280" s="33"/>
    </row>
    <row r="281" ht="15.75" customHeight="1">
      <c r="C281" s="33"/>
      <c r="D281" s="33"/>
      <c r="E281" s="33"/>
      <c r="F281" s="33"/>
    </row>
    <row r="282" ht="15.75" customHeight="1">
      <c r="C282" s="33"/>
      <c r="D282" s="33"/>
      <c r="E282" s="33"/>
      <c r="F282" s="33"/>
    </row>
    <row r="283" ht="15.75" customHeight="1">
      <c r="C283" s="33"/>
      <c r="D283" s="33"/>
      <c r="E283" s="33"/>
      <c r="F283" s="33"/>
    </row>
    <row r="284" ht="15.75" customHeight="1">
      <c r="C284" s="33"/>
      <c r="D284" s="33"/>
      <c r="E284" s="33"/>
      <c r="F284" s="33"/>
    </row>
    <row r="285" ht="15.75" customHeight="1">
      <c r="C285" s="33"/>
      <c r="D285" s="33"/>
      <c r="E285" s="33"/>
      <c r="F285" s="33"/>
    </row>
    <row r="286" ht="15.75" customHeight="1">
      <c r="C286" s="33"/>
      <c r="D286" s="33"/>
      <c r="E286" s="33"/>
      <c r="F286" s="33"/>
    </row>
    <row r="287" ht="15.75" customHeight="1">
      <c r="C287" s="33"/>
      <c r="D287" s="33"/>
      <c r="E287" s="33"/>
      <c r="F287" s="33"/>
    </row>
    <row r="288" ht="15.75" customHeight="1">
      <c r="C288" s="33"/>
      <c r="D288" s="33"/>
      <c r="E288" s="33"/>
      <c r="F288" s="33"/>
    </row>
    <row r="289" ht="15.75" customHeight="1">
      <c r="C289" s="33"/>
      <c r="D289" s="33"/>
      <c r="E289" s="33"/>
      <c r="F289" s="33"/>
    </row>
    <row r="290" ht="15.75" customHeight="1">
      <c r="C290" s="33"/>
      <c r="D290" s="33"/>
      <c r="E290" s="33"/>
      <c r="F290" s="33"/>
    </row>
    <row r="291" ht="15.75" customHeight="1">
      <c r="C291" s="33"/>
      <c r="D291" s="33"/>
      <c r="E291" s="33"/>
      <c r="F291" s="33"/>
    </row>
    <row r="292" ht="15.75" customHeight="1">
      <c r="C292" s="33"/>
      <c r="D292" s="33"/>
      <c r="E292" s="33"/>
      <c r="F292" s="33"/>
    </row>
    <row r="293" ht="15.75" customHeight="1">
      <c r="C293" s="33"/>
      <c r="D293" s="33"/>
      <c r="E293" s="33"/>
      <c r="F293" s="33"/>
    </row>
    <row r="294" ht="15.75" customHeight="1">
      <c r="C294" s="33"/>
      <c r="D294" s="33"/>
      <c r="E294" s="33"/>
      <c r="F294" s="33"/>
    </row>
    <row r="295" ht="15.75" customHeight="1">
      <c r="C295" s="33"/>
      <c r="D295" s="33"/>
      <c r="E295" s="33"/>
      <c r="F295" s="33"/>
    </row>
    <row r="296" ht="15.75" customHeight="1">
      <c r="C296" s="33"/>
      <c r="D296" s="33"/>
      <c r="E296" s="33"/>
      <c r="F296" s="33"/>
    </row>
    <row r="297" ht="15.75" customHeight="1">
      <c r="C297" s="33"/>
      <c r="D297" s="33"/>
      <c r="E297" s="33"/>
      <c r="F297" s="33"/>
    </row>
    <row r="298" ht="15.75" customHeight="1">
      <c r="C298" s="33"/>
      <c r="D298" s="33"/>
      <c r="E298" s="33"/>
      <c r="F298" s="33"/>
    </row>
    <row r="299" ht="15.75" customHeight="1">
      <c r="C299" s="33"/>
      <c r="D299" s="33"/>
      <c r="E299" s="33"/>
      <c r="F299" s="33"/>
    </row>
    <row r="300" ht="15.75" customHeight="1">
      <c r="C300" s="33"/>
      <c r="D300" s="33"/>
      <c r="E300" s="33"/>
      <c r="F300" s="33"/>
    </row>
    <row r="301" ht="15.75" customHeight="1">
      <c r="C301" s="33"/>
      <c r="D301" s="33"/>
      <c r="E301" s="33"/>
      <c r="F301" s="33"/>
    </row>
    <row r="302" ht="15.75" customHeight="1">
      <c r="C302" s="33"/>
      <c r="D302" s="33"/>
      <c r="E302" s="33"/>
      <c r="F302" s="33"/>
    </row>
    <row r="303" ht="15.75" customHeight="1">
      <c r="C303" s="33"/>
      <c r="D303" s="33"/>
      <c r="E303" s="33"/>
      <c r="F303" s="33"/>
    </row>
    <row r="304" ht="15.75" customHeight="1">
      <c r="C304" s="33"/>
      <c r="D304" s="33"/>
      <c r="E304" s="33"/>
      <c r="F304" s="33"/>
    </row>
    <row r="305" ht="15.75" customHeight="1">
      <c r="C305" s="33"/>
      <c r="D305" s="33"/>
      <c r="E305" s="33"/>
      <c r="F305" s="33"/>
    </row>
    <row r="306" ht="15.75" customHeight="1">
      <c r="C306" s="33"/>
      <c r="D306" s="33"/>
      <c r="E306" s="33"/>
      <c r="F306" s="33"/>
    </row>
    <row r="307" ht="15.75" customHeight="1">
      <c r="C307" s="33"/>
      <c r="D307" s="33"/>
      <c r="E307" s="33"/>
      <c r="F307" s="33"/>
    </row>
    <row r="308" ht="15.75" customHeight="1">
      <c r="C308" s="33"/>
      <c r="D308" s="33"/>
      <c r="E308" s="33"/>
      <c r="F308" s="33"/>
    </row>
    <row r="309" ht="15.75" customHeight="1">
      <c r="C309" s="33"/>
      <c r="D309" s="33"/>
      <c r="E309" s="33"/>
      <c r="F309" s="33"/>
    </row>
    <row r="310" ht="15.75" customHeight="1">
      <c r="C310" s="33"/>
      <c r="D310" s="33"/>
      <c r="E310" s="33"/>
      <c r="F310" s="33"/>
    </row>
    <row r="311" ht="15.75" customHeight="1">
      <c r="C311" s="33"/>
      <c r="D311" s="33"/>
      <c r="E311" s="33"/>
      <c r="F311" s="33"/>
    </row>
    <row r="312" ht="15.75" customHeight="1">
      <c r="C312" s="33"/>
      <c r="D312" s="33"/>
      <c r="E312" s="33"/>
      <c r="F312" s="33"/>
    </row>
    <row r="313" ht="15.75" customHeight="1">
      <c r="C313" s="33"/>
      <c r="D313" s="33"/>
      <c r="E313" s="33"/>
      <c r="F313" s="33"/>
    </row>
    <row r="314" ht="15.75" customHeight="1">
      <c r="C314" s="33"/>
      <c r="D314" s="33"/>
      <c r="E314" s="33"/>
      <c r="F314" s="33"/>
    </row>
    <row r="315" ht="15.75" customHeight="1">
      <c r="C315" s="33"/>
      <c r="D315" s="33"/>
      <c r="E315" s="33"/>
      <c r="F315" s="33"/>
    </row>
    <row r="316" ht="15.75" customHeight="1">
      <c r="C316" s="33"/>
      <c r="D316" s="33"/>
      <c r="E316" s="33"/>
      <c r="F316" s="33"/>
    </row>
    <row r="317" ht="15.75" customHeight="1">
      <c r="C317" s="33"/>
      <c r="D317" s="33"/>
      <c r="E317" s="33"/>
      <c r="F317" s="33"/>
    </row>
    <row r="318" ht="15.75" customHeight="1">
      <c r="C318" s="33"/>
      <c r="D318" s="33"/>
      <c r="E318" s="33"/>
      <c r="F318" s="33"/>
    </row>
    <row r="319" ht="15.75" customHeight="1">
      <c r="C319" s="33"/>
      <c r="D319" s="33"/>
      <c r="E319" s="33"/>
      <c r="F319" s="33"/>
    </row>
    <row r="320" ht="15.75" customHeight="1">
      <c r="C320" s="33"/>
      <c r="D320" s="33"/>
      <c r="E320" s="33"/>
      <c r="F320" s="33"/>
    </row>
    <row r="321" ht="15.75" customHeight="1">
      <c r="C321" s="33"/>
      <c r="D321" s="33"/>
      <c r="E321" s="33"/>
      <c r="F321" s="33"/>
    </row>
    <row r="322" ht="15.75" customHeight="1">
      <c r="C322" s="33"/>
      <c r="D322" s="33"/>
      <c r="E322" s="33"/>
      <c r="F322" s="33"/>
    </row>
    <row r="323" ht="15.75" customHeight="1">
      <c r="C323" s="33"/>
      <c r="D323" s="33"/>
      <c r="E323" s="33"/>
      <c r="F323" s="33"/>
    </row>
    <row r="324" ht="15.75" customHeight="1">
      <c r="C324" s="33"/>
      <c r="D324" s="33"/>
      <c r="E324" s="33"/>
      <c r="F324" s="33"/>
    </row>
    <row r="325" ht="15.75" customHeight="1">
      <c r="C325" s="33"/>
      <c r="D325" s="33"/>
      <c r="E325" s="33"/>
      <c r="F325" s="33"/>
    </row>
    <row r="326" ht="15.75" customHeight="1">
      <c r="C326" s="33"/>
      <c r="D326" s="33"/>
      <c r="E326" s="33"/>
      <c r="F326" s="33"/>
    </row>
    <row r="327" ht="15.75" customHeight="1">
      <c r="C327" s="33"/>
      <c r="D327" s="33"/>
      <c r="E327" s="33"/>
      <c r="F327" s="33"/>
    </row>
    <row r="328" ht="15.75" customHeight="1">
      <c r="C328" s="33"/>
      <c r="D328" s="33"/>
      <c r="E328" s="33"/>
      <c r="F328" s="33"/>
    </row>
    <row r="329" ht="15.75" customHeight="1">
      <c r="C329" s="33"/>
      <c r="D329" s="33"/>
      <c r="E329" s="33"/>
      <c r="F329" s="33"/>
    </row>
    <row r="330" ht="15.75" customHeight="1">
      <c r="C330" s="33"/>
      <c r="D330" s="33"/>
      <c r="E330" s="33"/>
      <c r="F330" s="33"/>
    </row>
    <row r="331" ht="15.75" customHeight="1">
      <c r="C331" s="33"/>
      <c r="D331" s="33"/>
      <c r="E331" s="33"/>
      <c r="F331" s="33"/>
    </row>
    <row r="332" ht="15.75" customHeight="1">
      <c r="C332" s="33"/>
      <c r="D332" s="33"/>
      <c r="E332" s="33"/>
      <c r="F332" s="33"/>
    </row>
    <row r="333" ht="15.75" customHeight="1">
      <c r="C333" s="33"/>
      <c r="D333" s="33"/>
      <c r="E333" s="33"/>
      <c r="F333" s="33"/>
    </row>
    <row r="334" ht="15.75" customHeight="1">
      <c r="C334" s="33"/>
      <c r="D334" s="33"/>
      <c r="E334" s="33"/>
      <c r="F334" s="33"/>
    </row>
    <row r="335" ht="15.75" customHeight="1">
      <c r="C335" s="33"/>
      <c r="D335" s="33"/>
      <c r="E335" s="33"/>
      <c r="F335" s="33"/>
    </row>
    <row r="336" ht="15.75" customHeight="1">
      <c r="C336" s="33"/>
      <c r="D336" s="33"/>
      <c r="E336" s="33"/>
      <c r="F336" s="33"/>
    </row>
    <row r="337" ht="15.75" customHeight="1">
      <c r="C337" s="33"/>
      <c r="D337" s="33"/>
      <c r="E337" s="33"/>
      <c r="F337" s="33"/>
    </row>
    <row r="338" ht="15.75" customHeight="1">
      <c r="C338" s="33"/>
      <c r="D338" s="33"/>
      <c r="E338" s="33"/>
      <c r="F338" s="33"/>
    </row>
    <row r="339" ht="15.75" customHeight="1">
      <c r="C339" s="33"/>
      <c r="D339" s="33"/>
      <c r="E339" s="33"/>
      <c r="F339" s="33"/>
    </row>
    <row r="340" ht="15.75" customHeight="1">
      <c r="C340" s="33"/>
      <c r="D340" s="33"/>
      <c r="E340" s="33"/>
      <c r="F340" s="33"/>
    </row>
    <row r="341" ht="15.75" customHeight="1">
      <c r="C341" s="33"/>
      <c r="D341" s="33"/>
      <c r="E341" s="33"/>
      <c r="F341" s="33"/>
    </row>
    <row r="342" ht="15.75" customHeight="1">
      <c r="C342" s="33"/>
      <c r="D342" s="33"/>
      <c r="E342" s="33"/>
      <c r="F342" s="33"/>
    </row>
    <row r="343" ht="15.75" customHeight="1">
      <c r="C343" s="33"/>
      <c r="D343" s="33"/>
      <c r="E343" s="33"/>
      <c r="F343" s="33"/>
    </row>
    <row r="344" ht="15.75" customHeight="1">
      <c r="C344" s="33"/>
      <c r="D344" s="33"/>
      <c r="E344" s="33"/>
      <c r="F344" s="33"/>
    </row>
    <row r="345" ht="15.75" customHeight="1">
      <c r="C345" s="33"/>
      <c r="D345" s="33"/>
      <c r="E345" s="33"/>
      <c r="F345" s="33"/>
    </row>
    <row r="346" ht="15.75" customHeight="1">
      <c r="C346" s="33"/>
      <c r="D346" s="33"/>
      <c r="E346" s="33"/>
      <c r="F346" s="33"/>
    </row>
    <row r="347" ht="15.75" customHeight="1">
      <c r="C347" s="33"/>
      <c r="D347" s="33"/>
      <c r="E347" s="33"/>
      <c r="F347" s="33"/>
    </row>
    <row r="348" ht="15.75" customHeight="1">
      <c r="C348" s="33"/>
      <c r="D348" s="33"/>
      <c r="E348" s="33"/>
      <c r="F348" s="33"/>
    </row>
    <row r="349" ht="15.75" customHeight="1">
      <c r="C349" s="33"/>
      <c r="D349" s="33"/>
      <c r="E349" s="33"/>
      <c r="F349" s="33"/>
    </row>
    <row r="350" ht="15.75" customHeight="1">
      <c r="C350" s="33"/>
      <c r="D350" s="33"/>
      <c r="E350" s="33"/>
      <c r="F350" s="33"/>
    </row>
    <row r="351" ht="15.75" customHeight="1">
      <c r="C351" s="33"/>
      <c r="D351" s="33"/>
      <c r="E351" s="33"/>
      <c r="F351" s="33"/>
    </row>
    <row r="352" ht="15.75" customHeight="1">
      <c r="C352" s="33"/>
      <c r="D352" s="33"/>
      <c r="E352" s="33"/>
      <c r="F352" s="33"/>
    </row>
    <row r="353" ht="15.75" customHeight="1">
      <c r="C353" s="33"/>
      <c r="D353" s="33"/>
      <c r="E353" s="33"/>
      <c r="F353" s="33"/>
    </row>
    <row r="354" ht="15.75" customHeight="1">
      <c r="C354" s="33"/>
      <c r="D354" s="33"/>
      <c r="E354" s="33"/>
      <c r="F354" s="33"/>
    </row>
    <row r="355" ht="15.75" customHeight="1">
      <c r="C355" s="33"/>
      <c r="D355" s="33"/>
      <c r="E355" s="33"/>
      <c r="F355" s="33"/>
    </row>
    <row r="356" ht="15.75" customHeight="1">
      <c r="C356" s="33"/>
      <c r="D356" s="33"/>
      <c r="E356" s="33"/>
      <c r="F356" s="33"/>
    </row>
    <row r="357" ht="15.75" customHeight="1">
      <c r="C357" s="33"/>
      <c r="D357" s="33"/>
      <c r="E357" s="33"/>
      <c r="F357" s="33"/>
    </row>
    <row r="358" ht="15.75" customHeight="1">
      <c r="C358" s="33"/>
      <c r="D358" s="33"/>
      <c r="E358" s="33"/>
      <c r="F358" s="33"/>
    </row>
    <row r="359" ht="15.75" customHeight="1">
      <c r="C359" s="33"/>
      <c r="D359" s="33"/>
      <c r="E359" s="33"/>
      <c r="F359" s="33"/>
    </row>
    <row r="360" ht="15.75" customHeight="1">
      <c r="C360" s="33"/>
      <c r="D360" s="33"/>
      <c r="E360" s="33"/>
      <c r="F360" s="33"/>
    </row>
    <row r="361" ht="15.75" customHeight="1">
      <c r="C361" s="33"/>
      <c r="D361" s="33"/>
      <c r="E361" s="33"/>
      <c r="F361" s="33"/>
    </row>
    <row r="362" ht="15.75" customHeight="1">
      <c r="C362" s="33"/>
      <c r="D362" s="33"/>
      <c r="E362" s="33"/>
      <c r="F362" s="33"/>
    </row>
    <row r="363" ht="15.75" customHeight="1">
      <c r="C363" s="33"/>
      <c r="D363" s="33"/>
      <c r="E363" s="33"/>
      <c r="F363" s="33"/>
    </row>
    <row r="364" ht="15.75" customHeight="1">
      <c r="C364" s="33"/>
      <c r="D364" s="33"/>
      <c r="E364" s="33"/>
      <c r="F364" s="33"/>
    </row>
    <row r="365" ht="15.75" customHeight="1">
      <c r="C365" s="33"/>
      <c r="D365" s="33"/>
      <c r="E365" s="33"/>
      <c r="F365" s="33"/>
    </row>
    <row r="366" ht="15.75" customHeight="1">
      <c r="C366" s="33"/>
      <c r="D366" s="33"/>
      <c r="E366" s="33"/>
      <c r="F366" s="33"/>
    </row>
    <row r="367" ht="15.75" customHeight="1">
      <c r="C367" s="33"/>
      <c r="D367" s="33"/>
      <c r="E367" s="33"/>
      <c r="F367" s="33"/>
    </row>
    <row r="368" ht="15.75" customHeight="1">
      <c r="C368" s="33"/>
      <c r="D368" s="33"/>
      <c r="E368" s="33"/>
      <c r="F368" s="33"/>
    </row>
    <row r="369" ht="15.75" customHeight="1">
      <c r="C369" s="33"/>
      <c r="D369" s="33"/>
      <c r="E369" s="33"/>
      <c r="F369" s="33"/>
    </row>
    <row r="370" ht="15.75" customHeight="1">
      <c r="C370" s="33"/>
      <c r="D370" s="33"/>
      <c r="E370" s="33"/>
      <c r="F370" s="33"/>
    </row>
    <row r="371" ht="15.75" customHeight="1">
      <c r="C371" s="33"/>
      <c r="D371" s="33"/>
      <c r="E371" s="33"/>
      <c r="F371" s="33"/>
    </row>
    <row r="372" ht="15.75" customHeight="1">
      <c r="C372" s="33"/>
      <c r="D372" s="33"/>
      <c r="E372" s="33"/>
      <c r="F372" s="33"/>
    </row>
    <row r="373" ht="15.75" customHeight="1">
      <c r="C373" s="33"/>
      <c r="D373" s="33"/>
      <c r="E373" s="33"/>
      <c r="F373" s="33"/>
    </row>
    <row r="374" ht="15.75" customHeight="1">
      <c r="C374" s="33"/>
      <c r="D374" s="33"/>
      <c r="E374" s="33"/>
      <c r="F374" s="33"/>
    </row>
    <row r="375" ht="15.75" customHeight="1">
      <c r="C375" s="33"/>
      <c r="D375" s="33"/>
      <c r="E375" s="33"/>
      <c r="F375" s="33"/>
    </row>
    <row r="376" ht="15.75" customHeight="1">
      <c r="C376" s="33"/>
      <c r="D376" s="33"/>
      <c r="E376" s="33"/>
      <c r="F376" s="33"/>
    </row>
    <row r="377" ht="15.75" customHeight="1">
      <c r="C377" s="33"/>
      <c r="D377" s="33"/>
      <c r="E377" s="33"/>
      <c r="F377" s="33"/>
    </row>
    <row r="378" ht="15.75" customHeight="1">
      <c r="C378" s="33"/>
      <c r="D378" s="33"/>
      <c r="E378" s="33"/>
      <c r="F378" s="33"/>
    </row>
    <row r="379" ht="15.75" customHeight="1">
      <c r="C379" s="33"/>
      <c r="D379" s="33"/>
      <c r="E379" s="33"/>
      <c r="F379" s="33"/>
    </row>
    <row r="380" ht="15.75" customHeight="1">
      <c r="C380" s="33"/>
      <c r="D380" s="33"/>
      <c r="E380" s="33"/>
      <c r="F380" s="33"/>
    </row>
    <row r="381" ht="15.75" customHeight="1">
      <c r="C381" s="33"/>
      <c r="D381" s="33"/>
      <c r="E381" s="33"/>
      <c r="F381" s="33"/>
    </row>
    <row r="382" ht="15.75" customHeight="1">
      <c r="C382" s="33"/>
      <c r="D382" s="33"/>
      <c r="E382" s="33"/>
      <c r="F382" s="33"/>
    </row>
    <row r="383" ht="15.75" customHeight="1">
      <c r="C383" s="33"/>
      <c r="D383" s="33"/>
      <c r="E383" s="33"/>
      <c r="F383" s="33"/>
    </row>
    <row r="384" ht="15.75" customHeight="1">
      <c r="C384" s="33"/>
      <c r="D384" s="33"/>
      <c r="E384" s="33"/>
      <c r="F384" s="33"/>
    </row>
    <row r="385" ht="15.75" customHeight="1">
      <c r="C385" s="33"/>
      <c r="D385" s="33"/>
      <c r="E385" s="33"/>
      <c r="F385" s="33"/>
    </row>
    <row r="386" ht="15.75" customHeight="1">
      <c r="C386" s="33"/>
      <c r="D386" s="33"/>
      <c r="E386" s="33"/>
      <c r="F386" s="33"/>
    </row>
    <row r="387" ht="15.75" customHeight="1">
      <c r="C387" s="33"/>
      <c r="D387" s="33"/>
      <c r="E387" s="33"/>
      <c r="F387" s="33"/>
    </row>
    <row r="388" ht="15.75" customHeight="1">
      <c r="C388" s="33"/>
      <c r="D388" s="33"/>
      <c r="E388" s="33"/>
      <c r="F388" s="33"/>
    </row>
    <row r="389" ht="15.75" customHeight="1">
      <c r="C389" s="33"/>
      <c r="D389" s="33"/>
      <c r="E389" s="33"/>
      <c r="F389" s="33"/>
    </row>
    <row r="390" ht="15.75" customHeight="1">
      <c r="C390" s="33"/>
      <c r="D390" s="33"/>
      <c r="E390" s="33"/>
      <c r="F390" s="33"/>
    </row>
    <row r="391" ht="15.75" customHeight="1">
      <c r="C391" s="33"/>
      <c r="D391" s="33"/>
      <c r="E391" s="33"/>
      <c r="F391" s="33"/>
    </row>
    <row r="392" ht="15.75" customHeight="1">
      <c r="C392" s="33"/>
      <c r="D392" s="33"/>
      <c r="E392" s="33"/>
      <c r="F392" s="33"/>
    </row>
    <row r="393" ht="15.75" customHeight="1">
      <c r="C393" s="33"/>
      <c r="D393" s="33"/>
      <c r="E393" s="33"/>
      <c r="F393" s="33"/>
    </row>
    <row r="394" ht="15.75" customHeight="1">
      <c r="C394" s="33"/>
      <c r="D394" s="33"/>
      <c r="E394" s="33"/>
      <c r="F394" s="33"/>
    </row>
    <row r="395" ht="15.75" customHeight="1">
      <c r="C395" s="33"/>
      <c r="D395" s="33"/>
      <c r="E395" s="33"/>
      <c r="F395" s="33"/>
    </row>
    <row r="396" ht="15.75" customHeight="1">
      <c r="C396" s="33"/>
      <c r="D396" s="33"/>
      <c r="E396" s="33"/>
      <c r="F396" s="33"/>
    </row>
    <row r="397" ht="15.75" customHeight="1">
      <c r="C397" s="33"/>
      <c r="D397" s="33"/>
      <c r="E397" s="33"/>
      <c r="F397" s="33"/>
    </row>
    <row r="398" ht="15.75" customHeight="1">
      <c r="C398" s="33"/>
      <c r="D398" s="33"/>
      <c r="E398" s="33"/>
      <c r="F398" s="33"/>
    </row>
    <row r="399" ht="15.75" customHeight="1">
      <c r="C399" s="33"/>
      <c r="D399" s="33"/>
      <c r="E399" s="33"/>
      <c r="F399" s="33"/>
    </row>
    <row r="400" ht="15.75" customHeight="1">
      <c r="C400" s="33"/>
      <c r="D400" s="33"/>
      <c r="E400" s="33"/>
      <c r="F400" s="33"/>
    </row>
    <row r="401" ht="15.75" customHeight="1">
      <c r="C401" s="33"/>
      <c r="D401" s="33"/>
      <c r="E401" s="33"/>
      <c r="F401" s="33"/>
    </row>
    <row r="402" ht="15.75" customHeight="1">
      <c r="C402" s="33"/>
      <c r="D402" s="33"/>
      <c r="E402" s="33"/>
      <c r="F402" s="33"/>
    </row>
    <row r="403" ht="15.75" customHeight="1">
      <c r="C403" s="33"/>
      <c r="D403" s="33"/>
      <c r="E403" s="33"/>
      <c r="F403" s="33"/>
    </row>
    <row r="404" ht="15.75" customHeight="1">
      <c r="C404" s="33"/>
      <c r="D404" s="33"/>
      <c r="E404" s="33"/>
      <c r="F404" s="33"/>
    </row>
    <row r="405" ht="15.75" customHeight="1">
      <c r="C405" s="33"/>
      <c r="D405" s="33"/>
      <c r="E405" s="33"/>
      <c r="F405" s="33"/>
    </row>
    <row r="406" ht="15.75" customHeight="1">
      <c r="C406" s="33"/>
      <c r="D406" s="33"/>
      <c r="E406" s="33"/>
      <c r="F406" s="33"/>
    </row>
    <row r="407" ht="15.75" customHeight="1">
      <c r="C407" s="33"/>
      <c r="D407" s="33"/>
      <c r="E407" s="33"/>
      <c r="F407" s="33"/>
    </row>
    <row r="408" ht="15.75" customHeight="1">
      <c r="C408" s="33"/>
      <c r="D408" s="33"/>
      <c r="E408" s="33"/>
      <c r="F408" s="33"/>
    </row>
    <row r="409" ht="15.75" customHeight="1">
      <c r="C409" s="33"/>
      <c r="D409" s="33"/>
      <c r="E409" s="33"/>
      <c r="F409" s="33"/>
    </row>
    <row r="410" ht="15.75" customHeight="1">
      <c r="C410" s="33"/>
      <c r="D410" s="33"/>
      <c r="E410" s="33"/>
      <c r="F410" s="33"/>
    </row>
    <row r="411" ht="15.75" customHeight="1">
      <c r="C411" s="33"/>
      <c r="D411" s="33"/>
      <c r="E411" s="33"/>
      <c r="F411" s="33"/>
    </row>
    <row r="412" ht="15.75" customHeight="1">
      <c r="C412" s="33"/>
      <c r="D412" s="33"/>
      <c r="E412" s="33"/>
      <c r="F412" s="33"/>
    </row>
    <row r="413" ht="15.75" customHeight="1">
      <c r="C413" s="33"/>
      <c r="D413" s="33"/>
      <c r="E413" s="33"/>
      <c r="F413" s="33"/>
    </row>
    <row r="414" ht="15.75" customHeight="1">
      <c r="C414" s="33"/>
      <c r="D414" s="33"/>
      <c r="E414" s="33"/>
      <c r="F414" s="33"/>
    </row>
    <row r="415" ht="15.75" customHeight="1">
      <c r="C415" s="33"/>
      <c r="D415" s="33"/>
      <c r="E415" s="33"/>
      <c r="F415" s="33"/>
    </row>
    <row r="416" ht="15.75" customHeight="1">
      <c r="C416" s="33"/>
      <c r="D416" s="33"/>
      <c r="E416" s="33"/>
      <c r="F416" s="33"/>
    </row>
    <row r="417" ht="15.75" customHeight="1">
      <c r="C417" s="33"/>
      <c r="D417" s="33"/>
      <c r="E417" s="33"/>
      <c r="F417" s="33"/>
    </row>
    <row r="418" ht="15.75" customHeight="1">
      <c r="C418" s="33"/>
      <c r="D418" s="33"/>
      <c r="E418" s="33"/>
      <c r="F418" s="33"/>
    </row>
    <row r="419" ht="15.75" customHeight="1">
      <c r="C419" s="33"/>
      <c r="D419" s="33"/>
      <c r="E419" s="33"/>
      <c r="F419" s="33"/>
    </row>
    <row r="420" ht="15.75" customHeight="1">
      <c r="C420" s="33"/>
      <c r="D420" s="33"/>
      <c r="E420" s="33"/>
      <c r="F420" s="33"/>
    </row>
    <row r="421" ht="15.75" customHeight="1">
      <c r="C421" s="33"/>
      <c r="D421" s="33"/>
      <c r="E421" s="33"/>
      <c r="F421" s="33"/>
    </row>
    <row r="422" ht="15.75" customHeight="1">
      <c r="C422" s="33"/>
      <c r="D422" s="33"/>
      <c r="E422" s="33"/>
      <c r="F422" s="33"/>
    </row>
    <row r="423" ht="15.75" customHeight="1">
      <c r="C423" s="33"/>
      <c r="D423" s="33"/>
      <c r="E423" s="33"/>
      <c r="F423" s="33"/>
    </row>
    <row r="424" ht="15.75" customHeight="1">
      <c r="C424" s="33"/>
      <c r="D424" s="33"/>
      <c r="E424" s="33"/>
      <c r="F424" s="33"/>
    </row>
    <row r="425" ht="15.75" customHeight="1">
      <c r="C425" s="33"/>
      <c r="D425" s="33"/>
      <c r="E425" s="33"/>
      <c r="F425" s="33"/>
    </row>
    <row r="426" ht="15.75" customHeight="1">
      <c r="C426" s="33"/>
      <c r="D426" s="33"/>
      <c r="E426" s="33"/>
      <c r="F426" s="33"/>
    </row>
    <row r="427" ht="15.75" customHeight="1">
      <c r="C427" s="33"/>
      <c r="D427" s="33"/>
      <c r="E427" s="33"/>
      <c r="F427" s="33"/>
    </row>
    <row r="428" ht="15.75" customHeight="1">
      <c r="C428" s="33"/>
      <c r="D428" s="33"/>
      <c r="E428" s="33"/>
      <c r="F428" s="33"/>
    </row>
    <row r="429" ht="15.75" customHeight="1">
      <c r="C429" s="33"/>
      <c r="D429" s="33"/>
      <c r="E429" s="33"/>
      <c r="F429" s="33"/>
    </row>
    <row r="430" ht="15.75" customHeight="1">
      <c r="C430" s="33"/>
      <c r="D430" s="33"/>
      <c r="E430" s="33"/>
      <c r="F430" s="33"/>
    </row>
    <row r="431" ht="15.75" customHeight="1">
      <c r="C431" s="33"/>
      <c r="D431" s="33"/>
      <c r="E431" s="33"/>
      <c r="F431" s="33"/>
    </row>
    <row r="432" ht="15.75" customHeight="1">
      <c r="C432" s="33"/>
      <c r="D432" s="33"/>
      <c r="E432" s="33"/>
      <c r="F432" s="33"/>
    </row>
    <row r="433" ht="15.75" customHeight="1">
      <c r="C433" s="33"/>
      <c r="D433" s="33"/>
      <c r="E433" s="33"/>
      <c r="F433" s="33"/>
    </row>
    <row r="434" ht="15.75" customHeight="1">
      <c r="C434" s="33"/>
      <c r="D434" s="33"/>
      <c r="E434" s="33"/>
      <c r="F434" s="33"/>
    </row>
    <row r="435" ht="15.75" customHeight="1">
      <c r="C435" s="33"/>
      <c r="D435" s="33"/>
      <c r="E435" s="33"/>
      <c r="F435" s="33"/>
    </row>
    <row r="436" ht="15.75" customHeight="1">
      <c r="C436" s="33"/>
      <c r="D436" s="33"/>
      <c r="E436" s="33"/>
      <c r="F436" s="33"/>
    </row>
    <row r="437" ht="15.75" customHeight="1">
      <c r="C437" s="33"/>
      <c r="D437" s="33"/>
      <c r="E437" s="33"/>
      <c r="F437" s="33"/>
    </row>
    <row r="438" ht="15.75" customHeight="1">
      <c r="C438" s="33"/>
      <c r="D438" s="33"/>
      <c r="E438" s="33"/>
      <c r="F438" s="33"/>
    </row>
    <row r="439" ht="15.75" customHeight="1">
      <c r="C439" s="33"/>
      <c r="D439" s="33"/>
      <c r="E439" s="33"/>
      <c r="F439" s="33"/>
    </row>
    <row r="440" ht="15.75" customHeight="1">
      <c r="C440" s="33"/>
      <c r="D440" s="33"/>
      <c r="E440" s="33"/>
      <c r="F440" s="33"/>
    </row>
    <row r="441" ht="15.75" customHeight="1">
      <c r="C441" s="33"/>
      <c r="D441" s="33"/>
      <c r="E441" s="33"/>
      <c r="F441" s="33"/>
    </row>
    <row r="442" ht="15.75" customHeight="1">
      <c r="C442" s="33"/>
      <c r="D442" s="33"/>
      <c r="E442" s="33"/>
      <c r="F442" s="33"/>
    </row>
    <row r="443" ht="15.75" customHeight="1">
      <c r="C443" s="33"/>
      <c r="D443" s="33"/>
      <c r="E443" s="33"/>
      <c r="F443" s="33"/>
    </row>
    <row r="444" ht="15.75" customHeight="1">
      <c r="C444" s="33"/>
      <c r="D444" s="33"/>
      <c r="E444" s="33"/>
      <c r="F444" s="33"/>
    </row>
    <row r="445" ht="15.75" customHeight="1">
      <c r="C445" s="33"/>
      <c r="D445" s="33"/>
      <c r="E445" s="33"/>
      <c r="F445" s="33"/>
    </row>
    <row r="446" ht="15.75" customHeight="1">
      <c r="C446" s="33"/>
      <c r="D446" s="33"/>
      <c r="E446" s="33"/>
      <c r="F446" s="33"/>
    </row>
    <row r="447" ht="15.75" customHeight="1">
      <c r="C447" s="33"/>
      <c r="D447" s="33"/>
      <c r="E447" s="33"/>
      <c r="F447" s="33"/>
    </row>
    <row r="448" ht="15.75" customHeight="1">
      <c r="C448" s="33"/>
      <c r="D448" s="33"/>
      <c r="E448" s="33"/>
      <c r="F448" s="33"/>
    </row>
    <row r="449" ht="15.75" customHeight="1">
      <c r="C449" s="33"/>
      <c r="D449" s="33"/>
      <c r="E449" s="33"/>
      <c r="F449" s="33"/>
    </row>
    <row r="450" ht="15.75" customHeight="1">
      <c r="C450" s="33"/>
      <c r="D450" s="33"/>
      <c r="E450" s="33"/>
      <c r="F450" s="33"/>
    </row>
    <row r="451" ht="15.75" customHeight="1">
      <c r="C451" s="33"/>
      <c r="D451" s="33"/>
      <c r="E451" s="33"/>
      <c r="F451" s="33"/>
    </row>
    <row r="452" ht="15.75" customHeight="1">
      <c r="C452" s="33"/>
      <c r="D452" s="33"/>
      <c r="E452" s="33"/>
      <c r="F452" s="33"/>
    </row>
    <row r="453" ht="15.75" customHeight="1">
      <c r="C453" s="33"/>
      <c r="D453" s="33"/>
      <c r="E453" s="33"/>
      <c r="F453" s="33"/>
    </row>
    <row r="454" ht="15.75" customHeight="1">
      <c r="C454" s="33"/>
      <c r="D454" s="33"/>
      <c r="E454" s="33"/>
      <c r="F454" s="33"/>
    </row>
    <row r="455" ht="15.75" customHeight="1">
      <c r="C455" s="33"/>
      <c r="D455" s="33"/>
      <c r="E455" s="33"/>
      <c r="F455" s="33"/>
    </row>
    <row r="456" ht="15.75" customHeight="1">
      <c r="C456" s="33"/>
      <c r="D456" s="33"/>
      <c r="E456" s="33"/>
      <c r="F456" s="33"/>
    </row>
    <row r="457" ht="15.75" customHeight="1">
      <c r="C457" s="33"/>
      <c r="D457" s="33"/>
      <c r="E457" s="33"/>
      <c r="F457" s="33"/>
    </row>
    <row r="458" ht="15.75" customHeight="1">
      <c r="C458" s="33"/>
      <c r="D458" s="33"/>
      <c r="E458" s="33"/>
      <c r="F458" s="33"/>
    </row>
    <row r="459" ht="15.75" customHeight="1">
      <c r="C459" s="33"/>
      <c r="D459" s="33"/>
      <c r="E459" s="33"/>
      <c r="F459" s="33"/>
    </row>
    <row r="460" ht="15.75" customHeight="1">
      <c r="C460" s="33"/>
      <c r="D460" s="33"/>
      <c r="E460" s="33"/>
      <c r="F460" s="33"/>
    </row>
    <row r="461" ht="15.75" customHeight="1">
      <c r="C461" s="33"/>
      <c r="D461" s="33"/>
      <c r="E461" s="33"/>
      <c r="F461" s="33"/>
    </row>
    <row r="462" ht="15.75" customHeight="1">
      <c r="C462" s="33"/>
      <c r="D462" s="33"/>
      <c r="E462" s="33"/>
      <c r="F462" s="33"/>
    </row>
    <row r="463" ht="15.75" customHeight="1">
      <c r="C463" s="33"/>
      <c r="D463" s="33"/>
      <c r="E463" s="33"/>
      <c r="F463" s="33"/>
    </row>
    <row r="464" ht="15.75" customHeight="1">
      <c r="C464" s="33"/>
      <c r="D464" s="33"/>
      <c r="E464" s="33"/>
      <c r="F464" s="33"/>
    </row>
    <row r="465" ht="15.75" customHeight="1">
      <c r="C465" s="33"/>
      <c r="D465" s="33"/>
      <c r="E465" s="33"/>
      <c r="F465" s="33"/>
    </row>
    <row r="466" ht="15.75" customHeight="1">
      <c r="C466" s="33"/>
      <c r="D466" s="33"/>
      <c r="E466" s="33"/>
      <c r="F466" s="33"/>
    </row>
    <row r="467" ht="15.75" customHeight="1">
      <c r="C467" s="33"/>
      <c r="D467" s="33"/>
      <c r="E467" s="33"/>
      <c r="F467" s="33"/>
    </row>
    <row r="468" ht="15.75" customHeight="1">
      <c r="C468" s="33"/>
      <c r="D468" s="33"/>
      <c r="E468" s="33"/>
      <c r="F468" s="33"/>
    </row>
    <row r="469" ht="15.75" customHeight="1">
      <c r="C469" s="33"/>
      <c r="D469" s="33"/>
      <c r="E469" s="33"/>
      <c r="F469" s="33"/>
    </row>
    <row r="470" ht="15.75" customHeight="1">
      <c r="C470" s="33"/>
      <c r="D470" s="33"/>
      <c r="E470" s="33"/>
      <c r="F470" s="33"/>
    </row>
    <row r="471" ht="15.75" customHeight="1">
      <c r="C471" s="33"/>
      <c r="D471" s="33"/>
      <c r="E471" s="33"/>
      <c r="F471" s="33"/>
    </row>
    <row r="472" ht="15.75" customHeight="1">
      <c r="C472" s="33"/>
      <c r="D472" s="33"/>
      <c r="E472" s="33"/>
      <c r="F472" s="33"/>
    </row>
    <row r="473" ht="15.75" customHeight="1">
      <c r="C473" s="33"/>
      <c r="D473" s="33"/>
      <c r="E473" s="33"/>
      <c r="F473" s="33"/>
    </row>
    <row r="474" ht="15.75" customHeight="1">
      <c r="C474" s="33"/>
      <c r="D474" s="33"/>
      <c r="E474" s="33"/>
      <c r="F474" s="33"/>
    </row>
    <row r="475" ht="15.75" customHeight="1">
      <c r="C475" s="33"/>
      <c r="D475" s="33"/>
      <c r="E475" s="33"/>
      <c r="F475" s="33"/>
    </row>
    <row r="476" ht="15.75" customHeight="1">
      <c r="C476" s="33"/>
      <c r="D476" s="33"/>
      <c r="E476" s="33"/>
      <c r="F476" s="33"/>
    </row>
    <row r="477" ht="15.75" customHeight="1">
      <c r="C477" s="33"/>
      <c r="D477" s="33"/>
      <c r="E477" s="33"/>
      <c r="F477" s="33"/>
    </row>
    <row r="478" ht="15.75" customHeight="1">
      <c r="C478" s="33"/>
      <c r="D478" s="33"/>
      <c r="E478" s="33"/>
      <c r="F478" s="33"/>
    </row>
    <row r="479" ht="15.75" customHeight="1">
      <c r="C479" s="33"/>
      <c r="D479" s="33"/>
      <c r="E479" s="33"/>
      <c r="F479" s="33"/>
    </row>
    <row r="480" ht="15.75" customHeight="1">
      <c r="C480" s="33"/>
      <c r="D480" s="33"/>
      <c r="E480" s="33"/>
      <c r="F480" s="33"/>
    </row>
    <row r="481" ht="15.75" customHeight="1">
      <c r="C481" s="33"/>
      <c r="D481" s="33"/>
      <c r="E481" s="33"/>
      <c r="F481" s="33"/>
    </row>
    <row r="482" ht="15.75" customHeight="1">
      <c r="C482" s="33"/>
      <c r="D482" s="33"/>
      <c r="E482" s="33"/>
      <c r="F482" s="33"/>
    </row>
    <row r="483" ht="15.75" customHeight="1">
      <c r="C483" s="33"/>
      <c r="D483" s="33"/>
      <c r="E483" s="33"/>
      <c r="F483" s="33"/>
    </row>
    <row r="484" ht="15.75" customHeight="1">
      <c r="C484" s="33"/>
      <c r="D484" s="33"/>
      <c r="E484" s="33"/>
      <c r="F484" s="33"/>
    </row>
    <row r="485" ht="15.75" customHeight="1">
      <c r="C485" s="33"/>
      <c r="D485" s="33"/>
      <c r="E485" s="33"/>
      <c r="F485" s="33"/>
    </row>
    <row r="486" ht="15.75" customHeight="1">
      <c r="C486" s="33"/>
      <c r="D486" s="33"/>
      <c r="E486" s="33"/>
      <c r="F486" s="33"/>
    </row>
    <row r="487" ht="15.75" customHeight="1">
      <c r="C487" s="33"/>
      <c r="D487" s="33"/>
      <c r="E487" s="33"/>
      <c r="F487" s="33"/>
    </row>
    <row r="488" ht="15.75" customHeight="1">
      <c r="C488" s="33"/>
      <c r="D488" s="33"/>
      <c r="E488" s="33"/>
      <c r="F488" s="33"/>
    </row>
    <row r="489" ht="15.75" customHeight="1">
      <c r="C489" s="33"/>
      <c r="D489" s="33"/>
      <c r="E489" s="33"/>
      <c r="F489" s="33"/>
    </row>
    <row r="490" ht="15.75" customHeight="1">
      <c r="C490" s="33"/>
      <c r="D490" s="33"/>
      <c r="E490" s="33"/>
      <c r="F490" s="33"/>
    </row>
    <row r="491" ht="15.75" customHeight="1">
      <c r="C491" s="33"/>
      <c r="D491" s="33"/>
      <c r="E491" s="33"/>
      <c r="F491" s="33"/>
    </row>
    <row r="492" ht="15.75" customHeight="1">
      <c r="C492" s="33"/>
      <c r="D492" s="33"/>
      <c r="E492" s="33"/>
      <c r="F492" s="33"/>
    </row>
    <row r="493" ht="15.75" customHeight="1">
      <c r="C493" s="33"/>
      <c r="D493" s="33"/>
      <c r="E493" s="33"/>
      <c r="F493" s="33"/>
    </row>
    <row r="494" ht="15.75" customHeight="1">
      <c r="C494" s="33"/>
      <c r="D494" s="33"/>
      <c r="E494" s="33"/>
      <c r="F494" s="33"/>
    </row>
    <row r="495" ht="15.75" customHeight="1">
      <c r="C495" s="33"/>
      <c r="D495" s="33"/>
      <c r="E495" s="33"/>
      <c r="F495" s="33"/>
    </row>
    <row r="496" ht="15.75" customHeight="1">
      <c r="C496" s="33"/>
      <c r="D496" s="33"/>
      <c r="E496" s="33"/>
      <c r="F496" s="33"/>
    </row>
    <row r="497" ht="15.75" customHeight="1">
      <c r="C497" s="33"/>
      <c r="D497" s="33"/>
      <c r="E497" s="33"/>
      <c r="F497" s="33"/>
    </row>
    <row r="498" ht="15.75" customHeight="1">
      <c r="C498" s="33"/>
      <c r="D498" s="33"/>
      <c r="E498" s="33"/>
      <c r="F498" s="33"/>
    </row>
    <row r="499" ht="15.75" customHeight="1">
      <c r="C499" s="33"/>
      <c r="D499" s="33"/>
      <c r="E499" s="33"/>
      <c r="F499" s="33"/>
    </row>
    <row r="500" ht="15.75" customHeight="1">
      <c r="C500" s="33"/>
      <c r="D500" s="33"/>
      <c r="E500" s="33"/>
      <c r="F500" s="33"/>
    </row>
    <row r="501" ht="15.75" customHeight="1">
      <c r="C501" s="33"/>
      <c r="D501" s="33"/>
      <c r="E501" s="33"/>
      <c r="F501" s="33"/>
    </row>
    <row r="502" ht="15.75" customHeight="1">
      <c r="C502" s="33"/>
      <c r="D502" s="33"/>
      <c r="E502" s="33"/>
      <c r="F502" s="33"/>
    </row>
    <row r="503" ht="15.75" customHeight="1">
      <c r="C503" s="33"/>
      <c r="D503" s="33"/>
      <c r="E503" s="33"/>
      <c r="F503" s="33"/>
    </row>
    <row r="504" ht="15.75" customHeight="1">
      <c r="C504" s="33"/>
      <c r="D504" s="33"/>
      <c r="E504" s="33"/>
      <c r="F504" s="33"/>
    </row>
    <row r="505" ht="15.75" customHeight="1">
      <c r="C505" s="33"/>
      <c r="D505" s="33"/>
      <c r="E505" s="33"/>
      <c r="F505" s="33"/>
    </row>
    <row r="506" ht="15.75" customHeight="1">
      <c r="C506" s="33"/>
      <c r="D506" s="33"/>
      <c r="E506" s="33"/>
      <c r="F506" s="33"/>
    </row>
    <row r="507" ht="15.75" customHeight="1">
      <c r="C507" s="33"/>
      <c r="D507" s="33"/>
      <c r="E507" s="33"/>
      <c r="F507" s="33"/>
    </row>
    <row r="508" ht="15.75" customHeight="1">
      <c r="C508" s="33"/>
      <c r="D508" s="33"/>
      <c r="E508" s="33"/>
      <c r="F508" s="33"/>
    </row>
    <row r="509" ht="15.75" customHeight="1">
      <c r="C509" s="33"/>
      <c r="D509" s="33"/>
      <c r="E509" s="33"/>
      <c r="F509" s="33"/>
    </row>
    <row r="510" ht="15.75" customHeight="1">
      <c r="C510" s="33"/>
      <c r="D510" s="33"/>
      <c r="E510" s="33"/>
      <c r="F510" s="33"/>
    </row>
    <row r="511" ht="15.75" customHeight="1">
      <c r="C511" s="33"/>
      <c r="D511" s="33"/>
      <c r="E511" s="33"/>
      <c r="F511" s="33"/>
    </row>
    <row r="512" ht="15.75" customHeight="1">
      <c r="C512" s="33"/>
      <c r="D512" s="33"/>
      <c r="E512" s="33"/>
      <c r="F512" s="33"/>
    </row>
    <row r="513" ht="15.75" customHeight="1">
      <c r="C513" s="33"/>
      <c r="D513" s="33"/>
      <c r="E513" s="33"/>
      <c r="F513" s="33"/>
    </row>
    <row r="514" ht="15.75" customHeight="1">
      <c r="C514" s="33"/>
      <c r="D514" s="33"/>
      <c r="E514" s="33"/>
      <c r="F514" s="33"/>
    </row>
    <row r="515" ht="15.75" customHeight="1">
      <c r="C515" s="33"/>
      <c r="D515" s="33"/>
      <c r="E515" s="33"/>
      <c r="F515" s="33"/>
    </row>
    <row r="516" ht="15.75" customHeight="1">
      <c r="C516" s="33"/>
      <c r="D516" s="33"/>
      <c r="E516" s="33"/>
      <c r="F516" s="33"/>
    </row>
    <row r="517" ht="15.75" customHeight="1">
      <c r="C517" s="33"/>
      <c r="D517" s="33"/>
      <c r="E517" s="33"/>
      <c r="F517" s="33"/>
    </row>
    <row r="518" ht="15.75" customHeight="1">
      <c r="C518" s="33"/>
      <c r="D518" s="33"/>
      <c r="E518" s="33"/>
      <c r="F518" s="33"/>
    </row>
    <row r="519" ht="15.75" customHeight="1">
      <c r="C519" s="33"/>
      <c r="D519" s="33"/>
      <c r="E519" s="33"/>
      <c r="F519" s="33"/>
    </row>
    <row r="520" ht="15.75" customHeight="1">
      <c r="C520" s="33"/>
      <c r="D520" s="33"/>
      <c r="E520" s="33"/>
      <c r="F520" s="33"/>
    </row>
    <row r="521" ht="15.75" customHeight="1">
      <c r="C521" s="33"/>
      <c r="D521" s="33"/>
      <c r="E521" s="33"/>
      <c r="F521" s="33"/>
    </row>
    <row r="522" ht="15.75" customHeight="1">
      <c r="C522" s="33"/>
      <c r="D522" s="33"/>
      <c r="E522" s="33"/>
      <c r="F522" s="33"/>
    </row>
    <row r="523" ht="15.75" customHeight="1">
      <c r="C523" s="33"/>
      <c r="D523" s="33"/>
      <c r="E523" s="33"/>
      <c r="F523" s="33"/>
    </row>
    <row r="524" ht="15.75" customHeight="1">
      <c r="C524" s="33"/>
      <c r="D524" s="33"/>
      <c r="E524" s="33"/>
      <c r="F524" s="33"/>
    </row>
    <row r="525" ht="15.75" customHeight="1">
      <c r="C525" s="33"/>
      <c r="D525" s="33"/>
      <c r="E525" s="33"/>
      <c r="F525" s="33"/>
    </row>
    <row r="526" ht="15.75" customHeight="1">
      <c r="C526" s="33"/>
      <c r="D526" s="33"/>
      <c r="E526" s="33"/>
      <c r="F526" s="33"/>
    </row>
    <row r="527" ht="15.75" customHeight="1">
      <c r="C527" s="33"/>
      <c r="D527" s="33"/>
      <c r="E527" s="33"/>
      <c r="F527" s="33"/>
    </row>
    <row r="528" ht="15.75" customHeight="1">
      <c r="C528" s="33"/>
      <c r="D528" s="33"/>
      <c r="E528" s="33"/>
      <c r="F528" s="33"/>
    </row>
    <row r="529" ht="15.75" customHeight="1">
      <c r="C529" s="33"/>
      <c r="D529" s="33"/>
      <c r="E529" s="33"/>
      <c r="F529" s="33"/>
    </row>
    <row r="530" ht="15.75" customHeight="1">
      <c r="C530" s="33"/>
      <c r="D530" s="33"/>
      <c r="E530" s="33"/>
      <c r="F530" s="33"/>
    </row>
    <row r="531" ht="15.75" customHeight="1">
      <c r="C531" s="33"/>
      <c r="D531" s="33"/>
      <c r="E531" s="33"/>
      <c r="F531" s="33"/>
    </row>
    <row r="532" ht="15.75" customHeight="1">
      <c r="C532" s="33"/>
      <c r="D532" s="33"/>
      <c r="E532" s="33"/>
      <c r="F532" s="33"/>
    </row>
    <row r="533" ht="15.75" customHeight="1">
      <c r="C533" s="33"/>
      <c r="D533" s="33"/>
      <c r="E533" s="33"/>
      <c r="F533" s="33"/>
    </row>
    <row r="534" ht="15.75" customHeight="1">
      <c r="C534" s="33"/>
      <c r="D534" s="33"/>
      <c r="E534" s="33"/>
      <c r="F534" s="33"/>
    </row>
    <row r="535" ht="15.75" customHeight="1">
      <c r="C535" s="33"/>
      <c r="D535" s="33"/>
      <c r="E535" s="33"/>
      <c r="F535" s="33"/>
    </row>
    <row r="536" ht="15.75" customHeight="1">
      <c r="C536" s="33"/>
      <c r="D536" s="33"/>
      <c r="E536" s="33"/>
      <c r="F536" s="33"/>
    </row>
    <row r="537" ht="15.75" customHeight="1">
      <c r="C537" s="33"/>
      <c r="D537" s="33"/>
      <c r="E537" s="33"/>
      <c r="F537" s="33"/>
    </row>
    <row r="538" ht="15.75" customHeight="1">
      <c r="C538" s="33"/>
      <c r="D538" s="33"/>
      <c r="E538" s="33"/>
      <c r="F538" s="33"/>
    </row>
    <row r="539" ht="15.75" customHeight="1">
      <c r="C539" s="33"/>
      <c r="D539" s="33"/>
      <c r="E539" s="33"/>
      <c r="F539" s="33"/>
    </row>
    <row r="540" ht="15.75" customHeight="1">
      <c r="C540" s="33"/>
      <c r="D540" s="33"/>
      <c r="E540" s="33"/>
      <c r="F540" s="33"/>
    </row>
    <row r="541" ht="15.75" customHeight="1">
      <c r="C541" s="33"/>
      <c r="D541" s="33"/>
      <c r="E541" s="33"/>
      <c r="F541" s="33"/>
    </row>
    <row r="542" ht="15.75" customHeight="1">
      <c r="C542" s="33"/>
      <c r="D542" s="33"/>
      <c r="E542" s="33"/>
      <c r="F542" s="33"/>
    </row>
    <row r="543" ht="15.75" customHeight="1">
      <c r="C543" s="33"/>
      <c r="D543" s="33"/>
      <c r="E543" s="33"/>
      <c r="F543" s="33"/>
    </row>
    <row r="544" ht="15.75" customHeight="1">
      <c r="C544" s="33"/>
      <c r="D544" s="33"/>
      <c r="E544" s="33"/>
      <c r="F544" s="33"/>
    </row>
    <row r="545" ht="15.75" customHeight="1">
      <c r="C545" s="33"/>
      <c r="D545" s="33"/>
      <c r="E545" s="33"/>
      <c r="F545" s="33"/>
    </row>
    <row r="546" ht="15.75" customHeight="1">
      <c r="C546" s="33"/>
      <c r="D546" s="33"/>
      <c r="E546" s="33"/>
      <c r="F546" s="33"/>
    </row>
    <row r="547" ht="15.75" customHeight="1">
      <c r="C547" s="33"/>
      <c r="D547" s="33"/>
      <c r="E547" s="33"/>
      <c r="F547" s="33"/>
    </row>
    <row r="548" ht="15.75" customHeight="1">
      <c r="C548" s="33"/>
      <c r="D548" s="33"/>
      <c r="E548" s="33"/>
      <c r="F548" s="33"/>
    </row>
    <row r="549" ht="15.75" customHeight="1">
      <c r="C549" s="33"/>
      <c r="D549" s="33"/>
      <c r="E549" s="33"/>
      <c r="F549" s="33"/>
    </row>
    <row r="550" ht="15.75" customHeight="1">
      <c r="C550" s="33"/>
      <c r="D550" s="33"/>
      <c r="E550" s="33"/>
      <c r="F550" s="33"/>
    </row>
    <row r="551" ht="15.75" customHeight="1">
      <c r="C551" s="33"/>
      <c r="D551" s="33"/>
      <c r="E551" s="33"/>
      <c r="F551" s="33"/>
    </row>
    <row r="552" ht="15.75" customHeight="1">
      <c r="C552" s="33"/>
      <c r="D552" s="33"/>
      <c r="E552" s="33"/>
      <c r="F552" s="33"/>
    </row>
    <row r="553" ht="15.75" customHeight="1">
      <c r="C553" s="33"/>
      <c r="D553" s="33"/>
      <c r="E553" s="33"/>
      <c r="F553" s="33"/>
    </row>
    <row r="554" ht="15.75" customHeight="1">
      <c r="C554" s="33"/>
      <c r="D554" s="33"/>
      <c r="E554" s="33"/>
      <c r="F554" s="33"/>
    </row>
    <row r="555" ht="15.75" customHeight="1">
      <c r="C555" s="33"/>
      <c r="D555" s="33"/>
      <c r="E555" s="33"/>
      <c r="F555" s="33"/>
    </row>
    <row r="556" ht="15.75" customHeight="1">
      <c r="C556" s="33"/>
      <c r="D556" s="33"/>
      <c r="E556" s="33"/>
      <c r="F556" s="33"/>
    </row>
    <row r="557" ht="15.75" customHeight="1">
      <c r="C557" s="33"/>
      <c r="D557" s="33"/>
      <c r="E557" s="33"/>
      <c r="F557" s="33"/>
    </row>
    <row r="558" ht="15.75" customHeight="1">
      <c r="C558" s="33"/>
      <c r="D558" s="33"/>
      <c r="E558" s="33"/>
      <c r="F558" s="33"/>
    </row>
    <row r="559" ht="15.75" customHeight="1">
      <c r="C559" s="33"/>
      <c r="D559" s="33"/>
      <c r="E559" s="33"/>
      <c r="F559" s="33"/>
    </row>
    <row r="560" ht="15.75" customHeight="1">
      <c r="C560" s="33"/>
      <c r="D560" s="33"/>
      <c r="E560" s="33"/>
      <c r="F560" s="33"/>
    </row>
    <row r="561" ht="15.75" customHeight="1">
      <c r="C561" s="33"/>
      <c r="D561" s="33"/>
      <c r="E561" s="33"/>
      <c r="F561" s="33"/>
    </row>
    <row r="562" ht="15.75" customHeight="1">
      <c r="C562" s="33"/>
      <c r="D562" s="33"/>
      <c r="E562" s="33"/>
      <c r="F562" s="33"/>
    </row>
    <row r="563" ht="15.75" customHeight="1">
      <c r="C563" s="33"/>
      <c r="D563" s="33"/>
      <c r="E563" s="33"/>
      <c r="F563" s="33"/>
    </row>
    <row r="564" ht="15.75" customHeight="1">
      <c r="C564" s="33"/>
      <c r="D564" s="33"/>
      <c r="E564" s="33"/>
      <c r="F564" s="33"/>
    </row>
    <row r="565" ht="15.75" customHeight="1">
      <c r="C565" s="33"/>
      <c r="D565" s="33"/>
      <c r="E565" s="33"/>
      <c r="F565" s="33"/>
    </row>
    <row r="566" ht="15.75" customHeight="1">
      <c r="C566" s="33"/>
      <c r="D566" s="33"/>
      <c r="E566" s="33"/>
      <c r="F566" s="33"/>
    </row>
    <row r="567" ht="15.75" customHeight="1">
      <c r="C567" s="33"/>
      <c r="D567" s="33"/>
      <c r="E567" s="33"/>
      <c r="F567" s="33"/>
    </row>
    <row r="568" ht="15.75" customHeight="1">
      <c r="C568" s="33"/>
      <c r="D568" s="33"/>
      <c r="E568" s="33"/>
      <c r="F568" s="33"/>
    </row>
    <row r="569" ht="15.75" customHeight="1">
      <c r="C569" s="33"/>
      <c r="D569" s="33"/>
      <c r="E569" s="33"/>
      <c r="F569" s="33"/>
    </row>
    <row r="570" ht="15.75" customHeight="1">
      <c r="C570" s="33"/>
      <c r="D570" s="33"/>
      <c r="E570" s="33"/>
      <c r="F570" s="33"/>
    </row>
    <row r="571" ht="15.75" customHeight="1">
      <c r="C571" s="33"/>
      <c r="D571" s="33"/>
      <c r="E571" s="33"/>
      <c r="F571" s="33"/>
    </row>
    <row r="572" ht="15.75" customHeight="1">
      <c r="C572" s="33"/>
      <c r="D572" s="33"/>
      <c r="E572" s="33"/>
      <c r="F572" s="33"/>
    </row>
    <row r="573" ht="15.75" customHeight="1">
      <c r="C573" s="33"/>
      <c r="D573" s="33"/>
      <c r="E573" s="33"/>
      <c r="F573" s="33"/>
    </row>
    <row r="574" ht="15.75" customHeight="1">
      <c r="C574" s="33"/>
      <c r="D574" s="33"/>
      <c r="E574" s="33"/>
      <c r="F574" s="33"/>
    </row>
    <row r="575" ht="15.75" customHeight="1">
      <c r="C575" s="33"/>
      <c r="D575" s="33"/>
      <c r="E575" s="33"/>
      <c r="F575" s="33"/>
    </row>
    <row r="576" ht="15.75" customHeight="1">
      <c r="C576" s="33"/>
      <c r="D576" s="33"/>
      <c r="E576" s="33"/>
      <c r="F576" s="33"/>
    </row>
    <row r="577" ht="15.75" customHeight="1">
      <c r="C577" s="33"/>
      <c r="D577" s="33"/>
      <c r="E577" s="33"/>
      <c r="F577" s="33"/>
    </row>
    <row r="578" ht="15.75" customHeight="1">
      <c r="C578" s="33"/>
      <c r="D578" s="33"/>
      <c r="E578" s="33"/>
      <c r="F578" s="33"/>
    </row>
    <row r="579" ht="15.75" customHeight="1">
      <c r="C579" s="33"/>
      <c r="D579" s="33"/>
      <c r="E579" s="33"/>
      <c r="F579" s="33"/>
    </row>
    <row r="580" ht="15.75" customHeight="1">
      <c r="C580" s="33"/>
      <c r="D580" s="33"/>
      <c r="E580" s="33"/>
      <c r="F580" s="33"/>
    </row>
    <row r="581" ht="15.75" customHeight="1">
      <c r="C581" s="33"/>
      <c r="D581" s="33"/>
      <c r="E581" s="33"/>
      <c r="F581" s="33"/>
    </row>
    <row r="582" ht="15.75" customHeight="1">
      <c r="C582" s="33"/>
      <c r="D582" s="33"/>
      <c r="E582" s="33"/>
      <c r="F582" s="33"/>
    </row>
    <row r="583" ht="15.75" customHeight="1">
      <c r="C583" s="33"/>
      <c r="D583" s="33"/>
      <c r="E583" s="33"/>
      <c r="F583" s="33"/>
    </row>
    <row r="584" ht="15.75" customHeight="1">
      <c r="C584" s="33"/>
      <c r="D584" s="33"/>
      <c r="E584" s="33"/>
      <c r="F584" s="33"/>
    </row>
    <row r="585" ht="15.75" customHeight="1">
      <c r="C585" s="33"/>
      <c r="D585" s="33"/>
      <c r="E585" s="33"/>
      <c r="F585" s="33"/>
    </row>
    <row r="586" ht="15.75" customHeight="1">
      <c r="C586" s="33"/>
      <c r="D586" s="33"/>
      <c r="E586" s="33"/>
      <c r="F586" s="33"/>
    </row>
    <row r="587" ht="15.75" customHeight="1">
      <c r="C587" s="33"/>
      <c r="D587" s="33"/>
      <c r="E587" s="33"/>
      <c r="F587" s="33"/>
    </row>
    <row r="588" ht="15.75" customHeight="1">
      <c r="C588" s="33"/>
      <c r="D588" s="33"/>
      <c r="E588" s="33"/>
      <c r="F588" s="33"/>
    </row>
    <row r="589" ht="15.75" customHeight="1">
      <c r="C589" s="33"/>
      <c r="D589" s="33"/>
      <c r="E589" s="33"/>
      <c r="F589" s="33"/>
    </row>
    <row r="590" ht="15.75" customHeight="1">
      <c r="C590" s="33"/>
      <c r="D590" s="33"/>
      <c r="E590" s="33"/>
      <c r="F590" s="33"/>
    </row>
    <row r="591" ht="15.75" customHeight="1">
      <c r="C591" s="33"/>
      <c r="D591" s="33"/>
      <c r="E591" s="33"/>
      <c r="F591" s="33"/>
    </row>
    <row r="592" ht="15.75" customHeight="1">
      <c r="C592" s="33"/>
      <c r="D592" s="33"/>
      <c r="E592" s="33"/>
      <c r="F592" s="33"/>
    </row>
    <row r="593" ht="15.75" customHeight="1">
      <c r="C593" s="33"/>
      <c r="D593" s="33"/>
      <c r="E593" s="33"/>
      <c r="F593" s="33"/>
    </row>
    <row r="594" ht="15.75" customHeight="1">
      <c r="C594" s="33"/>
      <c r="D594" s="33"/>
      <c r="E594" s="33"/>
      <c r="F594" s="33"/>
    </row>
    <row r="595" ht="15.75" customHeight="1">
      <c r="C595" s="33"/>
      <c r="D595" s="33"/>
      <c r="E595" s="33"/>
      <c r="F595" s="33"/>
    </row>
    <row r="596" ht="15.75" customHeight="1">
      <c r="C596" s="33"/>
      <c r="D596" s="33"/>
      <c r="E596" s="33"/>
      <c r="F596" s="33"/>
    </row>
    <row r="597" ht="15.75" customHeight="1">
      <c r="C597" s="33"/>
      <c r="D597" s="33"/>
      <c r="E597" s="33"/>
      <c r="F597" s="33"/>
    </row>
    <row r="598" ht="15.75" customHeight="1">
      <c r="C598" s="33"/>
      <c r="D598" s="33"/>
      <c r="E598" s="33"/>
      <c r="F598" s="33"/>
    </row>
    <row r="599" ht="15.75" customHeight="1">
      <c r="C599" s="33"/>
      <c r="D599" s="33"/>
      <c r="E599" s="33"/>
      <c r="F599" s="33"/>
    </row>
    <row r="600" ht="15.75" customHeight="1">
      <c r="C600" s="33"/>
      <c r="D600" s="33"/>
      <c r="E600" s="33"/>
      <c r="F600" s="33"/>
    </row>
    <row r="601" ht="15.75" customHeight="1">
      <c r="C601" s="33"/>
      <c r="D601" s="33"/>
      <c r="E601" s="33"/>
      <c r="F601" s="33"/>
    </row>
    <row r="602" ht="15.75" customHeight="1">
      <c r="C602" s="33"/>
      <c r="D602" s="33"/>
      <c r="E602" s="33"/>
      <c r="F602" s="33"/>
    </row>
    <row r="603" ht="15.75" customHeight="1">
      <c r="C603" s="33"/>
      <c r="D603" s="33"/>
      <c r="E603" s="33"/>
      <c r="F603" s="33"/>
    </row>
    <row r="604" ht="15.75" customHeight="1">
      <c r="C604" s="33"/>
      <c r="D604" s="33"/>
      <c r="E604" s="33"/>
      <c r="F604" s="33"/>
    </row>
    <row r="605" ht="15.75" customHeight="1">
      <c r="C605" s="33"/>
      <c r="D605" s="33"/>
      <c r="E605" s="33"/>
      <c r="F605" s="33"/>
    </row>
    <row r="606" ht="15.75" customHeight="1">
      <c r="C606" s="33"/>
      <c r="D606" s="33"/>
      <c r="E606" s="33"/>
      <c r="F606" s="33"/>
    </row>
    <row r="607" ht="15.75" customHeight="1">
      <c r="C607" s="33"/>
      <c r="D607" s="33"/>
      <c r="E607" s="33"/>
      <c r="F607" s="33"/>
    </row>
    <row r="608" ht="15.75" customHeight="1">
      <c r="C608" s="33"/>
      <c r="D608" s="33"/>
      <c r="E608" s="33"/>
      <c r="F608" s="33"/>
    </row>
    <row r="609" ht="15.75" customHeight="1">
      <c r="C609" s="33"/>
      <c r="D609" s="33"/>
      <c r="E609" s="33"/>
      <c r="F609" s="33"/>
    </row>
    <row r="610" ht="15.75" customHeight="1">
      <c r="C610" s="33"/>
      <c r="D610" s="33"/>
      <c r="E610" s="33"/>
      <c r="F610" s="33"/>
    </row>
    <row r="611" ht="15.75" customHeight="1">
      <c r="C611" s="33"/>
      <c r="D611" s="33"/>
      <c r="E611" s="33"/>
      <c r="F611" s="33"/>
    </row>
    <row r="612" ht="15.75" customHeight="1">
      <c r="C612" s="33"/>
      <c r="D612" s="33"/>
      <c r="E612" s="33"/>
      <c r="F612" s="33"/>
    </row>
    <row r="613" ht="15.75" customHeight="1">
      <c r="C613" s="33"/>
      <c r="D613" s="33"/>
      <c r="E613" s="33"/>
      <c r="F613" s="33"/>
    </row>
    <row r="614" ht="15.75" customHeight="1">
      <c r="C614" s="33"/>
      <c r="D614" s="33"/>
      <c r="E614" s="33"/>
      <c r="F614" s="33"/>
    </row>
    <row r="615" ht="15.75" customHeight="1">
      <c r="C615" s="33"/>
      <c r="D615" s="33"/>
      <c r="E615" s="33"/>
      <c r="F615" s="33"/>
    </row>
    <row r="616" ht="15.75" customHeight="1">
      <c r="C616" s="33"/>
      <c r="D616" s="33"/>
      <c r="E616" s="33"/>
      <c r="F616" s="33"/>
    </row>
    <row r="617" ht="15.75" customHeight="1">
      <c r="C617" s="33"/>
      <c r="D617" s="33"/>
      <c r="E617" s="33"/>
      <c r="F617" s="33"/>
    </row>
    <row r="618" ht="15.75" customHeight="1">
      <c r="C618" s="33"/>
      <c r="D618" s="33"/>
      <c r="E618" s="33"/>
      <c r="F618" s="33"/>
    </row>
    <row r="619" ht="15.75" customHeight="1">
      <c r="C619" s="33"/>
      <c r="D619" s="33"/>
      <c r="E619" s="33"/>
      <c r="F619" s="33"/>
    </row>
    <row r="620" ht="15.75" customHeight="1">
      <c r="C620" s="33"/>
      <c r="D620" s="33"/>
      <c r="E620" s="33"/>
      <c r="F620" s="33"/>
    </row>
    <row r="621" ht="15.75" customHeight="1">
      <c r="C621" s="33"/>
      <c r="D621" s="33"/>
      <c r="E621" s="33"/>
      <c r="F621" s="33"/>
    </row>
    <row r="622" ht="15.75" customHeight="1">
      <c r="C622" s="33"/>
      <c r="D622" s="33"/>
      <c r="E622" s="33"/>
      <c r="F622" s="33"/>
    </row>
    <row r="623" ht="15.75" customHeight="1">
      <c r="C623" s="33"/>
      <c r="D623" s="33"/>
      <c r="E623" s="33"/>
      <c r="F623" s="33"/>
    </row>
    <row r="624" ht="15.75" customHeight="1">
      <c r="C624" s="33"/>
      <c r="D624" s="33"/>
      <c r="E624" s="33"/>
      <c r="F624" s="33"/>
    </row>
    <row r="625" ht="15.75" customHeight="1">
      <c r="C625" s="33"/>
      <c r="D625" s="33"/>
      <c r="E625" s="33"/>
      <c r="F625" s="33"/>
    </row>
    <row r="626" ht="15.75" customHeight="1">
      <c r="C626" s="33"/>
      <c r="D626" s="33"/>
      <c r="E626" s="33"/>
      <c r="F626" s="33"/>
    </row>
    <row r="627" ht="15.75" customHeight="1">
      <c r="C627" s="33"/>
      <c r="D627" s="33"/>
      <c r="E627" s="33"/>
      <c r="F627" s="33"/>
    </row>
    <row r="628" ht="15.75" customHeight="1">
      <c r="C628" s="33"/>
      <c r="D628" s="33"/>
      <c r="E628" s="33"/>
      <c r="F628" s="33"/>
    </row>
    <row r="629" ht="15.75" customHeight="1">
      <c r="C629" s="33"/>
      <c r="D629" s="33"/>
      <c r="E629" s="33"/>
      <c r="F629" s="33"/>
    </row>
    <row r="630" ht="15.75" customHeight="1">
      <c r="C630" s="33"/>
      <c r="D630" s="33"/>
      <c r="E630" s="33"/>
      <c r="F630" s="33"/>
    </row>
    <row r="631" ht="15.75" customHeight="1">
      <c r="C631" s="33"/>
      <c r="D631" s="33"/>
      <c r="E631" s="33"/>
      <c r="F631" s="33"/>
    </row>
    <row r="632" ht="15.75" customHeight="1">
      <c r="C632" s="33"/>
      <c r="D632" s="33"/>
      <c r="E632" s="33"/>
      <c r="F632" s="33"/>
    </row>
    <row r="633" ht="15.75" customHeight="1">
      <c r="C633" s="33"/>
      <c r="D633" s="33"/>
      <c r="E633" s="33"/>
      <c r="F633" s="33"/>
    </row>
    <row r="634" ht="15.75" customHeight="1">
      <c r="C634" s="33"/>
      <c r="D634" s="33"/>
      <c r="E634" s="33"/>
      <c r="F634" s="33"/>
    </row>
    <row r="635" ht="15.75" customHeight="1">
      <c r="C635" s="33"/>
      <c r="D635" s="33"/>
      <c r="E635" s="33"/>
      <c r="F635" s="33"/>
    </row>
    <row r="636" ht="15.75" customHeight="1">
      <c r="C636" s="33"/>
      <c r="D636" s="33"/>
      <c r="E636" s="33"/>
      <c r="F636" s="33"/>
    </row>
    <row r="637" ht="15.75" customHeight="1">
      <c r="C637" s="33"/>
      <c r="D637" s="33"/>
      <c r="E637" s="33"/>
      <c r="F637" s="33"/>
    </row>
    <row r="638" ht="15.75" customHeight="1">
      <c r="C638" s="33"/>
      <c r="D638" s="33"/>
      <c r="E638" s="33"/>
      <c r="F638" s="33"/>
    </row>
    <row r="639" ht="15.75" customHeight="1">
      <c r="C639" s="33"/>
      <c r="D639" s="33"/>
      <c r="E639" s="33"/>
      <c r="F639" s="33"/>
    </row>
    <row r="640" ht="15.75" customHeight="1">
      <c r="C640" s="33"/>
      <c r="D640" s="33"/>
      <c r="E640" s="33"/>
      <c r="F640" s="33"/>
    </row>
    <row r="641" ht="15.75" customHeight="1">
      <c r="C641" s="33"/>
      <c r="D641" s="33"/>
      <c r="E641" s="33"/>
      <c r="F641" s="33"/>
    </row>
    <row r="642" ht="15.75" customHeight="1">
      <c r="C642" s="33"/>
      <c r="D642" s="33"/>
      <c r="E642" s="33"/>
      <c r="F642" s="33"/>
    </row>
    <row r="643" ht="15.75" customHeight="1">
      <c r="C643" s="33"/>
      <c r="D643" s="33"/>
      <c r="E643" s="33"/>
      <c r="F643" s="33"/>
    </row>
    <row r="644" ht="15.75" customHeight="1">
      <c r="C644" s="33"/>
      <c r="D644" s="33"/>
      <c r="E644" s="33"/>
      <c r="F644" s="33"/>
    </row>
    <row r="645" ht="15.75" customHeight="1">
      <c r="C645" s="33"/>
      <c r="D645" s="33"/>
      <c r="E645" s="33"/>
      <c r="F645" s="33"/>
    </row>
    <row r="646" ht="15.75" customHeight="1">
      <c r="C646" s="33"/>
      <c r="D646" s="33"/>
      <c r="E646" s="33"/>
      <c r="F646" s="33"/>
    </row>
    <row r="647" ht="15.75" customHeight="1">
      <c r="C647" s="33"/>
      <c r="D647" s="33"/>
      <c r="E647" s="33"/>
      <c r="F647" s="33"/>
    </row>
    <row r="648" ht="15.75" customHeight="1">
      <c r="C648" s="33"/>
      <c r="D648" s="33"/>
      <c r="E648" s="33"/>
      <c r="F648" s="33"/>
    </row>
    <row r="649" ht="15.75" customHeight="1">
      <c r="C649" s="33"/>
      <c r="D649" s="33"/>
      <c r="E649" s="33"/>
      <c r="F649" s="33"/>
    </row>
    <row r="650" ht="15.75" customHeight="1">
      <c r="C650" s="33"/>
      <c r="D650" s="33"/>
      <c r="E650" s="33"/>
      <c r="F650" s="33"/>
    </row>
    <row r="651" ht="15.75" customHeight="1">
      <c r="C651" s="33"/>
      <c r="D651" s="33"/>
      <c r="E651" s="33"/>
      <c r="F651" s="33"/>
    </row>
    <row r="652" ht="15.75" customHeight="1">
      <c r="C652" s="33"/>
      <c r="D652" s="33"/>
      <c r="E652" s="33"/>
      <c r="F652" s="33"/>
    </row>
    <row r="653" ht="15.75" customHeight="1">
      <c r="C653" s="33"/>
      <c r="D653" s="33"/>
      <c r="E653" s="33"/>
      <c r="F653" s="33"/>
    </row>
    <row r="654" ht="15.75" customHeight="1">
      <c r="C654" s="33"/>
      <c r="D654" s="33"/>
      <c r="E654" s="33"/>
      <c r="F654" s="33"/>
    </row>
    <row r="655" ht="15.75" customHeight="1">
      <c r="C655" s="33"/>
      <c r="D655" s="33"/>
      <c r="E655" s="33"/>
      <c r="F655" s="33"/>
    </row>
    <row r="656" ht="15.75" customHeight="1">
      <c r="C656" s="33"/>
      <c r="D656" s="33"/>
      <c r="E656" s="33"/>
      <c r="F656" s="33"/>
    </row>
    <row r="657" ht="15.75" customHeight="1">
      <c r="C657" s="33"/>
      <c r="D657" s="33"/>
      <c r="E657" s="33"/>
      <c r="F657" s="33"/>
    </row>
    <row r="658" ht="15.75" customHeight="1">
      <c r="C658" s="33"/>
      <c r="D658" s="33"/>
      <c r="E658" s="33"/>
      <c r="F658" s="33"/>
    </row>
    <row r="659" ht="15.75" customHeight="1">
      <c r="C659" s="33"/>
      <c r="D659" s="33"/>
      <c r="E659" s="33"/>
      <c r="F659" s="33"/>
    </row>
    <row r="660" ht="15.75" customHeight="1">
      <c r="C660" s="33"/>
      <c r="D660" s="33"/>
      <c r="E660" s="33"/>
      <c r="F660" s="33"/>
    </row>
    <row r="661" ht="15.75" customHeight="1">
      <c r="C661" s="33"/>
      <c r="D661" s="33"/>
      <c r="E661" s="33"/>
      <c r="F661" s="33"/>
    </row>
    <row r="662" ht="15.75" customHeight="1">
      <c r="C662" s="33"/>
      <c r="D662" s="33"/>
      <c r="E662" s="33"/>
      <c r="F662" s="33"/>
    </row>
    <row r="663" ht="15.75" customHeight="1">
      <c r="C663" s="33"/>
      <c r="D663" s="33"/>
      <c r="E663" s="33"/>
      <c r="F663" s="33"/>
    </row>
    <row r="664" ht="15.75" customHeight="1">
      <c r="C664" s="33"/>
      <c r="D664" s="33"/>
      <c r="E664" s="33"/>
      <c r="F664" s="33"/>
    </row>
    <row r="665" ht="15.75" customHeight="1">
      <c r="C665" s="33"/>
      <c r="D665" s="33"/>
      <c r="E665" s="33"/>
      <c r="F665" s="33"/>
    </row>
    <row r="666" ht="15.75" customHeight="1">
      <c r="C666" s="33"/>
      <c r="D666" s="33"/>
      <c r="E666" s="33"/>
      <c r="F666" s="33"/>
    </row>
    <row r="667" ht="15.75" customHeight="1">
      <c r="C667" s="33"/>
      <c r="D667" s="33"/>
      <c r="E667" s="33"/>
      <c r="F667" s="33"/>
    </row>
    <row r="668" ht="15.75" customHeight="1">
      <c r="C668" s="33"/>
      <c r="D668" s="33"/>
      <c r="E668" s="33"/>
      <c r="F668" s="33"/>
    </row>
    <row r="669" ht="15.75" customHeight="1">
      <c r="C669" s="33"/>
      <c r="D669" s="33"/>
      <c r="E669" s="33"/>
      <c r="F669" s="33"/>
    </row>
    <row r="670" ht="15.75" customHeight="1">
      <c r="C670" s="33"/>
      <c r="D670" s="33"/>
      <c r="E670" s="33"/>
      <c r="F670" s="33"/>
    </row>
    <row r="671" ht="15.75" customHeight="1">
      <c r="C671" s="33"/>
      <c r="D671" s="33"/>
      <c r="E671" s="33"/>
      <c r="F671" s="33"/>
    </row>
    <row r="672" ht="15.75" customHeight="1">
      <c r="C672" s="33"/>
      <c r="D672" s="33"/>
      <c r="E672" s="33"/>
      <c r="F672" s="33"/>
    </row>
    <row r="673" ht="15.75" customHeight="1">
      <c r="C673" s="33"/>
      <c r="D673" s="33"/>
      <c r="E673" s="33"/>
      <c r="F673" s="33"/>
    </row>
    <row r="674" ht="15.75" customHeight="1">
      <c r="C674" s="33"/>
      <c r="D674" s="33"/>
      <c r="E674" s="33"/>
      <c r="F674" s="33"/>
    </row>
    <row r="675" ht="15.75" customHeight="1">
      <c r="C675" s="33"/>
      <c r="D675" s="33"/>
      <c r="E675" s="33"/>
      <c r="F675" s="33"/>
    </row>
    <row r="676" ht="15.75" customHeight="1">
      <c r="C676" s="33"/>
      <c r="D676" s="33"/>
      <c r="E676" s="33"/>
      <c r="F676" s="33"/>
    </row>
    <row r="677" ht="15.75" customHeight="1">
      <c r="C677" s="33"/>
      <c r="D677" s="33"/>
      <c r="E677" s="33"/>
      <c r="F677" s="33"/>
    </row>
    <row r="678" ht="15.75" customHeight="1">
      <c r="C678" s="33"/>
      <c r="D678" s="33"/>
      <c r="E678" s="33"/>
      <c r="F678" s="33"/>
    </row>
    <row r="679" ht="15.75" customHeight="1">
      <c r="C679" s="33"/>
      <c r="D679" s="33"/>
      <c r="E679" s="33"/>
      <c r="F679" s="33"/>
    </row>
    <row r="680" ht="15.75" customHeight="1">
      <c r="C680" s="33"/>
      <c r="D680" s="33"/>
      <c r="E680" s="33"/>
      <c r="F680" s="33"/>
    </row>
    <row r="681" ht="15.75" customHeight="1">
      <c r="C681" s="33"/>
      <c r="D681" s="33"/>
      <c r="E681" s="33"/>
      <c r="F681" s="33"/>
    </row>
    <row r="682" ht="15.75" customHeight="1">
      <c r="C682" s="33"/>
      <c r="D682" s="33"/>
      <c r="E682" s="33"/>
      <c r="F682" s="33"/>
    </row>
    <row r="683" ht="15.75" customHeight="1">
      <c r="C683" s="33"/>
      <c r="D683" s="33"/>
      <c r="E683" s="33"/>
      <c r="F683" s="33"/>
    </row>
    <row r="684" ht="15.75" customHeight="1">
      <c r="C684" s="33"/>
      <c r="D684" s="33"/>
      <c r="E684" s="33"/>
      <c r="F684" s="33"/>
    </row>
    <row r="685" ht="15.75" customHeight="1">
      <c r="C685" s="33"/>
      <c r="D685" s="33"/>
      <c r="E685" s="33"/>
      <c r="F685" s="33"/>
    </row>
    <row r="686" ht="15.75" customHeight="1">
      <c r="C686" s="33"/>
      <c r="D686" s="33"/>
      <c r="E686" s="33"/>
      <c r="F686" s="33"/>
    </row>
    <row r="687" ht="15.75" customHeight="1">
      <c r="C687" s="33"/>
      <c r="D687" s="33"/>
      <c r="E687" s="33"/>
      <c r="F687" s="33"/>
    </row>
    <row r="688" ht="15.75" customHeight="1">
      <c r="C688" s="33"/>
      <c r="D688" s="33"/>
      <c r="E688" s="33"/>
      <c r="F688" s="33"/>
    </row>
    <row r="689" ht="15.75" customHeight="1">
      <c r="C689" s="33"/>
      <c r="D689" s="33"/>
      <c r="E689" s="33"/>
      <c r="F689" s="33"/>
    </row>
    <row r="690" ht="15.75" customHeight="1">
      <c r="C690" s="33"/>
      <c r="D690" s="33"/>
      <c r="E690" s="33"/>
      <c r="F690" s="33"/>
    </row>
    <row r="691" ht="15.75" customHeight="1">
      <c r="C691" s="33"/>
      <c r="D691" s="33"/>
      <c r="E691" s="33"/>
      <c r="F691" s="33"/>
    </row>
    <row r="692" ht="15.75" customHeight="1">
      <c r="C692" s="33"/>
      <c r="D692" s="33"/>
      <c r="E692" s="33"/>
      <c r="F692" s="33"/>
    </row>
    <row r="693" ht="15.75" customHeight="1">
      <c r="C693" s="33"/>
      <c r="D693" s="33"/>
      <c r="E693" s="33"/>
      <c r="F693" s="33"/>
    </row>
    <row r="694" ht="15.75" customHeight="1">
      <c r="C694" s="33"/>
      <c r="D694" s="33"/>
      <c r="E694" s="33"/>
      <c r="F694" s="33"/>
    </row>
    <row r="695" ht="15.75" customHeight="1">
      <c r="C695" s="33"/>
      <c r="D695" s="33"/>
      <c r="E695" s="33"/>
      <c r="F695" s="33"/>
    </row>
    <row r="696" ht="15.75" customHeight="1">
      <c r="C696" s="33"/>
      <c r="D696" s="33"/>
      <c r="E696" s="33"/>
      <c r="F696" s="33"/>
    </row>
    <row r="697" ht="15.75" customHeight="1">
      <c r="C697" s="33"/>
      <c r="D697" s="33"/>
      <c r="E697" s="33"/>
      <c r="F697" s="33"/>
    </row>
    <row r="698" ht="15.75" customHeight="1">
      <c r="C698" s="33"/>
      <c r="D698" s="33"/>
      <c r="E698" s="33"/>
      <c r="F698" s="33"/>
    </row>
    <row r="699" ht="15.75" customHeight="1">
      <c r="C699" s="33"/>
      <c r="D699" s="33"/>
      <c r="E699" s="33"/>
      <c r="F699" s="33"/>
    </row>
    <row r="700" ht="15.75" customHeight="1">
      <c r="C700" s="33"/>
      <c r="D700" s="33"/>
      <c r="E700" s="33"/>
      <c r="F700" s="33"/>
    </row>
    <row r="701" ht="15.75" customHeight="1">
      <c r="C701" s="33"/>
      <c r="D701" s="33"/>
      <c r="E701" s="33"/>
      <c r="F701" s="33"/>
    </row>
    <row r="702" ht="15.75" customHeight="1">
      <c r="C702" s="33"/>
      <c r="D702" s="33"/>
      <c r="E702" s="33"/>
      <c r="F702" s="33"/>
    </row>
    <row r="703" ht="15.75" customHeight="1">
      <c r="C703" s="33"/>
      <c r="D703" s="33"/>
      <c r="E703" s="33"/>
      <c r="F703" s="33"/>
    </row>
    <row r="704" ht="15.75" customHeight="1">
      <c r="C704" s="33"/>
      <c r="D704" s="33"/>
      <c r="E704" s="33"/>
      <c r="F704" s="33"/>
    </row>
    <row r="705" ht="15.75" customHeight="1">
      <c r="C705" s="33"/>
      <c r="D705" s="33"/>
      <c r="E705" s="33"/>
      <c r="F705" s="33"/>
    </row>
    <row r="706" ht="15.75" customHeight="1">
      <c r="C706" s="33"/>
      <c r="D706" s="33"/>
      <c r="E706" s="33"/>
      <c r="F706" s="33"/>
    </row>
    <row r="707" ht="15.75" customHeight="1">
      <c r="C707" s="33"/>
      <c r="D707" s="33"/>
      <c r="E707" s="33"/>
      <c r="F707" s="33"/>
    </row>
    <row r="708" ht="15.75" customHeight="1">
      <c r="C708" s="33"/>
      <c r="D708" s="33"/>
      <c r="E708" s="33"/>
      <c r="F708" s="33"/>
    </row>
    <row r="709" ht="15.75" customHeight="1">
      <c r="C709" s="33"/>
      <c r="D709" s="33"/>
      <c r="E709" s="33"/>
      <c r="F709" s="33"/>
    </row>
    <row r="710" ht="15.75" customHeight="1">
      <c r="C710" s="33"/>
      <c r="D710" s="33"/>
      <c r="E710" s="33"/>
      <c r="F710" s="33"/>
    </row>
    <row r="711" ht="15.75" customHeight="1">
      <c r="C711" s="33"/>
      <c r="D711" s="33"/>
      <c r="E711" s="33"/>
      <c r="F711" s="33"/>
    </row>
    <row r="712" ht="15.75" customHeight="1">
      <c r="C712" s="33"/>
      <c r="D712" s="33"/>
      <c r="E712" s="33"/>
      <c r="F712" s="33"/>
    </row>
    <row r="713" ht="15.75" customHeight="1">
      <c r="C713" s="33"/>
      <c r="D713" s="33"/>
      <c r="E713" s="33"/>
      <c r="F713" s="33"/>
    </row>
    <row r="714" ht="15.75" customHeight="1">
      <c r="C714" s="33"/>
      <c r="D714" s="33"/>
      <c r="E714" s="33"/>
      <c r="F714" s="33"/>
    </row>
    <row r="715" ht="15.75" customHeight="1">
      <c r="C715" s="33"/>
      <c r="D715" s="33"/>
      <c r="E715" s="33"/>
      <c r="F715" s="33"/>
    </row>
    <row r="716" ht="15.75" customHeight="1">
      <c r="C716" s="33"/>
      <c r="D716" s="33"/>
      <c r="E716" s="33"/>
      <c r="F716" s="33"/>
    </row>
    <row r="717" ht="15.75" customHeight="1">
      <c r="C717" s="33"/>
      <c r="D717" s="33"/>
      <c r="E717" s="33"/>
      <c r="F717" s="33"/>
    </row>
    <row r="718" ht="15.75" customHeight="1">
      <c r="C718" s="33"/>
      <c r="D718" s="33"/>
      <c r="E718" s="33"/>
      <c r="F718" s="33"/>
    </row>
    <row r="719" ht="15.75" customHeight="1">
      <c r="C719" s="33"/>
      <c r="D719" s="33"/>
      <c r="E719" s="33"/>
      <c r="F719" s="33"/>
    </row>
    <row r="720" ht="15.75" customHeight="1">
      <c r="C720" s="33"/>
      <c r="D720" s="33"/>
      <c r="E720" s="33"/>
      <c r="F720" s="33"/>
    </row>
    <row r="721" ht="15.75" customHeight="1">
      <c r="C721" s="33"/>
      <c r="D721" s="33"/>
      <c r="E721" s="33"/>
      <c r="F721" s="33"/>
    </row>
    <row r="722" ht="15.75" customHeight="1">
      <c r="C722" s="33"/>
      <c r="D722" s="33"/>
      <c r="E722" s="33"/>
      <c r="F722" s="33"/>
    </row>
    <row r="723" ht="15.75" customHeight="1">
      <c r="C723" s="33"/>
      <c r="D723" s="33"/>
      <c r="E723" s="33"/>
      <c r="F723" s="33"/>
    </row>
    <row r="724" ht="15.75" customHeight="1">
      <c r="C724" s="33"/>
      <c r="D724" s="33"/>
      <c r="E724" s="33"/>
      <c r="F724" s="33"/>
    </row>
    <row r="725" ht="15.75" customHeight="1">
      <c r="C725" s="33"/>
      <c r="D725" s="33"/>
      <c r="E725" s="33"/>
      <c r="F725" s="33"/>
    </row>
    <row r="726" ht="15.75" customHeight="1">
      <c r="C726" s="33"/>
      <c r="D726" s="33"/>
      <c r="E726" s="33"/>
      <c r="F726" s="33"/>
    </row>
    <row r="727" ht="15.75" customHeight="1">
      <c r="C727" s="33"/>
      <c r="D727" s="33"/>
      <c r="E727" s="33"/>
      <c r="F727" s="33"/>
    </row>
    <row r="728" ht="15.75" customHeight="1">
      <c r="C728" s="33"/>
      <c r="D728" s="33"/>
      <c r="E728" s="33"/>
      <c r="F728" s="33"/>
    </row>
    <row r="729" ht="15.75" customHeight="1">
      <c r="C729" s="33"/>
      <c r="D729" s="33"/>
      <c r="E729" s="33"/>
      <c r="F729" s="33"/>
    </row>
    <row r="730" ht="15.75" customHeight="1">
      <c r="C730" s="33"/>
      <c r="D730" s="33"/>
      <c r="E730" s="33"/>
      <c r="F730" s="33"/>
    </row>
    <row r="731" ht="15.75" customHeight="1">
      <c r="C731" s="33"/>
      <c r="D731" s="33"/>
      <c r="E731" s="33"/>
      <c r="F731" s="33"/>
    </row>
    <row r="732" ht="15.75" customHeight="1">
      <c r="C732" s="33"/>
      <c r="D732" s="33"/>
      <c r="E732" s="33"/>
      <c r="F732" s="33"/>
    </row>
    <row r="733" ht="15.75" customHeight="1">
      <c r="C733" s="33"/>
      <c r="D733" s="33"/>
      <c r="E733" s="33"/>
      <c r="F733" s="33"/>
    </row>
    <row r="734" ht="15.75" customHeight="1">
      <c r="C734" s="33"/>
      <c r="D734" s="33"/>
      <c r="E734" s="33"/>
      <c r="F734" s="33"/>
    </row>
    <row r="735" ht="15.75" customHeight="1">
      <c r="C735" s="33"/>
      <c r="D735" s="33"/>
      <c r="E735" s="33"/>
      <c r="F735" s="33"/>
    </row>
    <row r="736" ht="15.75" customHeight="1">
      <c r="C736" s="33"/>
      <c r="D736" s="33"/>
      <c r="E736" s="33"/>
      <c r="F736" s="33"/>
    </row>
    <row r="737" ht="15.75" customHeight="1">
      <c r="C737" s="33"/>
      <c r="D737" s="33"/>
      <c r="E737" s="33"/>
      <c r="F737" s="33"/>
    </row>
    <row r="738" ht="15.75" customHeight="1">
      <c r="C738" s="33"/>
      <c r="D738" s="33"/>
      <c r="E738" s="33"/>
      <c r="F738" s="33"/>
    </row>
    <row r="739" ht="15.75" customHeight="1">
      <c r="C739" s="33"/>
      <c r="D739" s="33"/>
      <c r="E739" s="33"/>
      <c r="F739" s="33"/>
    </row>
    <row r="740" ht="15.75" customHeight="1">
      <c r="C740" s="33"/>
      <c r="D740" s="33"/>
      <c r="E740" s="33"/>
      <c r="F740" s="33"/>
    </row>
    <row r="741" ht="15.75" customHeight="1">
      <c r="C741" s="33"/>
      <c r="D741" s="33"/>
      <c r="E741" s="33"/>
      <c r="F741" s="33"/>
    </row>
    <row r="742" ht="15.75" customHeight="1">
      <c r="C742" s="33"/>
      <c r="D742" s="33"/>
      <c r="E742" s="33"/>
      <c r="F742" s="33"/>
    </row>
    <row r="743" ht="15.75" customHeight="1">
      <c r="C743" s="33"/>
      <c r="D743" s="33"/>
      <c r="E743" s="33"/>
      <c r="F743" s="33"/>
    </row>
    <row r="744" ht="15.75" customHeight="1">
      <c r="C744" s="33"/>
      <c r="D744" s="33"/>
      <c r="E744" s="33"/>
      <c r="F744" s="33"/>
    </row>
    <row r="745" ht="15.75" customHeight="1">
      <c r="C745" s="33"/>
      <c r="D745" s="33"/>
      <c r="E745" s="33"/>
      <c r="F745" s="33"/>
    </row>
    <row r="746" ht="15.75" customHeight="1">
      <c r="C746" s="33"/>
      <c r="D746" s="33"/>
      <c r="E746" s="33"/>
      <c r="F746" s="33"/>
    </row>
    <row r="747" ht="15.75" customHeight="1">
      <c r="C747" s="33"/>
      <c r="D747" s="33"/>
      <c r="E747" s="33"/>
      <c r="F747" s="33"/>
    </row>
    <row r="748" ht="15.75" customHeight="1">
      <c r="C748" s="33"/>
      <c r="D748" s="33"/>
      <c r="E748" s="33"/>
      <c r="F748" s="33"/>
    </row>
    <row r="749" ht="15.75" customHeight="1">
      <c r="C749" s="33"/>
      <c r="D749" s="33"/>
      <c r="E749" s="33"/>
      <c r="F749" s="33"/>
    </row>
    <row r="750" ht="15.75" customHeight="1">
      <c r="C750" s="33"/>
      <c r="D750" s="33"/>
      <c r="E750" s="33"/>
      <c r="F750" s="33"/>
    </row>
    <row r="751" ht="15.75" customHeight="1">
      <c r="C751" s="33"/>
      <c r="D751" s="33"/>
      <c r="E751" s="33"/>
      <c r="F751" s="33"/>
    </row>
    <row r="752" ht="15.75" customHeight="1">
      <c r="C752" s="33"/>
      <c r="D752" s="33"/>
      <c r="E752" s="33"/>
      <c r="F752" s="33"/>
    </row>
    <row r="753" ht="15.75" customHeight="1">
      <c r="C753" s="33"/>
      <c r="D753" s="33"/>
      <c r="E753" s="33"/>
      <c r="F753" s="33"/>
    </row>
    <row r="754" ht="15.75" customHeight="1">
      <c r="C754" s="33"/>
      <c r="D754" s="33"/>
      <c r="E754" s="33"/>
      <c r="F754" s="33"/>
    </row>
    <row r="755" ht="15.75" customHeight="1">
      <c r="C755" s="33"/>
      <c r="D755" s="33"/>
      <c r="E755" s="33"/>
      <c r="F755" s="33"/>
    </row>
    <row r="756" ht="15.75" customHeight="1">
      <c r="C756" s="33"/>
      <c r="D756" s="33"/>
      <c r="E756" s="33"/>
      <c r="F756" s="33"/>
    </row>
    <row r="757" ht="15.75" customHeight="1">
      <c r="C757" s="33"/>
      <c r="D757" s="33"/>
      <c r="E757" s="33"/>
      <c r="F757" s="33"/>
    </row>
    <row r="758" ht="15.75" customHeight="1">
      <c r="C758" s="33"/>
      <c r="D758" s="33"/>
      <c r="E758" s="33"/>
      <c r="F758" s="33"/>
    </row>
    <row r="759" ht="15.75" customHeight="1">
      <c r="C759" s="33"/>
      <c r="D759" s="33"/>
      <c r="E759" s="33"/>
      <c r="F759" s="33"/>
    </row>
    <row r="760" ht="15.75" customHeight="1">
      <c r="C760" s="33"/>
      <c r="D760" s="33"/>
      <c r="E760" s="33"/>
      <c r="F760" s="33"/>
    </row>
    <row r="761" ht="15.75" customHeight="1">
      <c r="C761" s="33"/>
      <c r="D761" s="33"/>
      <c r="E761" s="33"/>
      <c r="F761" s="33"/>
    </row>
    <row r="762" ht="15.75" customHeight="1">
      <c r="C762" s="33"/>
      <c r="D762" s="33"/>
      <c r="E762" s="33"/>
      <c r="F762" s="33"/>
    </row>
    <row r="763" ht="15.75" customHeight="1">
      <c r="C763" s="33"/>
      <c r="D763" s="33"/>
      <c r="E763" s="33"/>
      <c r="F763" s="33"/>
    </row>
    <row r="764" ht="15.75" customHeight="1">
      <c r="C764" s="33"/>
      <c r="D764" s="33"/>
      <c r="E764" s="33"/>
      <c r="F764" s="33"/>
    </row>
    <row r="765" ht="15.75" customHeight="1">
      <c r="C765" s="33"/>
      <c r="D765" s="33"/>
      <c r="E765" s="33"/>
      <c r="F765" s="33"/>
    </row>
    <row r="766" ht="15.75" customHeight="1">
      <c r="C766" s="33"/>
      <c r="D766" s="33"/>
      <c r="E766" s="33"/>
      <c r="F766" s="33"/>
    </row>
    <row r="767" ht="15.75" customHeight="1">
      <c r="C767" s="33"/>
      <c r="D767" s="33"/>
      <c r="E767" s="33"/>
      <c r="F767" s="33"/>
    </row>
    <row r="768" ht="15.75" customHeight="1">
      <c r="C768" s="33"/>
      <c r="D768" s="33"/>
      <c r="E768" s="33"/>
      <c r="F768" s="33"/>
    </row>
    <row r="769" ht="15.75" customHeight="1">
      <c r="C769" s="33"/>
      <c r="D769" s="33"/>
      <c r="E769" s="33"/>
      <c r="F769" s="33"/>
    </row>
    <row r="770" ht="15.75" customHeight="1">
      <c r="C770" s="33"/>
      <c r="D770" s="33"/>
      <c r="E770" s="33"/>
      <c r="F770" s="33"/>
    </row>
    <row r="771" ht="15.75" customHeight="1">
      <c r="C771" s="33"/>
      <c r="D771" s="33"/>
      <c r="E771" s="33"/>
      <c r="F771" s="33"/>
    </row>
    <row r="772" ht="15.75" customHeight="1">
      <c r="C772" s="33"/>
      <c r="D772" s="33"/>
      <c r="E772" s="33"/>
      <c r="F772" s="33"/>
    </row>
    <row r="773" ht="15.75" customHeight="1">
      <c r="C773" s="33"/>
      <c r="D773" s="33"/>
      <c r="E773" s="33"/>
      <c r="F773" s="33"/>
    </row>
    <row r="774" ht="15.75" customHeight="1">
      <c r="C774" s="33"/>
      <c r="D774" s="33"/>
      <c r="E774" s="33"/>
      <c r="F774" s="33"/>
    </row>
    <row r="775" ht="15.75" customHeight="1">
      <c r="C775" s="33"/>
      <c r="D775" s="33"/>
      <c r="E775" s="33"/>
      <c r="F775" s="33"/>
    </row>
    <row r="776" ht="15.75" customHeight="1">
      <c r="C776" s="33"/>
      <c r="D776" s="33"/>
      <c r="E776" s="33"/>
      <c r="F776" s="33"/>
    </row>
    <row r="777" ht="15.75" customHeight="1">
      <c r="C777" s="33"/>
      <c r="D777" s="33"/>
      <c r="E777" s="33"/>
      <c r="F777" s="33"/>
    </row>
    <row r="778" ht="15.75" customHeight="1">
      <c r="C778" s="33"/>
      <c r="D778" s="33"/>
      <c r="E778" s="33"/>
      <c r="F778" s="33"/>
    </row>
    <row r="779" ht="15.75" customHeight="1">
      <c r="C779" s="33"/>
      <c r="D779" s="33"/>
      <c r="E779" s="33"/>
      <c r="F779" s="33"/>
    </row>
    <row r="780" ht="15.75" customHeight="1">
      <c r="C780" s="33"/>
      <c r="D780" s="33"/>
      <c r="E780" s="33"/>
      <c r="F780" s="33"/>
    </row>
    <row r="781" ht="15.75" customHeight="1">
      <c r="C781" s="33"/>
      <c r="D781" s="33"/>
      <c r="E781" s="33"/>
      <c r="F781" s="33"/>
    </row>
    <row r="782" ht="15.75" customHeight="1">
      <c r="C782" s="33"/>
      <c r="D782" s="33"/>
      <c r="E782" s="33"/>
      <c r="F782" s="33"/>
    </row>
    <row r="783" ht="15.75" customHeight="1">
      <c r="C783" s="33"/>
      <c r="D783" s="33"/>
      <c r="E783" s="33"/>
      <c r="F783" s="33"/>
    </row>
    <row r="784" ht="15.75" customHeight="1">
      <c r="C784" s="33"/>
      <c r="D784" s="33"/>
      <c r="E784" s="33"/>
      <c r="F784" s="33"/>
    </row>
    <row r="785" ht="15.75" customHeight="1">
      <c r="C785" s="33"/>
      <c r="D785" s="33"/>
      <c r="E785" s="33"/>
      <c r="F785" s="33"/>
    </row>
    <row r="786" ht="15.75" customHeight="1">
      <c r="C786" s="33"/>
      <c r="D786" s="33"/>
      <c r="E786" s="33"/>
      <c r="F786" s="33"/>
    </row>
    <row r="787" ht="15.75" customHeight="1">
      <c r="C787" s="33"/>
      <c r="D787" s="33"/>
      <c r="E787" s="33"/>
      <c r="F787" s="33"/>
    </row>
    <row r="788" ht="15.75" customHeight="1">
      <c r="C788" s="33"/>
      <c r="D788" s="33"/>
      <c r="E788" s="33"/>
      <c r="F788" s="33"/>
    </row>
    <row r="789" ht="15.75" customHeight="1">
      <c r="C789" s="33"/>
      <c r="D789" s="33"/>
      <c r="E789" s="33"/>
      <c r="F789" s="33"/>
    </row>
    <row r="790" ht="15.75" customHeight="1">
      <c r="C790" s="33"/>
      <c r="D790" s="33"/>
      <c r="E790" s="33"/>
      <c r="F790" s="33"/>
    </row>
    <row r="791" ht="15.75" customHeight="1">
      <c r="C791" s="33"/>
      <c r="D791" s="33"/>
      <c r="E791" s="33"/>
      <c r="F791" s="33"/>
    </row>
    <row r="792" ht="15.75" customHeight="1">
      <c r="C792" s="33"/>
      <c r="D792" s="33"/>
      <c r="E792" s="33"/>
      <c r="F792" s="33"/>
    </row>
    <row r="793" ht="15.75" customHeight="1">
      <c r="C793" s="33"/>
      <c r="D793" s="33"/>
      <c r="E793" s="33"/>
      <c r="F793" s="33"/>
    </row>
    <row r="794" ht="15.75" customHeight="1">
      <c r="C794" s="33"/>
      <c r="D794" s="33"/>
      <c r="E794" s="33"/>
      <c r="F794" s="33"/>
    </row>
    <row r="795" ht="15.75" customHeight="1">
      <c r="C795" s="33"/>
      <c r="D795" s="33"/>
      <c r="E795" s="33"/>
      <c r="F795" s="33"/>
    </row>
    <row r="796" ht="15.75" customHeight="1">
      <c r="C796" s="33"/>
      <c r="D796" s="33"/>
      <c r="E796" s="33"/>
      <c r="F796" s="33"/>
    </row>
    <row r="797" ht="15.75" customHeight="1">
      <c r="C797" s="33"/>
      <c r="D797" s="33"/>
      <c r="E797" s="33"/>
      <c r="F797" s="33"/>
    </row>
    <row r="798" ht="15.75" customHeight="1">
      <c r="C798" s="33"/>
      <c r="D798" s="33"/>
      <c r="E798" s="33"/>
      <c r="F798" s="33"/>
    </row>
    <row r="799" ht="15.75" customHeight="1">
      <c r="C799" s="33"/>
      <c r="D799" s="33"/>
      <c r="E799" s="33"/>
      <c r="F799" s="33"/>
    </row>
    <row r="800" ht="15.75" customHeight="1">
      <c r="C800" s="33"/>
      <c r="D800" s="33"/>
      <c r="E800" s="33"/>
      <c r="F800" s="33"/>
    </row>
    <row r="801" ht="15.75" customHeight="1">
      <c r="C801" s="33"/>
      <c r="D801" s="33"/>
      <c r="E801" s="33"/>
      <c r="F801" s="33"/>
    </row>
    <row r="802" ht="15.75" customHeight="1">
      <c r="C802" s="33"/>
      <c r="D802" s="33"/>
      <c r="E802" s="33"/>
      <c r="F802" s="33"/>
    </row>
    <row r="803" ht="15.75" customHeight="1">
      <c r="C803" s="33"/>
      <c r="D803" s="33"/>
      <c r="E803" s="33"/>
      <c r="F803" s="33"/>
    </row>
    <row r="804" ht="15.75" customHeight="1">
      <c r="C804" s="33"/>
      <c r="D804" s="33"/>
      <c r="E804" s="33"/>
      <c r="F804" s="33"/>
    </row>
    <row r="805" ht="15.75" customHeight="1">
      <c r="C805" s="33"/>
      <c r="D805" s="33"/>
      <c r="E805" s="33"/>
      <c r="F805" s="33"/>
    </row>
    <row r="806" ht="15.75" customHeight="1">
      <c r="C806" s="33"/>
      <c r="D806" s="33"/>
      <c r="E806" s="33"/>
      <c r="F806" s="33"/>
    </row>
    <row r="807" ht="15.75" customHeight="1">
      <c r="C807" s="33"/>
      <c r="D807" s="33"/>
      <c r="E807" s="33"/>
      <c r="F807" s="33"/>
    </row>
    <row r="808" ht="15.75" customHeight="1">
      <c r="C808" s="33"/>
      <c r="D808" s="33"/>
      <c r="E808" s="33"/>
      <c r="F808" s="33"/>
    </row>
    <row r="809" ht="15.75" customHeight="1">
      <c r="C809" s="33"/>
      <c r="D809" s="33"/>
      <c r="E809" s="33"/>
      <c r="F809" s="33"/>
    </row>
    <row r="810" ht="15.75" customHeight="1">
      <c r="C810" s="33"/>
      <c r="D810" s="33"/>
      <c r="E810" s="33"/>
      <c r="F810" s="33"/>
    </row>
    <row r="811" ht="15.75" customHeight="1">
      <c r="C811" s="33"/>
      <c r="D811" s="33"/>
      <c r="E811" s="33"/>
      <c r="F811" s="33"/>
    </row>
    <row r="812" ht="15.75" customHeight="1">
      <c r="C812" s="33"/>
      <c r="D812" s="33"/>
      <c r="E812" s="33"/>
      <c r="F812" s="33"/>
    </row>
    <row r="813" ht="15.75" customHeight="1">
      <c r="C813" s="33"/>
      <c r="D813" s="33"/>
      <c r="E813" s="33"/>
      <c r="F813" s="33"/>
    </row>
    <row r="814" ht="15.75" customHeight="1">
      <c r="C814" s="33"/>
      <c r="D814" s="33"/>
      <c r="E814" s="33"/>
      <c r="F814" s="33"/>
    </row>
    <row r="815" ht="15.75" customHeight="1">
      <c r="C815" s="33"/>
      <c r="D815" s="33"/>
      <c r="E815" s="33"/>
      <c r="F815" s="33"/>
    </row>
    <row r="816" ht="15.75" customHeight="1">
      <c r="C816" s="33"/>
      <c r="D816" s="33"/>
      <c r="E816" s="33"/>
      <c r="F816" s="33"/>
    </row>
    <row r="817" ht="15.75" customHeight="1">
      <c r="C817" s="33"/>
      <c r="D817" s="33"/>
      <c r="E817" s="33"/>
      <c r="F817" s="33"/>
    </row>
    <row r="818" ht="15.75" customHeight="1">
      <c r="C818" s="33"/>
      <c r="D818" s="33"/>
      <c r="E818" s="33"/>
      <c r="F818" s="33"/>
    </row>
    <row r="819" ht="15.75" customHeight="1">
      <c r="C819" s="33"/>
      <c r="D819" s="33"/>
      <c r="E819" s="33"/>
      <c r="F819" s="33"/>
    </row>
    <row r="820" ht="15.75" customHeight="1">
      <c r="C820" s="33"/>
      <c r="D820" s="33"/>
      <c r="E820" s="33"/>
      <c r="F820" s="33"/>
    </row>
    <row r="821" ht="15.75" customHeight="1">
      <c r="C821" s="33"/>
      <c r="D821" s="33"/>
      <c r="E821" s="33"/>
      <c r="F821" s="33"/>
    </row>
    <row r="822" ht="15.75" customHeight="1">
      <c r="C822" s="33"/>
      <c r="D822" s="33"/>
      <c r="E822" s="33"/>
      <c r="F822" s="33"/>
    </row>
    <row r="823" ht="15.75" customHeight="1">
      <c r="C823" s="33"/>
      <c r="D823" s="33"/>
      <c r="E823" s="33"/>
      <c r="F823" s="33"/>
    </row>
    <row r="824" ht="15.75" customHeight="1">
      <c r="C824" s="33"/>
      <c r="D824" s="33"/>
      <c r="E824" s="33"/>
      <c r="F824" s="33"/>
    </row>
    <row r="825" ht="15.75" customHeight="1">
      <c r="C825" s="33"/>
      <c r="D825" s="33"/>
      <c r="E825" s="33"/>
      <c r="F825" s="33"/>
    </row>
    <row r="826" ht="15.75" customHeight="1">
      <c r="C826" s="33"/>
      <c r="D826" s="33"/>
      <c r="E826" s="33"/>
      <c r="F826" s="33"/>
    </row>
    <row r="827" ht="15.75" customHeight="1">
      <c r="C827" s="33"/>
      <c r="D827" s="33"/>
      <c r="E827" s="33"/>
      <c r="F827" s="33"/>
    </row>
    <row r="828" ht="15.75" customHeight="1">
      <c r="C828" s="33"/>
      <c r="D828" s="33"/>
      <c r="E828" s="33"/>
      <c r="F828" s="33"/>
    </row>
    <row r="829" ht="15.75" customHeight="1">
      <c r="C829" s="33"/>
      <c r="D829" s="33"/>
      <c r="E829" s="33"/>
      <c r="F829" s="33"/>
    </row>
    <row r="830" ht="15.75" customHeight="1">
      <c r="C830" s="33"/>
      <c r="D830" s="33"/>
      <c r="E830" s="33"/>
      <c r="F830" s="33"/>
    </row>
    <row r="831" ht="15.75" customHeight="1">
      <c r="C831" s="33"/>
      <c r="D831" s="33"/>
      <c r="E831" s="33"/>
      <c r="F831" s="33"/>
    </row>
    <row r="832" ht="15.75" customHeight="1">
      <c r="C832" s="33"/>
      <c r="D832" s="33"/>
      <c r="E832" s="33"/>
      <c r="F832" s="33"/>
    </row>
    <row r="833" ht="15.75" customHeight="1">
      <c r="C833" s="33"/>
      <c r="D833" s="33"/>
      <c r="E833" s="33"/>
      <c r="F833" s="33"/>
    </row>
    <row r="834" ht="15.75" customHeight="1">
      <c r="C834" s="33"/>
      <c r="D834" s="33"/>
      <c r="E834" s="33"/>
      <c r="F834" s="33"/>
    </row>
    <row r="835" ht="15.75" customHeight="1">
      <c r="C835" s="33"/>
      <c r="D835" s="33"/>
      <c r="E835" s="33"/>
      <c r="F835" s="33"/>
    </row>
    <row r="836" ht="15.75" customHeight="1">
      <c r="C836" s="33"/>
      <c r="D836" s="33"/>
      <c r="E836" s="33"/>
      <c r="F836" s="33"/>
    </row>
    <row r="837" ht="15.75" customHeight="1">
      <c r="C837" s="33"/>
      <c r="D837" s="33"/>
      <c r="E837" s="33"/>
      <c r="F837" s="33"/>
    </row>
    <row r="838" ht="15.75" customHeight="1">
      <c r="C838" s="33"/>
      <c r="D838" s="33"/>
      <c r="E838" s="33"/>
      <c r="F838" s="33"/>
    </row>
    <row r="839" ht="15.75" customHeight="1">
      <c r="C839" s="33"/>
      <c r="D839" s="33"/>
      <c r="E839" s="33"/>
      <c r="F839" s="33"/>
    </row>
    <row r="840" ht="15.75" customHeight="1">
      <c r="C840" s="33"/>
      <c r="D840" s="33"/>
      <c r="E840" s="33"/>
      <c r="F840" s="33"/>
    </row>
    <row r="841" ht="15.75" customHeight="1">
      <c r="C841" s="33"/>
      <c r="D841" s="33"/>
      <c r="E841" s="33"/>
      <c r="F841" s="33"/>
    </row>
    <row r="842" ht="15.75" customHeight="1">
      <c r="C842" s="33"/>
      <c r="D842" s="33"/>
      <c r="E842" s="33"/>
      <c r="F842" s="33"/>
    </row>
    <row r="843" ht="15.75" customHeight="1">
      <c r="C843" s="33"/>
      <c r="D843" s="33"/>
      <c r="E843" s="33"/>
      <c r="F843" s="33"/>
    </row>
    <row r="844" ht="15.75" customHeight="1">
      <c r="C844" s="33"/>
      <c r="D844" s="33"/>
      <c r="E844" s="33"/>
      <c r="F844" s="33"/>
    </row>
    <row r="845" ht="15.75" customHeight="1">
      <c r="C845" s="33"/>
      <c r="D845" s="33"/>
      <c r="E845" s="33"/>
      <c r="F845" s="33"/>
    </row>
    <row r="846" ht="15.75" customHeight="1">
      <c r="C846" s="33"/>
      <c r="D846" s="33"/>
      <c r="E846" s="33"/>
      <c r="F846" s="33"/>
    </row>
    <row r="847" ht="15.75" customHeight="1">
      <c r="C847" s="33"/>
      <c r="D847" s="33"/>
      <c r="E847" s="33"/>
      <c r="F847" s="33"/>
    </row>
    <row r="848" ht="15.75" customHeight="1">
      <c r="C848" s="33"/>
      <c r="D848" s="33"/>
      <c r="E848" s="33"/>
      <c r="F848" s="33"/>
    </row>
    <row r="849" ht="15.75" customHeight="1">
      <c r="C849" s="33"/>
      <c r="D849" s="33"/>
      <c r="E849" s="33"/>
      <c r="F849" s="33"/>
    </row>
    <row r="850" ht="15.75" customHeight="1">
      <c r="C850" s="33"/>
      <c r="D850" s="33"/>
      <c r="E850" s="33"/>
      <c r="F850" s="33"/>
    </row>
    <row r="851" ht="15.75" customHeight="1">
      <c r="C851" s="33"/>
      <c r="D851" s="33"/>
      <c r="E851" s="33"/>
      <c r="F851" s="33"/>
    </row>
    <row r="852" ht="15.75" customHeight="1">
      <c r="C852" s="33"/>
      <c r="D852" s="33"/>
      <c r="E852" s="33"/>
      <c r="F852" s="33"/>
    </row>
    <row r="853" ht="15.75" customHeight="1">
      <c r="C853" s="33"/>
      <c r="D853" s="33"/>
      <c r="E853" s="33"/>
      <c r="F853" s="33"/>
    </row>
    <row r="854" ht="15.75" customHeight="1">
      <c r="C854" s="33"/>
      <c r="D854" s="33"/>
      <c r="E854" s="33"/>
      <c r="F854" s="33"/>
    </row>
    <row r="855" ht="15.75" customHeight="1">
      <c r="C855" s="33"/>
      <c r="D855" s="33"/>
      <c r="E855" s="33"/>
      <c r="F855" s="33"/>
    </row>
    <row r="856" ht="15.75" customHeight="1">
      <c r="C856" s="33"/>
      <c r="D856" s="33"/>
      <c r="E856" s="33"/>
      <c r="F856" s="33"/>
    </row>
    <row r="857" ht="15.75" customHeight="1">
      <c r="C857" s="33"/>
      <c r="D857" s="33"/>
      <c r="E857" s="33"/>
      <c r="F857" s="33"/>
    </row>
    <row r="858" ht="15.75" customHeight="1">
      <c r="C858" s="33"/>
      <c r="D858" s="33"/>
      <c r="E858" s="33"/>
      <c r="F858" s="33"/>
    </row>
    <row r="859" ht="15.75" customHeight="1">
      <c r="C859" s="33"/>
      <c r="D859" s="33"/>
      <c r="E859" s="33"/>
      <c r="F859" s="33"/>
    </row>
    <row r="860" ht="15.75" customHeight="1">
      <c r="C860" s="33"/>
      <c r="D860" s="33"/>
      <c r="E860" s="33"/>
      <c r="F860" s="33"/>
    </row>
    <row r="861" ht="15.75" customHeight="1">
      <c r="C861" s="33"/>
      <c r="D861" s="33"/>
      <c r="E861" s="33"/>
      <c r="F861" s="33"/>
    </row>
    <row r="862" ht="15.75" customHeight="1">
      <c r="C862" s="33"/>
      <c r="D862" s="33"/>
      <c r="E862" s="33"/>
      <c r="F862" s="33"/>
    </row>
    <row r="863" ht="15.75" customHeight="1">
      <c r="C863" s="33"/>
      <c r="D863" s="33"/>
      <c r="E863" s="33"/>
      <c r="F863" s="33"/>
    </row>
    <row r="864" ht="15.75" customHeight="1">
      <c r="C864" s="33"/>
      <c r="D864" s="33"/>
      <c r="E864" s="33"/>
      <c r="F864" s="33"/>
    </row>
    <row r="865" ht="15.75" customHeight="1">
      <c r="C865" s="33"/>
      <c r="D865" s="33"/>
      <c r="E865" s="33"/>
      <c r="F865" s="33"/>
    </row>
    <row r="866" ht="15.75" customHeight="1">
      <c r="C866" s="33"/>
      <c r="D866" s="33"/>
      <c r="E866" s="33"/>
      <c r="F866" s="33"/>
    </row>
    <row r="867" ht="15.75" customHeight="1">
      <c r="C867" s="33"/>
      <c r="D867" s="33"/>
      <c r="E867" s="33"/>
      <c r="F867" s="33"/>
    </row>
    <row r="868" ht="15.75" customHeight="1">
      <c r="C868" s="33"/>
      <c r="D868" s="33"/>
      <c r="E868" s="33"/>
      <c r="F868" s="33"/>
    </row>
    <row r="869" ht="15.75" customHeight="1">
      <c r="C869" s="33"/>
      <c r="D869" s="33"/>
      <c r="E869" s="33"/>
      <c r="F869" s="33"/>
    </row>
    <row r="870" ht="15.75" customHeight="1">
      <c r="C870" s="33"/>
      <c r="D870" s="33"/>
      <c r="E870" s="33"/>
      <c r="F870" s="33"/>
    </row>
    <row r="871" ht="15.75" customHeight="1">
      <c r="C871" s="33"/>
      <c r="D871" s="33"/>
      <c r="E871" s="33"/>
      <c r="F871" s="33"/>
    </row>
    <row r="872" ht="15.75" customHeight="1">
      <c r="C872" s="33"/>
      <c r="D872" s="33"/>
      <c r="E872" s="33"/>
      <c r="F872" s="33"/>
    </row>
    <row r="873" ht="15.75" customHeight="1">
      <c r="C873" s="33"/>
      <c r="D873" s="33"/>
      <c r="E873" s="33"/>
      <c r="F873" s="33"/>
    </row>
    <row r="874" ht="15.75" customHeight="1">
      <c r="C874" s="33"/>
      <c r="D874" s="33"/>
      <c r="E874" s="33"/>
      <c r="F874" s="33"/>
    </row>
    <row r="875" ht="15.75" customHeight="1">
      <c r="C875" s="33"/>
      <c r="D875" s="33"/>
      <c r="E875" s="33"/>
      <c r="F875" s="33"/>
    </row>
    <row r="876" ht="15.75" customHeight="1">
      <c r="C876" s="33"/>
      <c r="D876" s="33"/>
      <c r="E876" s="33"/>
      <c r="F876" s="33"/>
    </row>
    <row r="877" ht="15.75" customHeight="1">
      <c r="C877" s="33"/>
      <c r="D877" s="33"/>
      <c r="E877" s="33"/>
      <c r="F877" s="33"/>
    </row>
    <row r="878" ht="15.75" customHeight="1">
      <c r="C878" s="33"/>
      <c r="D878" s="33"/>
      <c r="E878" s="33"/>
      <c r="F878" s="33"/>
    </row>
    <row r="879" ht="15.75" customHeight="1">
      <c r="C879" s="33"/>
      <c r="D879" s="33"/>
      <c r="E879" s="33"/>
      <c r="F879" s="33"/>
    </row>
    <row r="880" ht="15.75" customHeight="1">
      <c r="C880" s="33"/>
      <c r="D880" s="33"/>
      <c r="E880" s="33"/>
      <c r="F880" s="33"/>
    </row>
    <row r="881" ht="15.75" customHeight="1">
      <c r="C881" s="33"/>
      <c r="D881" s="33"/>
      <c r="E881" s="33"/>
      <c r="F881" s="33"/>
    </row>
    <row r="882" ht="15.75" customHeight="1">
      <c r="C882" s="33"/>
      <c r="D882" s="33"/>
      <c r="E882" s="33"/>
      <c r="F882" s="33"/>
    </row>
    <row r="883" ht="15.75" customHeight="1">
      <c r="C883" s="33"/>
      <c r="D883" s="33"/>
      <c r="E883" s="33"/>
      <c r="F883" s="33"/>
    </row>
    <row r="884" ht="15.75" customHeight="1">
      <c r="C884" s="33"/>
      <c r="D884" s="33"/>
      <c r="E884" s="33"/>
      <c r="F884" s="33"/>
    </row>
    <row r="885" ht="15.75" customHeight="1">
      <c r="C885" s="33"/>
      <c r="D885" s="33"/>
      <c r="E885" s="33"/>
      <c r="F885" s="33"/>
    </row>
    <row r="886" ht="15.75" customHeight="1">
      <c r="C886" s="33"/>
      <c r="D886" s="33"/>
      <c r="E886" s="33"/>
      <c r="F886" s="33"/>
    </row>
    <row r="887" ht="15.75" customHeight="1">
      <c r="C887" s="33"/>
      <c r="D887" s="33"/>
      <c r="E887" s="33"/>
      <c r="F887" s="33"/>
    </row>
    <row r="888" ht="15.75" customHeight="1">
      <c r="C888" s="33"/>
      <c r="D888" s="33"/>
      <c r="E888" s="33"/>
      <c r="F888" s="33"/>
    </row>
    <row r="889" ht="15.75" customHeight="1">
      <c r="C889" s="33"/>
      <c r="D889" s="33"/>
      <c r="E889" s="33"/>
      <c r="F889" s="33"/>
    </row>
    <row r="890" ht="15.75" customHeight="1">
      <c r="C890" s="33"/>
      <c r="D890" s="33"/>
      <c r="E890" s="33"/>
      <c r="F890" s="33"/>
    </row>
    <row r="891" ht="15.75" customHeight="1">
      <c r="C891" s="33"/>
      <c r="D891" s="33"/>
      <c r="E891" s="33"/>
      <c r="F891" s="33"/>
    </row>
    <row r="892" ht="15.75" customHeight="1">
      <c r="C892" s="33"/>
      <c r="D892" s="33"/>
      <c r="E892" s="33"/>
      <c r="F892" s="33"/>
    </row>
    <row r="893" ht="15.75" customHeight="1">
      <c r="C893" s="33"/>
      <c r="D893" s="33"/>
      <c r="E893" s="33"/>
      <c r="F893" s="33"/>
    </row>
    <row r="894" ht="15.75" customHeight="1">
      <c r="C894" s="33"/>
      <c r="D894" s="33"/>
      <c r="E894" s="33"/>
      <c r="F894" s="33"/>
    </row>
    <row r="895" ht="15.75" customHeight="1">
      <c r="C895" s="33"/>
      <c r="D895" s="33"/>
      <c r="E895" s="33"/>
      <c r="F895" s="33"/>
    </row>
    <row r="896" ht="15.75" customHeight="1">
      <c r="C896" s="33"/>
      <c r="D896" s="33"/>
      <c r="E896" s="33"/>
      <c r="F896" s="33"/>
    </row>
    <row r="897" ht="15.75" customHeight="1">
      <c r="C897" s="33"/>
      <c r="D897" s="33"/>
      <c r="E897" s="33"/>
      <c r="F897" s="33"/>
    </row>
    <row r="898" ht="15.75" customHeight="1">
      <c r="C898" s="33"/>
      <c r="D898" s="33"/>
      <c r="E898" s="33"/>
      <c r="F898" s="33"/>
    </row>
    <row r="899" ht="15.75" customHeight="1">
      <c r="C899" s="33"/>
      <c r="D899" s="33"/>
      <c r="E899" s="33"/>
      <c r="F899" s="33"/>
    </row>
    <row r="900" ht="15.75" customHeight="1">
      <c r="C900" s="33"/>
      <c r="D900" s="33"/>
      <c r="E900" s="33"/>
      <c r="F900" s="33"/>
    </row>
    <row r="901" ht="15.75" customHeight="1">
      <c r="C901" s="33"/>
      <c r="D901" s="33"/>
      <c r="E901" s="33"/>
      <c r="F901" s="33"/>
    </row>
    <row r="902" ht="15.75" customHeight="1">
      <c r="C902" s="33"/>
      <c r="D902" s="33"/>
      <c r="E902" s="33"/>
      <c r="F902" s="33"/>
    </row>
    <row r="903" ht="15.75" customHeight="1">
      <c r="C903" s="33"/>
      <c r="D903" s="33"/>
      <c r="E903" s="33"/>
      <c r="F903" s="33"/>
    </row>
    <row r="904" ht="15.75" customHeight="1">
      <c r="C904" s="33"/>
      <c r="D904" s="33"/>
      <c r="E904" s="33"/>
      <c r="F904" s="33"/>
    </row>
    <row r="905" ht="15.75" customHeight="1">
      <c r="C905" s="33"/>
      <c r="D905" s="33"/>
      <c r="E905" s="33"/>
      <c r="F905" s="33"/>
    </row>
    <row r="906" ht="15.75" customHeight="1">
      <c r="C906" s="33"/>
      <c r="D906" s="33"/>
      <c r="E906" s="33"/>
      <c r="F906" s="33"/>
    </row>
    <row r="907" ht="15.75" customHeight="1">
      <c r="C907" s="33"/>
      <c r="D907" s="33"/>
      <c r="E907" s="33"/>
      <c r="F907" s="33"/>
    </row>
    <row r="908" ht="15.75" customHeight="1">
      <c r="C908" s="33"/>
      <c r="D908" s="33"/>
      <c r="E908" s="33"/>
      <c r="F908" s="33"/>
    </row>
    <row r="909" ht="15.75" customHeight="1">
      <c r="C909" s="33"/>
      <c r="D909" s="33"/>
      <c r="E909" s="33"/>
      <c r="F909" s="33"/>
    </row>
    <row r="910" ht="15.75" customHeight="1">
      <c r="C910" s="33"/>
      <c r="D910" s="33"/>
      <c r="E910" s="33"/>
      <c r="F910" s="33"/>
    </row>
    <row r="911" ht="15.75" customHeight="1">
      <c r="C911" s="33"/>
      <c r="D911" s="33"/>
      <c r="E911" s="33"/>
      <c r="F911" s="33"/>
    </row>
    <row r="912" ht="15.75" customHeight="1">
      <c r="C912" s="33"/>
      <c r="D912" s="33"/>
      <c r="E912" s="33"/>
      <c r="F912" s="33"/>
    </row>
    <row r="913" ht="15.75" customHeight="1">
      <c r="C913" s="33"/>
      <c r="D913" s="33"/>
      <c r="E913" s="33"/>
      <c r="F913" s="33"/>
    </row>
    <row r="914" ht="15.75" customHeight="1">
      <c r="C914" s="33"/>
      <c r="D914" s="33"/>
      <c r="E914" s="33"/>
      <c r="F914" s="33"/>
    </row>
    <row r="915" ht="15.75" customHeight="1">
      <c r="C915" s="33"/>
      <c r="D915" s="33"/>
      <c r="E915" s="33"/>
      <c r="F915" s="33"/>
    </row>
    <row r="916" ht="15.75" customHeight="1">
      <c r="C916" s="33"/>
      <c r="D916" s="33"/>
      <c r="E916" s="33"/>
      <c r="F916" s="33"/>
    </row>
    <row r="917" ht="15.75" customHeight="1">
      <c r="C917" s="33"/>
      <c r="D917" s="33"/>
      <c r="E917" s="33"/>
      <c r="F917" s="33"/>
    </row>
    <row r="918" ht="15.75" customHeight="1">
      <c r="C918" s="33"/>
      <c r="D918" s="33"/>
      <c r="E918" s="33"/>
      <c r="F918" s="33"/>
    </row>
    <row r="919" ht="15.75" customHeight="1">
      <c r="C919" s="33"/>
      <c r="D919" s="33"/>
      <c r="E919" s="33"/>
      <c r="F919" s="33"/>
    </row>
    <row r="920" ht="15.75" customHeight="1">
      <c r="C920" s="33"/>
      <c r="D920" s="33"/>
      <c r="E920" s="33"/>
      <c r="F920" s="33"/>
    </row>
    <row r="921" ht="15.75" customHeight="1">
      <c r="C921" s="33"/>
      <c r="D921" s="33"/>
      <c r="E921" s="33"/>
      <c r="F921" s="33"/>
    </row>
    <row r="922" ht="15.75" customHeight="1">
      <c r="C922" s="33"/>
      <c r="D922" s="33"/>
      <c r="E922" s="33"/>
      <c r="F922" s="33"/>
    </row>
    <row r="923" ht="15.75" customHeight="1">
      <c r="C923" s="33"/>
      <c r="D923" s="33"/>
      <c r="E923" s="33"/>
      <c r="F923" s="33"/>
    </row>
    <row r="924" ht="15.75" customHeight="1">
      <c r="C924" s="33"/>
      <c r="D924" s="33"/>
      <c r="E924" s="33"/>
      <c r="F924" s="33"/>
    </row>
    <row r="925" ht="15.75" customHeight="1">
      <c r="C925" s="33"/>
      <c r="D925" s="33"/>
      <c r="E925" s="33"/>
      <c r="F925" s="33"/>
    </row>
    <row r="926" ht="15.75" customHeight="1">
      <c r="C926" s="33"/>
      <c r="D926" s="33"/>
      <c r="E926" s="33"/>
      <c r="F926" s="33"/>
    </row>
    <row r="927" ht="15.75" customHeight="1">
      <c r="C927" s="33"/>
      <c r="D927" s="33"/>
      <c r="E927" s="33"/>
      <c r="F927" s="33"/>
    </row>
    <row r="928" ht="15.75" customHeight="1">
      <c r="C928" s="33"/>
      <c r="D928" s="33"/>
      <c r="E928" s="33"/>
      <c r="F928" s="33"/>
    </row>
    <row r="929" ht="15.75" customHeight="1">
      <c r="C929" s="33"/>
      <c r="D929" s="33"/>
      <c r="E929" s="33"/>
      <c r="F929" s="33"/>
    </row>
    <row r="930" ht="15.75" customHeight="1">
      <c r="C930" s="33"/>
      <c r="D930" s="33"/>
      <c r="E930" s="33"/>
      <c r="F930" s="33"/>
    </row>
    <row r="931" ht="15.75" customHeight="1">
      <c r="C931" s="33"/>
      <c r="D931" s="33"/>
      <c r="E931" s="33"/>
      <c r="F931" s="33"/>
    </row>
    <row r="932" ht="15.75" customHeight="1">
      <c r="C932" s="33"/>
      <c r="D932" s="33"/>
      <c r="E932" s="33"/>
      <c r="F932" s="33"/>
    </row>
    <row r="933" ht="15.75" customHeight="1">
      <c r="C933" s="33"/>
      <c r="D933" s="33"/>
      <c r="E933" s="33"/>
      <c r="F933" s="33"/>
    </row>
    <row r="934" ht="15.75" customHeight="1">
      <c r="C934" s="33"/>
      <c r="D934" s="33"/>
      <c r="E934" s="33"/>
      <c r="F934" s="33"/>
    </row>
    <row r="935" ht="15.75" customHeight="1">
      <c r="C935" s="33"/>
      <c r="D935" s="33"/>
      <c r="E935" s="33"/>
      <c r="F935" s="33"/>
    </row>
    <row r="936" ht="15.75" customHeight="1">
      <c r="C936" s="33"/>
      <c r="D936" s="33"/>
      <c r="E936" s="33"/>
      <c r="F936" s="33"/>
    </row>
    <row r="937" ht="15.75" customHeight="1">
      <c r="C937" s="33"/>
      <c r="D937" s="33"/>
      <c r="E937" s="33"/>
      <c r="F937" s="33"/>
    </row>
    <row r="938" ht="15.75" customHeight="1">
      <c r="C938" s="33"/>
      <c r="D938" s="33"/>
      <c r="E938" s="33"/>
      <c r="F938" s="33"/>
    </row>
    <row r="939" ht="15.75" customHeight="1">
      <c r="C939" s="33"/>
      <c r="D939" s="33"/>
      <c r="E939" s="33"/>
      <c r="F939" s="33"/>
    </row>
    <row r="940" ht="15.75" customHeight="1">
      <c r="C940" s="33"/>
      <c r="D940" s="33"/>
      <c r="E940" s="33"/>
      <c r="F940" s="33"/>
    </row>
    <row r="941" ht="15.75" customHeight="1">
      <c r="C941" s="33"/>
      <c r="D941" s="33"/>
      <c r="E941" s="33"/>
      <c r="F941" s="33"/>
    </row>
    <row r="942" ht="15.75" customHeight="1">
      <c r="C942" s="33"/>
      <c r="D942" s="33"/>
      <c r="E942" s="33"/>
      <c r="F942" s="33"/>
    </row>
    <row r="943" ht="15.75" customHeight="1">
      <c r="C943" s="33"/>
      <c r="D943" s="33"/>
      <c r="E943" s="33"/>
      <c r="F943" s="33"/>
    </row>
    <row r="944" ht="15.75" customHeight="1">
      <c r="C944" s="33"/>
      <c r="D944" s="33"/>
      <c r="E944" s="33"/>
      <c r="F944" s="33"/>
    </row>
    <row r="945" ht="15.75" customHeight="1">
      <c r="C945" s="33"/>
      <c r="D945" s="33"/>
      <c r="E945" s="33"/>
      <c r="F945" s="33"/>
    </row>
    <row r="946" ht="15.75" customHeight="1">
      <c r="C946" s="33"/>
      <c r="D946" s="33"/>
      <c r="E946" s="33"/>
      <c r="F946" s="33"/>
    </row>
    <row r="947" ht="15.75" customHeight="1">
      <c r="C947" s="33"/>
      <c r="D947" s="33"/>
      <c r="E947" s="33"/>
      <c r="F947" s="33"/>
    </row>
    <row r="948" ht="15.75" customHeight="1">
      <c r="C948" s="33"/>
      <c r="D948" s="33"/>
      <c r="E948" s="33"/>
      <c r="F948" s="33"/>
    </row>
    <row r="949" ht="15.75" customHeight="1">
      <c r="C949" s="33"/>
      <c r="D949" s="33"/>
      <c r="E949" s="33"/>
      <c r="F949" s="33"/>
    </row>
    <row r="950" ht="15.75" customHeight="1">
      <c r="C950" s="33"/>
      <c r="D950" s="33"/>
      <c r="E950" s="33"/>
      <c r="F950" s="33"/>
    </row>
    <row r="951" ht="15.75" customHeight="1">
      <c r="C951" s="33"/>
      <c r="D951" s="33"/>
      <c r="E951" s="33"/>
      <c r="F951" s="33"/>
    </row>
    <row r="952" ht="15.75" customHeight="1">
      <c r="C952" s="33"/>
      <c r="D952" s="33"/>
      <c r="E952" s="33"/>
      <c r="F952" s="33"/>
    </row>
    <row r="953" ht="15.75" customHeight="1">
      <c r="C953" s="33"/>
      <c r="D953" s="33"/>
      <c r="E953" s="33"/>
      <c r="F953" s="33"/>
    </row>
    <row r="954" ht="15.75" customHeight="1">
      <c r="C954" s="33"/>
      <c r="D954" s="33"/>
      <c r="E954" s="33"/>
      <c r="F954" s="33"/>
    </row>
    <row r="955" ht="15.75" customHeight="1">
      <c r="C955" s="33"/>
      <c r="D955" s="33"/>
      <c r="E955" s="33"/>
      <c r="F955" s="33"/>
    </row>
    <row r="956" ht="15.75" customHeight="1">
      <c r="C956" s="33"/>
      <c r="D956" s="33"/>
      <c r="E956" s="33"/>
      <c r="F956" s="33"/>
    </row>
    <row r="957" ht="15.75" customHeight="1">
      <c r="C957" s="33"/>
      <c r="D957" s="33"/>
      <c r="E957" s="33"/>
      <c r="F957" s="33"/>
    </row>
    <row r="958" ht="15.75" customHeight="1">
      <c r="C958" s="33"/>
      <c r="D958" s="33"/>
      <c r="E958" s="33"/>
      <c r="F958" s="33"/>
    </row>
    <row r="959" ht="15.75" customHeight="1">
      <c r="C959" s="33"/>
      <c r="D959" s="33"/>
      <c r="E959" s="33"/>
      <c r="F959" s="33"/>
    </row>
    <row r="960" ht="15.75" customHeight="1">
      <c r="C960" s="33"/>
      <c r="D960" s="33"/>
      <c r="E960" s="33"/>
      <c r="F960" s="33"/>
    </row>
    <row r="961" ht="15.75" customHeight="1">
      <c r="C961" s="33"/>
      <c r="D961" s="33"/>
      <c r="E961" s="33"/>
      <c r="F961" s="33"/>
    </row>
    <row r="962" ht="15.75" customHeight="1">
      <c r="C962" s="33"/>
      <c r="D962" s="33"/>
      <c r="E962" s="33"/>
      <c r="F962" s="33"/>
    </row>
    <row r="963" ht="15.75" customHeight="1">
      <c r="C963" s="33"/>
      <c r="D963" s="33"/>
      <c r="E963" s="33"/>
      <c r="F963" s="33"/>
    </row>
    <row r="964" ht="15.75" customHeight="1">
      <c r="C964" s="33"/>
      <c r="D964" s="33"/>
      <c r="E964" s="33"/>
      <c r="F964" s="33"/>
    </row>
    <row r="965" ht="15.75" customHeight="1">
      <c r="C965" s="33"/>
      <c r="D965" s="33"/>
      <c r="E965" s="33"/>
      <c r="F965" s="33"/>
    </row>
    <row r="966" ht="15.75" customHeight="1">
      <c r="C966" s="33"/>
      <c r="D966" s="33"/>
      <c r="E966" s="33"/>
      <c r="F966" s="33"/>
    </row>
    <row r="967" ht="15.75" customHeight="1">
      <c r="C967" s="33"/>
      <c r="D967" s="33"/>
      <c r="E967" s="33"/>
      <c r="F967" s="33"/>
    </row>
    <row r="968" ht="15.75" customHeight="1">
      <c r="C968" s="33"/>
      <c r="D968" s="33"/>
      <c r="E968" s="33"/>
      <c r="F968" s="33"/>
    </row>
    <row r="969" ht="15.75" customHeight="1">
      <c r="C969" s="33"/>
      <c r="D969" s="33"/>
      <c r="E969" s="33"/>
      <c r="F969" s="33"/>
    </row>
    <row r="970" ht="15.75" customHeight="1">
      <c r="C970" s="33"/>
      <c r="D970" s="33"/>
      <c r="E970" s="33"/>
      <c r="F970" s="33"/>
    </row>
    <row r="971" ht="15.75" customHeight="1">
      <c r="C971" s="33"/>
      <c r="D971" s="33"/>
      <c r="E971" s="33"/>
      <c r="F971" s="33"/>
    </row>
    <row r="972" ht="15.75" customHeight="1">
      <c r="C972" s="33"/>
      <c r="D972" s="33"/>
      <c r="E972" s="33"/>
      <c r="F972" s="33"/>
    </row>
    <row r="973" ht="15.75" customHeight="1">
      <c r="C973" s="33"/>
      <c r="D973" s="33"/>
      <c r="E973" s="33"/>
      <c r="F973" s="33"/>
    </row>
    <row r="974" ht="15.75" customHeight="1">
      <c r="C974" s="33"/>
      <c r="D974" s="33"/>
      <c r="E974" s="33"/>
      <c r="F974" s="33"/>
    </row>
    <row r="975" ht="15.75" customHeight="1">
      <c r="C975" s="33"/>
      <c r="D975" s="33"/>
      <c r="E975" s="33"/>
      <c r="F975" s="33"/>
    </row>
    <row r="976" ht="15.75" customHeight="1">
      <c r="C976" s="33"/>
      <c r="D976" s="33"/>
      <c r="E976" s="33"/>
      <c r="F976" s="33"/>
    </row>
    <row r="977" ht="15.75" customHeight="1">
      <c r="C977" s="33"/>
      <c r="D977" s="33"/>
      <c r="E977" s="33"/>
      <c r="F977" s="33"/>
    </row>
    <row r="978" ht="15.75" customHeight="1">
      <c r="C978" s="33"/>
      <c r="D978" s="33"/>
      <c r="E978" s="33"/>
      <c r="F978" s="33"/>
    </row>
    <row r="979" ht="15.75" customHeight="1">
      <c r="C979" s="33"/>
      <c r="D979" s="33"/>
      <c r="E979" s="33"/>
      <c r="F979" s="33"/>
    </row>
    <row r="980" ht="15.75" customHeight="1">
      <c r="C980" s="33"/>
      <c r="D980" s="33"/>
      <c r="E980" s="33"/>
      <c r="F980" s="33"/>
    </row>
    <row r="981" ht="15.75" customHeight="1">
      <c r="C981" s="33"/>
      <c r="D981" s="33"/>
      <c r="E981" s="33"/>
      <c r="F981" s="33"/>
    </row>
    <row r="982" ht="15.75" customHeight="1">
      <c r="C982" s="33"/>
      <c r="D982" s="33"/>
      <c r="E982" s="33"/>
      <c r="F982" s="33"/>
    </row>
    <row r="983" ht="15.75" customHeight="1">
      <c r="C983" s="33"/>
      <c r="D983" s="33"/>
      <c r="E983" s="33"/>
      <c r="F983" s="33"/>
    </row>
    <row r="984" ht="15.75" customHeight="1">
      <c r="C984" s="33"/>
      <c r="D984" s="33"/>
      <c r="E984" s="33"/>
      <c r="F984" s="33"/>
    </row>
    <row r="985" ht="15.75" customHeight="1">
      <c r="C985" s="33"/>
      <c r="D985" s="33"/>
      <c r="E985" s="33"/>
      <c r="F985" s="33"/>
    </row>
    <row r="986" ht="15.75" customHeight="1">
      <c r="C986" s="33"/>
      <c r="D986" s="33"/>
      <c r="E986" s="33"/>
      <c r="F986" s="33"/>
    </row>
    <row r="987" ht="15.75" customHeight="1">
      <c r="C987" s="33"/>
      <c r="D987" s="33"/>
      <c r="E987" s="33"/>
      <c r="F987" s="33"/>
    </row>
    <row r="988" ht="15.75" customHeight="1">
      <c r="C988" s="33"/>
      <c r="D988" s="33"/>
      <c r="E988" s="33"/>
      <c r="F988" s="33"/>
    </row>
    <row r="989" ht="15.75" customHeight="1">
      <c r="C989" s="33"/>
      <c r="D989" s="33"/>
      <c r="E989" s="33"/>
      <c r="F989" s="33"/>
    </row>
    <row r="990" ht="15.75" customHeight="1">
      <c r="C990" s="33"/>
      <c r="D990" s="33"/>
      <c r="E990" s="33"/>
      <c r="F990" s="33"/>
    </row>
    <row r="991" ht="15.75" customHeight="1">
      <c r="C991" s="33"/>
      <c r="D991" s="33"/>
      <c r="E991" s="33"/>
      <c r="F991" s="33"/>
    </row>
    <row r="992" ht="15.75" customHeight="1">
      <c r="C992" s="33"/>
      <c r="D992" s="33"/>
      <c r="E992" s="33"/>
      <c r="F992" s="33"/>
    </row>
    <row r="993" ht="15.75" customHeight="1">
      <c r="C993" s="33"/>
      <c r="D993" s="33"/>
      <c r="E993" s="33"/>
      <c r="F993" s="33"/>
    </row>
    <row r="994" ht="15.75" customHeight="1">
      <c r="C994" s="33"/>
      <c r="D994" s="33"/>
      <c r="E994" s="33"/>
      <c r="F994" s="33"/>
    </row>
    <row r="995" ht="15.75" customHeight="1">
      <c r="C995" s="33"/>
      <c r="D995" s="33"/>
      <c r="E995" s="33"/>
      <c r="F995" s="33"/>
    </row>
    <row r="996" ht="15.75" customHeight="1">
      <c r="C996" s="33"/>
      <c r="D996" s="33"/>
      <c r="E996" s="33"/>
      <c r="F996" s="33"/>
    </row>
    <row r="997" ht="15.75" customHeight="1">
      <c r="C997" s="33"/>
      <c r="D997" s="33"/>
      <c r="E997" s="33"/>
      <c r="F997" s="33"/>
    </row>
    <row r="998" ht="15.75" customHeight="1">
      <c r="C998" s="33"/>
      <c r="D998" s="33"/>
      <c r="E998" s="33"/>
      <c r="F998" s="33"/>
    </row>
    <row r="999" ht="15.75" customHeight="1">
      <c r="C999" s="33"/>
      <c r="D999" s="33"/>
      <c r="E999" s="33"/>
      <c r="F999" s="33"/>
    </row>
    <row r="1000" ht="15.75" customHeight="1">
      <c r="C1000" s="33"/>
      <c r="D1000" s="33"/>
      <c r="E1000" s="33"/>
      <c r="F1000" s="33"/>
    </row>
    <row r="1001" ht="15.75" customHeight="1">
      <c r="C1001" s="33"/>
      <c r="D1001" s="33"/>
      <c r="E1001" s="33"/>
      <c r="F1001" s="33"/>
    </row>
    <row r="1002" ht="15.75" customHeight="1">
      <c r="C1002" s="33"/>
      <c r="D1002" s="33"/>
      <c r="E1002" s="33"/>
      <c r="F1002" s="33"/>
    </row>
    <row r="1003" ht="15.75" customHeight="1">
      <c r="C1003" s="33"/>
      <c r="D1003" s="33"/>
      <c r="E1003" s="33"/>
      <c r="F1003" s="33"/>
    </row>
    <row r="1004" ht="15.75" customHeight="1">
      <c r="C1004" s="33"/>
      <c r="D1004" s="33"/>
      <c r="E1004" s="33"/>
      <c r="F1004" s="33"/>
    </row>
    <row r="1005" ht="15.75" customHeight="1">
      <c r="C1005" s="33"/>
      <c r="D1005" s="33"/>
      <c r="E1005" s="33"/>
      <c r="F1005" s="33"/>
    </row>
    <row r="1006" ht="15.75" customHeight="1">
      <c r="C1006" s="33"/>
      <c r="D1006" s="33"/>
      <c r="E1006" s="33"/>
      <c r="F1006" s="33"/>
    </row>
    <row r="1007" ht="15.75" customHeight="1">
      <c r="C1007" s="33"/>
      <c r="D1007" s="33"/>
      <c r="E1007" s="33"/>
      <c r="F1007" s="33"/>
    </row>
    <row r="1008" ht="15.75" customHeight="1">
      <c r="C1008" s="33"/>
      <c r="D1008" s="33"/>
      <c r="E1008" s="33"/>
      <c r="F1008" s="33"/>
    </row>
    <row r="1009" ht="15.75" customHeight="1">
      <c r="C1009" s="33"/>
      <c r="D1009" s="33"/>
      <c r="E1009" s="33"/>
      <c r="F1009" s="33"/>
    </row>
    <row r="1010" ht="15.75" customHeight="1">
      <c r="C1010" s="33"/>
      <c r="D1010" s="33"/>
      <c r="E1010" s="33"/>
      <c r="F1010" s="33"/>
    </row>
    <row r="1011" ht="15.75" customHeight="1">
      <c r="C1011" s="33"/>
      <c r="D1011" s="33"/>
      <c r="E1011" s="33"/>
      <c r="F1011" s="33"/>
    </row>
    <row r="1012" ht="15.75" customHeight="1">
      <c r="C1012" s="33"/>
      <c r="D1012" s="33"/>
      <c r="E1012" s="33"/>
      <c r="F1012" s="33"/>
    </row>
    <row r="1013" ht="15.75" customHeight="1">
      <c r="C1013" s="33"/>
      <c r="D1013" s="33"/>
      <c r="E1013" s="33"/>
      <c r="F1013" s="33"/>
    </row>
    <row r="1014" ht="15.75" customHeight="1">
      <c r="C1014" s="33"/>
      <c r="D1014" s="33"/>
      <c r="E1014" s="33"/>
      <c r="F1014" s="33"/>
    </row>
    <row r="1015" ht="15.75" customHeight="1">
      <c r="C1015" s="33"/>
      <c r="D1015" s="33"/>
      <c r="E1015" s="33"/>
      <c r="F1015" s="33"/>
    </row>
    <row r="1016" ht="15.75" customHeight="1">
      <c r="C1016" s="33"/>
      <c r="D1016" s="33"/>
      <c r="E1016" s="33"/>
      <c r="F1016" s="33"/>
    </row>
    <row r="1017" ht="15.75" customHeight="1">
      <c r="C1017" s="33"/>
      <c r="D1017" s="33"/>
      <c r="E1017" s="33"/>
      <c r="F1017" s="33"/>
    </row>
    <row r="1018" ht="15.75" customHeight="1">
      <c r="C1018" s="33"/>
      <c r="D1018" s="33"/>
      <c r="E1018" s="33"/>
      <c r="F1018" s="33"/>
    </row>
    <row r="1019" ht="15.75" customHeight="1">
      <c r="C1019" s="33"/>
      <c r="D1019" s="33"/>
      <c r="E1019" s="33"/>
      <c r="F1019" s="33"/>
    </row>
    <row r="1020" ht="15.75" customHeight="1">
      <c r="C1020" s="33"/>
      <c r="D1020" s="33"/>
      <c r="E1020" s="33"/>
      <c r="F1020" s="33"/>
    </row>
    <row r="1021" ht="15.75" customHeight="1">
      <c r="C1021" s="33"/>
      <c r="D1021" s="33"/>
      <c r="E1021" s="33"/>
      <c r="F1021" s="33"/>
    </row>
    <row r="1022" ht="15.75" customHeight="1">
      <c r="C1022" s="33"/>
      <c r="D1022" s="33"/>
      <c r="E1022" s="33"/>
      <c r="F1022" s="3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6.13"/>
    <col customWidth="1" min="3" max="4" width="13.38"/>
    <col customWidth="1" min="5" max="5" width="12.63"/>
  </cols>
  <sheetData>
    <row r="1" ht="15.75" customHeight="1">
      <c r="A1" s="5" t="s">
        <v>3</v>
      </c>
      <c r="B1" s="5" t="s">
        <v>4</v>
      </c>
      <c r="C1" s="4" t="s">
        <v>5</v>
      </c>
      <c r="D1" s="28" t="s">
        <v>102</v>
      </c>
      <c r="E1" s="29"/>
      <c r="F1" s="29"/>
      <c r="G1" s="30"/>
    </row>
    <row r="2" ht="15.75" customHeight="1">
      <c r="A2" s="14" t="s">
        <v>11</v>
      </c>
      <c r="B2" s="14" t="s">
        <v>25</v>
      </c>
      <c r="C2" s="15" t="s">
        <v>26</v>
      </c>
      <c r="D2" s="31">
        <v>0.6</v>
      </c>
      <c r="E2" s="32"/>
      <c r="F2" s="32"/>
    </row>
    <row r="3" ht="15.75" customHeight="1">
      <c r="A3" s="14" t="s">
        <v>11</v>
      </c>
      <c r="B3" s="14" t="s">
        <v>27</v>
      </c>
      <c r="C3" s="15" t="s">
        <v>28</v>
      </c>
      <c r="D3" s="32">
        <v>0.7000000000000001</v>
      </c>
      <c r="E3" s="32"/>
      <c r="F3" s="32"/>
    </row>
    <row r="4" ht="15.75" customHeight="1">
      <c r="A4" s="14" t="s">
        <v>11</v>
      </c>
      <c r="B4" s="14" t="s">
        <v>29</v>
      </c>
      <c r="C4" s="15" t="s">
        <v>30</v>
      </c>
      <c r="D4" s="32">
        <v>0.3</v>
      </c>
      <c r="E4" s="32"/>
      <c r="F4" s="32"/>
    </row>
    <row r="5" ht="15.75" customHeight="1">
      <c r="A5" s="14" t="s">
        <v>11</v>
      </c>
      <c r="B5" s="14" t="s">
        <v>31</v>
      </c>
      <c r="C5" s="15" t="s">
        <v>32</v>
      </c>
      <c r="D5" s="32">
        <v>0.7000000000000001</v>
      </c>
      <c r="E5" s="32"/>
      <c r="F5" s="32"/>
    </row>
    <row r="6" ht="15.75" customHeight="1">
      <c r="A6" s="14" t="s">
        <v>18</v>
      </c>
      <c r="B6" s="14" t="s">
        <v>33</v>
      </c>
      <c r="C6" s="15" t="s">
        <v>30</v>
      </c>
      <c r="D6" s="32">
        <v>0.6</v>
      </c>
      <c r="E6" s="32"/>
      <c r="F6" s="32"/>
    </row>
    <row r="7" ht="15.75" customHeight="1">
      <c r="A7" s="14" t="s">
        <v>18</v>
      </c>
      <c r="B7" s="14" t="s">
        <v>34</v>
      </c>
      <c r="C7" s="15" t="s">
        <v>26</v>
      </c>
      <c r="D7" s="32">
        <v>0.2</v>
      </c>
      <c r="E7" s="32"/>
      <c r="F7" s="32"/>
    </row>
    <row r="8" ht="15.75" customHeight="1">
      <c r="A8" s="14" t="s">
        <v>18</v>
      </c>
      <c r="B8" s="14" t="s">
        <v>35</v>
      </c>
      <c r="C8" s="15" t="s">
        <v>26</v>
      </c>
      <c r="D8" s="32">
        <v>0.5</v>
      </c>
      <c r="E8" s="32"/>
      <c r="F8" s="32"/>
    </row>
    <row r="9" ht="15.75" customHeight="1">
      <c r="A9" s="14" t="s">
        <v>18</v>
      </c>
      <c r="B9" s="14" t="s">
        <v>36</v>
      </c>
      <c r="C9" s="15" t="s">
        <v>37</v>
      </c>
      <c r="D9" s="32">
        <v>0.6</v>
      </c>
      <c r="E9" s="32"/>
      <c r="F9" s="32"/>
    </row>
    <row r="10" ht="15.75" customHeight="1">
      <c r="A10" s="14" t="s">
        <v>18</v>
      </c>
      <c r="B10" s="14" t="s">
        <v>38</v>
      </c>
      <c r="C10" s="15" t="s">
        <v>39</v>
      </c>
      <c r="D10" s="32">
        <v>0.4</v>
      </c>
      <c r="E10" s="32"/>
      <c r="F10" s="32"/>
    </row>
    <row r="11" ht="15.75" customHeight="1">
      <c r="A11" s="14" t="s">
        <v>8</v>
      </c>
      <c r="B11" s="14" t="s">
        <v>40</v>
      </c>
      <c r="C11" s="15" t="s">
        <v>39</v>
      </c>
      <c r="D11" s="32">
        <v>0.2</v>
      </c>
      <c r="E11" s="32"/>
      <c r="F11" s="32"/>
    </row>
    <row r="12" ht="15.75" customHeight="1">
      <c r="A12" s="14" t="s">
        <v>8</v>
      </c>
      <c r="B12" s="14" t="s">
        <v>41</v>
      </c>
      <c r="C12" s="15" t="s">
        <v>42</v>
      </c>
      <c r="D12" s="32">
        <v>0.2</v>
      </c>
      <c r="E12" s="32"/>
      <c r="F12" s="32"/>
    </row>
    <row r="13" ht="15.75" customHeight="1">
      <c r="A13" s="14" t="s">
        <v>8</v>
      </c>
      <c r="B13" s="14" t="s">
        <v>43</v>
      </c>
      <c r="C13" s="15" t="s">
        <v>28</v>
      </c>
      <c r="D13" s="32">
        <v>0.2</v>
      </c>
      <c r="E13" s="32"/>
      <c r="F13" s="32"/>
    </row>
    <row r="14" ht="15.75" customHeight="1">
      <c r="A14" s="14" t="s">
        <v>8</v>
      </c>
      <c r="B14" s="14" t="s">
        <v>44</v>
      </c>
      <c r="C14" s="15" t="s">
        <v>45</v>
      </c>
      <c r="D14" s="32">
        <v>0.4</v>
      </c>
      <c r="E14" s="32"/>
      <c r="F14" s="32"/>
    </row>
    <row r="15" ht="15.75" customHeight="1">
      <c r="A15" s="14" t="s">
        <v>8</v>
      </c>
      <c r="B15" s="14" t="s">
        <v>46</v>
      </c>
      <c r="C15" s="15" t="s">
        <v>45</v>
      </c>
      <c r="D15" s="32">
        <v>0.1</v>
      </c>
      <c r="E15" s="32"/>
      <c r="F15" s="32"/>
    </row>
    <row r="16" ht="15.75" customHeight="1">
      <c r="A16" s="14" t="s">
        <v>16</v>
      </c>
      <c r="B16" s="14" t="s">
        <v>47</v>
      </c>
      <c r="C16" s="15" t="s">
        <v>30</v>
      </c>
      <c r="D16" s="32">
        <v>0.7000000000000001</v>
      </c>
      <c r="E16" s="32"/>
      <c r="F16" s="32"/>
    </row>
    <row r="17" ht="15.75" customHeight="1">
      <c r="A17" s="14" t="s">
        <v>16</v>
      </c>
      <c r="B17" s="14" t="s">
        <v>48</v>
      </c>
      <c r="C17" s="15" t="s">
        <v>30</v>
      </c>
      <c r="D17" s="32">
        <v>0.4</v>
      </c>
      <c r="E17" s="32"/>
      <c r="F17" s="32"/>
    </row>
    <row r="18" ht="15.75" customHeight="1">
      <c r="A18" s="14" t="s">
        <v>16</v>
      </c>
      <c r="B18" s="14" t="s">
        <v>49</v>
      </c>
      <c r="C18" s="15" t="s">
        <v>50</v>
      </c>
      <c r="D18" s="32">
        <v>0.2</v>
      </c>
      <c r="E18" s="32"/>
      <c r="F18" s="32"/>
    </row>
    <row r="19" ht="15.75" customHeight="1">
      <c r="A19" s="14" t="s">
        <v>16</v>
      </c>
      <c r="B19" s="14" t="s">
        <v>51</v>
      </c>
      <c r="C19" s="15" t="s">
        <v>30</v>
      </c>
      <c r="D19" s="32">
        <v>0.6</v>
      </c>
      <c r="E19" s="32"/>
      <c r="F19" s="32"/>
    </row>
    <row r="20" ht="15.75" customHeight="1">
      <c r="A20" s="14" t="s">
        <v>16</v>
      </c>
      <c r="B20" s="14" t="s">
        <v>52</v>
      </c>
      <c r="C20" s="15" t="s">
        <v>42</v>
      </c>
      <c r="D20" s="32">
        <v>0.5</v>
      </c>
      <c r="E20" s="32"/>
      <c r="F20" s="32"/>
    </row>
    <row r="21" ht="15.75" customHeight="1">
      <c r="A21" s="14" t="s">
        <v>14</v>
      </c>
      <c r="B21" s="14" t="s">
        <v>53</v>
      </c>
      <c r="C21" s="15" t="s">
        <v>28</v>
      </c>
      <c r="D21" s="32">
        <v>0.4</v>
      </c>
      <c r="E21" s="32"/>
      <c r="F21" s="32"/>
    </row>
    <row r="22" ht="15.75" customHeight="1">
      <c r="A22" s="14" t="s">
        <v>14</v>
      </c>
      <c r="B22" s="14" t="s">
        <v>54</v>
      </c>
      <c r="C22" s="15" t="s">
        <v>39</v>
      </c>
      <c r="D22" s="32">
        <v>0.5</v>
      </c>
      <c r="E22" s="32"/>
      <c r="F22" s="32"/>
    </row>
    <row r="23" ht="15.75" customHeight="1">
      <c r="A23" s="14" t="s">
        <v>14</v>
      </c>
      <c r="B23" s="14" t="s">
        <v>55</v>
      </c>
      <c r="C23" s="15" t="s">
        <v>32</v>
      </c>
      <c r="D23" s="32">
        <v>0.2</v>
      </c>
      <c r="E23" s="32"/>
      <c r="F23" s="32"/>
    </row>
    <row r="24" ht="15.75" customHeight="1">
      <c r="A24" s="14" t="s">
        <v>14</v>
      </c>
      <c r="B24" s="14" t="s">
        <v>57</v>
      </c>
      <c r="C24" s="15" t="s">
        <v>32</v>
      </c>
      <c r="D24" s="32">
        <v>0.2</v>
      </c>
      <c r="E24" s="32"/>
      <c r="F24" s="32"/>
    </row>
    <row r="25" ht="15.75" customHeight="1">
      <c r="A25" s="14" t="s">
        <v>14</v>
      </c>
      <c r="B25" s="14" t="s">
        <v>58</v>
      </c>
      <c r="C25" s="15" t="s">
        <v>37</v>
      </c>
      <c r="D25" s="32">
        <v>0.7000000000000001</v>
      </c>
      <c r="E25" s="32"/>
      <c r="F25" s="32"/>
    </row>
    <row r="26" ht="15.75" customHeight="1">
      <c r="A26" s="14" t="s">
        <v>9</v>
      </c>
      <c r="B26" s="14" t="s">
        <v>59</v>
      </c>
      <c r="C26" s="15" t="s">
        <v>30</v>
      </c>
      <c r="D26" s="32">
        <v>0.6</v>
      </c>
      <c r="E26" s="32"/>
      <c r="F26" s="32"/>
    </row>
    <row r="27" ht="15.75" customHeight="1">
      <c r="A27" s="14" t="s">
        <v>9</v>
      </c>
      <c r="B27" s="14" t="s">
        <v>60</v>
      </c>
      <c r="C27" s="15" t="s">
        <v>32</v>
      </c>
      <c r="D27" s="32">
        <v>0.7000000000000001</v>
      </c>
      <c r="E27" s="32"/>
      <c r="F27" s="32"/>
    </row>
    <row r="28" ht="15.75" customHeight="1">
      <c r="A28" s="14" t="s">
        <v>9</v>
      </c>
      <c r="B28" s="14" t="s">
        <v>61</v>
      </c>
      <c r="C28" s="15" t="s">
        <v>28</v>
      </c>
      <c r="D28" s="32">
        <v>0.3</v>
      </c>
      <c r="E28" s="32"/>
      <c r="F28" s="32"/>
    </row>
    <row r="29" ht="15.75" customHeight="1">
      <c r="A29" s="14" t="s">
        <v>9</v>
      </c>
      <c r="B29" s="14" t="s">
        <v>62</v>
      </c>
      <c r="C29" s="15" t="s">
        <v>28</v>
      </c>
      <c r="D29" s="32">
        <v>0.6</v>
      </c>
      <c r="E29" s="32"/>
      <c r="F29" s="32"/>
    </row>
    <row r="30" ht="15.75" customHeight="1">
      <c r="A30" s="14" t="s">
        <v>9</v>
      </c>
      <c r="B30" s="14" t="s">
        <v>63</v>
      </c>
      <c r="C30" s="15" t="s">
        <v>28</v>
      </c>
      <c r="D30" s="32">
        <v>0.6</v>
      </c>
      <c r="E30" s="32"/>
      <c r="F30" s="32"/>
    </row>
    <row r="31" ht="15.75" customHeight="1">
      <c r="A31" s="14" t="s">
        <v>64</v>
      </c>
      <c r="B31" s="14" t="s">
        <v>65</v>
      </c>
      <c r="C31" s="15" t="s">
        <v>32</v>
      </c>
      <c r="D31" s="32">
        <v>0.4</v>
      </c>
      <c r="E31" s="32"/>
      <c r="F31" s="32"/>
    </row>
    <row r="32" ht="15.75" customHeight="1">
      <c r="A32" s="14" t="s">
        <v>64</v>
      </c>
      <c r="B32" s="14" t="s">
        <v>66</v>
      </c>
      <c r="C32" s="15" t="s">
        <v>26</v>
      </c>
      <c r="D32" s="32">
        <v>0.5</v>
      </c>
      <c r="E32" s="32"/>
      <c r="F32" s="32"/>
    </row>
    <row r="33" ht="15.75" customHeight="1">
      <c r="A33" s="14" t="s">
        <v>64</v>
      </c>
      <c r="B33" s="14" t="s">
        <v>67</v>
      </c>
      <c r="C33" s="15" t="s">
        <v>32</v>
      </c>
      <c r="D33" s="32">
        <v>0.6</v>
      </c>
      <c r="E33" s="32"/>
      <c r="F33" s="32"/>
    </row>
    <row r="34" ht="15.75" customHeight="1">
      <c r="A34" s="14" t="s">
        <v>64</v>
      </c>
      <c r="B34" s="14" t="s">
        <v>68</v>
      </c>
      <c r="C34" s="15" t="s">
        <v>39</v>
      </c>
      <c r="D34" s="32">
        <v>0.5</v>
      </c>
      <c r="E34" s="32"/>
      <c r="F34" s="32"/>
    </row>
    <row r="35" ht="15.75" customHeight="1">
      <c r="A35" s="14" t="s">
        <v>64</v>
      </c>
      <c r="B35" s="14" t="s">
        <v>69</v>
      </c>
      <c r="C35" s="15" t="s">
        <v>28</v>
      </c>
      <c r="D35" s="32">
        <v>0.7000000000000001</v>
      </c>
      <c r="E35" s="32"/>
      <c r="F35" s="32"/>
    </row>
    <row r="36" ht="15.75" customHeight="1">
      <c r="A36" s="14" t="s">
        <v>7</v>
      </c>
      <c r="B36" s="14" t="s">
        <v>70</v>
      </c>
      <c r="C36" s="15" t="s">
        <v>32</v>
      </c>
      <c r="D36" s="32">
        <v>0.2</v>
      </c>
      <c r="E36" s="32"/>
      <c r="F36" s="32"/>
    </row>
    <row r="37" ht="15.75" customHeight="1">
      <c r="A37" s="14" t="s">
        <v>7</v>
      </c>
      <c r="B37" s="14" t="s">
        <v>71</v>
      </c>
      <c r="C37" s="15" t="s">
        <v>28</v>
      </c>
      <c r="D37" s="32">
        <v>0.4</v>
      </c>
      <c r="E37" s="32"/>
      <c r="F37" s="32"/>
    </row>
    <row r="38" ht="15.75" customHeight="1">
      <c r="A38" s="14" t="s">
        <v>7</v>
      </c>
      <c r="B38" s="14" t="s">
        <v>72</v>
      </c>
      <c r="C38" s="15" t="s">
        <v>42</v>
      </c>
      <c r="D38" s="32">
        <v>0.8</v>
      </c>
      <c r="E38" s="32"/>
      <c r="F38" s="32"/>
    </row>
    <row r="39" ht="15.75" customHeight="1">
      <c r="A39" s="14" t="s">
        <v>7</v>
      </c>
      <c r="B39" s="14" t="s">
        <v>73</v>
      </c>
      <c r="C39" s="15" t="s">
        <v>45</v>
      </c>
      <c r="D39" s="32">
        <v>0.2</v>
      </c>
      <c r="E39" s="32"/>
      <c r="F39" s="32"/>
    </row>
    <row r="40" ht="15.75" customHeight="1">
      <c r="A40" s="14" t="s">
        <v>7</v>
      </c>
      <c r="B40" s="14" t="s">
        <v>74</v>
      </c>
      <c r="C40" s="15" t="s">
        <v>30</v>
      </c>
      <c r="D40" s="32">
        <v>0.2</v>
      </c>
      <c r="E40" s="32"/>
      <c r="F40" s="32"/>
    </row>
    <row r="41" ht="15.75" customHeight="1">
      <c r="A41" s="14" t="s">
        <v>75</v>
      </c>
      <c r="B41" s="14" t="s">
        <v>76</v>
      </c>
      <c r="C41" s="15" t="s">
        <v>28</v>
      </c>
      <c r="D41" s="32">
        <v>0.5</v>
      </c>
      <c r="E41" s="32"/>
      <c r="F41" s="32"/>
    </row>
    <row r="42" ht="15.75" customHeight="1">
      <c r="A42" s="14" t="s">
        <v>75</v>
      </c>
      <c r="B42" s="14" t="s">
        <v>77</v>
      </c>
      <c r="C42" s="15" t="s">
        <v>32</v>
      </c>
      <c r="D42" s="32">
        <v>0.5</v>
      </c>
      <c r="E42" s="32"/>
      <c r="F42" s="32"/>
    </row>
    <row r="43" ht="15.75" customHeight="1">
      <c r="A43" s="14" t="s">
        <v>75</v>
      </c>
      <c r="B43" s="14" t="s">
        <v>78</v>
      </c>
      <c r="C43" s="15" t="s">
        <v>32</v>
      </c>
      <c r="D43" s="32">
        <v>0.2</v>
      </c>
      <c r="E43" s="32"/>
      <c r="F43" s="32"/>
    </row>
    <row r="44" ht="15.75" customHeight="1">
      <c r="A44" s="14" t="s">
        <v>75</v>
      </c>
      <c r="B44" s="14" t="s">
        <v>79</v>
      </c>
      <c r="C44" s="15" t="s">
        <v>28</v>
      </c>
      <c r="D44" s="32">
        <v>0.3</v>
      </c>
      <c r="E44" s="32"/>
      <c r="F44" s="32"/>
    </row>
    <row r="45" ht="15.75" customHeight="1">
      <c r="A45" s="14" t="s">
        <v>75</v>
      </c>
      <c r="B45" s="14" t="s">
        <v>80</v>
      </c>
      <c r="C45" s="15" t="s">
        <v>45</v>
      </c>
      <c r="D45" s="32">
        <v>0.6</v>
      </c>
      <c r="E45" s="32"/>
      <c r="F45" s="32"/>
    </row>
    <row r="46" ht="15.75" customHeight="1">
      <c r="A46" s="14" t="s">
        <v>13</v>
      </c>
      <c r="B46" s="14" t="s">
        <v>82</v>
      </c>
      <c r="C46" s="15" t="s">
        <v>32</v>
      </c>
      <c r="D46" s="32">
        <v>0.3</v>
      </c>
      <c r="E46" s="32"/>
      <c r="F46" s="32"/>
    </row>
    <row r="47" ht="15.75" customHeight="1">
      <c r="A47" s="14" t="s">
        <v>13</v>
      </c>
      <c r="B47" s="14" t="s">
        <v>83</v>
      </c>
      <c r="C47" s="15" t="s">
        <v>39</v>
      </c>
      <c r="D47" s="32">
        <v>0.6</v>
      </c>
      <c r="E47" s="32"/>
      <c r="F47" s="32"/>
    </row>
    <row r="48" ht="15.75" customHeight="1">
      <c r="A48" s="14" t="s">
        <v>13</v>
      </c>
      <c r="B48" s="14" t="s">
        <v>84</v>
      </c>
      <c r="C48" s="15" t="s">
        <v>30</v>
      </c>
      <c r="D48" s="32">
        <v>0.2</v>
      </c>
      <c r="E48" s="32"/>
      <c r="F48" s="32"/>
    </row>
    <row r="49" ht="15.75" customHeight="1">
      <c r="A49" s="14" t="s">
        <v>13</v>
      </c>
      <c r="B49" s="14" t="s">
        <v>85</v>
      </c>
      <c r="C49" s="15" t="s">
        <v>30</v>
      </c>
      <c r="D49" s="32">
        <v>0.6</v>
      </c>
      <c r="E49" s="32"/>
      <c r="F49" s="32"/>
    </row>
    <row r="50" ht="15.75" customHeight="1">
      <c r="A50" s="14" t="s">
        <v>13</v>
      </c>
      <c r="B50" s="14" t="s">
        <v>86</v>
      </c>
      <c r="C50" s="15" t="s">
        <v>32</v>
      </c>
      <c r="D50" s="32">
        <v>0.2</v>
      </c>
      <c r="E50" s="32"/>
      <c r="F50" s="32"/>
    </row>
    <row r="51" ht="15.75" customHeight="1">
      <c r="A51" s="14" t="s">
        <v>10</v>
      </c>
      <c r="B51" s="14" t="s">
        <v>87</v>
      </c>
      <c r="C51" s="15" t="s">
        <v>30</v>
      </c>
      <c r="D51" s="32">
        <v>0.7000000000000001</v>
      </c>
      <c r="E51" s="32"/>
      <c r="F51" s="32"/>
    </row>
    <row r="52" ht="15.75" customHeight="1">
      <c r="A52" s="14" t="s">
        <v>10</v>
      </c>
      <c r="B52" s="14" t="s">
        <v>88</v>
      </c>
      <c r="C52" s="15" t="s">
        <v>30</v>
      </c>
      <c r="D52" s="32">
        <v>0.8</v>
      </c>
      <c r="E52" s="32"/>
      <c r="F52" s="32"/>
    </row>
    <row r="53" ht="15.75" customHeight="1">
      <c r="A53" s="14" t="s">
        <v>10</v>
      </c>
      <c r="B53" s="14" t="s">
        <v>89</v>
      </c>
      <c r="C53" s="15" t="s">
        <v>26</v>
      </c>
      <c r="D53" s="32">
        <v>0.7000000000000001</v>
      </c>
      <c r="E53" s="32"/>
      <c r="F53" s="32"/>
    </row>
    <row r="54" ht="15.75" customHeight="1">
      <c r="A54" s="14" t="s">
        <v>10</v>
      </c>
      <c r="B54" s="14" t="s">
        <v>90</v>
      </c>
      <c r="C54" s="15" t="s">
        <v>32</v>
      </c>
      <c r="D54" s="32">
        <v>0.8</v>
      </c>
      <c r="E54" s="32"/>
      <c r="F54" s="32"/>
    </row>
    <row r="55" ht="15.75" customHeight="1">
      <c r="A55" s="14" t="s">
        <v>10</v>
      </c>
      <c r="B55" s="20" t="s">
        <v>91</v>
      </c>
      <c r="C55" s="15" t="s">
        <v>50</v>
      </c>
      <c r="D55" s="32">
        <v>0.5</v>
      </c>
      <c r="E55" s="32"/>
      <c r="F55" s="32"/>
    </row>
    <row r="56" ht="15.75" customHeight="1">
      <c r="A56" s="14" t="s">
        <v>17</v>
      </c>
      <c r="B56" s="14" t="s">
        <v>92</v>
      </c>
      <c r="C56" s="15" t="s">
        <v>32</v>
      </c>
      <c r="D56" s="32">
        <v>0.8</v>
      </c>
      <c r="E56" s="32"/>
      <c r="F56" s="32"/>
    </row>
    <row r="57" ht="15.75" customHeight="1">
      <c r="A57" s="14" t="s">
        <v>17</v>
      </c>
      <c r="B57" s="14" t="s">
        <v>93</v>
      </c>
      <c r="C57" s="15" t="s">
        <v>32</v>
      </c>
      <c r="D57" s="32">
        <v>0.7000000000000001</v>
      </c>
      <c r="E57" s="32"/>
      <c r="F57" s="32"/>
    </row>
    <row r="58" ht="15.75" customHeight="1">
      <c r="A58" s="14" t="s">
        <v>17</v>
      </c>
      <c r="B58" s="14" t="s">
        <v>94</v>
      </c>
      <c r="C58" s="15" t="s">
        <v>30</v>
      </c>
      <c r="D58" s="32">
        <v>0.8999999999999999</v>
      </c>
      <c r="E58" s="32"/>
      <c r="F58" s="32"/>
    </row>
    <row r="59" ht="15.75" customHeight="1">
      <c r="A59" s="14" t="s">
        <v>17</v>
      </c>
      <c r="B59" s="14" t="s">
        <v>95</v>
      </c>
      <c r="C59" s="15" t="s">
        <v>32</v>
      </c>
      <c r="D59" s="32">
        <v>0.8</v>
      </c>
      <c r="E59" s="32"/>
      <c r="F59" s="32"/>
    </row>
    <row r="60" ht="15.75" customHeight="1">
      <c r="A60" s="14" t="s">
        <v>17</v>
      </c>
      <c r="B60" s="14" t="s">
        <v>96</v>
      </c>
      <c r="C60" s="15" t="s">
        <v>32</v>
      </c>
      <c r="D60" s="32">
        <v>0.6</v>
      </c>
      <c r="E60" s="32"/>
      <c r="F60" s="32"/>
    </row>
    <row r="61">
      <c r="C61" s="33"/>
      <c r="D61" s="33"/>
      <c r="E61" s="33"/>
      <c r="F61" s="33"/>
    </row>
    <row r="62">
      <c r="C62" s="33"/>
      <c r="D62" s="33"/>
      <c r="E62" s="33"/>
      <c r="F62" s="33"/>
    </row>
    <row r="63">
      <c r="C63" s="33"/>
      <c r="D63" s="33"/>
      <c r="E63" s="33"/>
      <c r="F63" s="33"/>
    </row>
    <row r="64">
      <c r="C64" s="33"/>
      <c r="D64" s="33"/>
      <c r="E64" s="33"/>
      <c r="F64" s="33"/>
    </row>
    <row r="65">
      <c r="C65" s="33"/>
      <c r="D65" s="33"/>
      <c r="E65" s="33"/>
      <c r="F65" s="33"/>
    </row>
    <row r="66">
      <c r="C66" s="33"/>
      <c r="D66" s="33"/>
      <c r="E66" s="33"/>
      <c r="F66" s="33"/>
    </row>
    <row r="67">
      <c r="C67" s="33"/>
      <c r="D67" s="33"/>
      <c r="E67" s="33"/>
      <c r="F67" s="33"/>
    </row>
    <row r="68">
      <c r="C68" s="33"/>
      <c r="D68" s="33"/>
      <c r="E68" s="33"/>
      <c r="F68" s="33"/>
    </row>
    <row r="69">
      <c r="C69" s="33"/>
      <c r="D69" s="33"/>
      <c r="E69" s="33"/>
      <c r="F69" s="33"/>
    </row>
    <row r="70">
      <c r="C70" s="33"/>
      <c r="D70" s="33"/>
      <c r="E70" s="33"/>
      <c r="F70" s="33"/>
    </row>
    <row r="71">
      <c r="C71" s="33"/>
      <c r="D71" s="33"/>
      <c r="E71" s="33"/>
      <c r="F71" s="33"/>
    </row>
    <row r="72">
      <c r="C72" s="33"/>
      <c r="D72" s="33"/>
      <c r="E72" s="33"/>
      <c r="F72" s="33"/>
    </row>
    <row r="73">
      <c r="C73" s="33"/>
      <c r="D73" s="33"/>
      <c r="E73" s="33"/>
      <c r="F73" s="33"/>
    </row>
    <row r="74">
      <c r="C74" s="33"/>
      <c r="D74" s="33"/>
      <c r="E74" s="33"/>
      <c r="F74" s="33"/>
    </row>
    <row r="75">
      <c r="C75" s="33"/>
      <c r="D75" s="33"/>
      <c r="E75" s="33"/>
      <c r="F75" s="33"/>
    </row>
    <row r="76">
      <c r="C76" s="33"/>
      <c r="D76" s="33"/>
      <c r="E76" s="33"/>
      <c r="F76" s="33"/>
    </row>
    <row r="77">
      <c r="C77" s="33"/>
      <c r="D77" s="33"/>
      <c r="E77" s="33"/>
      <c r="F77" s="33"/>
    </row>
    <row r="78">
      <c r="C78" s="33"/>
      <c r="D78" s="33"/>
      <c r="E78" s="33"/>
      <c r="F78" s="33"/>
    </row>
    <row r="79">
      <c r="C79" s="33"/>
      <c r="D79" s="33"/>
      <c r="E79" s="33"/>
      <c r="F79" s="33"/>
    </row>
    <row r="80">
      <c r="C80" s="33"/>
      <c r="D80" s="33"/>
      <c r="E80" s="33"/>
      <c r="F80" s="33"/>
    </row>
    <row r="81">
      <c r="C81" s="33"/>
      <c r="D81" s="33"/>
      <c r="E81" s="33"/>
      <c r="F81" s="33"/>
    </row>
    <row r="82" ht="15.75" customHeight="1">
      <c r="C82" s="33"/>
      <c r="D82" s="33"/>
      <c r="E82" s="33"/>
      <c r="F82" s="33"/>
    </row>
    <row r="83" ht="15.75" customHeight="1">
      <c r="C83" s="33"/>
      <c r="D83" s="33"/>
      <c r="E83" s="33"/>
      <c r="F83" s="33"/>
    </row>
    <row r="84" ht="15.75" customHeight="1">
      <c r="C84" s="33"/>
      <c r="D84" s="33"/>
      <c r="E84" s="33"/>
      <c r="F84" s="33"/>
    </row>
    <row r="85" ht="15.75" customHeight="1">
      <c r="C85" s="33"/>
      <c r="D85" s="33"/>
      <c r="E85" s="33"/>
      <c r="F85" s="33"/>
    </row>
    <row r="86" ht="15.75" customHeight="1">
      <c r="C86" s="33"/>
      <c r="D86" s="33"/>
      <c r="E86" s="33"/>
      <c r="F86" s="33"/>
    </row>
    <row r="87" ht="15.75" customHeight="1">
      <c r="C87" s="33"/>
      <c r="D87" s="33"/>
      <c r="E87" s="33"/>
      <c r="F87" s="33"/>
    </row>
    <row r="88" ht="15.75" customHeight="1">
      <c r="C88" s="33"/>
      <c r="D88" s="33"/>
      <c r="E88" s="33"/>
      <c r="F88" s="33"/>
    </row>
    <row r="89" ht="15.75" customHeight="1">
      <c r="C89" s="33"/>
      <c r="D89" s="33"/>
      <c r="E89" s="33"/>
      <c r="F89" s="33"/>
    </row>
    <row r="90" ht="15.75" customHeight="1">
      <c r="C90" s="33"/>
      <c r="D90" s="33"/>
      <c r="E90" s="33"/>
      <c r="F90" s="33"/>
    </row>
    <row r="91" ht="15.75" customHeight="1">
      <c r="C91" s="33"/>
      <c r="D91" s="33"/>
      <c r="E91" s="33"/>
      <c r="F91" s="33"/>
    </row>
    <row r="92" ht="15.75" customHeight="1">
      <c r="C92" s="33"/>
      <c r="D92" s="33"/>
      <c r="E92" s="33"/>
      <c r="F92" s="33"/>
    </row>
    <row r="93" ht="15.75" customHeight="1">
      <c r="C93" s="33"/>
      <c r="D93" s="33"/>
      <c r="E93" s="33"/>
      <c r="F93" s="33"/>
    </row>
    <row r="94" ht="15.75" customHeight="1">
      <c r="C94" s="33"/>
      <c r="D94" s="33"/>
      <c r="E94" s="33"/>
      <c r="F94" s="33"/>
    </row>
    <row r="95" ht="15.75" customHeight="1">
      <c r="C95" s="33"/>
      <c r="D95" s="33"/>
      <c r="E95" s="33"/>
      <c r="F95" s="33"/>
    </row>
    <row r="96" ht="15.75" customHeight="1">
      <c r="C96" s="33"/>
      <c r="D96" s="33"/>
      <c r="E96" s="33"/>
      <c r="F96" s="33"/>
    </row>
    <row r="97" ht="15.75" customHeight="1">
      <c r="C97" s="33"/>
      <c r="D97" s="33"/>
      <c r="E97" s="33"/>
      <c r="F97" s="33"/>
    </row>
    <row r="98" ht="15.75" customHeight="1">
      <c r="C98" s="33"/>
      <c r="D98" s="33"/>
      <c r="E98" s="33"/>
      <c r="F98" s="33"/>
    </row>
    <row r="99" ht="15.75" customHeight="1">
      <c r="C99" s="33"/>
      <c r="D99" s="33"/>
      <c r="E99" s="33"/>
      <c r="F99" s="33"/>
    </row>
    <row r="100" ht="15.75" customHeight="1">
      <c r="C100" s="33"/>
      <c r="D100" s="33"/>
      <c r="E100" s="33"/>
      <c r="F100" s="33"/>
    </row>
    <row r="101" ht="15.75" customHeight="1">
      <c r="C101" s="33"/>
      <c r="D101" s="33"/>
      <c r="E101" s="33"/>
      <c r="F101" s="33"/>
    </row>
    <row r="102" ht="15.75" customHeight="1">
      <c r="C102" s="33"/>
      <c r="D102" s="33"/>
      <c r="E102" s="33"/>
      <c r="F102" s="33"/>
    </row>
    <row r="103" ht="15.75" customHeight="1">
      <c r="C103" s="33"/>
      <c r="D103" s="33"/>
      <c r="E103" s="33"/>
      <c r="F103" s="33"/>
    </row>
    <row r="104" ht="15.75" customHeight="1">
      <c r="C104" s="33"/>
      <c r="D104" s="33"/>
      <c r="E104" s="33"/>
      <c r="F104" s="33"/>
    </row>
    <row r="105" ht="15.75" customHeight="1">
      <c r="C105" s="33"/>
      <c r="D105" s="33"/>
      <c r="E105" s="33"/>
      <c r="F105" s="33"/>
    </row>
    <row r="106" ht="15.75" customHeight="1">
      <c r="C106" s="33"/>
      <c r="D106" s="33"/>
      <c r="E106" s="33"/>
      <c r="F106" s="33"/>
    </row>
    <row r="107" ht="15.75" customHeight="1">
      <c r="C107" s="33"/>
      <c r="D107" s="33"/>
      <c r="E107" s="33"/>
      <c r="F107" s="33"/>
    </row>
    <row r="108" ht="15.75" customHeight="1">
      <c r="C108" s="33"/>
      <c r="D108" s="33"/>
      <c r="E108" s="33"/>
      <c r="F108" s="33"/>
    </row>
    <row r="109" ht="15.75" customHeight="1">
      <c r="C109" s="33"/>
      <c r="D109" s="33"/>
      <c r="E109" s="33"/>
      <c r="F109" s="33"/>
    </row>
    <row r="110" ht="15.75" customHeight="1">
      <c r="C110" s="33"/>
      <c r="D110" s="33"/>
      <c r="E110" s="33"/>
      <c r="F110" s="33"/>
    </row>
    <row r="111" ht="15.75" customHeight="1">
      <c r="C111" s="33"/>
      <c r="D111" s="33"/>
      <c r="E111" s="33"/>
      <c r="F111" s="33"/>
    </row>
    <row r="112" ht="15.75" customHeight="1">
      <c r="C112" s="33"/>
      <c r="D112" s="33"/>
      <c r="E112" s="33"/>
      <c r="F112" s="33"/>
    </row>
    <row r="113" ht="15.75" customHeight="1">
      <c r="C113" s="33"/>
      <c r="D113" s="33"/>
      <c r="E113" s="33"/>
      <c r="F113" s="33"/>
    </row>
    <row r="114" ht="15.75" customHeight="1">
      <c r="C114" s="33"/>
      <c r="D114" s="33"/>
      <c r="E114" s="33"/>
      <c r="F114" s="33"/>
    </row>
    <row r="115" ht="15.75" customHeight="1">
      <c r="C115" s="33"/>
      <c r="D115" s="33"/>
      <c r="E115" s="33"/>
      <c r="F115" s="33"/>
    </row>
    <row r="116" ht="15.75" customHeight="1">
      <c r="C116" s="33"/>
      <c r="D116" s="33"/>
      <c r="E116" s="33"/>
      <c r="F116" s="33"/>
    </row>
    <row r="117" ht="15.75" customHeight="1">
      <c r="C117" s="33"/>
      <c r="D117" s="33"/>
      <c r="E117" s="33"/>
      <c r="F117" s="33"/>
    </row>
    <row r="118" ht="15.75" customHeight="1">
      <c r="C118" s="33"/>
      <c r="D118" s="33"/>
      <c r="E118" s="33"/>
      <c r="F118" s="33"/>
    </row>
    <row r="119" ht="15.75" customHeight="1">
      <c r="C119" s="33"/>
      <c r="D119" s="33"/>
      <c r="E119" s="33"/>
      <c r="F119" s="33"/>
    </row>
    <row r="120" ht="15.75" customHeight="1">
      <c r="C120" s="33"/>
      <c r="D120" s="33"/>
      <c r="E120" s="33"/>
      <c r="F120" s="33"/>
    </row>
    <row r="121" ht="15.75" customHeight="1">
      <c r="C121" s="33"/>
      <c r="D121" s="33"/>
      <c r="E121" s="33"/>
      <c r="F121" s="33"/>
    </row>
    <row r="122" ht="15.75" customHeight="1">
      <c r="C122" s="33"/>
      <c r="D122" s="33"/>
      <c r="E122" s="33"/>
      <c r="F122" s="33"/>
    </row>
    <row r="123" ht="15.75" customHeight="1">
      <c r="C123" s="33"/>
      <c r="D123" s="33"/>
      <c r="E123" s="33"/>
      <c r="F123" s="33"/>
    </row>
    <row r="124" ht="15.75" customHeight="1">
      <c r="C124" s="33"/>
      <c r="D124" s="33"/>
      <c r="E124" s="33"/>
      <c r="F124" s="33"/>
    </row>
    <row r="125" ht="15.75" customHeight="1">
      <c r="C125" s="33"/>
      <c r="D125" s="33"/>
      <c r="E125" s="33"/>
      <c r="F125" s="33"/>
    </row>
    <row r="126" ht="15.75" customHeight="1">
      <c r="C126" s="33"/>
      <c r="D126" s="33"/>
      <c r="E126" s="33"/>
      <c r="F126" s="33"/>
    </row>
    <row r="127" ht="15.75" customHeight="1">
      <c r="C127" s="33"/>
      <c r="D127" s="33"/>
      <c r="E127" s="33"/>
      <c r="F127" s="33"/>
    </row>
    <row r="128" ht="15.75" customHeight="1">
      <c r="C128" s="33"/>
      <c r="D128" s="33"/>
      <c r="E128" s="33"/>
      <c r="F128" s="33"/>
    </row>
    <row r="129" ht="15.75" customHeight="1">
      <c r="C129" s="33"/>
      <c r="D129" s="33"/>
      <c r="E129" s="33"/>
      <c r="F129" s="33"/>
    </row>
    <row r="130" ht="15.75" customHeight="1">
      <c r="C130" s="33"/>
      <c r="D130" s="33"/>
      <c r="E130" s="33"/>
      <c r="F130" s="33"/>
    </row>
    <row r="131" ht="15.75" customHeight="1">
      <c r="C131" s="33"/>
      <c r="D131" s="33"/>
      <c r="E131" s="33"/>
      <c r="F131" s="33"/>
    </row>
    <row r="132" ht="15.75" customHeight="1">
      <c r="C132" s="33"/>
      <c r="D132" s="33"/>
      <c r="E132" s="33"/>
      <c r="F132" s="33"/>
    </row>
    <row r="133" ht="15.75" customHeight="1">
      <c r="C133" s="33"/>
      <c r="D133" s="33"/>
      <c r="E133" s="33"/>
      <c r="F133" s="33"/>
    </row>
    <row r="134" ht="15.75" customHeight="1">
      <c r="C134" s="33"/>
      <c r="D134" s="33"/>
      <c r="E134" s="33"/>
      <c r="F134" s="33"/>
    </row>
    <row r="135" ht="15.75" customHeight="1">
      <c r="C135" s="33"/>
      <c r="D135" s="33"/>
      <c r="E135" s="33"/>
      <c r="F135" s="33"/>
    </row>
    <row r="136" ht="15.75" customHeight="1">
      <c r="C136" s="33"/>
      <c r="D136" s="33"/>
      <c r="E136" s="33"/>
      <c r="F136" s="33"/>
    </row>
    <row r="137" ht="15.75" customHeight="1">
      <c r="C137" s="33"/>
      <c r="D137" s="33"/>
      <c r="E137" s="33"/>
      <c r="F137" s="33"/>
    </row>
    <row r="138" ht="15.75" customHeight="1">
      <c r="C138" s="33"/>
      <c r="D138" s="33"/>
      <c r="E138" s="33"/>
      <c r="F138" s="33"/>
    </row>
    <row r="139" ht="15.75" customHeight="1">
      <c r="C139" s="33"/>
      <c r="D139" s="33"/>
      <c r="E139" s="33"/>
      <c r="F139" s="33"/>
    </row>
    <row r="140" ht="15.75" customHeight="1">
      <c r="C140" s="33"/>
      <c r="D140" s="33"/>
      <c r="E140" s="33"/>
      <c r="F140" s="33"/>
    </row>
    <row r="141" ht="15.75" customHeight="1">
      <c r="C141" s="33"/>
      <c r="D141" s="33"/>
      <c r="E141" s="33"/>
      <c r="F141" s="33"/>
    </row>
    <row r="142" ht="15.75" customHeight="1">
      <c r="C142" s="33"/>
      <c r="D142" s="33"/>
      <c r="E142" s="33"/>
      <c r="F142" s="33"/>
    </row>
    <row r="143" ht="15.75" customHeight="1">
      <c r="C143" s="33"/>
      <c r="D143" s="33"/>
      <c r="E143" s="33"/>
      <c r="F143" s="33"/>
    </row>
    <row r="144" ht="15.75" customHeight="1">
      <c r="C144" s="33"/>
      <c r="D144" s="33"/>
      <c r="E144" s="33"/>
      <c r="F144" s="33"/>
    </row>
    <row r="145" ht="15.75" customHeight="1">
      <c r="C145" s="33"/>
      <c r="D145" s="33"/>
      <c r="E145" s="33"/>
      <c r="F145" s="33"/>
    </row>
    <row r="146" ht="15.75" customHeight="1">
      <c r="C146" s="33"/>
      <c r="D146" s="33"/>
      <c r="E146" s="33"/>
      <c r="F146" s="33"/>
    </row>
    <row r="147" ht="15.75" customHeight="1">
      <c r="C147" s="33"/>
      <c r="D147" s="33"/>
      <c r="E147" s="33"/>
      <c r="F147" s="33"/>
    </row>
    <row r="148" ht="15.75" customHeight="1">
      <c r="C148" s="33"/>
      <c r="D148" s="33"/>
      <c r="E148" s="33"/>
      <c r="F148" s="33"/>
    </row>
    <row r="149" ht="15.75" customHeight="1">
      <c r="C149" s="33"/>
      <c r="D149" s="33"/>
      <c r="E149" s="33"/>
      <c r="F149" s="33"/>
    </row>
    <row r="150" ht="15.75" customHeight="1">
      <c r="C150" s="33"/>
      <c r="D150" s="33"/>
      <c r="E150" s="33"/>
      <c r="F150" s="33"/>
    </row>
    <row r="151" ht="15.75" customHeight="1">
      <c r="C151" s="33"/>
      <c r="D151" s="33"/>
      <c r="E151" s="33"/>
      <c r="F151" s="33"/>
    </row>
    <row r="152" ht="15.75" customHeight="1">
      <c r="C152" s="33"/>
      <c r="D152" s="33"/>
      <c r="E152" s="33"/>
      <c r="F152" s="33"/>
    </row>
    <row r="153" ht="15.75" customHeight="1">
      <c r="C153" s="33"/>
      <c r="D153" s="33"/>
      <c r="E153" s="33"/>
      <c r="F153" s="33"/>
    </row>
    <row r="154" ht="15.75" customHeight="1">
      <c r="C154" s="33"/>
      <c r="D154" s="33"/>
      <c r="E154" s="33"/>
      <c r="F154" s="33"/>
    </row>
    <row r="155" ht="15.75" customHeight="1">
      <c r="C155" s="33"/>
      <c r="D155" s="33"/>
      <c r="E155" s="33"/>
      <c r="F155" s="33"/>
    </row>
    <row r="156" ht="15.75" customHeight="1">
      <c r="C156" s="33"/>
      <c r="D156" s="33"/>
      <c r="E156" s="33"/>
      <c r="F156" s="33"/>
    </row>
    <row r="157" ht="15.75" customHeight="1">
      <c r="C157" s="33"/>
      <c r="D157" s="33"/>
      <c r="E157" s="33"/>
      <c r="F157" s="33"/>
    </row>
    <row r="158" ht="15.75" customHeight="1">
      <c r="C158" s="33"/>
      <c r="D158" s="33"/>
      <c r="E158" s="33"/>
      <c r="F158" s="33"/>
    </row>
    <row r="159" ht="15.75" customHeight="1">
      <c r="C159" s="33"/>
      <c r="D159" s="33"/>
      <c r="E159" s="33"/>
      <c r="F159" s="33"/>
    </row>
    <row r="160" ht="15.75" customHeight="1">
      <c r="C160" s="33"/>
      <c r="D160" s="33"/>
      <c r="E160" s="33"/>
      <c r="F160" s="33"/>
    </row>
    <row r="161" ht="15.75" customHeight="1">
      <c r="C161" s="33"/>
      <c r="D161" s="33"/>
      <c r="E161" s="33"/>
      <c r="F161" s="33"/>
    </row>
    <row r="162" ht="15.75" customHeight="1">
      <c r="C162" s="33"/>
      <c r="D162" s="33"/>
      <c r="E162" s="33"/>
      <c r="F162" s="33"/>
    </row>
    <row r="163" ht="15.75" customHeight="1">
      <c r="C163" s="33"/>
      <c r="D163" s="33"/>
      <c r="E163" s="33"/>
      <c r="F163" s="33"/>
    </row>
    <row r="164" ht="15.75" customHeight="1">
      <c r="C164" s="33"/>
      <c r="D164" s="33"/>
      <c r="E164" s="33"/>
      <c r="F164" s="33"/>
    </row>
    <row r="165" ht="15.75" customHeight="1">
      <c r="C165" s="33"/>
      <c r="D165" s="33"/>
      <c r="E165" s="33"/>
      <c r="F165" s="33"/>
    </row>
    <row r="166" ht="15.75" customHeight="1">
      <c r="C166" s="33"/>
      <c r="D166" s="33"/>
      <c r="E166" s="33"/>
      <c r="F166" s="33"/>
    </row>
    <row r="167" ht="15.75" customHeight="1">
      <c r="C167" s="33"/>
      <c r="D167" s="33"/>
      <c r="E167" s="33"/>
      <c r="F167" s="33"/>
    </row>
    <row r="168" ht="15.75" customHeight="1">
      <c r="C168" s="33"/>
      <c r="D168" s="33"/>
      <c r="E168" s="33"/>
      <c r="F168" s="33"/>
    </row>
    <row r="169" ht="15.75" customHeight="1">
      <c r="C169" s="33"/>
      <c r="D169" s="33"/>
      <c r="E169" s="33"/>
      <c r="F169" s="33"/>
    </row>
    <row r="170" ht="15.75" customHeight="1">
      <c r="C170" s="33"/>
      <c r="D170" s="33"/>
      <c r="E170" s="33"/>
      <c r="F170" s="33"/>
    </row>
    <row r="171" ht="15.75" customHeight="1">
      <c r="C171" s="33"/>
      <c r="D171" s="33"/>
      <c r="E171" s="33"/>
      <c r="F171" s="33"/>
    </row>
    <row r="172" ht="15.75" customHeight="1">
      <c r="C172" s="33"/>
      <c r="D172" s="33"/>
      <c r="E172" s="33"/>
      <c r="F172" s="33"/>
    </row>
    <row r="173" ht="15.75" customHeight="1">
      <c r="C173" s="33"/>
      <c r="D173" s="33"/>
      <c r="E173" s="33"/>
      <c r="F173" s="33"/>
    </row>
    <row r="174" ht="15.75" customHeight="1">
      <c r="C174" s="33"/>
      <c r="D174" s="33"/>
      <c r="E174" s="33"/>
      <c r="F174" s="33"/>
    </row>
    <row r="175" ht="15.75" customHeight="1">
      <c r="C175" s="33"/>
      <c r="D175" s="33"/>
      <c r="E175" s="33"/>
      <c r="F175" s="33"/>
    </row>
    <row r="176" ht="15.75" customHeight="1">
      <c r="C176" s="33"/>
      <c r="D176" s="33"/>
      <c r="E176" s="33"/>
      <c r="F176" s="33"/>
    </row>
    <row r="177" ht="15.75" customHeight="1">
      <c r="C177" s="33"/>
      <c r="D177" s="33"/>
      <c r="E177" s="33"/>
      <c r="F177" s="33"/>
    </row>
    <row r="178" ht="15.75" customHeight="1">
      <c r="C178" s="33"/>
      <c r="D178" s="33"/>
      <c r="E178" s="33"/>
      <c r="F178" s="33"/>
    </row>
    <row r="179" ht="15.75" customHeight="1">
      <c r="C179" s="33"/>
      <c r="D179" s="33"/>
      <c r="E179" s="33"/>
      <c r="F179" s="33"/>
    </row>
    <row r="180" ht="15.75" customHeight="1">
      <c r="C180" s="33"/>
      <c r="D180" s="33"/>
      <c r="E180" s="33"/>
      <c r="F180" s="33"/>
    </row>
    <row r="181" ht="15.75" customHeight="1">
      <c r="C181" s="33"/>
      <c r="D181" s="33"/>
      <c r="E181" s="33"/>
      <c r="F181" s="33"/>
    </row>
    <row r="182" ht="15.75" customHeight="1">
      <c r="C182" s="33"/>
      <c r="D182" s="33"/>
      <c r="E182" s="33"/>
      <c r="F182" s="33"/>
    </row>
    <row r="183" ht="15.75" customHeight="1">
      <c r="C183" s="33"/>
      <c r="D183" s="33"/>
      <c r="E183" s="33"/>
      <c r="F183" s="33"/>
    </row>
    <row r="184" ht="15.75" customHeight="1">
      <c r="C184" s="33"/>
      <c r="D184" s="33"/>
      <c r="E184" s="33"/>
      <c r="F184" s="33"/>
    </row>
    <row r="185" ht="15.75" customHeight="1">
      <c r="C185" s="33"/>
      <c r="D185" s="33"/>
      <c r="E185" s="33"/>
      <c r="F185" s="33"/>
    </row>
    <row r="186" ht="15.75" customHeight="1">
      <c r="C186" s="33"/>
      <c r="D186" s="33"/>
      <c r="E186" s="33"/>
      <c r="F186" s="33"/>
    </row>
    <row r="187" ht="15.75" customHeight="1">
      <c r="C187" s="33"/>
      <c r="D187" s="33"/>
      <c r="E187" s="33"/>
      <c r="F187" s="33"/>
    </row>
    <row r="188" ht="15.75" customHeight="1">
      <c r="C188" s="33"/>
      <c r="D188" s="33"/>
      <c r="E188" s="33"/>
      <c r="F188" s="33"/>
    </row>
    <row r="189" ht="15.75" customHeight="1">
      <c r="C189" s="33"/>
      <c r="D189" s="33"/>
      <c r="E189" s="33"/>
      <c r="F189" s="33"/>
    </row>
    <row r="190" ht="15.75" customHeight="1">
      <c r="C190" s="33"/>
      <c r="D190" s="33"/>
      <c r="E190" s="33"/>
      <c r="F190" s="33"/>
    </row>
    <row r="191" ht="15.75" customHeight="1">
      <c r="C191" s="33"/>
      <c r="D191" s="33"/>
      <c r="E191" s="33"/>
      <c r="F191" s="33"/>
    </row>
    <row r="192" ht="15.75" customHeight="1">
      <c r="C192" s="33"/>
      <c r="D192" s="33"/>
      <c r="E192" s="33"/>
      <c r="F192" s="33"/>
    </row>
    <row r="193" ht="15.75" customHeight="1">
      <c r="C193" s="33"/>
      <c r="D193" s="33"/>
      <c r="E193" s="33"/>
      <c r="F193" s="33"/>
    </row>
    <row r="194" ht="15.75" customHeight="1">
      <c r="C194" s="33"/>
      <c r="D194" s="33"/>
      <c r="E194" s="33"/>
      <c r="F194" s="33"/>
    </row>
    <row r="195" ht="15.75" customHeight="1">
      <c r="C195" s="33"/>
      <c r="D195" s="33"/>
      <c r="E195" s="33"/>
      <c r="F195" s="33"/>
    </row>
    <row r="196" ht="15.75" customHeight="1">
      <c r="C196" s="33"/>
      <c r="D196" s="33"/>
      <c r="E196" s="33"/>
      <c r="F196" s="33"/>
    </row>
    <row r="197" ht="15.75" customHeight="1">
      <c r="C197" s="33"/>
      <c r="D197" s="33"/>
      <c r="E197" s="33"/>
      <c r="F197" s="33"/>
    </row>
    <row r="198" ht="15.75" customHeight="1">
      <c r="C198" s="33"/>
      <c r="D198" s="33"/>
      <c r="E198" s="33"/>
      <c r="F198" s="33"/>
    </row>
    <row r="199" ht="15.75" customHeight="1">
      <c r="C199" s="33"/>
      <c r="D199" s="33"/>
      <c r="E199" s="33"/>
      <c r="F199" s="33"/>
    </row>
    <row r="200" ht="15.75" customHeight="1">
      <c r="C200" s="33"/>
      <c r="D200" s="33"/>
      <c r="E200" s="33"/>
      <c r="F200" s="33"/>
    </row>
    <row r="201" ht="15.75" customHeight="1">
      <c r="C201" s="33"/>
      <c r="D201" s="33"/>
      <c r="E201" s="33"/>
      <c r="F201" s="33"/>
    </row>
    <row r="202" ht="15.75" customHeight="1">
      <c r="C202" s="33"/>
      <c r="D202" s="33"/>
      <c r="E202" s="33"/>
      <c r="F202" s="33"/>
    </row>
    <row r="203" ht="15.75" customHeight="1">
      <c r="C203" s="33"/>
      <c r="D203" s="33"/>
      <c r="E203" s="33"/>
      <c r="F203" s="33"/>
    </row>
    <row r="204" ht="15.75" customHeight="1">
      <c r="C204" s="33"/>
      <c r="D204" s="33"/>
      <c r="E204" s="33"/>
      <c r="F204" s="33"/>
    </row>
    <row r="205" ht="15.75" customHeight="1">
      <c r="C205" s="33"/>
      <c r="D205" s="33"/>
      <c r="E205" s="33"/>
      <c r="F205" s="33"/>
    </row>
    <row r="206" ht="15.75" customHeight="1">
      <c r="C206" s="33"/>
      <c r="D206" s="33"/>
      <c r="E206" s="33"/>
      <c r="F206" s="33"/>
    </row>
    <row r="207" ht="15.75" customHeight="1">
      <c r="C207" s="33"/>
      <c r="D207" s="33"/>
      <c r="E207" s="33"/>
      <c r="F207" s="33"/>
    </row>
    <row r="208" ht="15.75" customHeight="1">
      <c r="C208" s="33"/>
      <c r="D208" s="33"/>
      <c r="E208" s="33"/>
      <c r="F208" s="33"/>
    </row>
    <row r="209" ht="15.75" customHeight="1">
      <c r="C209" s="33"/>
      <c r="D209" s="33"/>
      <c r="E209" s="33"/>
      <c r="F209" s="33"/>
    </row>
    <row r="210" ht="15.75" customHeight="1">
      <c r="C210" s="33"/>
      <c r="D210" s="33"/>
      <c r="E210" s="33"/>
      <c r="F210" s="33"/>
    </row>
    <row r="211" ht="15.75" customHeight="1">
      <c r="C211" s="33"/>
      <c r="D211" s="33"/>
      <c r="E211" s="33"/>
      <c r="F211" s="33"/>
    </row>
    <row r="212" ht="15.75" customHeight="1">
      <c r="C212" s="33"/>
      <c r="D212" s="33"/>
      <c r="E212" s="33"/>
      <c r="F212" s="33"/>
    </row>
    <row r="213" ht="15.75" customHeight="1">
      <c r="C213" s="33"/>
      <c r="D213" s="33"/>
      <c r="E213" s="33"/>
      <c r="F213" s="33"/>
    </row>
    <row r="214" ht="15.75" customHeight="1">
      <c r="C214" s="33"/>
      <c r="D214" s="33"/>
      <c r="E214" s="33"/>
      <c r="F214" s="33"/>
    </row>
    <row r="215" ht="15.75" customHeight="1">
      <c r="C215" s="33"/>
      <c r="D215" s="33"/>
      <c r="E215" s="33"/>
      <c r="F215" s="33"/>
    </row>
    <row r="216" ht="15.75" customHeight="1">
      <c r="C216" s="33"/>
      <c r="D216" s="33"/>
      <c r="E216" s="33"/>
      <c r="F216" s="33"/>
    </row>
    <row r="217" ht="15.75" customHeight="1">
      <c r="C217" s="33"/>
      <c r="D217" s="33"/>
      <c r="E217" s="33"/>
      <c r="F217" s="33"/>
    </row>
    <row r="218" ht="15.75" customHeight="1">
      <c r="C218" s="33"/>
      <c r="D218" s="33"/>
      <c r="E218" s="33"/>
      <c r="F218" s="33"/>
    </row>
    <row r="219" ht="15.75" customHeight="1">
      <c r="C219" s="33"/>
      <c r="D219" s="33"/>
      <c r="E219" s="33"/>
      <c r="F219" s="33"/>
    </row>
    <row r="220" ht="15.75" customHeight="1">
      <c r="C220" s="33"/>
      <c r="D220" s="33"/>
      <c r="E220" s="33"/>
      <c r="F220" s="33"/>
    </row>
    <row r="221" ht="15.75" customHeight="1">
      <c r="C221" s="33"/>
      <c r="D221" s="33"/>
      <c r="E221" s="33"/>
      <c r="F221" s="33"/>
    </row>
    <row r="222" ht="15.75" customHeight="1">
      <c r="C222" s="33"/>
      <c r="D222" s="33"/>
      <c r="E222" s="33"/>
      <c r="F222" s="33"/>
    </row>
    <row r="223" ht="15.75" customHeight="1">
      <c r="C223" s="33"/>
      <c r="D223" s="33"/>
      <c r="E223" s="33"/>
      <c r="F223" s="33"/>
    </row>
    <row r="224" ht="15.75" customHeight="1">
      <c r="C224" s="33"/>
      <c r="D224" s="33"/>
      <c r="E224" s="33"/>
      <c r="F224" s="33"/>
    </row>
    <row r="225" ht="15.75" customHeight="1">
      <c r="C225" s="33"/>
      <c r="D225" s="33"/>
      <c r="E225" s="33"/>
      <c r="F225" s="33"/>
    </row>
    <row r="226" ht="15.75" customHeight="1">
      <c r="C226" s="33"/>
      <c r="D226" s="33"/>
      <c r="E226" s="33"/>
      <c r="F226" s="33"/>
    </row>
    <row r="227" ht="15.75" customHeight="1">
      <c r="C227" s="33"/>
      <c r="D227" s="33"/>
      <c r="E227" s="33"/>
      <c r="F227" s="33"/>
    </row>
    <row r="228" ht="15.75" customHeight="1">
      <c r="C228" s="33"/>
      <c r="D228" s="33"/>
      <c r="E228" s="33"/>
      <c r="F228" s="33"/>
    </row>
    <row r="229" ht="15.75" customHeight="1">
      <c r="C229" s="33"/>
      <c r="D229" s="33"/>
      <c r="E229" s="33"/>
      <c r="F229" s="33"/>
    </row>
    <row r="230" ht="15.75" customHeight="1">
      <c r="C230" s="33"/>
      <c r="D230" s="33"/>
      <c r="E230" s="33"/>
      <c r="F230" s="33"/>
    </row>
    <row r="231" ht="15.75" customHeight="1">
      <c r="C231" s="33"/>
      <c r="D231" s="33"/>
      <c r="E231" s="33"/>
      <c r="F231" s="33"/>
    </row>
    <row r="232" ht="15.75" customHeight="1">
      <c r="C232" s="33"/>
      <c r="D232" s="33"/>
      <c r="E232" s="33"/>
      <c r="F232" s="33"/>
    </row>
    <row r="233" ht="15.75" customHeight="1">
      <c r="C233" s="33"/>
      <c r="D233" s="33"/>
      <c r="E233" s="33"/>
      <c r="F233" s="33"/>
    </row>
    <row r="234" ht="15.75" customHeight="1">
      <c r="C234" s="33"/>
      <c r="D234" s="33"/>
      <c r="E234" s="33"/>
      <c r="F234" s="33"/>
    </row>
    <row r="235" ht="15.75" customHeight="1">
      <c r="C235" s="33"/>
      <c r="D235" s="33"/>
      <c r="E235" s="33"/>
      <c r="F235" s="33"/>
    </row>
    <row r="236" ht="15.75" customHeight="1">
      <c r="C236" s="33"/>
      <c r="D236" s="33"/>
      <c r="E236" s="33"/>
      <c r="F236" s="33"/>
    </row>
    <row r="237" ht="15.75" customHeight="1">
      <c r="C237" s="33"/>
      <c r="D237" s="33"/>
      <c r="E237" s="33"/>
      <c r="F237" s="33"/>
    </row>
    <row r="238" ht="15.75" customHeight="1">
      <c r="C238" s="33"/>
      <c r="D238" s="33"/>
      <c r="E238" s="33"/>
      <c r="F238" s="33"/>
    </row>
    <row r="239" ht="15.75" customHeight="1">
      <c r="C239" s="33"/>
      <c r="D239" s="33"/>
      <c r="E239" s="33"/>
      <c r="F239" s="33"/>
    </row>
    <row r="240" ht="15.75" customHeight="1">
      <c r="C240" s="33"/>
      <c r="D240" s="33"/>
      <c r="E240" s="33"/>
      <c r="F240" s="33"/>
    </row>
    <row r="241" ht="15.75" customHeight="1">
      <c r="C241" s="33"/>
      <c r="D241" s="33"/>
      <c r="E241" s="33"/>
      <c r="F241" s="33"/>
    </row>
    <row r="242" ht="15.75" customHeight="1">
      <c r="C242" s="33"/>
      <c r="D242" s="33"/>
      <c r="E242" s="33"/>
      <c r="F242" s="33"/>
    </row>
    <row r="243" ht="15.75" customHeight="1">
      <c r="C243" s="33"/>
      <c r="D243" s="33"/>
      <c r="E243" s="33"/>
      <c r="F243" s="33"/>
    </row>
    <row r="244" ht="15.75" customHeight="1">
      <c r="C244" s="33"/>
      <c r="D244" s="33"/>
      <c r="E244" s="33"/>
      <c r="F244" s="33"/>
    </row>
    <row r="245" ht="15.75" customHeight="1">
      <c r="C245" s="33"/>
      <c r="D245" s="33"/>
      <c r="E245" s="33"/>
      <c r="F245" s="33"/>
    </row>
    <row r="246" ht="15.75" customHeight="1">
      <c r="C246" s="33"/>
      <c r="D246" s="33"/>
      <c r="E246" s="33"/>
      <c r="F246" s="33"/>
    </row>
    <row r="247" ht="15.75" customHeight="1">
      <c r="C247" s="33"/>
      <c r="D247" s="33"/>
      <c r="E247" s="33"/>
      <c r="F247" s="33"/>
    </row>
    <row r="248" ht="15.75" customHeight="1">
      <c r="C248" s="33"/>
      <c r="D248" s="33"/>
      <c r="E248" s="33"/>
      <c r="F248" s="33"/>
    </row>
    <row r="249" ht="15.75" customHeight="1">
      <c r="C249" s="33"/>
      <c r="D249" s="33"/>
      <c r="E249" s="33"/>
      <c r="F249" s="33"/>
    </row>
    <row r="250" ht="15.75" customHeight="1">
      <c r="C250" s="33"/>
      <c r="D250" s="33"/>
      <c r="E250" s="33"/>
      <c r="F250" s="33"/>
    </row>
    <row r="251" ht="15.75" customHeight="1">
      <c r="C251" s="33"/>
      <c r="D251" s="33"/>
      <c r="E251" s="33"/>
      <c r="F251" s="33"/>
    </row>
    <row r="252" ht="15.75" customHeight="1">
      <c r="C252" s="33"/>
      <c r="D252" s="33"/>
      <c r="E252" s="33"/>
      <c r="F252" s="33"/>
    </row>
    <row r="253" ht="15.75" customHeight="1">
      <c r="C253" s="33"/>
      <c r="D253" s="33"/>
      <c r="E253" s="33"/>
      <c r="F253" s="33"/>
    </row>
    <row r="254" ht="15.75" customHeight="1">
      <c r="C254" s="33"/>
      <c r="D254" s="33"/>
      <c r="E254" s="33"/>
      <c r="F254" s="33"/>
    </row>
    <row r="255" ht="15.75" customHeight="1">
      <c r="C255" s="33"/>
      <c r="D255" s="33"/>
      <c r="E255" s="33"/>
      <c r="F255" s="33"/>
    </row>
    <row r="256" ht="15.75" customHeight="1">
      <c r="C256" s="33"/>
      <c r="D256" s="33"/>
      <c r="E256" s="33"/>
      <c r="F256" s="33"/>
    </row>
    <row r="257" ht="15.75" customHeight="1">
      <c r="C257" s="33"/>
      <c r="D257" s="33"/>
      <c r="E257" s="33"/>
      <c r="F257" s="33"/>
    </row>
    <row r="258" ht="15.75" customHeight="1">
      <c r="C258" s="33"/>
      <c r="D258" s="33"/>
      <c r="E258" s="33"/>
      <c r="F258" s="33"/>
    </row>
    <row r="259" ht="15.75" customHeight="1">
      <c r="C259" s="33"/>
      <c r="D259" s="33"/>
      <c r="E259" s="33"/>
      <c r="F259" s="33"/>
    </row>
    <row r="260" ht="15.75" customHeight="1">
      <c r="C260" s="33"/>
      <c r="D260" s="33"/>
      <c r="E260" s="33"/>
      <c r="F260" s="33"/>
    </row>
    <row r="261" ht="15.75" customHeight="1">
      <c r="C261" s="33"/>
      <c r="D261" s="33"/>
      <c r="E261" s="33"/>
      <c r="F261" s="33"/>
    </row>
    <row r="262" ht="15.75" customHeight="1">
      <c r="C262" s="33"/>
      <c r="D262" s="33"/>
      <c r="E262" s="33"/>
      <c r="F262" s="33"/>
    </row>
    <row r="263" ht="15.75" customHeight="1">
      <c r="C263" s="33"/>
      <c r="D263" s="33"/>
      <c r="E263" s="33"/>
      <c r="F263" s="33"/>
    </row>
    <row r="264" ht="15.75" customHeight="1">
      <c r="C264" s="33"/>
      <c r="D264" s="33"/>
      <c r="E264" s="33"/>
      <c r="F264" s="33"/>
    </row>
    <row r="265" ht="15.75" customHeight="1">
      <c r="C265" s="33"/>
      <c r="D265" s="33"/>
      <c r="E265" s="33"/>
      <c r="F265" s="33"/>
    </row>
    <row r="266" ht="15.75" customHeight="1">
      <c r="C266" s="33"/>
      <c r="D266" s="33"/>
      <c r="E266" s="33"/>
      <c r="F266" s="33"/>
    </row>
    <row r="267" ht="15.75" customHeight="1">
      <c r="C267" s="33"/>
      <c r="D267" s="33"/>
      <c r="E267" s="33"/>
      <c r="F267" s="33"/>
    </row>
    <row r="268" ht="15.75" customHeight="1">
      <c r="C268" s="33"/>
      <c r="D268" s="33"/>
      <c r="E268" s="33"/>
      <c r="F268" s="33"/>
    </row>
    <row r="269" ht="15.75" customHeight="1">
      <c r="C269" s="33"/>
      <c r="D269" s="33"/>
      <c r="E269" s="33"/>
      <c r="F269" s="33"/>
    </row>
    <row r="270" ht="15.75" customHeight="1">
      <c r="C270" s="33"/>
      <c r="D270" s="33"/>
      <c r="E270" s="33"/>
      <c r="F270" s="33"/>
    </row>
    <row r="271" ht="15.75" customHeight="1">
      <c r="C271" s="33"/>
      <c r="D271" s="33"/>
      <c r="E271" s="33"/>
      <c r="F271" s="33"/>
    </row>
    <row r="272" ht="15.75" customHeight="1">
      <c r="C272" s="33"/>
      <c r="D272" s="33"/>
      <c r="E272" s="33"/>
      <c r="F272" s="33"/>
    </row>
    <row r="273" ht="15.75" customHeight="1">
      <c r="C273" s="33"/>
      <c r="D273" s="33"/>
      <c r="E273" s="33"/>
      <c r="F273" s="33"/>
    </row>
    <row r="274" ht="15.75" customHeight="1">
      <c r="C274" s="33"/>
      <c r="D274" s="33"/>
      <c r="E274" s="33"/>
      <c r="F274" s="33"/>
    </row>
    <row r="275" ht="15.75" customHeight="1">
      <c r="C275" s="33"/>
      <c r="D275" s="33"/>
      <c r="E275" s="33"/>
      <c r="F275" s="33"/>
    </row>
    <row r="276" ht="15.75" customHeight="1">
      <c r="C276" s="33"/>
      <c r="D276" s="33"/>
      <c r="E276" s="33"/>
      <c r="F276" s="33"/>
    </row>
    <row r="277" ht="15.75" customHeight="1">
      <c r="C277" s="33"/>
      <c r="D277" s="33"/>
      <c r="E277" s="33"/>
      <c r="F277" s="33"/>
    </row>
    <row r="278" ht="15.75" customHeight="1">
      <c r="C278" s="33"/>
      <c r="D278" s="33"/>
      <c r="E278" s="33"/>
      <c r="F278" s="33"/>
    </row>
    <row r="279" ht="15.75" customHeight="1">
      <c r="C279" s="33"/>
      <c r="D279" s="33"/>
      <c r="E279" s="33"/>
      <c r="F279" s="33"/>
    </row>
    <row r="280" ht="15.75" customHeight="1">
      <c r="C280" s="33"/>
      <c r="D280" s="33"/>
      <c r="E280" s="33"/>
      <c r="F280" s="33"/>
    </row>
    <row r="281" ht="15.75" customHeight="1">
      <c r="C281" s="33"/>
      <c r="D281" s="33"/>
      <c r="E281" s="33"/>
      <c r="F281" s="33"/>
    </row>
    <row r="282" ht="15.75" customHeight="1">
      <c r="C282" s="33"/>
      <c r="D282" s="33"/>
      <c r="E282" s="33"/>
      <c r="F282" s="33"/>
    </row>
    <row r="283" ht="15.75" customHeight="1">
      <c r="C283" s="33"/>
      <c r="D283" s="33"/>
      <c r="E283" s="33"/>
      <c r="F283" s="33"/>
    </row>
    <row r="284" ht="15.75" customHeight="1">
      <c r="C284" s="33"/>
      <c r="D284" s="33"/>
      <c r="E284" s="33"/>
      <c r="F284" s="33"/>
    </row>
    <row r="285" ht="15.75" customHeight="1">
      <c r="C285" s="33"/>
      <c r="D285" s="33"/>
      <c r="E285" s="33"/>
      <c r="F285" s="33"/>
    </row>
    <row r="286" ht="15.75" customHeight="1">
      <c r="C286" s="33"/>
      <c r="D286" s="33"/>
      <c r="E286" s="33"/>
      <c r="F286" s="33"/>
    </row>
    <row r="287" ht="15.75" customHeight="1">
      <c r="C287" s="33"/>
      <c r="D287" s="33"/>
      <c r="E287" s="33"/>
      <c r="F287" s="33"/>
    </row>
    <row r="288" ht="15.75" customHeight="1">
      <c r="C288" s="33"/>
      <c r="D288" s="33"/>
      <c r="E288" s="33"/>
      <c r="F288" s="33"/>
    </row>
    <row r="289" ht="15.75" customHeight="1">
      <c r="C289" s="33"/>
      <c r="D289" s="33"/>
      <c r="E289" s="33"/>
      <c r="F289" s="33"/>
    </row>
    <row r="290" ht="15.75" customHeight="1">
      <c r="C290" s="33"/>
      <c r="D290" s="33"/>
      <c r="E290" s="33"/>
      <c r="F290" s="33"/>
    </row>
    <row r="291" ht="15.75" customHeight="1">
      <c r="C291" s="33"/>
      <c r="D291" s="33"/>
      <c r="E291" s="33"/>
      <c r="F291" s="33"/>
    </row>
    <row r="292" ht="15.75" customHeight="1">
      <c r="C292" s="33"/>
      <c r="D292" s="33"/>
      <c r="E292" s="33"/>
      <c r="F292" s="33"/>
    </row>
    <row r="293" ht="15.75" customHeight="1">
      <c r="C293" s="33"/>
      <c r="D293" s="33"/>
      <c r="E293" s="33"/>
      <c r="F293" s="33"/>
    </row>
    <row r="294" ht="15.75" customHeight="1">
      <c r="C294" s="33"/>
      <c r="D294" s="33"/>
      <c r="E294" s="33"/>
      <c r="F294" s="33"/>
    </row>
    <row r="295" ht="15.75" customHeight="1">
      <c r="C295" s="33"/>
      <c r="D295" s="33"/>
      <c r="E295" s="33"/>
      <c r="F295" s="33"/>
    </row>
    <row r="296" ht="15.75" customHeight="1">
      <c r="C296" s="33"/>
      <c r="D296" s="33"/>
      <c r="E296" s="33"/>
      <c r="F296" s="33"/>
    </row>
    <row r="297" ht="15.75" customHeight="1">
      <c r="C297" s="33"/>
      <c r="D297" s="33"/>
      <c r="E297" s="33"/>
      <c r="F297" s="33"/>
    </row>
    <row r="298" ht="15.75" customHeight="1">
      <c r="C298" s="33"/>
      <c r="D298" s="33"/>
      <c r="E298" s="33"/>
      <c r="F298" s="33"/>
    </row>
    <row r="299" ht="15.75" customHeight="1">
      <c r="C299" s="33"/>
      <c r="D299" s="33"/>
      <c r="E299" s="33"/>
      <c r="F299" s="33"/>
    </row>
    <row r="300" ht="15.75" customHeight="1">
      <c r="C300" s="33"/>
      <c r="D300" s="33"/>
      <c r="E300" s="33"/>
      <c r="F300" s="33"/>
    </row>
    <row r="301" ht="15.75" customHeight="1">
      <c r="C301" s="33"/>
      <c r="D301" s="33"/>
      <c r="E301" s="33"/>
      <c r="F301" s="33"/>
    </row>
    <row r="302" ht="15.75" customHeight="1">
      <c r="C302" s="33"/>
      <c r="D302" s="33"/>
      <c r="E302" s="33"/>
      <c r="F302" s="33"/>
    </row>
    <row r="303" ht="15.75" customHeight="1">
      <c r="C303" s="33"/>
      <c r="D303" s="33"/>
      <c r="E303" s="33"/>
      <c r="F303" s="33"/>
    </row>
    <row r="304" ht="15.75" customHeight="1">
      <c r="C304" s="33"/>
      <c r="D304" s="33"/>
      <c r="E304" s="33"/>
      <c r="F304" s="33"/>
    </row>
    <row r="305" ht="15.75" customHeight="1">
      <c r="C305" s="33"/>
      <c r="D305" s="33"/>
      <c r="E305" s="33"/>
      <c r="F305" s="33"/>
    </row>
    <row r="306" ht="15.75" customHeight="1">
      <c r="C306" s="33"/>
      <c r="D306" s="33"/>
      <c r="E306" s="33"/>
      <c r="F306" s="33"/>
    </row>
    <row r="307" ht="15.75" customHeight="1">
      <c r="C307" s="33"/>
      <c r="D307" s="33"/>
      <c r="E307" s="33"/>
      <c r="F307" s="33"/>
    </row>
    <row r="308" ht="15.75" customHeight="1">
      <c r="C308" s="33"/>
      <c r="D308" s="33"/>
      <c r="E308" s="33"/>
      <c r="F308" s="33"/>
    </row>
    <row r="309" ht="15.75" customHeight="1">
      <c r="C309" s="33"/>
      <c r="D309" s="33"/>
      <c r="E309" s="33"/>
      <c r="F309" s="33"/>
    </row>
    <row r="310" ht="15.75" customHeight="1">
      <c r="C310" s="33"/>
      <c r="D310" s="33"/>
      <c r="E310" s="33"/>
      <c r="F310" s="33"/>
    </row>
    <row r="311" ht="15.75" customHeight="1">
      <c r="C311" s="33"/>
      <c r="D311" s="33"/>
      <c r="E311" s="33"/>
      <c r="F311" s="33"/>
    </row>
    <row r="312" ht="15.75" customHeight="1">
      <c r="C312" s="33"/>
      <c r="D312" s="33"/>
      <c r="E312" s="33"/>
      <c r="F312" s="33"/>
    </row>
    <row r="313" ht="15.75" customHeight="1">
      <c r="C313" s="33"/>
      <c r="D313" s="33"/>
      <c r="E313" s="33"/>
      <c r="F313" s="33"/>
    </row>
    <row r="314" ht="15.75" customHeight="1">
      <c r="C314" s="33"/>
      <c r="D314" s="33"/>
      <c r="E314" s="33"/>
      <c r="F314" s="33"/>
    </row>
    <row r="315" ht="15.75" customHeight="1">
      <c r="C315" s="33"/>
      <c r="D315" s="33"/>
      <c r="E315" s="33"/>
      <c r="F315" s="33"/>
    </row>
    <row r="316" ht="15.75" customHeight="1">
      <c r="C316" s="33"/>
      <c r="D316" s="33"/>
      <c r="E316" s="33"/>
      <c r="F316" s="33"/>
    </row>
    <row r="317" ht="15.75" customHeight="1">
      <c r="C317" s="33"/>
      <c r="D317" s="33"/>
      <c r="E317" s="33"/>
      <c r="F317" s="33"/>
    </row>
    <row r="318" ht="15.75" customHeight="1">
      <c r="C318" s="33"/>
      <c r="D318" s="33"/>
      <c r="E318" s="33"/>
      <c r="F318" s="33"/>
    </row>
    <row r="319" ht="15.75" customHeight="1">
      <c r="C319" s="33"/>
      <c r="D319" s="33"/>
      <c r="E319" s="33"/>
      <c r="F319" s="33"/>
    </row>
    <row r="320" ht="15.75" customHeight="1">
      <c r="C320" s="33"/>
      <c r="D320" s="33"/>
      <c r="E320" s="33"/>
      <c r="F320" s="33"/>
    </row>
    <row r="321" ht="15.75" customHeight="1">
      <c r="C321" s="33"/>
      <c r="D321" s="33"/>
      <c r="E321" s="33"/>
      <c r="F321" s="33"/>
    </row>
    <row r="322" ht="15.75" customHeight="1">
      <c r="C322" s="33"/>
      <c r="D322" s="33"/>
      <c r="E322" s="33"/>
      <c r="F322" s="33"/>
    </row>
    <row r="323" ht="15.75" customHeight="1">
      <c r="C323" s="33"/>
      <c r="D323" s="33"/>
      <c r="E323" s="33"/>
      <c r="F323" s="33"/>
    </row>
    <row r="324" ht="15.75" customHeight="1">
      <c r="C324" s="33"/>
      <c r="D324" s="33"/>
      <c r="E324" s="33"/>
      <c r="F324" s="33"/>
    </row>
    <row r="325" ht="15.75" customHeight="1">
      <c r="C325" s="33"/>
      <c r="D325" s="33"/>
      <c r="E325" s="33"/>
      <c r="F325" s="33"/>
    </row>
    <row r="326" ht="15.75" customHeight="1">
      <c r="C326" s="33"/>
      <c r="D326" s="33"/>
      <c r="E326" s="33"/>
      <c r="F326" s="33"/>
    </row>
    <row r="327" ht="15.75" customHeight="1">
      <c r="C327" s="33"/>
      <c r="D327" s="33"/>
      <c r="E327" s="33"/>
      <c r="F327" s="33"/>
    </row>
    <row r="328" ht="15.75" customHeight="1">
      <c r="C328" s="33"/>
      <c r="D328" s="33"/>
      <c r="E328" s="33"/>
      <c r="F328" s="33"/>
    </row>
    <row r="329" ht="15.75" customHeight="1">
      <c r="C329" s="33"/>
      <c r="D329" s="33"/>
      <c r="E329" s="33"/>
      <c r="F329" s="33"/>
    </row>
    <row r="330" ht="15.75" customHeight="1">
      <c r="C330" s="33"/>
      <c r="D330" s="33"/>
      <c r="E330" s="33"/>
      <c r="F330" s="33"/>
    </row>
    <row r="331" ht="15.75" customHeight="1">
      <c r="C331" s="33"/>
      <c r="D331" s="33"/>
      <c r="E331" s="33"/>
      <c r="F331" s="33"/>
    </row>
    <row r="332" ht="15.75" customHeight="1">
      <c r="C332" s="33"/>
      <c r="D332" s="33"/>
      <c r="E332" s="33"/>
      <c r="F332" s="33"/>
    </row>
    <row r="333" ht="15.75" customHeight="1">
      <c r="C333" s="33"/>
      <c r="D333" s="33"/>
      <c r="E333" s="33"/>
      <c r="F333" s="33"/>
    </row>
    <row r="334" ht="15.75" customHeight="1">
      <c r="C334" s="33"/>
      <c r="D334" s="33"/>
      <c r="E334" s="33"/>
      <c r="F334" s="33"/>
    </row>
    <row r="335" ht="15.75" customHeight="1">
      <c r="C335" s="33"/>
      <c r="D335" s="33"/>
      <c r="E335" s="33"/>
      <c r="F335" s="33"/>
    </row>
    <row r="336" ht="15.75" customHeight="1">
      <c r="C336" s="33"/>
      <c r="D336" s="33"/>
      <c r="E336" s="33"/>
      <c r="F336" s="33"/>
    </row>
    <row r="337" ht="15.75" customHeight="1">
      <c r="C337" s="33"/>
      <c r="D337" s="33"/>
      <c r="E337" s="33"/>
      <c r="F337" s="33"/>
    </row>
    <row r="338" ht="15.75" customHeight="1">
      <c r="C338" s="33"/>
      <c r="D338" s="33"/>
      <c r="E338" s="33"/>
      <c r="F338" s="33"/>
    </row>
    <row r="339" ht="15.75" customHeight="1">
      <c r="C339" s="33"/>
      <c r="D339" s="33"/>
      <c r="E339" s="33"/>
      <c r="F339" s="33"/>
    </row>
    <row r="340" ht="15.75" customHeight="1">
      <c r="C340" s="33"/>
      <c r="D340" s="33"/>
      <c r="E340" s="33"/>
      <c r="F340" s="33"/>
    </row>
    <row r="341" ht="15.75" customHeight="1">
      <c r="C341" s="33"/>
      <c r="D341" s="33"/>
      <c r="E341" s="33"/>
      <c r="F341" s="33"/>
    </row>
    <row r="342" ht="15.75" customHeight="1">
      <c r="C342" s="33"/>
      <c r="D342" s="33"/>
      <c r="E342" s="33"/>
      <c r="F342" s="33"/>
    </row>
    <row r="343" ht="15.75" customHeight="1">
      <c r="C343" s="33"/>
      <c r="D343" s="33"/>
      <c r="E343" s="33"/>
      <c r="F343" s="33"/>
    </row>
    <row r="344" ht="15.75" customHeight="1">
      <c r="C344" s="33"/>
      <c r="D344" s="33"/>
      <c r="E344" s="33"/>
      <c r="F344" s="33"/>
    </row>
    <row r="345" ht="15.75" customHeight="1">
      <c r="C345" s="33"/>
      <c r="D345" s="33"/>
      <c r="E345" s="33"/>
      <c r="F345" s="33"/>
    </row>
    <row r="346" ht="15.75" customHeight="1">
      <c r="C346" s="33"/>
      <c r="D346" s="33"/>
      <c r="E346" s="33"/>
      <c r="F346" s="33"/>
    </row>
    <row r="347" ht="15.75" customHeight="1">
      <c r="C347" s="33"/>
      <c r="D347" s="33"/>
      <c r="E347" s="33"/>
      <c r="F347" s="33"/>
    </row>
    <row r="348" ht="15.75" customHeight="1">
      <c r="C348" s="33"/>
      <c r="D348" s="33"/>
      <c r="E348" s="33"/>
      <c r="F348" s="33"/>
    </row>
    <row r="349" ht="15.75" customHeight="1">
      <c r="C349" s="33"/>
      <c r="D349" s="33"/>
      <c r="E349" s="33"/>
      <c r="F349" s="33"/>
    </row>
    <row r="350" ht="15.75" customHeight="1">
      <c r="C350" s="33"/>
      <c r="D350" s="33"/>
      <c r="E350" s="33"/>
      <c r="F350" s="33"/>
    </row>
    <row r="351" ht="15.75" customHeight="1">
      <c r="C351" s="33"/>
      <c r="D351" s="33"/>
      <c r="E351" s="33"/>
      <c r="F351" s="33"/>
    </row>
    <row r="352" ht="15.75" customHeight="1">
      <c r="C352" s="33"/>
      <c r="D352" s="33"/>
      <c r="E352" s="33"/>
      <c r="F352" s="33"/>
    </row>
    <row r="353" ht="15.75" customHeight="1">
      <c r="C353" s="33"/>
      <c r="D353" s="33"/>
      <c r="E353" s="33"/>
      <c r="F353" s="33"/>
    </row>
    <row r="354" ht="15.75" customHeight="1">
      <c r="C354" s="33"/>
      <c r="D354" s="33"/>
      <c r="E354" s="33"/>
      <c r="F354" s="33"/>
    </row>
    <row r="355" ht="15.75" customHeight="1">
      <c r="C355" s="33"/>
      <c r="D355" s="33"/>
      <c r="E355" s="33"/>
      <c r="F355" s="33"/>
    </row>
    <row r="356" ht="15.75" customHeight="1">
      <c r="C356" s="33"/>
      <c r="D356" s="33"/>
      <c r="E356" s="33"/>
      <c r="F356" s="33"/>
    </row>
    <row r="357" ht="15.75" customHeight="1">
      <c r="C357" s="33"/>
      <c r="D357" s="33"/>
      <c r="E357" s="33"/>
      <c r="F357" s="33"/>
    </row>
    <row r="358" ht="15.75" customHeight="1">
      <c r="C358" s="33"/>
      <c r="D358" s="33"/>
      <c r="E358" s="33"/>
      <c r="F358" s="33"/>
    </row>
    <row r="359" ht="15.75" customHeight="1">
      <c r="C359" s="33"/>
      <c r="D359" s="33"/>
      <c r="E359" s="33"/>
      <c r="F359" s="33"/>
    </row>
    <row r="360" ht="15.75" customHeight="1">
      <c r="C360" s="33"/>
      <c r="D360" s="33"/>
      <c r="E360" s="33"/>
      <c r="F360" s="33"/>
    </row>
    <row r="361" ht="15.75" customHeight="1">
      <c r="C361" s="33"/>
      <c r="D361" s="33"/>
      <c r="E361" s="33"/>
      <c r="F361" s="33"/>
    </row>
    <row r="362" ht="15.75" customHeight="1">
      <c r="C362" s="33"/>
      <c r="D362" s="33"/>
      <c r="E362" s="33"/>
      <c r="F362" s="33"/>
    </row>
    <row r="363" ht="15.75" customHeight="1">
      <c r="C363" s="33"/>
      <c r="D363" s="33"/>
      <c r="E363" s="33"/>
      <c r="F363" s="33"/>
    </row>
    <row r="364" ht="15.75" customHeight="1">
      <c r="C364" s="33"/>
      <c r="D364" s="33"/>
      <c r="E364" s="33"/>
      <c r="F364" s="33"/>
    </row>
    <row r="365" ht="15.75" customHeight="1">
      <c r="C365" s="33"/>
      <c r="D365" s="33"/>
      <c r="E365" s="33"/>
      <c r="F365" s="33"/>
    </row>
    <row r="366" ht="15.75" customHeight="1">
      <c r="C366" s="33"/>
      <c r="D366" s="33"/>
      <c r="E366" s="33"/>
      <c r="F366" s="33"/>
    </row>
    <row r="367" ht="15.75" customHeight="1">
      <c r="C367" s="33"/>
      <c r="D367" s="33"/>
      <c r="E367" s="33"/>
      <c r="F367" s="33"/>
    </row>
    <row r="368" ht="15.75" customHeight="1">
      <c r="C368" s="33"/>
      <c r="D368" s="33"/>
      <c r="E368" s="33"/>
      <c r="F368" s="33"/>
    </row>
    <row r="369" ht="15.75" customHeight="1">
      <c r="C369" s="33"/>
      <c r="D369" s="33"/>
      <c r="E369" s="33"/>
      <c r="F369" s="33"/>
    </row>
    <row r="370" ht="15.75" customHeight="1">
      <c r="C370" s="33"/>
      <c r="D370" s="33"/>
      <c r="E370" s="33"/>
      <c r="F370" s="33"/>
    </row>
    <row r="371" ht="15.75" customHeight="1">
      <c r="C371" s="33"/>
      <c r="D371" s="33"/>
      <c r="E371" s="33"/>
      <c r="F371" s="33"/>
    </row>
    <row r="372" ht="15.75" customHeight="1">
      <c r="C372" s="33"/>
      <c r="D372" s="33"/>
      <c r="E372" s="33"/>
      <c r="F372" s="33"/>
    </row>
    <row r="373" ht="15.75" customHeight="1">
      <c r="C373" s="33"/>
      <c r="D373" s="33"/>
      <c r="E373" s="33"/>
      <c r="F373" s="33"/>
    </row>
    <row r="374" ht="15.75" customHeight="1">
      <c r="C374" s="33"/>
      <c r="D374" s="33"/>
      <c r="E374" s="33"/>
      <c r="F374" s="33"/>
    </row>
    <row r="375" ht="15.75" customHeight="1">
      <c r="C375" s="33"/>
      <c r="D375" s="33"/>
      <c r="E375" s="33"/>
      <c r="F375" s="33"/>
    </row>
    <row r="376" ht="15.75" customHeight="1">
      <c r="C376" s="33"/>
      <c r="D376" s="33"/>
      <c r="E376" s="33"/>
      <c r="F376" s="33"/>
    </row>
    <row r="377" ht="15.75" customHeight="1">
      <c r="C377" s="33"/>
      <c r="D377" s="33"/>
      <c r="E377" s="33"/>
      <c r="F377" s="33"/>
    </row>
    <row r="378" ht="15.75" customHeight="1">
      <c r="C378" s="33"/>
      <c r="D378" s="33"/>
      <c r="E378" s="33"/>
      <c r="F378" s="33"/>
    </row>
    <row r="379" ht="15.75" customHeight="1">
      <c r="C379" s="33"/>
      <c r="D379" s="33"/>
      <c r="E379" s="33"/>
      <c r="F379" s="33"/>
    </row>
    <row r="380" ht="15.75" customHeight="1">
      <c r="C380" s="33"/>
      <c r="D380" s="33"/>
      <c r="E380" s="33"/>
      <c r="F380" s="33"/>
    </row>
    <row r="381" ht="15.75" customHeight="1">
      <c r="C381" s="33"/>
      <c r="D381" s="33"/>
      <c r="E381" s="33"/>
      <c r="F381" s="33"/>
    </row>
    <row r="382" ht="15.75" customHeight="1">
      <c r="C382" s="33"/>
      <c r="D382" s="33"/>
      <c r="E382" s="33"/>
      <c r="F382" s="33"/>
    </row>
    <row r="383" ht="15.75" customHeight="1">
      <c r="C383" s="33"/>
      <c r="D383" s="33"/>
      <c r="E383" s="33"/>
      <c r="F383" s="33"/>
    </row>
    <row r="384" ht="15.75" customHeight="1">
      <c r="C384" s="33"/>
      <c r="D384" s="33"/>
      <c r="E384" s="33"/>
      <c r="F384" s="33"/>
    </row>
    <row r="385" ht="15.75" customHeight="1">
      <c r="C385" s="33"/>
      <c r="D385" s="33"/>
      <c r="E385" s="33"/>
      <c r="F385" s="33"/>
    </row>
    <row r="386" ht="15.75" customHeight="1">
      <c r="C386" s="33"/>
      <c r="D386" s="33"/>
      <c r="E386" s="33"/>
      <c r="F386" s="33"/>
    </row>
    <row r="387" ht="15.75" customHeight="1">
      <c r="C387" s="33"/>
      <c r="D387" s="33"/>
      <c r="E387" s="33"/>
      <c r="F387" s="33"/>
    </row>
    <row r="388" ht="15.75" customHeight="1">
      <c r="C388" s="33"/>
      <c r="D388" s="33"/>
      <c r="E388" s="33"/>
      <c r="F388" s="33"/>
    </row>
    <row r="389" ht="15.75" customHeight="1">
      <c r="C389" s="33"/>
      <c r="D389" s="33"/>
      <c r="E389" s="33"/>
      <c r="F389" s="33"/>
    </row>
    <row r="390" ht="15.75" customHeight="1">
      <c r="C390" s="33"/>
      <c r="D390" s="33"/>
      <c r="E390" s="33"/>
      <c r="F390" s="33"/>
    </row>
    <row r="391" ht="15.75" customHeight="1">
      <c r="C391" s="33"/>
      <c r="D391" s="33"/>
      <c r="E391" s="33"/>
      <c r="F391" s="33"/>
    </row>
    <row r="392" ht="15.75" customHeight="1">
      <c r="C392" s="33"/>
      <c r="D392" s="33"/>
      <c r="E392" s="33"/>
      <c r="F392" s="33"/>
    </row>
    <row r="393" ht="15.75" customHeight="1">
      <c r="C393" s="33"/>
      <c r="D393" s="33"/>
      <c r="E393" s="33"/>
      <c r="F393" s="33"/>
    </row>
    <row r="394" ht="15.75" customHeight="1">
      <c r="C394" s="33"/>
      <c r="D394" s="33"/>
      <c r="E394" s="33"/>
      <c r="F394" s="33"/>
    </row>
    <row r="395" ht="15.75" customHeight="1">
      <c r="C395" s="33"/>
      <c r="D395" s="33"/>
      <c r="E395" s="33"/>
      <c r="F395" s="33"/>
    </row>
    <row r="396" ht="15.75" customHeight="1">
      <c r="C396" s="33"/>
      <c r="D396" s="33"/>
      <c r="E396" s="33"/>
      <c r="F396" s="33"/>
    </row>
    <row r="397" ht="15.75" customHeight="1">
      <c r="C397" s="33"/>
      <c r="D397" s="33"/>
      <c r="E397" s="33"/>
      <c r="F397" s="33"/>
    </row>
    <row r="398" ht="15.75" customHeight="1">
      <c r="C398" s="33"/>
      <c r="D398" s="33"/>
      <c r="E398" s="33"/>
      <c r="F398" s="33"/>
    </row>
    <row r="399" ht="15.75" customHeight="1">
      <c r="C399" s="33"/>
      <c r="D399" s="33"/>
      <c r="E399" s="33"/>
      <c r="F399" s="33"/>
    </row>
    <row r="400" ht="15.75" customHeight="1">
      <c r="C400" s="33"/>
      <c r="D400" s="33"/>
      <c r="E400" s="33"/>
      <c r="F400" s="33"/>
    </row>
    <row r="401" ht="15.75" customHeight="1">
      <c r="C401" s="33"/>
      <c r="D401" s="33"/>
      <c r="E401" s="33"/>
      <c r="F401" s="33"/>
    </row>
    <row r="402" ht="15.75" customHeight="1">
      <c r="C402" s="33"/>
      <c r="D402" s="33"/>
      <c r="E402" s="33"/>
      <c r="F402" s="33"/>
    </row>
    <row r="403" ht="15.75" customHeight="1">
      <c r="C403" s="33"/>
      <c r="D403" s="33"/>
      <c r="E403" s="33"/>
      <c r="F403" s="33"/>
    </row>
    <row r="404" ht="15.75" customHeight="1">
      <c r="C404" s="33"/>
      <c r="D404" s="33"/>
      <c r="E404" s="33"/>
      <c r="F404" s="33"/>
    </row>
    <row r="405" ht="15.75" customHeight="1">
      <c r="C405" s="33"/>
      <c r="D405" s="33"/>
      <c r="E405" s="33"/>
      <c r="F405" s="33"/>
    </row>
    <row r="406" ht="15.75" customHeight="1">
      <c r="C406" s="33"/>
      <c r="D406" s="33"/>
      <c r="E406" s="33"/>
      <c r="F406" s="33"/>
    </row>
    <row r="407" ht="15.75" customHeight="1">
      <c r="C407" s="33"/>
      <c r="D407" s="33"/>
      <c r="E407" s="33"/>
      <c r="F407" s="33"/>
    </row>
    <row r="408" ht="15.75" customHeight="1">
      <c r="C408" s="33"/>
      <c r="D408" s="33"/>
      <c r="E408" s="33"/>
      <c r="F408" s="33"/>
    </row>
    <row r="409" ht="15.75" customHeight="1">
      <c r="C409" s="33"/>
      <c r="D409" s="33"/>
      <c r="E409" s="33"/>
      <c r="F409" s="33"/>
    </row>
    <row r="410" ht="15.75" customHeight="1">
      <c r="C410" s="33"/>
      <c r="D410" s="33"/>
      <c r="E410" s="33"/>
      <c r="F410" s="33"/>
    </row>
    <row r="411" ht="15.75" customHeight="1">
      <c r="C411" s="33"/>
      <c r="D411" s="33"/>
      <c r="E411" s="33"/>
      <c r="F411" s="33"/>
    </row>
    <row r="412" ht="15.75" customHeight="1">
      <c r="C412" s="33"/>
      <c r="D412" s="33"/>
      <c r="E412" s="33"/>
      <c r="F412" s="33"/>
    </row>
    <row r="413" ht="15.75" customHeight="1">
      <c r="C413" s="33"/>
      <c r="D413" s="33"/>
      <c r="E413" s="33"/>
      <c r="F413" s="33"/>
    </row>
    <row r="414" ht="15.75" customHeight="1">
      <c r="C414" s="33"/>
      <c r="D414" s="33"/>
      <c r="E414" s="33"/>
      <c r="F414" s="33"/>
    </row>
    <row r="415" ht="15.75" customHeight="1">
      <c r="C415" s="33"/>
      <c r="D415" s="33"/>
      <c r="E415" s="33"/>
      <c r="F415" s="33"/>
    </row>
    <row r="416" ht="15.75" customHeight="1">
      <c r="C416" s="33"/>
      <c r="D416" s="33"/>
      <c r="E416" s="33"/>
      <c r="F416" s="33"/>
    </row>
    <row r="417" ht="15.75" customHeight="1">
      <c r="C417" s="33"/>
      <c r="D417" s="33"/>
      <c r="E417" s="33"/>
      <c r="F417" s="33"/>
    </row>
    <row r="418" ht="15.75" customHeight="1">
      <c r="C418" s="33"/>
      <c r="D418" s="33"/>
      <c r="E418" s="33"/>
      <c r="F418" s="33"/>
    </row>
    <row r="419" ht="15.75" customHeight="1">
      <c r="C419" s="33"/>
      <c r="D419" s="33"/>
      <c r="E419" s="33"/>
      <c r="F419" s="33"/>
    </row>
    <row r="420" ht="15.75" customHeight="1">
      <c r="C420" s="33"/>
      <c r="D420" s="33"/>
      <c r="E420" s="33"/>
      <c r="F420" s="33"/>
    </row>
    <row r="421" ht="15.75" customHeight="1">
      <c r="C421" s="33"/>
      <c r="D421" s="33"/>
      <c r="E421" s="33"/>
      <c r="F421" s="33"/>
    </row>
    <row r="422" ht="15.75" customHeight="1">
      <c r="C422" s="33"/>
      <c r="D422" s="33"/>
      <c r="E422" s="33"/>
      <c r="F422" s="33"/>
    </row>
    <row r="423" ht="15.75" customHeight="1">
      <c r="C423" s="33"/>
      <c r="D423" s="33"/>
      <c r="E423" s="33"/>
      <c r="F423" s="33"/>
    </row>
    <row r="424" ht="15.75" customHeight="1">
      <c r="C424" s="33"/>
      <c r="D424" s="33"/>
      <c r="E424" s="33"/>
      <c r="F424" s="33"/>
    </row>
    <row r="425" ht="15.75" customHeight="1">
      <c r="C425" s="33"/>
      <c r="D425" s="33"/>
      <c r="E425" s="33"/>
      <c r="F425" s="33"/>
    </row>
    <row r="426" ht="15.75" customHeight="1">
      <c r="C426" s="33"/>
      <c r="D426" s="33"/>
      <c r="E426" s="33"/>
      <c r="F426" s="33"/>
    </row>
    <row r="427" ht="15.75" customHeight="1">
      <c r="C427" s="33"/>
      <c r="D427" s="33"/>
      <c r="E427" s="33"/>
      <c r="F427" s="33"/>
    </row>
    <row r="428" ht="15.75" customHeight="1">
      <c r="C428" s="33"/>
      <c r="D428" s="33"/>
      <c r="E428" s="33"/>
      <c r="F428" s="33"/>
    </row>
    <row r="429" ht="15.75" customHeight="1">
      <c r="C429" s="33"/>
      <c r="D429" s="33"/>
      <c r="E429" s="33"/>
      <c r="F429" s="33"/>
    </row>
    <row r="430" ht="15.75" customHeight="1">
      <c r="C430" s="33"/>
      <c r="D430" s="33"/>
      <c r="E430" s="33"/>
      <c r="F430" s="33"/>
    </row>
    <row r="431" ht="15.75" customHeight="1">
      <c r="C431" s="33"/>
      <c r="D431" s="33"/>
      <c r="E431" s="33"/>
      <c r="F431" s="33"/>
    </row>
    <row r="432" ht="15.75" customHeight="1">
      <c r="C432" s="33"/>
      <c r="D432" s="33"/>
      <c r="E432" s="33"/>
      <c r="F432" s="33"/>
    </row>
    <row r="433" ht="15.75" customHeight="1">
      <c r="C433" s="33"/>
      <c r="D433" s="33"/>
      <c r="E433" s="33"/>
      <c r="F433" s="33"/>
    </row>
    <row r="434" ht="15.75" customHeight="1">
      <c r="C434" s="33"/>
      <c r="D434" s="33"/>
      <c r="E434" s="33"/>
      <c r="F434" s="33"/>
    </row>
    <row r="435" ht="15.75" customHeight="1">
      <c r="C435" s="33"/>
      <c r="D435" s="33"/>
      <c r="E435" s="33"/>
      <c r="F435" s="33"/>
    </row>
    <row r="436" ht="15.75" customHeight="1">
      <c r="C436" s="33"/>
      <c r="D436" s="33"/>
      <c r="E436" s="33"/>
      <c r="F436" s="33"/>
    </row>
    <row r="437" ht="15.75" customHeight="1">
      <c r="C437" s="33"/>
      <c r="D437" s="33"/>
      <c r="E437" s="33"/>
      <c r="F437" s="33"/>
    </row>
    <row r="438" ht="15.75" customHeight="1">
      <c r="C438" s="33"/>
      <c r="D438" s="33"/>
      <c r="E438" s="33"/>
      <c r="F438" s="33"/>
    </row>
    <row r="439" ht="15.75" customHeight="1">
      <c r="C439" s="33"/>
      <c r="D439" s="33"/>
      <c r="E439" s="33"/>
      <c r="F439" s="33"/>
    </row>
    <row r="440" ht="15.75" customHeight="1">
      <c r="C440" s="33"/>
      <c r="D440" s="33"/>
      <c r="E440" s="33"/>
      <c r="F440" s="33"/>
    </row>
    <row r="441" ht="15.75" customHeight="1">
      <c r="C441" s="33"/>
      <c r="D441" s="33"/>
      <c r="E441" s="33"/>
      <c r="F441" s="33"/>
    </row>
    <row r="442" ht="15.75" customHeight="1">
      <c r="C442" s="33"/>
      <c r="D442" s="33"/>
      <c r="E442" s="33"/>
      <c r="F442" s="33"/>
    </row>
    <row r="443" ht="15.75" customHeight="1">
      <c r="C443" s="33"/>
      <c r="D443" s="33"/>
      <c r="E443" s="33"/>
      <c r="F443" s="33"/>
    </row>
    <row r="444" ht="15.75" customHeight="1">
      <c r="C444" s="33"/>
      <c r="D444" s="33"/>
      <c r="E444" s="33"/>
      <c r="F444" s="33"/>
    </row>
    <row r="445" ht="15.75" customHeight="1">
      <c r="C445" s="33"/>
      <c r="D445" s="33"/>
      <c r="E445" s="33"/>
      <c r="F445" s="33"/>
    </row>
    <row r="446" ht="15.75" customHeight="1">
      <c r="C446" s="33"/>
      <c r="D446" s="33"/>
      <c r="E446" s="33"/>
      <c r="F446" s="33"/>
    </row>
    <row r="447" ht="15.75" customHeight="1">
      <c r="C447" s="33"/>
      <c r="D447" s="33"/>
      <c r="E447" s="33"/>
      <c r="F447" s="33"/>
    </row>
    <row r="448" ht="15.75" customHeight="1">
      <c r="C448" s="33"/>
      <c r="D448" s="33"/>
      <c r="E448" s="33"/>
      <c r="F448" s="33"/>
    </row>
    <row r="449" ht="15.75" customHeight="1">
      <c r="C449" s="33"/>
      <c r="D449" s="33"/>
      <c r="E449" s="33"/>
      <c r="F449" s="33"/>
    </row>
    <row r="450" ht="15.75" customHeight="1">
      <c r="C450" s="33"/>
      <c r="D450" s="33"/>
      <c r="E450" s="33"/>
      <c r="F450" s="33"/>
    </row>
    <row r="451" ht="15.75" customHeight="1">
      <c r="C451" s="33"/>
      <c r="D451" s="33"/>
      <c r="E451" s="33"/>
      <c r="F451" s="33"/>
    </row>
    <row r="452" ht="15.75" customHeight="1">
      <c r="C452" s="33"/>
      <c r="D452" s="33"/>
      <c r="E452" s="33"/>
      <c r="F452" s="33"/>
    </row>
    <row r="453" ht="15.75" customHeight="1">
      <c r="C453" s="33"/>
      <c r="D453" s="33"/>
      <c r="E453" s="33"/>
      <c r="F453" s="33"/>
    </row>
    <row r="454" ht="15.75" customHeight="1">
      <c r="C454" s="33"/>
      <c r="D454" s="33"/>
      <c r="E454" s="33"/>
      <c r="F454" s="33"/>
    </row>
    <row r="455" ht="15.75" customHeight="1">
      <c r="C455" s="33"/>
      <c r="D455" s="33"/>
      <c r="E455" s="33"/>
      <c r="F455" s="33"/>
    </row>
    <row r="456" ht="15.75" customHeight="1">
      <c r="C456" s="33"/>
      <c r="D456" s="33"/>
      <c r="E456" s="33"/>
      <c r="F456" s="33"/>
    </row>
    <row r="457" ht="15.75" customHeight="1">
      <c r="C457" s="33"/>
      <c r="D457" s="33"/>
      <c r="E457" s="33"/>
      <c r="F457" s="33"/>
    </row>
    <row r="458" ht="15.75" customHeight="1">
      <c r="C458" s="33"/>
      <c r="D458" s="33"/>
      <c r="E458" s="33"/>
      <c r="F458" s="33"/>
    </row>
    <row r="459" ht="15.75" customHeight="1">
      <c r="C459" s="33"/>
      <c r="D459" s="33"/>
      <c r="E459" s="33"/>
      <c r="F459" s="33"/>
    </row>
    <row r="460" ht="15.75" customHeight="1">
      <c r="C460" s="33"/>
      <c r="D460" s="33"/>
      <c r="E460" s="33"/>
      <c r="F460" s="33"/>
    </row>
    <row r="461" ht="15.75" customHeight="1">
      <c r="C461" s="33"/>
      <c r="D461" s="33"/>
      <c r="E461" s="33"/>
      <c r="F461" s="33"/>
    </row>
    <row r="462" ht="15.75" customHeight="1">
      <c r="C462" s="33"/>
      <c r="D462" s="33"/>
      <c r="E462" s="33"/>
      <c r="F462" s="33"/>
    </row>
    <row r="463" ht="15.75" customHeight="1">
      <c r="C463" s="33"/>
      <c r="D463" s="33"/>
      <c r="E463" s="33"/>
      <c r="F463" s="33"/>
    </row>
    <row r="464" ht="15.75" customHeight="1">
      <c r="C464" s="33"/>
      <c r="D464" s="33"/>
      <c r="E464" s="33"/>
      <c r="F464" s="33"/>
    </row>
    <row r="465" ht="15.75" customHeight="1">
      <c r="C465" s="33"/>
      <c r="D465" s="33"/>
      <c r="E465" s="33"/>
      <c r="F465" s="33"/>
    </row>
    <row r="466" ht="15.75" customHeight="1">
      <c r="C466" s="33"/>
      <c r="D466" s="33"/>
      <c r="E466" s="33"/>
      <c r="F466" s="33"/>
    </row>
    <row r="467" ht="15.75" customHeight="1">
      <c r="C467" s="33"/>
      <c r="D467" s="33"/>
      <c r="E467" s="33"/>
      <c r="F467" s="33"/>
    </row>
    <row r="468" ht="15.75" customHeight="1">
      <c r="C468" s="33"/>
      <c r="D468" s="33"/>
      <c r="E468" s="33"/>
      <c r="F468" s="33"/>
    </row>
    <row r="469" ht="15.75" customHeight="1">
      <c r="C469" s="33"/>
      <c r="D469" s="33"/>
      <c r="E469" s="33"/>
      <c r="F469" s="33"/>
    </row>
    <row r="470" ht="15.75" customHeight="1">
      <c r="C470" s="33"/>
      <c r="D470" s="33"/>
      <c r="E470" s="33"/>
      <c r="F470" s="33"/>
    </row>
    <row r="471" ht="15.75" customHeight="1">
      <c r="C471" s="33"/>
      <c r="D471" s="33"/>
      <c r="E471" s="33"/>
      <c r="F471" s="33"/>
    </row>
    <row r="472" ht="15.75" customHeight="1">
      <c r="C472" s="33"/>
      <c r="D472" s="33"/>
      <c r="E472" s="33"/>
      <c r="F472" s="33"/>
    </row>
    <row r="473" ht="15.75" customHeight="1">
      <c r="C473" s="33"/>
      <c r="D473" s="33"/>
      <c r="E473" s="33"/>
      <c r="F473" s="33"/>
    </row>
    <row r="474" ht="15.75" customHeight="1">
      <c r="C474" s="33"/>
      <c r="D474" s="33"/>
      <c r="E474" s="33"/>
      <c r="F474" s="33"/>
    </row>
    <row r="475" ht="15.75" customHeight="1">
      <c r="C475" s="33"/>
      <c r="D475" s="33"/>
      <c r="E475" s="33"/>
      <c r="F475" s="33"/>
    </row>
    <row r="476" ht="15.75" customHeight="1">
      <c r="C476" s="33"/>
      <c r="D476" s="33"/>
      <c r="E476" s="33"/>
      <c r="F476" s="33"/>
    </row>
    <row r="477" ht="15.75" customHeight="1">
      <c r="C477" s="33"/>
      <c r="D477" s="33"/>
      <c r="E477" s="33"/>
      <c r="F477" s="33"/>
    </row>
    <row r="478" ht="15.75" customHeight="1">
      <c r="C478" s="33"/>
      <c r="D478" s="33"/>
      <c r="E478" s="33"/>
      <c r="F478" s="33"/>
    </row>
    <row r="479" ht="15.75" customHeight="1">
      <c r="C479" s="33"/>
      <c r="D479" s="33"/>
      <c r="E479" s="33"/>
      <c r="F479" s="33"/>
    </row>
    <row r="480" ht="15.75" customHeight="1">
      <c r="C480" s="33"/>
      <c r="D480" s="33"/>
      <c r="E480" s="33"/>
      <c r="F480" s="33"/>
    </row>
    <row r="481" ht="15.75" customHeight="1">
      <c r="C481" s="33"/>
      <c r="D481" s="33"/>
      <c r="E481" s="33"/>
      <c r="F481" s="33"/>
    </row>
    <row r="482" ht="15.75" customHeight="1">
      <c r="C482" s="33"/>
      <c r="D482" s="33"/>
      <c r="E482" s="33"/>
      <c r="F482" s="33"/>
    </row>
    <row r="483" ht="15.75" customHeight="1">
      <c r="C483" s="33"/>
      <c r="D483" s="33"/>
      <c r="E483" s="33"/>
      <c r="F483" s="33"/>
    </row>
    <row r="484" ht="15.75" customHeight="1">
      <c r="C484" s="33"/>
      <c r="D484" s="33"/>
      <c r="E484" s="33"/>
      <c r="F484" s="33"/>
    </row>
    <row r="485" ht="15.75" customHeight="1">
      <c r="C485" s="33"/>
      <c r="D485" s="33"/>
      <c r="E485" s="33"/>
      <c r="F485" s="33"/>
    </row>
    <row r="486" ht="15.75" customHeight="1">
      <c r="C486" s="33"/>
      <c r="D486" s="33"/>
      <c r="E486" s="33"/>
      <c r="F486" s="33"/>
    </row>
    <row r="487" ht="15.75" customHeight="1">
      <c r="C487" s="33"/>
      <c r="D487" s="33"/>
      <c r="E487" s="33"/>
      <c r="F487" s="33"/>
    </row>
    <row r="488" ht="15.75" customHeight="1">
      <c r="C488" s="33"/>
      <c r="D488" s="33"/>
      <c r="E488" s="33"/>
      <c r="F488" s="33"/>
    </row>
    <row r="489" ht="15.75" customHeight="1">
      <c r="C489" s="33"/>
      <c r="D489" s="33"/>
      <c r="E489" s="33"/>
      <c r="F489" s="33"/>
    </row>
    <row r="490" ht="15.75" customHeight="1">
      <c r="C490" s="33"/>
      <c r="D490" s="33"/>
      <c r="E490" s="33"/>
      <c r="F490" s="33"/>
    </row>
    <row r="491" ht="15.75" customHeight="1">
      <c r="C491" s="33"/>
      <c r="D491" s="33"/>
      <c r="E491" s="33"/>
      <c r="F491" s="33"/>
    </row>
    <row r="492" ht="15.75" customHeight="1">
      <c r="C492" s="33"/>
      <c r="D492" s="33"/>
      <c r="E492" s="33"/>
      <c r="F492" s="33"/>
    </row>
    <row r="493" ht="15.75" customHeight="1">
      <c r="C493" s="33"/>
      <c r="D493" s="33"/>
      <c r="E493" s="33"/>
      <c r="F493" s="33"/>
    </row>
    <row r="494" ht="15.75" customHeight="1">
      <c r="C494" s="33"/>
      <c r="D494" s="33"/>
      <c r="E494" s="33"/>
      <c r="F494" s="33"/>
    </row>
    <row r="495" ht="15.75" customHeight="1">
      <c r="C495" s="33"/>
      <c r="D495" s="33"/>
      <c r="E495" s="33"/>
      <c r="F495" s="33"/>
    </row>
    <row r="496" ht="15.75" customHeight="1">
      <c r="C496" s="33"/>
      <c r="D496" s="33"/>
      <c r="E496" s="33"/>
      <c r="F496" s="33"/>
    </row>
    <row r="497" ht="15.75" customHeight="1">
      <c r="C497" s="33"/>
      <c r="D497" s="33"/>
      <c r="E497" s="33"/>
      <c r="F497" s="33"/>
    </row>
    <row r="498" ht="15.75" customHeight="1">
      <c r="C498" s="33"/>
      <c r="D498" s="33"/>
      <c r="E498" s="33"/>
      <c r="F498" s="33"/>
    </row>
    <row r="499" ht="15.75" customHeight="1">
      <c r="C499" s="33"/>
      <c r="D499" s="33"/>
      <c r="E499" s="33"/>
      <c r="F499" s="33"/>
    </row>
    <row r="500" ht="15.75" customHeight="1">
      <c r="C500" s="33"/>
      <c r="D500" s="33"/>
      <c r="E500" s="33"/>
      <c r="F500" s="33"/>
    </row>
    <row r="501" ht="15.75" customHeight="1">
      <c r="C501" s="33"/>
      <c r="D501" s="33"/>
      <c r="E501" s="33"/>
      <c r="F501" s="33"/>
    </row>
    <row r="502" ht="15.75" customHeight="1">
      <c r="C502" s="33"/>
      <c r="D502" s="33"/>
      <c r="E502" s="33"/>
      <c r="F502" s="33"/>
    </row>
    <row r="503" ht="15.75" customHeight="1">
      <c r="C503" s="33"/>
      <c r="D503" s="33"/>
      <c r="E503" s="33"/>
      <c r="F503" s="33"/>
    </row>
    <row r="504" ht="15.75" customHeight="1">
      <c r="C504" s="33"/>
      <c r="D504" s="33"/>
      <c r="E504" s="33"/>
      <c r="F504" s="33"/>
    </row>
    <row r="505" ht="15.75" customHeight="1">
      <c r="C505" s="33"/>
      <c r="D505" s="33"/>
      <c r="E505" s="33"/>
      <c r="F505" s="33"/>
    </row>
    <row r="506" ht="15.75" customHeight="1">
      <c r="C506" s="33"/>
      <c r="D506" s="33"/>
      <c r="E506" s="33"/>
      <c r="F506" s="33"/>
    </row>
    <row r="507" ht="15.75" customHeight="1">
      <c r="C507" s="33"/>
      <c r="D507" s="33"/>
      <c r="E507" s="33"/>
      <c r="F507" s="33"/>
    </row>
    <row r="508" ht="15.75" customHeight="1">
      <c r="C508" s="33"/>
      <c r="D508" s="33"/>
      <c r="E508" s="33"/>
      <c r="F508" s="33"/>
    </row>
    <row r="509" ht="15.75" customHeight="1">
      <c r="C509" s="33"/>
      <c r="D509" s="33"/>
      <c r="E509" s="33"/>
      <c r="F509" s="33"/>
    </row>
    <row r="510" ht="15.75" customHeight="1">
      <c r="C510" s="33"/>
      <c r="D510" s="33"/>
      <c r="E510" s="33"/>
      <c r="F510" s="33"/>
    </row>
    <row r="511" ht="15.75" customHeight="1">
      <c r="C511" s="33"/>
      <c r="D511" s="33"/>
      <c r="E511" s="33"/>
      <c r="F511" s="33"/>
    </row>
    <row r="512" ht="15.75" customHeight="1">
      <c r="C512" s="33"/>
      <c r="D512" s="33"/>
      <c r="E512" s="33"/>
      <c r="F512" s="33"/>
    </row>
    <row r="513" ht="15.75" customHeight="1">
      <c r="C513" s="33"/>
      <c r="D513" s="33"/>
      <c r="E513" s="33"/>
      <c r="F513" s="33"/>
    </row>
    <row r="514" ht="15.75" customHeight="1">
      <c r="C514" s="33"/>
      <c r="D514" s="33"/>
      <c r="E514" s="33"/>
      <c r="F514" s="33"/>
    </row>
    <row r="515" ht="15.75" customHeight="1">
      <c r="C515" s="33"/>
      <c r="D515" s="33"/>
      <c r="E515" s="33"/>
      <c r="F515" s="33"/>
    </row>
    <row r="516" ht="15.75" customHeight="1">
      <c r="C516" s="33"/>
      <c r="D516" s="33"/>
      <c r="E516" s="33"/>
      <c r="F516" s="33"/>
    </row>
    <row r="517" ht="15.75" customHeight="1">
      <c r="C517" s="33"/>
      <c r="D517" s="33"/>
      <c r="E517" s="33"/>
      <c r="F517" s="33"/>
    </row>
    <row r="518" ht="15.75" customHeight="1">
      <c r="C518" s="33"/>
      <c r="D518" s="33"/>
      <c r="E518" s="33"/>
      <c r="F518" s="33"/>
    </row>
    <row r="519" ht="15.75" customHeight="1">
      <c r="C519" s="33"/>
      <c r="D519" s="33"/>
      <c r="E519" s="33"/>
      <c r="F519" s="33"/>
    </row>
    <row r="520" ht="15.75" customHeight="1">
      <c r="C520" s="33"/>
      <c r="D520" s="33"/>
      <c r="E520" s="33"/>
      <c r="F520" s="33"/>
    </row>
    <row r="521" ht="15.75" customHeight="1">
      <c r="C521" s="33"/>
      <c r="D521" s="33"/>
      <c r="E521" s="33"/>
      <c r="F521" s="33"/>
    </row>
    <row r="522" ht="15.75" customHeight="1">
      <c r="C522" s="33"/>
      <c r="D522" s="33"/>
      <c r="E522" s="33"/>
      <c r="F522" s="33"/>
    </row>
    <row r="523" ht="15.75" customHeight="1">
      <c r="C523" s="33"/>
      <c r="D523" s="33"/>
      <c r="E523" s="33"/>
      <c r="F523" s="33"/>
    </row>
    <row r="524" ht="15.75" customHeight="1">
      <c r="C524" s="33"/>
      <c r="D524" s="33"/>
      <c r="E524" s="33"/>
      <c r="F524" s="33"/>
    </row>
    <row r="525" ht="15.75" customHeight="1">
      <c r="C525" s="33"/>
      <c r="D525" s="33"/>
      <c r="E525" s="33"/>
      <c r="F525" s="33"/>
    </row>
    <row r="526" ht="15.75" customHeight="1">
      <c r="C526" s="33"/>
      <c r="D526" s="33"/>
      <c r="E526" s="33"/>
      <c r="F526" s="33"/>
    </row>
    <row r="527" ht="15.75" customHeight="1">
      <c r="C527" s="33"/>
      <c r="D527" s="33"/>
      <c r="E527" s="33"/>
      <c r="F527" s="33"/>
    </row>
    <row r="528" ht="15.75" customHeight="1">
      <c r="C528" s="33"/>
      <c r="D528" s="33"/>
      <c r="E528" s="33"/>
      <c r="F528" s="33"/>
    </row>
    <row r="529" ht="15.75" customHeight="1">
      <c r="C529" s="33"/>
      <c r="D529" s="33"/>
      <c r="E529" s="33"/>
      <c r="F529" s="33"/>
    </row>
    <row r="530" ht="15.75" customHeight="1">
      <c r="C530" s="33"/>
      <c r="D530" s="33"/>
      <c r="E530" s="33"/>
      <c r="F530" s="33"/>
    </row>
    <row r="531" ht="15.75" customHeight="1">
      <c r="C531" s="33"/>
      <c r="D531" s="33"/>
      <c r="E531" s="33"/>
      <c r="F531" s="33"/>
    </row>
    <row r="532" ht="15.75" customHeight="1">
      <c r="C532" s="33"/>
      <c r="D532" s="33"/>
      <c r="E532" s="33"/>
      <c r="F532" s="33"/>
    </row>
    <row r="533" ht="15.75" customHeight="1">
      <c r="C533" s="33"/>
      <c r="D533" s="33"/>
      <c r="E533" s="33"/>
      <c r="F533" s="33"/>
    </row>
    <row r="534" ht="15.75" customHeight="1">
      <c r="C534" s="33"/>
      <c r="D534" s="33"/>
      <c r="E534" s="33"/>
      <c r="F534" s="33"/>
    </row>
    <row r="535" ht="15.75" customHeight="1">
      <c r="C535" s="33"/>
      <c r="D535" s="33"/>
      <c r="E535" s="33"/>
      <c r="F535" s="33"/>
    </row>
    <row r="536" ht="15.75" customHeight="1">
      <c r="C536" s="33"/>
      <c r="D536" s="33"/>
      <c r="E536" s="33"/>
      <c r="F536" s="33"/>
    </row>
    <row r="537" ht="15.75" customHeight="1">
      <c r="C537" s="33"/>
      <c r="D537" s="33"/>
      <c r="E537" s="33"/>
      <c r="F537" s="33"/>
    </row>
    <row r="538" ht="15.75" customHeight="1">
      <c r="C538" s="33"/>
      <c r="D538" s="33"/>
      <c r="E538" s="33"/>
      <c r="F538" s="33"/>
    </row>
    <row r="539" ht="15.75" customHeight="1">
      <c r="C539" s="33"/>
      <c r="D539" s="33"/>
      <c r="E539" s="33"/>
      <c r="F539" s="33"/>
    </row>
    <row r="540" ht="15.75" customHeight="1">
      <c r="C540" s="33"/>
      <c r="D540" s="33"/>
      <c r="E540" s="33"/>
      <c r="F540" s="33"/>
    </row>
    <row r="541" ht="15.75" customHeight="1">
      <c r="C541" s="33"/>
      <c r="D541" s="33"/>
      <c r="E541" s="33"/>
      <c r="F541" s="33"/>
    </row>
    <row r="542" ht="15.75" customHeight="1">
      <c r="C542" s="33"/>
      <c r="D542" s="33"/>
      <c r="E542" s="33"/>
      <c r="F542" s="33"/>
    </row>
    <row r="543" ht="15.75" customHeight="1">
      <c r="C543" s="33"/>
      <c r="D543" s="33"/>
      <c r="E543" s="33"/>
      <c r="F543" s="33"/>
    </row>
    <row r="544" ht="15.75" customHeight="1">
      <c r="C544" s="33"/>
      <c r="D544" s="33"/>
      <c r="E544" s="33"/>
      <c r="F544" s="33"/>
    </row>
    <row r="545" ht="15.75" customHeight="1">
      <c r="C545" s="33"/>
      <c r="D545" s="33"/>
      <c r="E545" s="33"/>
      <c r="F545" s="33"/>
    </row>
    <row r="546" ht="15.75" customHeight="1">
      <c r="C546" s="33"/>
      <c r="D546" s="33"/>
      <c r="E546" s="33"/>
      <c r="F546" s="33"/>
    </row>
    <row r="547" ht="15.75" customHeight="1">
      <c r="C547" s="33"/>
      <c r="D547" s="33"/>
      <c r="E547" s="33"/>
      <c r="F547" s="33"/>
    </row>
    <row r="548" ht="15.75" customHeight="1">
      <c r="C548" s="33"/>
      <c r="D548" s="33"/>
      <c r="E548" s="33"/>
      <c r="F548" s="33"/>
    </row>
    <row r="549" ht="15.75" customHeight="1">
      <c r="C549" s="33"/>
      <c r="D549" s="33"/>
      <c r="E549" s="33"/>
      <c r="F549" s="33"/>
    </row>
    <row r="550" ht="15.75" customHeight="1">
      <c r="C550" s="33"/>
      <c r="D550" s="33"/>
      <c r="E550" s="33"/>
      <c r="F550" s="33"/>
    </row>
    <row r="551" ht="15.75" customHeight="1">
      <c r="C551" s="33"/>
      <c r="D551" s="33"/>
      <c r="E551" s="33"/>
      <c r="F551" s="33"/>
    </row>
    <row r="552" ht="15.75" customHeight="1">
      <c r="C552" s="33"/>
      <c r="D552" s="33"/>
      <c r="E552" s="33"/>
      <c r="F552" s="33"/>
    </row>
    <row r="553" ht="15.75" customHeight="1">
      <c r="C553" s="33"/>
      <c r="D553" s="33"/>
      <c r="E553" s="33"/>
      <c r="F553" s="33"/>
    </row>
    <row r="554" ht="15.75" customHeight="1">
      <c r="C554" s="33"/>
      <c r="D554" s="33"/>
      <c r="E554" s="33"/>
      <c r="F554" s="33"/>
    </row>
    <row r="555" ht="15.75" customHeight="1">
      <c r="C555" s="33"/>
      <c r="D555" s="33"/>
      <c r="E555" s="33"/>
      <c r="F555" s="33"/>
    </row>
    <row r="556" ht="15.75" customHeight="1">
      <c r="C556" s="33"/>
      <c r="D556" s="33"/>
      <c r="E556" s="33"/>
      <c r="F556" s="33"/>
    </row>
    <row r="557" ht="15.75" customHeight="1">
      <c r="C557" s="33"/>
      <c r="D557" s="33"/>
      <c r="E557" s="33"/>
      <c r="F557" s="33"/>
    </row>
    <row r="558" ht="15.75" customHeight="1">
      <c r="C558" s="33"/>
      <c r="D558" s="33"/>
      <c r="E558" s="33"/>
      <c r="F558" s="33"/>
    </row>
    <row r="559" ht="15.75" customHeight="1">
      <c r="C559" s="33"/>
      <c r="D559" s="33"/>
      <c r="E559" s="33"/>
      <c r="F559" s="33"/>
    </row>
    <row r="560" ht="15.75" customHeight="1">
      <c r="C560" s="33"/>
      <c r="D560" s="33"/>
      <c r="E560" s="33"/>
      <c r="F560" s="33"/>
    </row>
    <row r="561" ht="15.75" customHeight="1">
      <c r="C561" s="33"/>
      <c r="D561" s="33"/>
      <c r="E561" s="33"/>
      <c r="F561" s="33"/>
    </row>
    <row r="562" ht="15.75" customHeight="1">
      <c r="C562" s="33"/>
      <c r="D562" s="33"/>
      <c r="E562" s="33"/>
      <c r="F562" s="33"/>
    </row>
    <row r="563" ht="15.75" customHeight="1">
      <c r="C563" s="33"/>
      <c r="D563" s="33"/>
      <c r="E563" s="33"/>
      <c r="F563" s="33"/>
    </row>
    <row r="564" ht="15.75" customHeight="1">
      <c r="C564" s="33"/>
      <c r="D564" s="33"/>
      <c r="E564" s="33"/>
      <c r="F564" s="33"/>
    </row>
    <row r="565" ht="15.75" customHeight="1">
      <c r="C565" s="33"/>
      <c r="D565" s="33"/>
      <c r="E565" s="33"/>
      <c r="F565" s="33"/>
    </row>
    <row r="566" ht="15.75" customHeight="1">
      <c r="C566" s="33"/>
      <c r="D566" s="33"/>
      <c r="E566" s="33"/>
      <c r="F566" s="33"/>
    </row>
    <row r="567" ht="15.75" customHeight="1">
      <c r="C567" s="33"/>
      <c r="D567" s="33"/>
      <c r="E567" s="33"/>
      <c r="F567" s="33"/>
    </row>
    <row r="568" ht="15.75" customHeight="1">
      <c r="C568" s="33"/>
      <c r="D568" s="33"/>
      <c r="E568" s="33"/>
      <c r="F568" s="33"/>
    </row>
    <row r="569" ht="15.75" customHeight="1">
      <c r="C569" s="33"/>
      <c r="D569" s="33"/>
      <c r="E569" s="33"/>
      <c r="F569" s="33"/>
    </row>
    <row r="570" ht="15.75" customHeight="1">
      <c r="C570" s="33"/>
      <c r="D570" s="33"/>
      <c r="E570" s="33"/>
      <c r="F570" s="33"/>
    </row>
    <row r="571" ht="15.75" customHeight="1">
      <c r="C571" s="33"/>
      <c r="D571" s="33"/>
      <c r="E571" s="33"/>
      <c r="F571" s="33"/>
    </row>
    <row r="572" ht="15.75" customHeight="1">
      <c r="C572" s="33"/>
      <c r="D572" s="33"/>
      <c r="E572" s="33"/>
      <c r="F572" s="33"/>
    </row>
    <row r="573" ht="15.75" customHeight="1">
      <c r="C573" s="33"/>
      <c r="D573" s="33"/>
      <c r="E573" s="33"/>
      <c r="F573" s="33"/>
    </row>
    <row r="574" ht="15.75" customHeight="1">
      <c r="C574" s="33"/>
      <c r="D574" s="33"/>
      <c r="E574" s="33"/>
      <c r="F574" s="33"/>
    </row>
    <row r="575" ht="15.75" customHeight="1">
      <c r="C575" s="33"/>
      <c r="D575" s="33"/>
      <c r="E575" s="33"/>
      <c r="F575" s="33"/>
    </row>
    <row r="576" ht="15.75" customHeight="1">
      <c r="C576" s="33"/>
      <c r="D576" s="33"/>
      <c r="E576" s="33"/>
      <c r="F576" s="33"/>
    </row>
    <row r="577" ht="15.75" customHeight="1">
      <c r="C577" s="33"/>
      <c r="D577" s="33"/>
      <c r="E577" s="33"/>
      <c r="F577" s="33"/>
    </row>
    <row r="578" ht="15.75" customHeight="1">
      <c r="C578" s="33"/>
      <c r="D578" s="33"/>
      <c r="E578" s="33"/>
      <c r="F578" s="33"/>
    </row>
    <row r="579" ht="15.75" customHeight="1">
      <c r="C579" s="33"/>
      <c r="D579" s="33"/>
      <c r="E579" s="33"/>
      <c r="F579" s="33"/>
    </row>
    <row r="580" ht="15.75" customHeight="1">
      <c r="C580" s="33"/>
      <c r="D580" s="33"/>
      <c r="E580" s="33"/>
      <c r="F580" s="33"/>
    </row>
    <row r="581" ht="15.75" customHeight="1">
      <c r="C581" s="33"/>
      <c r="D581" s="33"/>
      <c r="E581" s="33"/>
      <c r="F581" s="33"/>
    </row>
    <row r="582" ht="15.75" customHeight="1">
      <c r="C582" s="33"/>
      <c r="D582" s="33"/>
      <c r="E582" s="33"/>
      <c r="F582" s="33"/>
    </row>
    <row r="583" ht="15.75" customHeight="1">
      <c r="C583" s="33"/>
      <c r="D583" s="33"/>
      <c r="E583" s="33"/>
      <c r="F583" s="33"/>
    </row>
    <row r="584" ht="15.75" customHeight="1">
      <c r="C584" s="33"/>
      <c r="D584" s="33"/>
      <c r="E584" s="33"/>
      <c r="F584" s="33"/>
    </row>
    <row r="585" ht="15.75" customHeight="1">
      <c r="C585" s="33"/>
      <c r="D585" s="33"/>
      <c r="E585" s="33"/>
      <c r="F585" s="33"/>
    </row>
    <row r="586" ht="15.75" customHeight="1">
      <c r="C586" s="33"/>
      <c r="D586" s="33"/>
      <c r="E586" s="33"/>
      <c r="F586" s="33"/>
    </row>
    <row r="587" ht="15.75" customHeight="1">
      <c r="C587" s="33"/>
      <c r="D587" s="33"/>
      <c r="E587" s="33"/>
      <c r="F587" s="33"/>
    </row>
    <row r="588" ht="15.75" customHeight="1">
      <c r="C588" s="33"/>
      <c r="D588" s="33"/>
      <c r="E588" s="33"/>
      <c r="F588" s="33"/>
    </row>
    <row r="589" ht="15.75" customHeight="1">
      <c r="C589" s="33"/>
      <c r="D589" s="33"/>
      <c r="E589" s="33"/>
      <c r="F589" s="33"/>
    </row>
    <row r="590" ht="15.75" customHeight="1">
      <c r="C590" s="33"/>
      <c r="D590" s="33"/>
      <c r="E590" s="33"/>
      <c r="F590" s="33"/>
    </row>
    <row r="591" ht="15.75" customHeight="1">
      <c r="C591" s="33"/>
      <c r="D591" s="33"/>
      <c r="E591" s="33"/>
      <c r="F591" s="33"/>
    </row>
    <row r="592" ht="15.75" customHeight="1">
      <c r="C592" s="33"/>
      <c r="D592" s="33"/>
      <c r="E592" s="33"/>
      <c r="F592" s="33"/>
    </row>
    <row r="593" ht="15.75" customHeight="1">
      <c r="C593" s="33"/>
      <c r="D593" s="33"/>
      <c r="E593" s="33"/>
      <c r="F593" s="33"/>
    </row>
    <row r="594" ht="15.75" customHeight="1">
      <c r="C594" s="33"/>
      <c r="D594" s="33"/>
      <c r="E594" s="33"/>
      <c r="F594" s="33"/>
    </row>
    <row r="595" ht="15.75" customHeight="1">
      <c r="C595" s="33"/>
      <c r="D595" s="33"/>
      <c r="E595" s="33"/>
      <c r="F595" s="33"/>
    </row>
    <row r="596" ht="15.75" customHeight="1">
      <c r="C596" s="33"/>
      <c r="D596" s="33"/>
      <c r="E596" s="33"/>
      <c r="F596" s="33"/>
    </row>
    <row r="597" ht="15.75" customHeight="1">
      <c r="C597" s="33"/>
      <c r="D597" s="33"/>
      <c r="E597" s="33"/>
      <c r="F597" s="33"/>
    </row>
    <row r="598" ht="15.75" customHeight="1">
      <c r="C598" s="33"/>
      <c r="D598" s="33"/>
      <c r="E598" s="33"/>
      <c r="F598" s="33"/>
    </row>
    <row r="599" ht="15.75" customHeight="1">
      <c r="C599" s="33"/>
      <c r="D599" s="33"/>
      <c r="E599" s="33"/>
      <c r="F599" s="33"/>
    </row>
    <row r="600" ht="15.75" customHeight="1">
      <c r="C600" s="33"/>
      <c r="D600" s="33"/>
      <c r="E600" s="33"/>
      <c r="F600" s="33"/>
    </row>
    <row r="601" ht="15.75" customHeight="1">
      <c r="C601" s="33"/>
      <c r="D601" s="33"/>
      <c r="E601" s="33"/>
      <c r="F601" s="33"/>
    </row>
    <row r="602" ht="15.75" customHeight="1">
      <c r="C602" s="33"/>
      <c r="D602" s="33"/>
      <c r="E602" s="33"/>
      <c r="F602" s="33"/>
    </row>
    <row r="603" ht="15.75" customHeight="1">
      <c r="C603" s="33"/>
      <c r="D603" s="33"/>
      <c r="E603" s="33"/>
      <c r="F603" s="33"/>
    </row>
    <row r="604" ht="15.75" customHeight="1">
      <c r="C604" s="33"/>
      <c r="D604" s="33"/>
      <c r="E604" s="33"/>
      <c r="F604" s="33"/>
    </row>
    <row r="605" ht="15.75" customHeight="1">
      <c r="C605" s="33"/>
      <c r="D605" s="33"/>
      <c r="E605" s="33"/>
      <c r="F605" s="33"/>
    </row>
    <row r="606" ht="15.75" customHeight="1">
      <c r="C606" s="33"/>
      <c r="D606" s="33"/>
      <c r="E606" s="33"/>
      <c r="F606" s="33"/>
    </row>
    <row r="607" ht="15.75" customHeight="1">
      <c r="C607" s="33"/>
      <c r="D607" s="33"/>
      <c r="E607" s="33"/>
      <c r="F607" s="33"/>
    </row>
    <row r="608" ht="15.75" customHeight="1">
      <c r="C608" s="33"/>
      <c r="D608" s="33"/>
      <c r="E608" s="33"/>
      <c r="F608" s="33"/>
    </row>
    <row r="609" ht="15.75" customHeight="1">
      <c r="C609" s="33"/>
      <c r="D609" s="33"/>
      <c r="E609" s="33"/>
      <c r="F609" s="33"/>
    </row>
    <row r="610" ht="15.75" customHeight="1">
      <c r="C610" s="33"/>
      <c r="D610" s="33"/>
      <c r="E610" s="33"/>
      <c r="F610" s="33"/>
    </row>
    <row r="611" ht="15.75" customHeight="1">
      <c r="C611" s="33"/>
      <c r="D611" s="33"/>
      <c r="E611" s="33"/>
      <c r="F611" s="33"/>
    </row>
    <row r="612" ht="15.75" customHeight="1">
      <c r="C612" s="33"/>
      <c r="D612" s="33"/>
      <c r="E612" s="33"/>
      <c r="F612" s="33"/>
    </row>
    <row r="613" ht="15.75" customHeight="1">
      <c r="C613" s="33"/>
      <c r="D613" s="33"/>
      <c r="E613" s="33"/>
      <c r="F613" s="33"/>
    </row>
    <row r="614" ht="15.75" customHeight="1">
      <c r="C614" s="33"/>
      <c r="D614" s="33"/>
      <c r="E614" s="33"/>
      <c r="F614" s="33"/>
    </row>
    <row r="615" ht="15.75" customHeight="1">
      <c r="C615" s="33"/>
      <c r="D615" s="33"/>
      <c r="E615" s="33"/>
      <c r="F615" s="33"/>
    </row>
    <row r="616" ht="15.75" customHeight="1">
      <c r="C616" s="33"/>
      <c r="D616" s="33"/>
      <c r="E616" s="33"/>
      <c r="F616" s="33"/>
    </row>
    <row r="617" ht="15.75" customHeight="1">
      <c r="C617" s="33"/>
      <c r="D617" s="33"/>
      <c r="E617" s="33"/>
      <c r="F617" s="33"/>
    </row>
    <row r="618" ht="15.75" customHeight="1">
      <c r="C618" s="33"/>
      <c r="D618" s="33"/>
      <c r="E618" s="33"/>
      <c r="F618" s="33"/>
    </row>
    <row r="619" ht="15.75" customHeight="1">
      <c r="C619" s="33"/>
      <c r="D619" s="33"/>
      <c r="E619" s="33"/>
      <c r="F619" s="33"/>
    </row>
    <row r="620" ht="15.75" customHeight="1">
      <c r="C620" s="33"/>
      <c r="D620" s="33"/>
      <c r="E620" s="33"/>
      <c r="F620" s="33"/>
    </row>
    <row r="621" ht="15.75" customHeight="1">
      <c r="C621" s="33"/>
      <c r="D621" s="33"/>
      <c r="E621" s="33"/>
      <c r="F621" s="33"/>
    </row>
    <row r="622" ht="15.75" customHeight="1">
      <c r="C622" s="33"/>
      <c r="D622" s="33"/>
      <c r="E622" s="33"/>
      <c r="F622" s="33"/>
    </row>
    <row r="623" ht="15.75" customHeight="1">
      <c r="C623" s="33"/>
      <c r="D623" s="33"/>
      <c r="E623" s="33"/>
      <c r="F623" s="33"/>
    </row>
    <row r="624" ht="15.75" customHeight="1">
      <c r="C624" s="33"/>
      <c r="D624" s="33"/>
      <c r="E624" s="33"/>
      <c r="F624" s="33"/>
    </row>
    <row r="625" ht="15.75" customHeight="1">
      <c r="C625" s="33"/>
      <c r="D625" s="33"/>
      <c r="E625" s="33"/>
      <c r="F625" s="33"/>
    </row>
    <row r="626" ht="15.75" customHeight="1">
      <c r="C626" s="33"/>
      <c r="D626" s="33"/>
      <c r="E626" s="33"/>
      <c r="F626" s="33"/>
    </row>
    <row r="627" ht="15.75" customHeight="1">
      <c r="C627" s="33"/>
      <c r="D627" s="33"/>
      <c r="E627" s="33"/>
      <c r="F627" s="33"/>
    </row>
    <row r="628" ht="15.75" customHeight="1">
      <c r="C628" s="33"/>
      <c r="D628" s="33"/>
      <c r="E628" s="33"/>
      <c r="F628" s="33"/>
    </row>
    <row r="629" ht="15.75" customHeight="1">
      <c r="C629" s="33"/>
      <c r="D629" s="33"/>
      <c r="E629" s="33"/>
      <c r="F629" s="33"/>
    </row>
    <row r="630" ht="15.75" customHeight="1">
      <c r="C630" s="33"/>
      <c r="D630" s="33"/>
      <c r="E630" s="33"/>
      <c r="F630" s="33"/>
    </row>
    <row r="631" ht="15.75" customHeight="1">
      <c r="C631" s="33"/>
      <c r="D631" s="33"/>
      <c r="E631" s="33"/>
      <c r="F631" s="33"/>
    </row>
    <row r="632" ht="15.75" customHeight="1">
      <c r="C632" s="33"/>
      <c r="D632" s="33"/>
      <c r="E632" s="33"/>
      <c r="F632" s="33"/>
    </row>
    <row r="633" ht="15.75" customHeight="1">
      <c r="C633" s="33"/>
      <c r="D633" s="33"/>
      <c r="E633" s="33"/>
      <c r="F633" s="33"/>
    </row>
    <row r="634" ht="15.75" customHeight="1">
      <c r="C634" s="33"/>
      <c r="D634" s="33"/>
      <c r="E634" s="33"/>
      <c r="F634" s="33"/>
    </row>
    <row r="635" ht="15.75" customHeight="1">
      <c r="C635" s="33"/>
      <c r="D635" s="33"/>
      <c r="E635" s="33"/>
      <c r="F635" s="33"/>
    </row>
    <row r="636" ht="15.75" customHeight="1">
      <c r="C636" s="33"/>
      <c r="D636" s="33"/>
      <c r="E636" s="33"/>
      <c r="F636" s="33"/>
    </row>
    <row r="637" ht="15.75" customHeight="1">
      <c r="C637" s="33"/>
      <c r="D637" s="33"/>
      <c r="E637" s="33"/>
      <c r="F637" s="33"/>
    </row>
    <row r="638" ht="15.75" customHeight="1">
      <c r="C638" s="33"/>
      <c r="D638" s="33"/>
      <c r="E638" s="33"/>
      <c r="F638" s="33"/>
    </row>
    <row r="639" ht="15.75" customHeight="1">
      <c r="C639" s="33"/>
      <c r="D639" s="33"/>
      <c r="E639" s="33"/>
      <c r="F639" s="33"/>
    </row>
    <row r="640" ht="15.75" customHeight="1">
      <c r="C640" s="33"/>
      <c r="D640" s="33"/>
      <c r="E640" s="33"/>
      <c r="F640" s="33"/>
    </row>
    <row r="641" ht="15.75" customHeight="1">
      <c r="C641" s="33"/>
      <c r="D641" s="33"/>
      <c r="E641" s="33"/>
      <c r="F641" s="33"/>
    </row>
    <row r="642" ht="15.75" customHeight="1">
      <c r="C642" s="33"/>
      <c r="D642" s="33"/>
      <c r="E642" s="33"/>
      <c r="F642" s="33"/>
    </row>
    <row r="643" ht="15.75" customHeight="1">
      <c r="C643" s="33"/>
      <c r="D643" s="33"/>
      <c r="E643" s="33"/>
      <c r="F643" s="33"/>
    </row>
    <row r="644" ht="15.75" customHeight="1">
      <c r="C644" s="33"/>
      <c r="D644" s="33"/>
      <c r="E644" s="33"/>
      <c r="F644" s="33"/>
    </row>
    <row r="645" ht="15.75" customHeight="1">
      <c r="C645" s="33"/>
      <c r="D645" s="33"/>
      <c r="E645" s="33"/>
      <c r="F645" s="33"/>
    </row>
    <row r="646" ht="15.75" customHeight="1">
      <c r="C646" s="33"/>
      <c r="D646" s="33"/>
      <c r="E646" s="33"/>
      <c r="F646" s="33"/>
    </row>
    <row r="647" ht="15.75" customHeight="1">
      <c r="C647" s="33"/>
      <c r="D647" s="33"/>
      <c r="E647" s="33"/>
      <c r="F647" s="33"/>
    </row>
    <row r="648" ht="15.75" customHeight="1">
      <c r="C648" s="33"/>
      <c r="D648" s="33"/>
      <c r="E648" s="33"/>
      <c r="F648" s="33"/>
    </row>
    <row r="649" ht="15.75" customHeight="1">
      <c r="C649" s="33"/>
      <c r="D649" s="33"/>
      <c r="E649" s="33"/>
      <c r="F649" s="33"/>
    </row>
    <row r="650" ht="15.75" customHeight="1">
      <c r="C650" s="33"/>
      <c r="D650" s="33"/>
      <c r="E650" s="33"/>
      <c r="F650" s="33"/>
    </row>
    <row r="651" ht="15.75" customHeight="1">
      <c r="C651" s="33"/>
      <c r="D651" s="33"/>
      <c r="E651" s="33"/>
      <c r="F651" s="33"/>
    </row>
    <row r="652" ht="15.75" customHeight="1">
      <c r="C652" s="33"/>
      <c r="D652" s="33"/>
      <c r="E652" s="33"/>
      <c r="F652" s="33"/>
    </row>
    <row r="653" ht="15.75" customHeight="1">
      <c r="C653" s="33"/>
      <c r="D653" s="33"/>
      <c r="E653" s="33"/>
      <c r="F653" s="33"/>
    </row>
    <row r="654" ht="15.75" customHeight="1">
      <c r="C654" s="33"/>
      <c r="D654" s="33"/>
      <c r="E654" s="33"/>
      <c r="F654" s="33"/>
    </row>
    <row r="655" ht="15.75" customHeight="1">
      <c r="C655" s="33"/>
      <c r="D655" s="33"/>
      <c r="E655" s="33"/>
      <c r="F655" s="33"/>
    </row>
    <row r="656" ht="15.75" customHeight="1">
      <c r="C656" s="33"/>
      <c r="D656" s="33"/>
      <c r="E656" s="33"/>
      <c r="F656" s="33"/>
    </row>
    <row r="657" ht="15.75" customHeight="1">
      <c r="C657" s="33"/>
      <c r="D657" s="33"/>
      <c r="E657" s="33"/>
      <c r="F657" s="33"/>
    </row>
    <row r="658" ht="15.75" customHeight="1">
      <c r="C658" s="33"/>
      <c r="D658" s="33"/>
      <c r="E658" s="33"/>
      <c r="F658" s="33"/>
    </row>
    <row r="659" ht="15.75" customHeight="1">
      <c r="C659" s="33"/>
      <c r="D659" s="33"/>
      <c r="E659" s="33"/>
      <c r="F659" s="33"/>
    </row>
    <row r="660" ht="15.75" customHeight="1">
      <c r="C660" s="33"/>
      <c r="D660" s="33"/>
      <c r="E660" s="33"/>
      <c r="F660" s="33"/>
    </row>
    <row r="661" ht="15.75" customHeight="1">
      <c r="C661" s="33"/>
      <c r="D661" s="33"/>
      <c r="E661" s="33"/>
      <c r="F661" s="33"/>
    </row>
    <row r="662" ht="15.75" customHeight="1">
      <c r="C662" s="33"/>
      <c r="D662" s="33"/>
      <c r="E662" s="33"/>
      <c r="F662" s="33"/>
    </row>
    <row r="663" ht="15.75" customHeight="1">
      <c r="C663" s="33"/>
      <c r="D663" s="33"/>
      <c r="E663" s="33"/>
      <c r="F663" s="33"/>
    </row>
    <row r="664" ht="15.75" customHeight="1">
      <c r="C664" s="33"/>
      <c r="D664" s="33"/>
      <c r="E664" s="33"/>
      <c r="F664" s="33"/>
    </row>
    <row r="665" ht="15.75" customHeight="1">
      <c r="C665" s="33"/>
      <c r="D665" s="33"/>
      <c r="E665" s="33"/>
      <c r="F665" s="33"/>
    </row>
    <row r="666" ht="15.75" customHeight="1">
      <c r="C666" s="33"/>
      <c r="D666" s="33"/>
      <c r="E666" s="33"/>
      <c r="F666" s="33"/>
    </row>
    <row r="667" ht="15.75" customHeight="1">
      <c r="C667" s="33"/>
      <c r="D667" s="33"/>
      <c r="E667" s="33"/>
      <c r="F667" s="33"/>
    </row>
    <row r="668" ht="15.75" customHeight="1">
      <c r="C668" s="33"/>
      <c r="D668" s="33"/>
      <c r="E668" s="33"/>
      <c r="F668" s="33"/>
    </row>
    <row r="669" ht="15.75" customHeight="1">
      <c r="C669" s="33"/>
      <c r="D669" s="33"/>
      <c r="E669" s="33"/>
      <c r="F669" s="33"/>
    </row>
    <row r="670" ht="15.75" customHeight="1">
      <c r="C670" s="33"/>
      <c r="D670" s="33"/>
      <c r="E670" s="33"/>
      <c r="F670" s="33"/>
    </row>
    <row r="671" ht="15.75" customHeight="1">
      <c r="C671" s="33"/>
      <c r="D671" s="33"/>
      <c r="E671" s="33"/>
      <c r="F671" s="33"/>
    </row>
    <row r="672" ht="15.75" customHeight="1">
      <c r="C672" s="33"/>
      <c r="D672" s="33"/>
      <c r="E672" s="33"/>
      <c r="F672" s="33"/>
    </row>
    <row r="673" ht="15.75" customHeight="1">
      <c r="C673" s="33"/>
      <c r="D673" s="33"/>
      <c r="E673" s="33"/>
      <c r="F673" s="33"/>
    </row>
    <row r="674" ht="15.75" customHeight="1">
      <c r="C674" s="33"/>
      <c r="D674" s="33"/>
      <c r="E674" s="33"/>
      <c r="F674" s="33"/>
    </row>
    <row r="675" ht="15.75" customHeight="1">
      <c r="C675" s="33"/>
      <c r="D675" s="33"/>
      <c r="E675" s="33"/>
      <c r="F675" s="33"/>
    </row>
    <row r="676" ht="15.75" customHeight="1">
      <c r="C676" s="33"/>
      <c r="D676" s="33"/>
      <c r="E676" s="33"/>
      <c r="F676" s="33"/>
    </row>
    <row r="677" ht="15.75" customHeight="1">
      <c r="C677" s="33"/>
      <c r="D677" s="33"/>
      <c r="E677" s="33"/>
      <c r="F677" s="33"/>
    </row>
    <row r="678" ht="15.75" customHeight="1">
      <c r="C678" s="33"/>
      <c r="D678" s="33"/>
      <c r="E678" s="33"/>
      <c r="F678" s="33"/>
    </row>
    <row r="679" ht="15.75" customHeight="1">
      <c r="C679" s="33"/>
      <c r="D679" s="33"/>
      <c r="E679" s="33"/>
      <c r="F679" s="33"/>
    </row>
    <row r="680" ht="15.75" customHeight="1">
      <c r="C680" s="33"/>
      <c r="D680" s="33"/>
      <c r="E680" s="33"/>
      <c r="F680" s="33"/>
    </row>
    <row r="681" ht="15.75" customHeight="1">
      <c r="C681" s="33"/>
      <c r="D681" s="33"/>
      <c r="E681" s="33"/>
      <c r="F681" s="33"/>
    </row>
    <row r="682" ht="15.75" customHeight="1">
      <c r="C682" s="33"/>
      <c r="D682" s="33"/>
      <c r="E682" s="33"/>
      <c r="F682" s="33"/>
    </row>
    <row r="683" ht="15.75" customHeight="1">
      <c r="C683" s="33"/>
      <c r="D683" s="33"/>
      <c r="E683" s="33"/>
      <c r="F683" s="33"/>
    </row>
    <row r="684" ht="15.75" customHeight="1">
      <c r="C684" s="33"/>
      <c r="D684" s="33"/>
      <c r="E684" s="33"/>
      <c r="F684" s="33"/>
    </row>
    <row r="685" ht="15.75" customHeight="1">
      <c r="C685" s="33"/>
      <c r="D685" s="33"/>
      <c r="E685" s="33"/>
      <c r="F685" s="33"/>
    </row>
    <row r="686" ht="15.75" customHeight="1">
      <c r="C686" s="33"/>
      <c r="D686" s="33"/>
      <c r="E686" s="33"/>
      <c r="F686" s="33"/>
    </row>
    <row r="687" ht="15.75" customHeight="1">
      <c r="C687" s="33"/>
      <c r="D687" s="33"/>
      <c r="E687" s="33"/>
      <c r="F687" s="33"/>
    </row>
    <row r="688" ht="15.75" customHeight="1">
      <c r="C688" s="33"/>
      <c r="D688" s="33"/>
      <c r="E688" s="33"/>
      <c r="F688" s="33"/>
    </row>
    <row r="689" ht="15.75" customHeight="1">
      <c r="C689" s="33"/>
      <c r="D689" s="33"/>
      <c r="E689" s="33"/>
      <c r="F689" s="33"/>
    </row>
    <row r="690" ht="15.75" customHeight="1">
      <c r="C690" s="33"/>
      <c r="D690" s="33"/>
      <c r="E690" s="33"/>
      <c r="F690" s="33"/>
    </row>
    <row r="691" ht="15.75" customHeight="1">
      <c r="C691" s="33"/>
      <c r="D691" s="33"/>
      <c r="E691" s="33"/>
      <c r="F691" s="33"/>
    </row>
    <row r="692" ht="15.75" customHeight="1">
      <c r="C692" s="33"/>
      <c r="D692" s="33"/>
      <c r="E692" s="33"/>
      <c r="F692" s="33"/>
    </row>
    <row r="693" ht="15.75" customHeight="1">
      <c r="C693" s="33"/>
      <c r="D693" s="33"/>
      <c r="E693" s="33"/>
      <c r="F693" s="33"/>
    </row>
    <row r="694" ht="15.75" customHeight="1">
      <c r="C694" s="33"/>
      <c r="D694" s="33"/>
      <c r="E694" s="33"/>
      <c r="F694" s="33"/>
    </row>
    <row r="695" ht="15.75" customHeight="1">
      <c r="C695" s="33"/>
      <c r="D695" s="33"/>
      <c r="E695" s="33"/>
      <c r="F695" s="33"/>
    </row>
    <row r="696" ht="15.75" customHeight="1">
      <c r="C696" s="33"/>
      <c r="D696" s="33"/>
      <c r="E696" s="33"/>
      <c r="F696" s="33"/>
    </row>
    <row r="697" ht="15.75" customHeight="1">
      <c r="C697" s="33"/>
      <c r="D697" s="33"/>
      <c r="E697" s="33"/>
      <c r="F697" s="33"/>
    </row>
    <row r="698" ht="15.75" customHeight="1">
      <c r="C698" s="33"/>
      <c r="D698" s="33"/>
      <c r="E698" s="33"/>
      <c r="F698" s="33"/>
    </row>
    <row r="699" ht="15.75" customHeight="1">
      <c r="C699" s="33"/>
      <c r="D699" s="33"/>
      <c r="E699" s="33"/>
      <c r="F699" s="33"/>
    </row>
    <row r="700" ht="15.75" customHeight="1">
      <c r="C700" s="33"/>
      <c r="D700" s="33"/>
      <c r="E700" s="33"/>
      <c r="F700" s="33"/>
    </row>
    <row r="701" ht="15.75" customHeight="1">
      <c r="C701" s="33"/>
      <c r="D701" s="33"/>
      <c r="E701" s="33"/>
      <c r="F701" s="33"/>
    </row>
    <row r="702" ht="15.75" customHeight="1">
      <c r="C702" s="33"/>
      <c r="D702" s="33"/>
      <c r="E702" s="33"/>
      <c r="F702" s="33"/>
    </row>
    <row r="703" ht="15.75" customHeight="1">
      <c r="C703" s="33"/>
      <c r="D703" s="33"/>
      <c r="E703" s="33"/>
      <c r="F703" s="33"/>
    </row>
    <row r="704" ht="15.75" customHeight="1">
      <c r="C704" s="33"/>
      <c r="D704" s="33"/>
      <c r="E704" s="33"/>
      <c r="F704" s="33"/>
    </row>
    <row r="705" ht="15.75" customHeight="1">
      <c r="C705" s="33"/>
      <c r="D705" s="33"/>
      <c r="E705" s="33"/>
      <c r="F705" s="33"/>
    </row>
    <row r="706" ht="15.75" customHeight="1">
      <c r="C706" s="33"/>
      <c r="D706" s="33"/>
      <c r="E706" s="33"/>
      <c r="F706" s="33"/>
    </row>
    <row r="707" ht="15.75" customHeight="1">
      <c r="C707" s="33"/>
      <c r="D707" s="33"/>
      <c r="E707" s="33"/>
      <c r="F707" s="33"/>
    </row>
    <row r="708" ht="15.75" customHeight="1">
      <c r="C708" s="33"/>
      <c r="D708" s="33"/>
      <c r="E708" s="33"/>
      <c r="F708" s="33"/>
    </row>
    <row r="709" ht="15.75" customHeight="1">
      <c r="C709" s="33"/>
      <c r="D709" s="33"/>
      <c r="E709" s="33"/>
      <c r="F709" s="33"/>
    </row>
    <row r="710" ht="15.75" customHeight="1">
      <c r="C710" s="33"/>
      <c r="D710" s="33"/>
      <c r="E710" s="33"/>
      <c r="F710" s="33"/>
    </row>
    <row r="711" ht="15.75" customHeight="1">
      <c r="C711" s="33"/>
      <c r="D711" s="33"/>
      <c r="E711" s="33"/>
      <c r="F711" s="33"/>
    </row>
    <row r="712" ht="15.75" customHeight="1">
      <c r="C712" s="33"/>
      <c r="D712" s="33"/>
      <c r="E712" s="33"/>
      <c r="F712" s="33"/>
    </row>
    <row r="713" ht="15.75" customHeight="1">
      <c r="C713" s="33"/>
      <c r="D713" s="33"/>
      <c r="E713" s="33"/>
      <c r="F713" s="33"/>
    </row>
    <row r="714" ht="15.75" customHeight="1">
      <c r="C714" s="33"/>
      <c r="D714" s="33"/>
      <c r="E714" s="33"/>
      <c r="F714" s="33"/>
    </row>
    <row r="715" ht="15.75" customHeight="1">
      <c r="C715" s="33"/>
      <c r="D715" s="33"/>
      <c r="E715" s="33"/>
      <c r="F715" s="33"/>
    </row>
    <row r="716" ht="15.75" customHeight="1">
      <c r="C716" s="33"/>
      <c r="D716" s="33"/>
      <c r="E716" s="33"/>
      <c r="F716" s="33"/>
    </row>
    <row r="717" ht="15.75" customHeight="1">
      <c r="C717" s="33"/>
      <c r="D717" s="33"/>
      <c r="E717" s="33"/>
      <c r="F717" s="33"/>
    </row>
    <row r="718" ht="15.75" customHeight="1">
      <c r="C718" s="33"/>
      <c r="D718" s="33"/>
      <c r="E718" s="33"/>
      <c r="F718" s="33"/>
    </row>
    <row r="719" ht="15.75" customHeight="1">
      <c r="C719" s="33"/>
      <c r="D719" s="33"/>
      <c r="E719" s="33"/>
      <c r="F719" s="33"/>
    </row>
    <row r="720" ht="15.75" customHeight="1">
      <c r="C720" s="33"/>
      <c r="D720" s="33"/>
      <c r="E720" s="33"/>
      <c r="F720" s="33"/>
    </row>
    <row r="721" ht="15.75" customHeight="1">
      <c r="C721" s="33"/>
      <c r="D721" s="33"/>
      <c r="E721" s="33"/>
      <c r="F721" s="33"/>
    </row>
    <row r="722" ht="15.75" customHeight="1">
      <c r="C722" s="33"/>
      <c r="D722" s="33"/>
      <c r="E722" s="33"/>
      <c r="F722" s="33"/>
    </row>
    <row r="723" ht="15.75" customHeight="1">
      <c r="C723" s="33"/>
      <c r="D723" s="33"/>
      <c r="E723" s="33"/>
      <c r="F723" s="33"/>
    </row>
    <row r="724" ht="15.75" customHeight="1">
      <c r="C724" s="33"/>
      <c r="D724" s="33"/>
      <c r="E724" s="33"/>
      <c r="F724" s="33"/>
    </row>
    <row r="725" ht="15.75" customHeight="1">
      <c r="C725" s="33"/>
      <c r="D725" s="33"/>
      <c r="E725" s="33"/>
      <c r="F725" s="33"/>
    </row>
    <row r="726" ht="15.75" customHeight="1">
      <c r="C726" s="33"/>
      <c r="D726" s="33"/>
      <c r="E726" s="33"/>
      <c r="F726" s="33"/>
    </row>
    <row r="727" ht="15.75" customHeight="1">
      <c r="C727" s="33"/>
      <c r="D727" s="33"/>
      <c r="E727" s="33"/>
      <c r="F727" s="33"/>
    </row>
    <row r="728" ht="15.75" customHeight="1">
      <c r="C728" s="33"/>
      <c r="D728" s="33"/>
      <c r="E728" s="33"/>
      <c r="F728" s="33"/>
    </row>
    <row r="729" ht="15.75" customHeight="1">
      <c r="C729" s="33"/>
      <c r="D729" s="33"/>
      <c r="E729" s="33"/>
      <c r="F729" s="33"/>
    </row>
    <row r="730" ht="15.75" customHeight="1">
      <c r="C730" s="33"/>
      <c r="D730" s="33"/>
      <c r="E730" s="33"/>
      <c r="F730" s="33"/>
    </row>
    <row r="731" ht="15.75" customHeight="1">
      <c r="C731" s="33"/>
      <c r="D731" s="33"/>
      <c r="E731" s="33"/>
      <c r="F731" s="33"/>
    </row>
    <row r="732" ht="15.75" customHeight="1">
      <c r="C732" s="33"/>
      <c r="D732" s="33"/>
      <c r="E732" s="33"/>
      <c r="F732" s="33"/>
    </row>
    <row r="733" ht="15.75" customHeight="1">
      <c r="C733" s="33"/>
      <c r="D733" s="33"/>
      <c r="E733" s="33"/>
      <c r="F733" s="33"/>
    </row>
    <row r="734" ht="15.75" customHeight="1">
      <c r="C734" s="33"/>
      <c r="D734" s="33"/>
      <c r="E734" s="33"/>
      <c r="F734" s="33"/>
    </row>
    <row r="735" ht="15.75" customHeight="1">
      <c r="C735" s="33"/>
      <c r="D735" s="33"/>
      <c r="E735" s="33"/>
      <c r="F735" s="33"/>
    </row>
    <row r="736" ht="15.75" customHeight="1">
      <c r="C736" s="33"/>
      <c r="D736" s="33"/>
      <c r="E736" s="33"/>
      <c r="F736" s="33"/>
    </row>
    <row r="737" ht="15.75" customHeight="1">
      <c r="C737" s="33"/>
      <c r="D737" s="33"/>
      <c r="E737" s="33"/>
      <c r="F737" s="33"/>
    </row>
    <row r="738" ht="15.75" customHeight="1">
      <c r="C738" s="33"/>
      <c r="D738" s="33"/>
      <c r="E738" s="33"/>
      <c r="F738" s="33"/>
    </row>
    <row r="739" ht="15.75" customHeight="1">
      <c r="C739" s="33"/>
      <c r="D739" s="33"/>
      <c r="E739" s="33"/>
      <c r="F739" s="33"/>
    </row>
    <row r="740" ht="15.75" customHeight="1">
      <c r="C740" s="33"/>
      <c r="D740" s="33"/>
      <c r="E740" s="33"/>
      <c r="F740" s="33"/>
    </row>
    <row r="741" ht="15.75" customHeight="1">
      <c r="C741" s="33"/>
      <c r="D741" s="33"/>
      <c r="E741" s="33"/>
      <c r="F741" s="33"/>
    </row>
    <row r="742" ht="15.75" customHeight="1">
      <c r="C742" s="33"/>
      <c r="D742" s="33"/>
      <c r="E742" s="33"/>
      <c r="F742" s="33"/>
    </row>
    <row r="743" ht="15.75" customHeight="1">
      <c r="C743" s="33"/>
      <c r="D743" s="33"/>
      <c r="E743" s="33"/>
      <c r="F743" s="33"/>
    </row>
    <row r="744" ht="15.75" customHeight="1">
      <c r="C744" s="33"/>
      <c r="D744" s="33"/>
      <c r="E744" s="33"/>
      <c r="F744" s="33"/>
    </row>
    <row r="745" ht="15.75" customHeight="1">
      <c r="C745" s="33"/>
      <c r="D745" s="33"/>
      <c r="E745" s="33"/>
      <c r="F745" s="33"/>
    </row>
    <row r="746" ht="15.75" customHeight="1">
      <c r="C746" s="33"/>
      <c r="D746" s="33"/>
      <c r="E746" s="33"/>
      <c r="F746" s="33"/>
    </row>
    <row r="747" ht="15.75" customHeight="1">
      <c r="C747" s="33"/>
      <c r="D747" s="33"/>
      <c r="E747" s="33"/>
      <c r="F747" s="33"/>
    </row>
    <row r="748" ht="15.75" customHeight="1">
      <c r="C748" s="33"/>
      <c r="D748" s="33"/>
      <c r="E748" s="33"/>
      <c r="F748" s="33"/>
    </row>
    <row r="749" ht="15.75" customHeight="1">
      <c r="C749" s="33"/>
      <c r="D749" s="33"/>
      <c r="E749" s="33"/>
      <c r="F749" s="33"/>
    </row>
    <row r="750" ht="15.75" customHeight="1">
      <c r="C750" s="33"/>
      <c r="D750" s="33"/>
      <c r="E750" s="33"/>
      <c r="F750" s="33"/>
    </row>
    <row r="751" ht="15.75" customHeight="1">
      <c r="C751" s="33"/>
      <c r="D751" s="33"/>
      <c r="E751" s="33"/>
      <c r="F751" s="33"/>
    </row>
    <row r="752" ht="15.75" customHeight="1">
      <c r="C752" s="33"/>
      <c r="D752" s="33"/>
      <c r="E752" s="33"/>
      <c r="F752" s="33"/>
    </row>
    <row r="753" ht="15.75" customHeight="1">
      <c r="C753" s="33"/>
      <c r="D753" s="33"/>
      <c r="E753" s="33"/>
      <c r="F753" s="33"/>
    </row>
    <row r="754" ht="15.75" customHeight="1">
      <c r="C754" s="33"/>
      <c r="D754" s="33"/>
      <c r="E754" s="33"/>
      <c r="F754" s="33"/>
    </row>
    <row r="755" ht="15.75" customHeight="1">
      <c r="C755" s="33"/>
      <c r="D755" s="33"/>
      <c r="E755" s="33"/>
      <c r="F755" s="33"/>
    </row>
    <row r="756" ht="15.75" customHeight="1">
      <c r="C756" s="33"/>
      <c r="D756" s="33"/>
      <c r="E756" s="33"/>
      <c r="F756" s="33"/>
    </row>
    <row r="757" ht="15.75" customHeight="1">
      <c r="C757" s="33"/>
      <c r="D757" s="33"/>
      <c r="E757" s="33"/>
      <c r="F757" s="33"/>
    </row>
    <row r="758" ht="15.75" customHeight="1">
      <c r="C758" s="33"/>
      <c r="D758" s="33"/>
      <c r="E758" s="33"/>
      <c r="F758" s="33"/>
    </row>
    <row r="759" ht="15.75" customHeight="1">
      <c r="C759" s="33"/>
      <c r="D759" s="33"/>
      <c r="E759" s="33"/>
      <c r="F759" s="33"/>
    </row>
    <row r="760" ht="15.75" customHeight="1">
      <c r="C760" s="33"/>
      <c r="D760" s="33"/>
      <c r="E760" s="33"/>
      <c r="F760" s="33"/>
    </row>
    <row r="761" ht="15.75" customHeight="1">
      <c r="C761" s="33"/>
      <c r="D761" s="33"/>
      <c r="E761" s="33"/>
      <c r="F761" s="33"/>
    </row>
    <row r="762" ht="15.75" customHeight="1">
      <c r="C762" s="33"/>
      <c r="D762" s="33"/>
      <c r="E762" s="33"/>
      <c r="F762" s="33"/>
    </row>
    <row r="763" ht="15.75" customHeight="1">
      <c r="C763" s="33"/>
      <c r="D763" s="33"/>
      <c r="E763" s="33"/>
      <c r="F763" s="33"/>
    </row>
    <row r="764" ht="15.75" customHeight="1">
      <c r="C764" s="33"/>
      <c r="D764" s="33"/>
      <c r="E764" s="33"/>
      <c r="F764" s="33"/>
    </row>
    <row r="765" ht="15.75" customHeight="1">
      <c r="C765" s="33"/>
      <c r="D765" s="33"/>
      <c r="E765" s="33"/>
      <c r="F765" s="33"/>
    </row>
    <row r="766" ht="15.75" customHeight="1">
      <c r="C766" s="33"/>
      <c r="D766" s="33"/>
      <c r="E766" s="33"/>
      <c r="F766" s="33"/>
    </row>
    <row r="767" ht="15.75" customHeight="1">
      <c r="C767" s="33"/>
      <c r="D767" s="33"/>
      <c r="E767" s="33"/>
      <c r="F767" s="33"/>
    </row>
    <row r="768" ht="15.75" customHeight="1">
      <c r="C768" s="33"/>
      <c r="D768" s="33"/>
      <c r="E768" s="33"/>
      <c r="F768" s="33"/>
    </row>
    <row r="769" ht="15.75" customHeight="1">
      <c r="C769" s="33"/>
      <c r="D769" s="33"/>
      <c r="E769" s="33"/>
      <c r="F769" s="33"/>
    </row>
    <row r="770" ht="15.75" customHeight="1">
      <c r="C770" s="33"/>
      <c r="D770" s="33"/>
      <c r="E770" s="33"/>
      <c r="F770" s="33"/>
    </row>
    <row r="771" ht="15.75" customHeight="1">
      <c r="C771" s="33"/>
      <c r="D771" s="33"/>
      <c r="E771" s="33"/>
      <c r="F771" s="33"/>
    </row>
    <row r="772" ht="15.75" customHeight="1">
      <c r="C772" s="33"/>
      <c r="D772" s="33"/>
      <c r="E772" s="33"/>
      <c r="F772" s="33"/>
    </row>
    <row r="773" ht="15.75" customHeight="1">
      <c r="C773" s="33"/>
      <c r="D773" s="33"/>
      <c r="E773" s="33"/>
      <c r="F773" s="33"/>
    </row>
    <row r="774" ht="15.75" customHeight="1">
      <c r="C774" s="33"/>
      <c r="D774" s="33"/>
      <c r="E774" s="33"/>
      <c r="F774" s="33"/>
    </row>
    <row r="775" ht="15.75" customHeight="1">
      <c r="C775" s="33"/>
      <c r="D775" s="33"/>
      <c r="E775" s="33"/>
      <c r="F775" s="33"/>
    </row>
    <row r="776" ht="15.75" customHeight="1">
      <c r="C776" s="33"/>
      <c r="D776" s="33"/>
      <c r="E776" s="33"/>
      <c r="F776" s="33"/>
    </row>
    <row r="777" ht="15.75" customHeight="1">
      <c r="C777" s="33"/>
      <c r="D777" s="33"/>
      <c r="E777" s="33"/>
      <c r="F777" s="33"/>
    </row>
    <row r="778" ht="15.75" customHeight="1">
      <c r="C778" s="33"/>
      <c r="D778" s="33"/>
      <c r="E778" s="33"/>
      <c r="F778" s="33"/>
    </row>
    <row r="779" ht="15.75" customHeight="1">
      <c r="C779" s="33"/>
      <c r="D779" s="33"/>
      <c r="E779" s="33"/>
      <c r="F779" s="33"/>
    </row>
    <row r="780" ht="15.75" customHeight="1">
      <c r="C780" s="33"/>
      <c r="D780" s="33"/>
      <c r="E780" s="33"/>
      <c r="F780" s="33"/>
    </row>
    <row r="781" ht="15.75" customHeight="1">
      <c r="C781" s="33"/>
      <c r="D781" s="33"/>
      <c r="E781" s="33"/>
      <c r="F781" s="33"/>
    </row>
    <row r="782" ht="15.75" customHeight="1">
      <c r="C782" s="33"/>
      <c r="D782" s="33"/>
      <c r="E782" s="33"/>
      <c r="F782" s="33"/>
    </row>
    <row r="783" ht="15.75" customHeight="1">
      <c r="C783" s="33"/>
      <c r="D783" s="33"/>
      <c r="E783" s="33"/>
      <c r="F783" s="33"/>
    </row>
    <row r="784" ht="15.75" customHeight="1">
      <c r="C784" s="33"/>
      <c r="D784" s="33"/>
      <c r="E784" s="33"/>
      <c r="F784" s="33"/>
    </row>
    <row r="785" ht="15.75" customHeight="1">
      <c r="C785" s="33"/>
      <c r="D785" s="33"/>
      <c r="E785" s="33"/>
      <c r="F785" s="33"/>
    </row>
    <row r="786" ht="15.75" customHeight="1">
      <c r="C786" s="33"/>
      <c r="D786" s="33"/>
      <c r="E786" s="33"/>
      <c r="F786" s="33"/>
    </row>
    <row r="787" ht="15.75" customHeight="1">
      <c r="C787" s="33"/>
      <c r="D787" s="33"/>
      <c r="E787" s="33"/>
      <c r="F787" s="33"/>
    </row>
    <row r="788" ht="15.75" customHeight="1">
      <c r="C788" s="33"/>
      <c r="D788" s="33"/>
      <c r="E788" s="33"/>
      <c r="F788" s="33"/>
    </row>
    <row r="789" ht="15.75" customHeight="1">
      <c r="C789" s="33"/>
      <c r="D789" s="33"/>
      <c r="E789" s="33"/>
      <c r="F789" s="33"/>
    </row>
    <row r="790" ht="15.75" customHeight="1">
      <c r="C790" s="33"/>
      <c r="D790" s="33"/>
      <c r="E790" s="33"/>
      <c r="F790" s="33"/>
    </row>
    <row r="791" ht="15.75" customHeight="1">
      <c r="C791" s="33"/>
      <c r="D791" s="33"/>
      <c r="E791" s="33"/>
      <c r="F791" s="33"/>
    </row>
    <row r="792" ht="15.75" customHeight="1">
      <c r="C792" s="33"/>
      <c r="D792" s="33"/>
      <c r="E792" s="33"/>
      <c r="F792" s="33"/>
    </row>
    <row r="793" ht="15.75" customHeight="1">
      <c r="C793" s="33"/>
      <c r="D793" s="33"/>
      <c r="E793" s="33"/>
      <c r="F793" s="33"/>
    </row>
    <row r="794" ht="15.75" customHeight="1">
      <c r="C794" s="33"/>
      <c r="D794" s="33"/>
      <c r="E794" s="33"/>
      <c r="F794" s="33"/>
    </row>
    <row r="795" ht="15.75" customHeight="1">
      <c r="C795" s="33"/>
      <c r="D795" s="33"/>
      <c r="E795" s="33"/>
      <c r="F795" s="33"/>
    </row>
    <row r="796" ht="15.75" customHeight="1">
      <c r="C796" s="33"/>
      <c r="D796" s="33"/>
      <c r="E796" s="33"/>
      <c r="F796" s="33"/>
    </row>
    <row r="797" ht="15.75" customHeight="1">
      <c r="C797" s="33"/>
      <c r="D797" s="33"/>
      <c r="E797" s="33"/>
      <c r="F797" s="33"/>
    </row>
    <row r="798" ht="15.75" customHeight="1">
      <c r="C798" s="33"/>
      <c r="D798" s="33"/>
      <c r="E798" s="33"/>
      <c r="F798" s="33"/>
    </row>
    <row r="799" ht="15.75" customHeight="1">
      <c r="C799" s="33"/>
      <c r="D799" s="33"/>
      <c r="E799" s="33"/>
      <c r="F799" s="33"/>
    </row>
    <row r="800" ht="15.75" customHeight="1">
      <c r="C800" s="33"/>
      <c r="D800" s="33"/>
      <c r="E800" s="33"/>
      <c r="F800" s="33"/>
    </row>
    <row r="801" ht="15.75" customHeight="1">
      <c r="C801" s="33"/>
      <c r="D801" s="33"/>
      <c r="E801" s="33"/>
      <c r="F801" s="33"/>
    </row>
    <row r="802" ht="15.75" customHeight="1">
      <c r="C802" s="33"/>
      <c r="D802" s="33"/>
      <c r="E802" s="33"/>
      <c r="F802" s="33"/>
    </row>
    <row r="803" ht="15.75" customHeight="1">
      <c r="C803" s="33"/>
      <c r="D803" s="33"/>
      <c r="E803" s="33"/>
      <c r="F803" s="33"/>
    </row>
    <row r="804" ht="15.75" customHeight="1">
      <c r="C804" s="33"/>
      <c r="D804" s="33"/>
      <c r="E804" s="33"/>
      <c r="F804" s="33"/>
    </row>
    <row r="805" ht="15.75" customHeight="1">
      <c r="C805" s="33"/>
      <c r="D805" s="33"/>
      <c r="E805" s="33"/>
      <c r="F805" s="33"/>
    </row>
    <row r="806" ht="15.75" customHeight="1">
      <c r="C806" s="33"/>
      <c r="D806" s="33"/>
      <c r="E806" s="33"/>
      <c r="F806" s="33"/>
    </row>
    <row r="807" ht="15.75" customHeight="1">
      <c r="C807" s="33"/>
      <c r="D807" s="33"/>
      <c r="E807" s="33"/>
      <c r="F807" s="33"/>
    </row>
    <row r="808" ht="15.75" customHeight="1">
      <c r="C808" s="33"/>
      <c r="D808" s="33"/>
      <c r="E808" s="33"/>
      <c r="F808" s="33"/>
    </row>
    <row r="809" ht="15.75" customHeight="1">
      <c r="C809" s="33"/>
      <c r="D809" s="33"/>
      <c r="E809" s="33"/>
      <c r="F809" s="33"/>
    </row>
    <row r="810" ht="15.75" customHeight="1">
      <c r="C810" s="33"/>
      <c r="D810" s="33"/>
      <c r="E810" s="33"/>
      <c r="F810" s="33"/>
    </row>
    <row r="811" ht="15.75" customHeight="1">
      <c r="C811" s="33"/>
      <c r="D811" s="33"/>
      <c r="E811" s="33"/>
      <c r="F811" s="33"/>
    </row>
    <row r="812" ht="15.75" customHeight="1">
      <c r="C812" s="33"/>
      <c r="D812" s="33"/>
      <c r="E812" s="33"/>
      <c r="F812" s="33"/>
    </row>
    <row r="813" ht="15.75" customHeight="1">
      <c r="C813" s="33"/>
      <c r="D813" s="33"/>
      <c r="E813" s="33"/>
      <c r="F813" s="33"/>
    </row>
    <row r="814" ht="15.75" customHeight="1">
      <c r="C814" s="33"/>
      <c r="D814" s="33"/>
      <c r="E814" s="33"/>
      <c r="F814" s="33"/>
    </row>
    <row r="815" ht="15.75" customHeight="1">
      <c r="C815" s="33"/>
      <c r="D815" s="33"/>
      <c r="E815" s="33"/>
      <c r="F815" s="33"/>
    </row>
    <row r="816" ht="15.75" customHeight="1">
      <c r="C816" s="33"/>
      <c r="D816" s="33"/>
      <c r="E816" s="33"/>
      <c r="F816" s="33"/>
    </row>
    <row r="817" ht="15.75" customHeight="1">
      <c r="C817" s="33"/>
      <c r="D817" s="33"/>
      <c r="E817" s="33"/>
      <c r="F817" s="33"/>
    </row>
    <row r="818" ht="15.75" customHeight="1">
      <c r="C818" s="33"/>
      <c r="D818" s="33"/>
      <c r="E818" s="33"/>
      <c r="F818" s="33"/>
    </row>
    <row r="819" ht="15.75" customHeight="1">
      <c r="C819" s="33"/>
      <c r="D819" s="33"/>
      <c r="E819" s="33"/>
      <c r="F819" s="33"/>
    </row>
    <row r="820" ht="15.75" customHeight="1">
      <c r="C820" s="33"/>
      <c r="D820" s="33"/>
      <c r="E820" s="33"/>
      <c r="F820" s="33"/>
    </row>
    <row r="821" ht="15.75" customHeight="1">
      <c r="C821" s="33"/>
      <c r="D821" s="33"/>
      <c r="E821" s="33"/>
      <c r="F821" s="33"/>
    </row>
    <row r="822" ht="15.75" customHeight="1">
      <c r="C822" s="33"/>
      <c r="D822" s="33"/>
      <c r="E822" s="33"/>
      <c r="F822" s="33"/>
    </row>
    <row r="823" ht="15.75" customHeight="1">
      <c r="C823" s="33"/>
      <c r="D823" s="33"/>
      <c r="E823" s="33"/>
      <c r="F823" s="33"/>
    </row>
    <row r="824" ht="15.75" customHeight="1">
      <c r="C824" s="33"/>
      <c r="D824" s="33"/>
      <c r="E824" s="33"/>
      <c r="F824" s="33"/>
    </row>
    <row r="825" ht="15.75" customHeight="1">
      <c r="C825" s="33"/>
      <c r="D825" s="33"/>
      <c r="E825" s="33"/>
      <c r="F825" s="33"/>
    </row>
    <row r="826" ht="15.75" customHeight="1">
      <c r="C826" s="33"/>
      <c r="D826" s="33"/>
      <c r="E826" s="33"/>
      <c r="F826" s="33"/>
    </row>
    <row r="827" ht="15.75" customHeight="1">
      <c r="C827" s="33"/>
      <c r="D827" s="33"/>
      <c r="E827" s="33"/>
      <c r="F827" s="33"/>
    </row>
    <row r="828" ht="15.75" customHeight="1">
      <c r="C828" s="33"/>
      <c r="D828" s="33"/>
      <c r="E828" s="33"/>
      <c r="F828" s="33"/>
    </row>
    <row r="829" ht="15.75" customHeight="1">
      <c r="C829" s="33"/>
      <c r="D829" s="33"/>
      <c r="E829" s="33"/>
      <c r="F829" s="33"/>
    </row>
    <row r="830" ht="15.75" customHeight="1">
      <c r="C830" s="33"/>
      <c r="D830" s="33"/>
      <c r="E830" s="33"/>
      <c r="F830" s="33"/>
    </row>
    <row r="831" ht="15.75" customHeight="1">
      <c r="C831" s="33"/>
      <c r="D831" s="33"/>
      <c r="E831" s="33"/>
      <c r="F831" s="33"/>
    </row>
    <row r="832" ht="15.75" customHeight="1">
      <c r="C832" s="33"/>
      <c r="D832" s="33"/>
      <c r="E832" s="33"/>
      <c r="F832" s="33"/>
    </row>
    <row r="833" ht="15.75" customHeight="1">
      <c r="C833" s="33"/>
      <c r="D833" s="33"/>
      <c r="E833" s="33"/>
      <c r="F833" s="33"/>
    </row>
    <row r="834" ht="15.75" customHeight="1">
      <c r="C834" s="33"/>
      <c r="D834" s="33"/>
      <c r="E834" s="33"/>
      <c r="F834" s="33"/>
    </row>
    <row r="835" ht="15.75" customHeight="1">
      <c r="C835" s="33"/>
      <c r="D835" s="33"/>
      <c r="E835" s="33"/>
      <c r="F835" s="33"/>
    </row>
    <row r="836" ht="15.75" customHeight="1">
      <c r="C836" s="33"/>
      <c r="D836" s="33"/>
      <c r="E836" s="33"/>
      <c r="F836" s="33"/>
    </row>
    <row r="837" ht="15.75" customHeight="1">
      <c r="C837" s="33"/>
      <c r="D837" s="33"/>
      <c r="E837" s="33"/>
      <c r="F837" s="33"/>
    </row>
    <row r="838" ht="15.75" customHeight="1">
      <c r="C838" s="33"/>
      <c r="D838" s="33"/>
      <c r="E838" s="33"/>
      <c r="F838" s="33"/>
    </row>
    <row r="839" ht="15.75" customHeight="1">
      <c r="C839" s="33"/>
      <c r="D839" s="33"/>
      <c r="E839" s="33"/>
      <c r="F839" s="33"/>
    </row>
    <row r="840" ht="15.75" customHeight="1">
      <c r="C840" s="33"/>
      <c r="D840" s="33"/>
      <c r="E840" s="33"/>
      <c r="F840" s="33"/>
    </row>
    <row r="841" ht="15.75" customHeight="1">
      <c r="C841" s="33"/>
      <c r="D841" s="33"/>
      <c r="E841" s="33"/>
      <c r="F841" s="33"/>
    </row>
    <row r="842" ht="15.75" customHeight="1">
      <c r="C842" s="33"/>
      <c r="D842" s="33"/>
      <c r="E842" s="33"/>
      <c r="F842" s="33"/>
    </row>
    <row r="843" ht="15.75" customHeight="1">
      <c r="C843" s="33"/>
      <c r="D843" s="33"/>
      <c r="E843" s="33"/>
      <c r="F843" s="33"/>
    </row>
    <row r="844" ht="15.75" customHeight="1">
      <c r="C844" s="33"/>
      <c r="D844" s="33"/>
      <c r="E844" s="33"/>
      <c r="F844" s="33"/>
    </row>
    <row r="845" ht="15.75" customHeight="1">
      <c r="C845" s="33"/>
      <c r="D845" s="33"/>
      <c r="E845" s="33"/>
      <c r="F845" s="33"/>
    </row>
    <row r="846" ht="15.75" customHeight="1">
      <c r="C846" s="33"/>
      <c r="D846" s="33"/>
      <c r="E846" s="33"/>
      <c r="F846" s="33"/>
    </row>
    <row r="847" ht="15.75" customHeight="1">
      <c r="C847" s="33"/>
      <c r="D847" s="33"/>
      <c r="E847" s="33"/>
      <c r="F847" s="33"/>
    </row>
    <row r="848" ht="15.75" customHeight="1">
      <c r="C848" s="33"/>
      <c r="D848" s="33"/>
      <c r="E848" s="33"/>
      <c r="F848" s="33"/>
    </row>
    <row r="849" ht="15.75" customHeight="1">
      <c r="C849" s="33"/>
      <c r="D849" s="33"/>
      <c r="E849" s="33"/>
      <c r="F849" s="33"/>
    </row>
    <row r="850" ht="15.75" customHeight="1">
      <c r="C850" s="33"/>
      <c r="D850" s="33"/>
      <c r="E850" s="33"/>
      <c r="F850" s="33"/>
    </row>
    <row r="851" ht="15.75" customHeight="1">
      <c r="C851" s="33"/>
      <c r="D851" s="33"/>
      <c r="E851" s="33"/>
      <c r="F851" s="33"/>
    </row>
    <row r="852" ht="15.75" customHeight="1">
      <c r="C852" s="33"/>
      <c r="D852" s="33"/>
      <c r="E852" s="33"/>
      <c r="F852" s="33"/>
    </row>
    <row r="853" ht="15.75" customHeight="1">
      <c r="C853" s="33"/>
      <c r="D853" s="33"/>
      <c r="E853" s="33"/>
      <c r="F853" s="33"/>
    </row>
    <row r="854" ht="15.75" customHeight="1">
      <c r="C854" s="33"/>
      <c r="D854" s="33"/>
      <c r="E854" s="33"/>
      <c r="F854" s="33"/>
    </row>
    <row r="855" ht="15.75" customHeight="1">
      <c r="C855" s="33"/>
      <c r="D855" s="33"/>
      <c r="E855" s="33"/>
      <c r="F855" s="33"/>
    </row>
    <row r="856" ht="15.75" customHeight="1">
      <c r="C856" s="33"/>
      <c r="D856" s="33"/>
      <c r="E856" s="33"/>
      <c r="F856" s="33"/>
    </row>
    <row r="857" ht="15.75" customHeight="1">
      <c r="C857" s="33"/>
      <c r="D857" s="33"/>
      <c r="E857" s="33"/>
      <c r="F857" s="33"/>
    </row>
    <row r="858" ht="15.75" customHeight="1">
      <c r="C858" s="33"/>
      <c r="D858" s="33"/>
      <c r="E858" s="33"/>
      <c r="F858" s="33"/>
    </row>
    <row r="859" ht="15.75" customHeight="1">
      <c r="C859" s="33"/>
      <c r="D859" s="33"/>
      <c r="E859" s="33"/>
      <c r="F859" s="33"/>
    </row>
    <row r="860" ht="15.75" customHeight="1">
      <c r="C860" s="33"/>
      <c r="D860" s="33"/>
      <c r="E860" s="33"/>
      <c r="F860" s="33"/>
    </row>
    <row r="861" ht="15.75" customHeight="1">
      <c r="C861" s="33"/>
      <c r="D861" s="33"/>
      <c r="E861" s="33"/>
      <c r="F861" s="33"/>
    </row>
    <row r="862" ht="15.75" customHeight="1">
      <c r="C862" s="33"/>
      <c r="D862" s="33"/>
      <c r="E862" s="33"/>
      <c r="F862" s="33"/>
    </row>
    <row r="863" ht="15.75" customHeight="1">
      <c r="C863" s="33"/>
      <c r="D863" s="33"/>
      <c r="E863" s="33"/>
      <c r="F863" s="33"/>
    </row>
    <row r="864" ht="15.75" customHeight="1">
      <c r="C864" s="33"/>
      <c r="D864" s="33"/>
      <c r="E864" s="33"/>
      <c r="F864" s="33"/>
    </row>
    <row r="865" ht="15.75" customHeight="1">
      <c r="C865" s="33"/>
      <c r="D865" s="33"/>
      <c r="E865" s="33"/>
      <c r="F865" s="33"/>
    </row>
    <row r="866" ht="15.75" customHeight="1">
      <c r="C866" s="33"/>
      <c r="D866" s="33"/>
      <c r="E866" s="33"/>
      <c r="F866" s="33"/>
    </row>
    <row r="867" ht="15.75" customHeight="1">
      <c r="C867" s="33"/>
      <c r="D867" s="33"/>
      <c r="E867" s="33"/>
      <c r="F867" s="33"/>
    </row>
    <row r="868" ht="15.75" customHeight="1">
      <c r="C868" s="33"/>
      <c r="D868" s="33"/>
      <c r="E868" s="33"/>
      <c r="F868" s="33"/>
    </row>
    <row r="869" ht="15.75" customHeight="1">
      <c r="C869" s="33"/>
      <c r="D869" s="33"/>
      <c r="E869" s="33"/>
      <c r="F869" s="33"/>
    </row>
    <row r="870" ht="15.75" customHeight="1">
      <c r="C870" s="33"/>
      <c r="D870" s="33"/>
      <c r="E870" s="33"/>
      <c r="F870" s="33"/>
    </row>
    <row r="871" ht="15.75" customHeight="1">
      <c r="C871" s="33"/>
      <c r="D871" s="33"/>
      <c r="E871" s="33"/>
      <c r="F871" s="33"/>
    </row>
    <row r="872" ht="15.75" customHeight="1">
      <c r="C872" s="33"/>
      <c r="D872" s="33"/>
      <c r="E872" s="33"/>
      <c r="F872" s="33"/>
    </row>
    <row r="873" ht="15.75" customHeight="1">
      <c r="C873" s="33"/>
      <c r="D873" s="33"/>
      <c r="E873" s="33"/>
      <c r="F873" s="33"/>
    </row>
    <row r="874" ht="15.75" customHeight="1">
      <c r="C874" s="33"/>
      <c r="D874" s="33"/>
      <c r="E874" s="33"/>
      <c r="F874" s="33"/>
    </row>
    <row r="875" ht="15.75" customHeight="1">
      <c r="C875" s="33"/>
      <c r="D875" s="33"/>
      <c r="E875" s="33"/>
      <c r="F875" s="33"/>
    </row>
    <row r="876" ht="15.75" customHeight="1">
      <c r="C876" s="33"/>
      <c r="D876" s="33"/>
      <c r="E876" s="33"/>
      <c r="F876" s="33"/>
    </row>
    <row r="877" ht="15.75" customHeight="1">
      <c r="C877" s="33"/>
      <c r="D877" s="33"/>
      <c r="E877" s="33"/>
      <c r="F877" s="33"/>
    </row>
    <row r="878" ht="15.75" customHeight="1">
      <c r="C878" s="33"/>
      <c r="D878" s="33"/>
      <c r="E878" s="33"/>
      <c r="F878" s="33"/>
    </row>
    <row r="879" ht="15.75" customHeight="1">
      <c r="C879" s="33"/>
      <c r="D879" s="33"/>
      <c r="E879" s="33"/>
      <c r="F879" s="33"/>
    </row>
    <row r="880" ht="15.75" customHeight="1">
      <c r="C880" s="33"/>
      <c r="D880" s="33"/>
      <c r="E880" s="33"/>
      <c r="F880" s="33"/>
    </row>
    <row r="881" ht="15.75" customHeight="1">
      <c r="C881" s="33"/>
      <c r="D881" s="33"/>
      <c r="E881" s="33"/>
      <c r="F881" s="33"/>
    </row>
    <row r="882" ht="15.75" customHeight="1">
      <c r="C882" s="33"/>
      <c r="D882" s="33"/>
      <c r="E882" s="33"/>
      <c r="F882" s="33"/>
    </row>
    <row r="883" ht="15.75" customHeight="1">
      <c r="C883" s="33"/>
      <c r="D883" s="33"/>
      <c r="E883" s="33"/>
      <c r="F883" s="33"/>
    </row>
    <row r="884" ht="15.75" customHeight="1">
      <c r="C884" s="33"/>
      <c r="D884" s="33"/>
      <c r="E884" s="33"/>
      <c r="F884" s="33"/>
    </row>
    <row r="885" ht="15.75" customHeight="1">
      <c r="C885" s="33"/>
      <c r="D885" s="33"/>
      <c r="E885" s="33"/>
      <c r="F885" s="33"/>
    </row>
    <row r="886" ht="15.75" customHeight="1">
      <c r="C886" s="33"/>
      <c r="D886" s="33"/>
      <c r="E886" s="33"/>
      <c r="F886" s="33"/>
    </row>
    <row r="887" ht="15.75" customHeight="1">
      <c r="C887" s="33"/>
      <c r="D887" s="33"/>
      <c r="E887" s="33"/>
      <c r="F887" s="33"/>
    </row>
    <row r="888" ht="15.75" customHeight="1">
      <c r="C888" s="33"/>
      <c r="D888" s="33"/>
      <c r="E888" s="33"/>
      <c r="F888" s="33"/>
    </row>
    <row r="889" ht="15.75" customHeight="1">
      <c r="C889" s="33"/>
      <c r="D889" s="33"/>
      <c r="E889" s="33"/>
      <c r="F889" s="33"/>
    </row>
    <row r="890" ht="15.75" customHeight="1">
      <c r="C890" s="33"/>
      <c r="D890" s="33"/>
      <c r="E890" s="33"/>
      <c r="F890" s="33"/>
    </row>
    <row r="891" ht="15.75" customHeight="1">
      <c r="C891" s="33"/>
      <c r="D891" s="33"/>
      <c r="E891" s="33"/>
      <c r="F891" s="33"/>
    </row>
    <row r="892" ht="15.75" customHeight="1">
      <c r="C892" s="33"/>
      <c r="D892" s="33"/>
      <c r="E892" s="33"/>
      <c r="F892" s="33"/>
    </row>
    <row r="893" ht="15.75" customHeight="1">
      <c r="C893" s="33"/>
      <c r="D893" s="33"/>
      <c r="E893" s="33"/>
      <c r="F893" s="33"/>
    </row>
    <row r="894" ht="15.75" customHeight="1">
      <c r="C894" s="33"/>
      <c r="D894" s="33"/>
      <c r="E894" s="33"/>
      <c r="F894" s="33"/>
    </row>
    <row r="895" ht="15.75" customHeight="1">
      <c r="C895" s="33"/>
      <c r="D895" s="33"/>
      <c r="E895" s="33"/>
      <c r="F895" s="33"/>
    </row>
    <row r="896" ht="15.75" customHeight="1">
      <c r="C896" s="33"/>
      <c r="D896" s="33"/>
      <c r="E896" s="33"/>
      <c r="F896" s="33"/>
    </row>
    <row r="897" ht="15.75" customHeight="1">
      <c r="C897" s="33"/>
      <c r="D897" s="33"/>
      <c r="E897" s="33"/>
      <c r="F897" s="33"/>
    </row>
    <row r="898" ht="15.75" customHeight="1">
      <c r="C898" s="33"/>
      <c r="D898" s="33"/>
      <c r="E898" s="33"/>
      <c r="F898" s="33"/>
    </row>
    <row r="899" ht="15.75" customHeight="1">
      <c r="C899" s="33"/>
      <c r="D899" s="33"/>
      <c r="E899" s="33"/>
      <c r="F899" s="33"/>
    </row>
    <row r="900" ht="15.75" customHeight="1">
      <c r="C900" s="33"/>
      <c r="D900" s="33"/>
      <c r="E900" s="33"/>
      <c r="F900" s="33"/>
    </row>
    <row r="901" ht="15.75" customHeight="1">
      <c r="C901" s="33"/>
      <c r="D901" s="33"/>
      <c r="E901" s="33"/>
      <c r="F901" s="33"/>
    </row>
    <row r="902" ht="15.75" customHeight="1">
      <c r="C902" s="33"/>
      <c r="D902" s="33"/>
      <c r="E902" s="33"/>
      <c r="F902" s="33"/>
    </row>
    <row r="903" ht="15.75" customHeight="1">
      <c r="C903" s="33"/>
      <c r="D903" s="33"/>
      <c r="E903" s="33"/>
      <c r="F903" s="33"/>
    </row>
    <row r="904" ht="15.75" customHeight="1">
      <c r="C904" s="33"/>
      <c r="D904" s="33"/>
      <c r="E904" s="33"/>
      <c r="F904" s="33"/>
    </row>
    <row r="905" ht="15.75" customHeight="1">
      <c r="C905" s="33"/>
      <c r="D905" s="33"/>
      <c r="E905" s="33"/>
      <c r="F905" s="33"/>
    </row>
    <row r="906" ht="15.75" customHeight="1">
      <c r="C906" s="33"/>
      <c r="D906" s="33"/>
      <c r="E906" s="33"/>
      <c r="F906" s="33"/>
    </row>
    <row r="907" ht="15.75" customHeight="1">
      <c r="C907" s="33"/>
      <c r="D907" s="33"/>
      <c r="E907" s="33"/>
      <c r="F907" s="33"/>
    </row>
    <row r="908" ht="15.75" customHeight="1">
      <c r="C908" s="33"/>
      <c r="D908" s="33"/>
      <c r="E908" s="33"/>
      <c r="F908" s="33"/>
    </row>
    <row r="909" ht="15.75" customHeight="1">
      <c r="C909" s="33"/>
      <c r="D909" s="33"/>
      <c r="E909" s="33"/>
      <c r="F909" s="33"/>
    </row>
    <row r="910" ht="15.75" customHeight="1">
      <c r="C910" s="33"/>
      <c r="D910" s="33"/>
      <c r="E910" s="33"/>
      <c r="F910" s="33"/>
    </row>
    <row r="911" ht="15.75" customHeight="1">
      <c r="C911" s="33"/>
      <c r="D911" s="33"/>
      <c r="E911" s="33"/>
      <c r="F911" s="33"/>
    </row>
    <row r="912" ht="15.75" customHeight="1">
      <c r="C912" s="33"/>
      <c r="D912" s="33"/>
      <c r="E912" s="33"/>
      <c r="F912" s="33"/>
    </row>
    <row r="913" ht="15.75" customHeight="1">
      <c r="C913" s="33"/>
      <c r="D913" s="33"/>
      <c r="E913" s="33"/>
      <c r="F913" s="33"/>
    </row>
    <row r="914" ht="15.75" customHeight="1">
      <c r="C914" s="33"/>
      <c r="D914" s="33"/>
      <c r="E914" s="33"/>
      <c r="F914" s="33"/>
    </row>
    <row r="915" ht="15.75" customHeight="1">
      <c r="C915" s="33"/>
      <c r="D915" s="33"/>
      <c r="E915" s="33"/>
      <c r="F915" s="33"/>
    </row>
    <row r="916" ht="15.75" customHeight="1">
      <c r="C916" s="33"/>
      <c r="D916" s="33"/>
      <c r="E916" s="33"/>
      <c r="F916" s="33"/>
    </row>
    <row r="917" ht="15.75" customHeight="1">
      <c r="C917" s="33"/>
      <c r="D917" s="33"/>
      <c r="E917" s="33"/>
      <c r="F917" s="33"/>
    </row>
    <row r="918" ht="15.75" customHeight="1">
      <c r="C918" s="33"/>
      <c r="D918" s="33"/>
      <c r="E918" s="33"/>
      <c r="F918" s="33"/>
    </row>
    <row r="919" ht="15.75" customHeight="1">
      <c r="C919" s="33"/>
      <c r="D919" s="33"/>
      <c r="E919" s="33"/>
      <c r="F919" s="33"/>
    </row>
    <row r="920" ht="15.75" customHeight="1">
      <c r="C920" s="33"/>
      <c r="D920" s="33"/>
      <c r="E920" s="33"/>
      <c r="F920" s="33"/>
    </row>
    <row r="921" ht="15.75" customHeight="1">
      <c r="C921" s="33"/>
      <c r="D921" s="33"/>
      <c r="E921" s="33"/>
      <c r="F921" s="33"/>
    </row>
    <row r="922" ht="15.75" customHeight="1">
      <c r="C922" s="33"/>
      <c r="D922" s="33"/>
      <c r="E922" s="33"/>
      <c r="F922" s="33"/>
    </row>
    <row r="923" ht="15.75" customHeight="1">
      <c r="C923" s="33"/>
      <c r="D923" s="33"/>
      <c r="E923" s="33"/>
      <c r="F923" s="33"/>
    </row>
    <row r="924" ht="15.75" customHeight="1">
      <c r="C924" s="33"/>
      <c r="D924" s="33"/>
      <c r="E924" s="33"/>
      <c r="F924" s="33"/>
    </row>
    <row r="925" ht="15.75" customHeight="1">
      <c r="C925" s="33"/>
      <c r="D925" s="33"/>
      <c r="E925" s="33"/>
      <c r="F925" s="33"/>
    </row>
    <row r="926" ht="15.75" customHeight="1">
      <c r="C926" s="33"/>
      <c r="D926" s="33"/>
      <c r="E926" s="33"/>
      <c r="F926" s="33"/>
    </row>
    <row r="927" ht="15.75" customHeight="1">
      <c r="C927" s="33"/>
      <c r="D927" s="33"/>
      <c r="E927" s="33"/>
      <c r="F927" s="33"/>
    </row>
    <row r="928" ht="15.75" customHeight="1">
      <c r="C928" s="33"/>
      <c r="D928" s="33"/>
      <c r="E928" s="33"/>
      <c r="F928" s="33"/>
    </row>
    <row r="929" ht="15.75" customHeight="1">
      <c r="C929" s="33"/>
      <c r="D929" s="33"/>
      <c r="E929" s="33"/>
      <c r="F929" s="33"/>
    </row>
    <row r="930" ht="15.75" customHeight="1">
      <c r="C930" s="33"/>
      <c r="D930" s="33"/>
      <c r="E930" s="33"/>
      <c r="F930" s="33"/>
    </row>
    <row r="931" ht="15.75" customHeight="1">
      <c r="C931" s="33"/>
      <c r="D931" s="33"/>
      <c r="E931" s="33"/>
      <c r="F931" s="33"/>
    </row>
    <row r="932" ht="15.75" customHeight="1">
      <c r="C932" s="33"/>
      <c r="D932" s="33"/>
      <c r="E932" s="33"/>
      <c r="F932" s="33"/>
    </row>
    <row r="933" ht="15.75" customHeight="1">
      <c r="C933" s="33"/>
      <c r="D933" s="33"/>
      <c r="E933" s="33"/>
      <c r="F933" s="33"/>
    </row>
    <row r="934" ht="15.75" customHeight="1">
      <c r="C934" s="33"/>
      <c r="D934" s="33"/>
      <c r="E934" s="33"/>
      <c r="F934" s="33"/>
    </row>
    <row r="935" ht="15.75" customHeight="1">
      <c r="C935" s="33"/>
      <c r="D935" s="33"/>
      <c r="E935" s="33"/>
      <c r="F935" s="33"/>
    </row>
    <row r="936" ht="15.75" customHeight="1">
      <c r="C936" s="33"/>
      <c r="D936" s="33"/>
      <c r="E936" s="33"/>
      <c r="F936" s="33"/>
    </row>
    <row r="937" ht="15.75" customHeight="1">
      <c r="C937" s="33"/>
      <c r="D937" s="33"/>
      <c r="E937" s="33"/>
      <c r="F937" s="33"/>
    </row>
    <row r="938" ht="15.75" customHeight="1">
      <c r="C938" s="33"/>
      <c r="D938" s="33"/>
      <c r="E938" s="33"/>
      <c r="F938" s="33"/>
    </row>
    <row r="939" ht="15.75" customHeight="1">
      <c r="C939" s="33"/>
      <c r="D939" s="33"/>
      <c r="E939" s="33"/>
      <c r="F939" s="33"/>
    </row>
    <row r="940" ht="15.75" customHeight="1">
      <c r="C940" s="33"/>
      <c r="D940" s="33"/>
      <c r="E940" s="33"/>
      <c r="F940" s="33"/>
    </row>
    <row r="941" ht="15.75" customHeight="1">
      <c r="C941" s="33"/>
      <c r="D941" s="33"/>
      <c r="E941" s="33"/>
      <c r="F941" s="33"/>
    </row>
    <row r="942" ht="15.75" customHeight="1">
      <c r="C942" s="33"/>
      <c r="D942" s="33"/>
      <c r="E942" s="33"/>
      <c r="F942" s="33"/>
    </row>
    <row r="943" ht="15.75" customHeight="1">
      <c r="C943" s="33"/>
      <c r="D943" s="33"/>
      <c r="E943" s="33"/>
      <c r="F943" s="33"/>
    </row>
    <row r="944" ht="15.75" customHeight="1">
      <c r="C944" s="33"/>
      <c r="D944" s="33"/>
      <c r="E944" s="33"/>
      <c r="F944" s="33"/>
    </row>
    <row r="945" ht="15.75" customHeight="1">
      <c r="C945" s="33"/>
      <c r="D945" s="33"/>
      <c r="E945" s="33"/>
      <c r="F945" s="33"/>
    </row>
    <row r="946" ht="15.75" customHeight="1">
      <c r="C946" s="33"/>
      <c r="D946" s="33"/>
      <c r="E946" s="33"/>
      <c r="F946" s="33"/>
    </row>
    <row r="947" ht="15.75" customHeight="1">
      <c r="C947" s="33"/>
      <c r="D947" s="33"/>
      <c r="E947" s="33"/>
      <c r="F947" s="33"/>
    </row>
    <row r="948" ht="15.75" customHeight="1">
      <c r="C948" s="33"/>
      <c r="D948" s="33"/>
      <c r="E948" s="33"/>
      <c r="F948" s="33"/>
    </row>
    <row r="949" ht="15.75" customHeight="1">
      <c r="C949" s="33"/>
      <c r="D949" s="33"/>
      <c r="E949" s="33"/>
      <c r="F949" s="33"/>
    </row>
    <row r="950" ht="15.75" customHeight="1">
      <c r="C950" s="33"/>
      <c r="D950" s="33"/>
      <c r="E950" s="33"/>
      <c r="F950" s="33"/>
    </row>
    <row r="951" ht="15.75" customHeight="1">
      <c r="C951" s="33"/>
      <c r="D951" s="33"/>
      <c r="E951" s="33"/>
      <c r="F951" s="33"/>
    </row>
    <row r="952" ht="15.75" customHeight="1">
      <c r="C952" s="33"/>
      <c r="D952" s="33"/>
      <c r="E952" s="33"/>
      <c r="F952" s="33"/>
    </row>
    <row r="953" ht="15.75" customHeight="1">
      <c r="C953" s="33"/>
      <c r="D953" s="33"/>
      <c r="E953" s="33"/>
      <c r="F953" s="33"/>
    </row>
    <row r="954" ht="15.75" customHeight="1">
      <c r="C954" s="33"/>
      <c r="D954" s="33"/>
      <c r="E954" s="33"/>
      <c r="F954" s="33"/>
    </row>
    <row r="955" ht="15.75" customHeight="1">
      <c r="C955" s="33"/>
      <c r="D955" s="33"/>
      <c r="E955" s="33"/>
      <c r="F955" s="33"/>
    </row>
    <row r="956" ht="15.75" customHeight="1">
      <c r="C956" s="33"/>
      <c r="D956" s="33"/>
      <c r="E956" s="33"/>
      <c r="F956" s="33"/>
    </row>
    <row r="957" ht="15.75" customHeight="1">
      <c r="C957" s="33"/>
      <c r="D957" s="33"/>
      <c r="E957" s="33"/>
      <c r="F957" s="33"/>
    </row>
    <row r="958" ht="15.75" customHeight="1">
      <c r="C958" s="33"/>
      <c r="D958" s="33"/>
      <c r="E958" s="33"/>
      <c r="F958" s="33"/>
    </row>
    <row r="959" ht="15.75" customHeight="1">
      <c r="C959" s="33"/>
      <c r="D959" s="33"/>
      <c r="E959" s="33"/>
      <c r="F959" s="33"/>
    </row>
    <row r="960" ht="15.75" customHeight="1">
      <c r="C960" s="33"/>
      <c r="D960" s="33"/>
      <c r="E960" s="33"/>
      <c r="F960" s="33"/>
    </row>
    <row r="961" ht="15.75" customHeight="1">
      <c r="C961" s="33"/>
      <c r="D961" s="33"/>
      <c r="E961" s="33"/>
      <c r="F961" s="33"/>
    </row>
    <row r="962" ht="15.75" customHeight="1">
      <c r="C962" s="33"/>
      <c r="D962" s="33"/>
      <c r="E962" s="33"/>
      <c r="F962" s="33"/>
    </row>
    <row r="963" ht="15.75" customHeight="1">
      <c r="C963" s="33"/>
      <c r="D963" s="33"/>
      <c r="E963" s="33"/>
      <c r="F963" s="33"/>
    </row>
    <row r="964" ht="15.75" customHeight="1">
      <c r="C964" s="33"/>
      <c r="D964" s="33"/>
      <c r="E964" s="33"/>
      <c r="F964" s="33"/>
    </row>
    <row r="965" ht="15.75" customHeight="1">
      <c r="C965" s="33"/>
      <c r="D965" s="33"/>
      <c r="E965" s="33"/>
      <c r="F965" s="33"/>
    </row>
    <row r="966" ht="15.75" customHeight="1">
      <c r="C966" s="33"/>
      <c r="D966" s="33"/>
      <c r="E966" s="33"/>
      <c r="F966" s="33"/>
    </row>
    <row r="967" ht="15.75" customHeight="1">
      <c r="C967" s="33"/>
      <c r="D967" s="33"/>
      <c r="E967" s="33"/>
      <c r="F967" s="33"/>
    </row>
    <row r="968" ht="15.75" customHeight="1">
      <c r="C968" s="33"/>
      <c r="D968" s="33"/>
      <c r="E968" s="33"/>
      <c r="F968" s="33"/>
    </row>
    <row r="969" ht="15.75" customHeight="1">
      <c r="C969" s="33"/>
      <c r="D969" s="33"/>
      <c r="E969" s="33"/>
      <c r="F969" s="33"/>
    </row>
    <row r="970" ht="15.75" customHeight="1">
      <c r="C970" s="33"/>
      <c r="D970" s="33"/>
      <c r="E970" s="33"/>
      <c r="F970" s="33"/>
    </row>
    <row r="971" ht="15.75" customHeight="1">
      <c r="C971" s="33"/>
      <c r="D971" s="33"/>
      <c r="E971" s="33"/>
      <c r="F971" s="33"/>
    </row>
    <row r="972" ht="15.75" customHeight="1">
      <c r="C972" s="33"/>
      <c r="D972" s="33"/>
      <c r="E972" s="33"/>
      <c r="F972" s="33"/>
    </row>
    <row r="973" ht="15.75" customHeight="1">
      <c r="C973" s="33"/>
      <c r="D973" s="33"/>
      <c r="E973" s="33"/>
      <c r="F973" s="33"/>
    </row>
    <row r="974" ht="15.75" customHeight="1">
      <c r="C974" s="33"/>
      <c r="D974" s="33"/>
      <c r="E974" s="33"/>
      <c r="F974" s="33"/>
    </row>
    <row r="975" ht="15.75" customHeight="1">
      <c r="C975" s="33"/>
      <c r="D975" s="33"/>
      <c r="E975" s="33"/>
      <c r="F975" s="33"/>
    </row>
    <row r="976" ht="15.75" customHeight="1">
      <c r="C976" s="33"/>
      <c r="D976" s="33"/>
      <c r="E976" s="33"/>
      <c r="F976" s="33"/>
    </row>
    <row r="977" ht="15.75" customHeight="1">
      <c r="C977" s="33"/>
      <c r="D977" s="33"/>
      <c r="E977" s="33"/>
      <c r="F977" s="33"/>
    </row>
    <row r="978" ht="15.75" customHeight="1">
      <c r="C978" s="33"/>
      <c r="D978" s="33"/>
      <c r="E978" s="33"/>
      <c r="F978" s="33"/>
    </row>
    <row r="979" ht="15.75" customHeight="1">
      <c r="C979" s="33"/>
      <c r="D979" s="33"/>
      <c r="E979" s="33"/>
      <c r="F979" s="33"/>
    </row>
    <row r="980" ht="15.75" customHeight="1">
      <c r="C980" s="33"/>
      <c r="D980" s="33"/>
      <c r="E980" s="33"/>
      <c r="F980" s="33"/>
    </row>
    <row r="981" ht="15.75" customHeight="1">
      <c r="C981" s="33"/>
      <c r="D981" s="33"/>
      <c r="E981" s="33"/>
      <c r="F981" s="33"/>
    </row>
    <row r="982" ht="15.75" customHeight="1">
      <c r="C982" s="33"/>
      <c r="D982" s="33"/>
      <c r="E982" s="33"/>
      <c r="F982" s="33"/>
    </row>
    <row r="983" ht="15.75" customHeight="1">
      <c r="C983" s="33"/>
      <c r="D983" s="33"/>
      <c r="E983" s="33"/>
      <c r="F983" s="33"/>
    </row>
    <row r="984" ht="15.75" customHeight="1">
      <c r="C984" s="33"/>
      <c r="D984" s="33"/>
      <c r="E984" s="33"/>
      <c r="F984" s="33"/>
    </row>
    <row r="985" ht="15.75" customHeight="1">
      <c r="C985" s="33"/>
      <c r="D985" s="33"/>
      <c r="E985" s="33"/>
      <c r="F985" s="33"/>
    </row>
    <row r="986" ht="15.75" customHeight="1">
      <c r="C986" s="33"/>
      <c r="D986" s="33"/>
      <c r="E986" s="33"/>
      <c r="F986" s="33"/>
    </row>
    <row r="987" ht="15.75" customHeight="1">
      <c r="C987" s="33"/>
      <c r="D987" s="33"/>
      <c r="E987" s="33"/>
      <c r="F987" s="33"/>
    </row>
    <row r="988" ht="15.75" customHeight="1">
      <c r="C988" s="33"/>
      <c r="D988" s="33"/>
      <c r="E988" s="33"/>
      <c r="F988" s="33"/>
    </row>
    <row r="989" ht="15.75" customHeight="1">
      <c r="C989" s="33"/>
      <c r="D989" s="33"/>
      <c r="E989" s="33"/>
      <c r="F989" s="33"/>
    </row>
    <row r="990" ht="15.75" customHeight="1">
      <c r="C990" s="33"/>
      <c r="D990" s="33"/>
      <c r="E990" s="33"/>
      <c r="F990" s="33"/>
    </row>
    <row r="991" ht="15.75" customHeight="1">
      <c r="C991" s="33"/>
      <c r="D991" s="33"/>
      <c r="E991" s="33"/>
      <c r="F991" s="33"/>
    </row>
    <row r="992" ht="15.75" customHeight="1">
      <c r="C992" s="33"/>
      <c r="D992" s="33"/>
      <c r="E992" s="33"/>
      <c r="F992" s="33"/>
    </row>
    <row r="993" ht="15.75" customHeight="1">
      <c r="C993" s="33"/>
      <c r="D993" s="33"/>
      <c r="E993" s="33"/>
      <c r="F993" s="33"/>
    </row>
    <row r="994" ht="15.75" customHeight="1">
      <c r="C994" s="33"/>
      <c r="D994" s="33"/>
      <c r="E994" s="33"/>
      <c r="F994" s="33"/>
    </row>
    <row r="995" ht="15.75" customHeight="1">
      <c r="C995" s="33"/>
      <c r="D995" s="33"/>
      <c r="E995" s="33"/>
      <c r="F995" s="33"/>
    </row>
    <row r="996" ht="15.75" customHeight="1">
      <c r="C996" s="33"/>
      <c r="D996" s="33"/>
      <c r="E996" s="33"/>
      <c r="F996" s="33"/>
    </row>
    <row r="997" ht="15.75" customHeight="1">
      <c r="C997" s="33"/>
      <c r="D997" s="33"/>
      <c r="E997" s="33"/>
      <c r="F997" s="33"/>
    </row>
    <row r="998" ht="15.75" customHeight="1">
      <c r="C998" s="33"/>
      <c r="D998" s="33"/>
      <c r="E998" s="33"/>
      <c r="F998" s="33"/>
    </row>
    <row r="999" ht="15.75" customHeight="1">
      <c r="C999" s="33"/>
      <c r="D999" s="33"/>
      <c r="E999" s="33"/>
      <c r="F999" s="33"/>
    </row>
    <row r="1000" ht="15.75" customHeight="1">
      <c r="C1000" s="33"/>
      <c r="D1000" s="33"/>
      <c r="E1000" s="33"/>
      <c r="F1000" s="33"/>
    </row>
    <row r="1001" ht="15.75" customHeight="1">
      <c r="C1001" s="33"/>
      <c r="D1001" s="33"/>
      <c r="E1001" s="33"/>
      <c r="F1001" s="33"/>
    </row>
    <row r="1002" ht="15.75" customHeight="1">
      <c r="C1002" s="33"/>
      <c r="D1002" s="33"/>
      <c r="E1002" s="33"/>
      <c r="F1002" s="33"/>
    </row>
    <row r="1003" ht="15.75" customHeight="1">
      <c r="C1003" s="33"/>
      <c r="D1003" s="33"/>
      <c r="E1003" s="33"/>
      <c r="F1003" s="33"/>
    </row>
    <row r="1004" ht="15.75" customHeight="1">
      <c r="C1004" s="33"/>
      <c r="D1004" s="33"/>
      <c r="E1004" s="33"/>
      <c r="F1004" s="33"/>
    </row>
    <row r="1005" ht="15.75" customHeight="1">
      <c r="C1005" s="33"/>
      <c r="D1005" s="33"/>
      <c r="E1005" s="33"/>
      <c r="F1005" s="33"/>
    </row>
    <row r="1006" ht="15.75" customHeight="1">
      <c r="C1006" s="33"/>
      <c r="D1006" s="33"/>
      <c r="E1006" s="33"/>
      <c r="F1006" s="33"/>
    </row>
    <row r="1007" ht="15.75" customHeight="1">
      <c r="C1007" s="33"/>
      <c r="D1007" s="33"/>
      <c r="E1007" s="33"/>
      <c r="F1007" s="33"/>
    </row>
    <row r="1008" ht="15.75" customHeight="1">
      <c r="C1008" s="33"/>
      <c r="D1008" s="33"/>
      <c r="E1008" s="33"/>
      <c r="F1008" s="33"/>
    </row>
    <row r="1009" ht="15.75" customHeight="1">
      <c r="C1009" s="33"/>
      <c r="D1009" s="33"/>
      <c r="E1009" s="33"/>
      <c r="F1009" s="33"/>
    </row>
    <row r="1010" ht="15.75" customHeight="1">
      <c r="C1010" s="33"/>
      <c r="D1010" s="33"/>
      <c r="E1010" s="33"/>
      <c r="F1010" s="33"/>
    </row>
    <row r="1011" ht="15.75" customHeight="1">
      <c r="C1011" s="33"/>
      <c r="D1011" s="33"/>
      <c r="E1011" s="33"/>
      <c r="F1011" s="33"/>
    </row>
    <row r="1012" ht="15.75" customHeight="1">
      <c r="C1012" s="33"/>
      <c r="D1012" s="33"/>
      <c r="E1012" s="33"/>
      <c r="F1012" s="33"/>
    </row>
    <row r="1013" ht="15.75" customHeight="1">
      <c r="C1013" s="33"/>
      <c r="D1013" s="33"/>
      <c r="E1013" s="33"/>
      <c r="F1013" s="33"/>
    </row>
    <row r="1014" ht="15.75" customHeight="1">
      <c r="C1014" s="33"/>
      <c r="D1014" s="33"/>
      <c r="E1014" s="33"/>
      <c r="F1014" s="33"/>
    </row>
    <row r="1015" ht="15.75" customHeight="1">
      <c r="C1015" s="33"/>
      <c r="D1015" s="33"/>
      <c r="E1015" s="33"/>
      <c r="F1015" s="33"/>
    </row>
    <row r="1016" ht="15.75" customHeight="1">
      <c r="C1016" s="33"/>
      <c r="D1016" s="33"/>
      <c r="E1016" s="33"/>
      <c r="F1016" s="33"/>
    </row>
    <row r="1017" ht="15.75" customHeight="1">
      <c r="C1017" s="33"/>
      <c r="D1017" s="33"/>
      <c r="E1017" s="33"/>
      <c r="F1017" s="33"/>
    </row>
    <row r="1018" ht="15.75" customHeight="1">
      <c r="C1018" s="33"/>
      <c r="D1018" s="33"/>
      <c r="E1018" s="33"/>
      <c r="F1018" s="33"/>
    </row>
    <row r="1019" ht="15.75" customHeight="1">
      <c r="C1019" s="33"/>
      <c r="D1019" s="33"/>
      <c r="E1019" s="33"/>
      <c r="F1019" s="33"/>
    </row>
    <row r="1020" ht="15.75" customHeight="1">
      <c r="C1020" s="33"/>
      <c r="D1020" s="33"/>
      <c r="E1020" s="33"/>
      <c r="F1020" s="33"/>
    </row>
    <row r="1021" ht="15.75" customHeight="1">
      <c r="C1021" s="33"/>
      <c r="D1021" s="33"/>
      <c r="E1021" s="33"/>
      <c r="F1021" s="33"/>
    </row>
    <row r="1022" ht="15.75" customHeight="1">
      <c r="C1022" s="33"/>
      <c r="D1022" s="33"/>
      <c r="E1022" s="33"/>
      <c r="F1022" s="3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6.13"/>
    <col customWidth="1" min="3" max="4" width="13.38"/>
    <col customWidth="1" min="5" max="5" width="12.63"/>
  </cols>
  <sheetData>
    <row r="1" ht="15.75" customHeight="1">
      <c r="A1" s="5" t="s">
        <v>3</v>
      </c>
      <c r="B1" s="5" t="s">
        <v>4</v>
      </c>
      <c r="C1" s="4" t="s">
        <v>5</v>
      </c>
      <c r="D1" s="28" t="s">
        <v>102</v>
      </c>
      <c r="E1" s="29"/>
      <c r="F1" s="29"/>
      <c r="G1" s="30"/>
    </row>
    <row r="2" ht="15.75" customHeight="1">
      <c r="A2" s="14" t="s">
        <v>11</v>
      </c>
      <c r="B2" s="14" t="s">
        <v>25</v>
      </c>
      <c r="C2" s="15" t="s">
        <v>26</v>
      </c>
      <c r="D2" s="31">
        <v>0.7</v>
      </c>
      <c r="E2" s="32"/>
      <c r="F2" s="32"/>
    </row>
    <row r="3" ht="15.75" customHeight="1">
      <c r="A3" s="14" t="s">
        <v>11</v>
      </c>
      <c r="B3" s="14" t="s">
        <v>27</v>
      </c>
      <c r="C3" s="15" t="s">
        <v>28</v>
      </c>
      <c r="D3" s="31">
        <v>0.3</v>
      </c>
      <c r="E3" s="32"/>
      <c r="F3" s="32"/>
    </row>
    <row r="4" ht="15.75" customHeight="1">
      <c r="A4" s="14" t="s">
        <v>11</v>
      </c>
      <c r="B4" s="14" t="s">
        <v>29</v>
      </c>
      <c r="C4" s="15" t="s">
        <v>30</v>
      </c>
      <c r="D4" s="31">
        <v>0.6</v>
      </c>
      <c r="E4" s="32"/>
      <c r="F4" s="32"/>
    </row>
    <row r="5" ht="15.75" customHeight="1">
      <c r="A5" s="14" t="s">
        <v>11</v>
      </c>
      <c r="B5" s="14" t="s">
        <v>31</v>
      </c>
      <c r="C5" s="15" t="s">
        <v>32</v>
      </c>
      <c r="D5" s="31">
        <v>0.3</v>
      </c>
      <c r="E5" s="32"/>
      <c r="F5" s="32"/>
    </row>
    <row r="6" ht="15.75" customHeight="1">
      <c r="A6" s="14" t="s">
        <v>18</v>
      </c>
      <c r="B6" s="14" t="s">
        <v>33</v>
      </c>
      <c r="C6" s="15" t="s">
        <v>30</v>
      </c>
      <c r="D6" s="31">
        <v>0.6</v>
      </c>
      <c r="E6" s="32"/>
      <c r="F6" s="32"/>
    </row>
    <row r="7" ht="15.75" customHeight="1">
      <c r="A7" s="14" t="s">
        <v>18</v>
      </c>
      <c r="B7" s="14" t="s">
        <v>34</v>
      </c>
      <c r="C7" s="15" t="s">
        <v>26</v>
      </c>
      <c r="D7" s="31">
        <v>0.4</v>
      </c>
      <c r="E7" s="32"/>
      <c r="F7" s="32"/>
    </row>
    <row r="8" ht="15.75" customHeight="1">
      <c r="A8" s="14" t="s">
        <v>18</v>
      </c>
      <c r="B8" s="14" t="s">
        <v>35</v>
      </c>
      <c r="C8" s="15" t="s">
        <v>26</v>
      </c>
      <c r="D8" s="31">
        <v>0.6</v>
      </c>
      <c r="E8" s="32"/>
      <c r="F8" s="32"/>
    </row>
    <row r="9" ht="15.75" customHeight="1">
      <c r="A9" s="14" t="s">
        <v>18</v>
      </c>
      <c r="B9" s="14" t="s">
        <v>36</v>
      </c>
      <c r="C9" s="15" t="s">
        <v>37</v>
      </c>
      <c r="D9" s="31">
        <v>0.2</v>
      </c>
      <c r="E9" s="32"/>
      <c r="F9" s="32"/>
    </row>
    <row r="10" ht="15.75" customHeight="1">
      <c r="A10" s="14" t="s">
        <v>18</v>
      </c>
      <c r="B10" s="14" t="s">
        <v>38</v>
      </c>
      <c r="C10" s="15" t="s">
        <v>39</v>
      </c>
      <c r="D10" s="31">
        <v>0.6</v>
      </c>
      <c r="E10" s="32"/>
      <c r="F10" s="32"/>
    </row>
    <row r="11" ht="15.75" customHeight="1">
      <c r="A11" s="14" t="s">
        <v>8</v>
      </c>
      <c r="B11" s="14" t="s">
        <v>40</v>
      </c>
      <c r="C11" s="15" t="s">
        <v>39</v>
      </c>
      <c r="D11" s="31">
        <v>0.5</v>
      </c>
      <c r="E11" s="32"/>
      <c r="F11" s="32"/>
    </row>
    <row r="12" ht="15.75" customHeight="1">
      <c r="A12" s="14" t="s">
        <v>8</v>
      </c>
      <c r="B12" s="14" t="s">
        <v>41</v>
      </c>
      <c r="C12" s="15" t="s">
        <v>42</v>
      </c>
      <c r="D12" s="31">
        <v>0.1</v>
      </c>
      <c r="E12" s="32"/>
      <c r="F12" s="32"/>
    </row>
    <row r="13" ht="15.75" customHeight="1">
      <c r="A13" s="14" t="s">
        <v>8</v>
      </c>
      <c r="B13" s="14" t="s">
        <v>43</v>
      </c>
      <c r="C13" s="15" t="s">
        <v>28</v>
      </c>
      <c r="D13" s="31">
        <v>0.1</v>
      </c>
      <c r="E13" s="32"/>
      <c r="F13" s="32"/>
    </row>
    <row r="14" ht="15.75" customHeight="1">
      <c r="A14" s="14" t="s">
        <v>8</v>
      </c>
      <c r="B14" s="14" t="s">
        <v>44</v>
      </c>
      <c r="C14" s="15" t="s">
        <v>45</v>
      </c>
      <c r="D14" s="31">
        <v>0.6</v>
      </c>
      <c r="E14" s="32"/>
      <c r="F14" s="32"/>
    </row>
    <row r="15" ht="15.75" customHeight="1">
      <c r="A15" s="14" t="s">
        <v>8</v>
      </c>
      <c r="B15" s="14" t="s">
        <v>46</v>
      </c>
      <c r="C15" s="15" t="s">
        <v>45</v>
      </c>
      <c r="D15" s="31">
        <v>0.1</v>
      </c>
      <c r="E15" s="32"/>
      <c r="F15" s="32"/>
    </row>
    <row r="16" ht="15.75" customHeight="1">
      <c r="A16" s="14" t="s">
        <v>16</v>
      </c>
      <c r="B16" s="14" t="s">
        <v>47</v>
      </c>
      <c r="C16" s="15" t="s">
        <v>30</v>
      </c>
      <c r="D16" s="31">
        <v>0.5</v>
      </c>
      <c r="E16" s="32"/>
      <c r="F16" s="32"/>
    </row>
    <row r="17" ht="15.75" customHeight="1">
      <c r="A17" s="14" t="s">
        <v>16</v>
      </c>
      <c r="B17" s="14" t="s">
        <v>48</v>
      </c>
      <c r="C17" s="15" t="s">
        <v>30</v>
      </c>
      <c r="D17" s="31">
        <v>0.6</v>
      </c>
      <c r="E17" s="32"/>
      <c r="F17" s="32"/>
    </row>
    <row r="18" ht="15.75" customHeight="1">
      <c r="A18" s="14" t="s">
        <v>16</v>
      </c>
      <c r="B18" s="14" t="s">
        <v>49</v>
      </c>
      <c r="C18" s="15" t="s">
        <v>50</v>
      </c>
      <c r="D18" s="31">
        <v>0.8</v>
      </c>
      <c r="E18" s="32"/>
      <c r="F18" s="32"/>
    </row>
    <row r="19" ht="15.75" customHeight="1">
      <c r="A19" s="14" t="s">
        <v>16</v>
      </c>
      <c r="B19" s="14" t="s">
        <v>51</v>
      </c>
      <c r="C19" s="15" t="s">
        <v>30</v>
      </c>
      <c r="D19" s="31">
        <v>0.2</v>
      </c>
      <c r="E19" s="32"/>
      <c r="F19" s="32"/>
    </row>
    <row r="20" ht="15.75" customHeight="1">
      <c r="A20" s="14" t="s">
        <v>16</v>
      </c>
      <c r="B20" s="14" t="s">
        <v>52</v>
      </c>
      <c r="C20" s="15" t="s">
        <v>42</v>
      </c>
      <c r="D20" s="31">
        <v>0.7</v>
      </c>
      <c r="E20" s="32"/>
      <c r="F20" s="32"/>
    </row>
    <row r="21" ht="15.75" customHeight="1">
      <c r="A21" s="14" t="s">
        <v>14</v>
      </c>
      <c r="B21" s="14" t="s">
        <v>53</v>
      </c>
      <c r="C21" s="15" t="s">
        <v>28</v>
      </c>
      <c r="D21" s="31">
        <v>0.8</v>
      </c>
      <c r="E21" s="32"/>
      <c r="F21" s="32"/>
    </row>
    <row r="22" ht="15.75" customHeight="1">
      <c r="A22" s="14" t="s">
        <v>14</v>
      </c>
      <c r="B22" s="14" t="s">
        <v>54</v>
      </c>
      <c r="C22" s="15" t="s">
        <v>39</v>
      </c>
      <c r="D22" s="31">
        <v>0.7</v>
      </c>
      <c r="E22" s="32"/>
      <c r="F22" s="32"/>
    </row>
    <row r="23" ht="15.75" customHeight="1">
      <c r="A23" s="14" t="s">
        <v>14</v>
      </c>
      <c r="B23" s="14" t="s">
        <v>55</v>
      </c>
      <c r="C23" s="15" t="s">
        <v>32</v>
      </c>
      <c r="D23" s="31">
        <v>0.4</v>
      </c>
      <c r="E23" s="32"/>
      <c r="F23" s="32"/>
    </row>
    <row r="24" ht="15.75" customHeight="1">
      <c r="A24" s="14" t="s">
        <v>14</v>
      </c>
      <c r="B24" s="14" t="s">
        <v>57</v>
      </c>
      <c r="C24" s="15" t="s">
        <v>32</v>
      </c>
      <c r="D24" s="31">
        <v>0.5</v>
      </c>
      <c r="E24" s="32"/>
      <c r="F24" s="32"/>
    </row>
    <row r="25" ht="15.75" customHeight="1">
      <c r="A25" s="14" t="s">
        <v>14</v>
      </c>
      <c r="B25" s="14" t="s">
        <v>58</v>
      </c>
      <c r="C25" s="15" t="s">
        <v>37</v>
      </c>
      <c r="D25" s="31">
        <v>0.6</v>
      </c>
      <c r="E25" s="32"/>
      <c r="F25" s="32"/>
    </row>
    <row r="26" ht="15.75" customHeight="1">
      <c r="A26" s="14" t="s">
        <v>9</v>
      </c>
      <c r="B26" s="14" t="s">
        <v>59</v>
      </c>
      <c r="C26" s="15" t="s">
        <v>30</v>
      </c>
      <c r="D26" s="31">
        <v>0.8</v>
      </c>
      <c r="E26" s="32"/>
      <c r="F26" s="32"/>
    </row>
    <row r="27" ht="15.75" customHeight="1">
      <c r="A27" s="14" t="s">
        <v>9</v>
      </c>
      <c r="B27" s="14" t="s">
        <v>60</v>
      </c>
      <c r="C27" s="15" t="s">
        <v>32</v>
      </c>
      <c r="D27" s="31">
        <v>0.7</v>
      </c>
      <c r="E27" s="32"/>
      <c r="F27" s="32"/>
    </row>
    <row r="28" ht="15.75" customHeight="1">
      <c r="A28" s="14" t="s">
        <v>9</v>
      </c>
      <c r="B28" s="14" t="s">
        <v>61</v>
      </c>
      <c r="C28" s="15" t="s">
        <v>28</v>
      </c>
      <c r="D28" s="31">
        <v>0.3</v>
      </c>
      <c r="E28" s="32"/>
      <c r="F28" s="32"/>
    </row>
    <row r="29" ht="15.75" customHeight="1">
      <c r="A29" s="14" t="s">
        <v>9</v>
      </c>
      <c r="B29" s="14" t="s">
        <v>62</v>
      </c>
      <c r="C29" s="15" t="s">
        <v>28</v>
      </c>
      <c r="D29" s="31">
        <v>0.3</v>
      </c>
      <c r="E29" s="32"/>
      <c r="F29" s="32"/>
    </row>
    <row r="30" ht="15.75" customHeight="1">
      <c r="A30" s="14" t="s">
        <v>9</v>
      </c>
      <c r="B30" s="14" t="s">
        <v>63</v>
      </c>
      <c r="C30" s="15" t="s">
        <v>28</v>
      </c>
      <c r="D30" s="31">
        <v>0.9</v>
      </c>
      <c r="E30" s="32"/>
      <c r="F30" s="32"/>
    </row>
    <row r="31" ht="15.75" customHeight="1">
      <c r="A31" s="14" t="s">
        <v>64</v>
      </c>
      <c r="B31" s="14" t="s">
        <v>65</v>
      </c>
      <c r="C31" s="15" t="s">
        <v>32</v>
      </c>
      <c r="D31" s="31">
        <v>0.5</v>
      </c>
      <c r="E31" s="32"/>
      <c r="F31" s="32"/>
    </row>
    <row r="32" ht="15.75" customHeight="1">
      <c r="A32" s="14" t="s">
        <v>64</v>
      </c>
      <c r="B32" s="14" t="s">
        <v>66</v>
      </c>
      <c r="C32" s="15" t="s">
        <v>26</v>
      </c>
      <c r="D32" s="31">
        <v>0.2</v>
      </c>
      <c r="E32" s="32"/>
      <c r="F32" s="32"/>
    </row>
    <row r="33" ht="15.75" customHeight="1">
      <c r="A33" s="14" t="s">
        <v>64</v>
      </c>
      <c r="B33" s="14" t="s">
        <v>67</v>
      </c>
      <c r="C33" s="15" t="s">
        <v>32</v>
      </c>
      <c r="D33" s="31">
        <v>0.4</v>
      </c>
      <c r="E33" s="32"/>
      <c r="F33" s="32"/>
    </row>
    <row r="34" ht="15.75" customHeight="1">
      <c r="A34" s="14" t="s">
        <v>64</v>
      </c>
      <c r="B34" s="14" t="s">
        <v>68</v>
      </c>
      <c r="C34" s="15" t="s">
        <v>39</v>
      </c>
      <c r="D34" s="31">
        <v>0.2</v>
      </c>
      <c r="E34" s="32"/>
      <c r="F34" s="32"/>
    </row>
    <row r="35" ht="15.75" customHeight="1">
      <c r="A35" s="14" t="s">
        <v>64</v>
      </c>
      <c r="B35" s="14" t="s">
        <v>69</v>
      </c>
      <c r="C35" s="15" t="s">
        <v>28</v>
      </c>
      <c r="D35" s="31">
        <v>0.7</v>
      </c>
      <c r="E35" s="32"/>
      <c r="F35" s="32"/>
    </row>
    <row r="36" ht="15.75" customHeight="1">
      <c r="A36" s="14" t="s">
        <v>7</v>
      </c>
      <c r="B36" s="14" t="s">
        <v>70</v>
      </c>
      <c r="C36" s="15" t="s">
        <v>32</v>
      </c>
      <c r="D36" s="31">
        <v>0.6</v>
      </c>
      <c r="E36" s="32"/>
      <c r="F36" s="32"/>
    </row>
    <row r="37" ht="15.75" customHeight="1">
      <c r="A37" s="14" t="s">
        <v>7</v>
      </c>
      <c r="B37" s="14" t="s">
        <v>71</v>
      </c>
      <c r="C37" s="15" t="s">
        <v>28</v>
      </c>
      <c r="D37" s="31">
        <v>0.7</v>
      </c>
      <c r="E37" s="32"/>
      <c r="F37" s="32"/>
    </row>
    <row r="38" ht="15.75" customHeight="1">
      <c r="A38" s="14" t="s">
        <v>7</v>
      </c>
      <c r="B38" s="14" t="s">
        <v>72</v>
      </c>
      <c r="C38" s="15" t="s">
        <v>42</v>
      </c>
      <c r="D38" s="31">
        <v>0.8</v>
      </c>
      <c r="E38" s="32"/>
      <c r="F38" s="32"/>
    </row>
    <row r="39" ht="15.75" customHeight="1">
      <c r="A39" s="14" t="s">
        <v>7</v>
      </c>
      <c r="B39" s="14" t="s">
        <v>73</v>
      </c>
      <c r="C39" s="15" t="s">
        <v>45</v>
      </c>
      <c r="D39" s="31">
        <v>0.3</v>
      </c>
      <c r="E39" s="32"/>
      <c r="F39" s="32"/>
    </row>
    <row r="40" ht="15.75" customHeight="1">
      <c r="A40" s="14" t="s">
        <v>7</v>
      </c>
      <c r="B40" s="14" t="s">
        <v>74</v>
      </c>
      <c r="C40" s="15" t="s">
        <v>30</v>
      </c>
      <c r="D40" s="31">
        <v>0.6</v>
      </c>
      <c r="E40" s="32"/>
      <c r="F40" s="32"/>
    </row>
    <row r="41" ht="15.75" customHeight="1">
      <c r="A41" s="14" t="s">
        <v>75</v>
      </c>
      <c r="B41" s="14" t="s">
        <v>76</v>
      </c>
      <c r="C41" s="15" t="s">
        <v>28</v>
      </c>
      <c r="D41" s="31">
        <v>0.2</v>
      </c>
      <c r="E41" s="32"/>
      <c r="F41" s="32"/>
    </row>
    <row r="42" ht="15.75" customHeight="1">
      <c r="A42" s="14" t="s">
        <v>75</v>
      </c>
      <c r="B42" s="14" t="s">
        <v>77</v>
      </c>
      <c r="C42" s="15" t="s">
        <v>32</v>
      </c>
      <c r="D42" s="31">
        <v>0.9</v>
      </c>
      <c r="E42" s="32"/>
      <c r="F42" s="32"/>
    </row>
    <row r="43" ht="15.75" customHeight="1">
      <c r="A43" s="14" t="s">
        <v>75</v>
      </c>
      <c r="B43" s="14" t="s">
        <v>78</v>
      </c>
      <c r="C43" s="15" t="s">
        <v>32</v>
      </c>
      <c r="D43" s="31">
        <v>0.8</v>
      </c>
      <c r="E43" s="32"/>
      <c r="F43" s="32"/>
    </row>
    <row r="44" ht="15.75" customHeight="1">
      <c r="A44" s="14" t="s">
        <v>75</v>
      </c>
      <c r="B44" s="14" t="s">
        <v>79</v>
      </c>
      <c r="C44" s="15" t="s">
        <v>28</v>
      </c>
      <c r="D44" s="31">
        <v>0.2</v>
      </c>
      <c r="E44" s="32"/>
      <c r="F44" s="32"/>
    </row>
    <row r="45" ht="15.75" customHeight="1">
      <c r="A45" s="14" t="s">
        <v>75</v>
      </c>
      <c r="B45" s="14" t="s">
        <v>80</v>
      </c>
      <c r="C45" s="15" t="s">
        <v>45</v>
      </c>
      <c r="D45" s="31">
        <v>0.7</v>
      </c>
      <c r="E45" s="32"/>
      <c r="F45" s="32"/>
    </row>
    <row r="46" ht="15.75" customHeight="1">
      <c r="A46" s="14" t="s">
        <v>13</v>
      </c>
      <c r="B46" s="14" t="s">
        <v>82</v>
      </c>
      <c r="C46" s="15" t="s">
        <v>32</v>
      </c>
      <c r="D46" s="31">
        <v>0.5</v>
      </c>
      <c r="E46" s="32"/>
      <c r="F46" s="32"/>
    </row>
    <row r="47" ht="15.75" customHeight="1">
      <c r="A47" s="14" t="s">
        <v>13</v>
      </c>
      <c r="B47" s="14" t="s">
        <v>83</v>
      </c>
      <c r="C47" s="15" t="s">
        <v>39</v>
      </c>
      <c r="D47" s="31">
        <v>0.7</v>
      </c>
      <c r="E47" s="32"/>
      <c r="F47" s="32"/>
    </row>
    <row r="48" ht="15.75" customHeight="1">
      <c r="A48" s="14" t="s">
        <v>13</v>
      </c>
      <c r="B48" s="14" t="s">
        <v>84</v>
      </c>
      <c r="C48" s="15" t="s">
        <v>30</v>
      </c>
      <c r="D48" s="31">
        <v>0.7</v>
      </c>
      <c r="E48" s="32"/>
      <c r="F48" s="32"/>
    </row>
    <row r="49" ht="15.75" customHeight="1">
      <c r="A49" s="14" t="s">
        <v>13</v>
      </c>
      <c r="B49" s="14" t="s">
        <v>85</v>
      </c>
      <c r="C49" s="15" t="s">
        <v>30</v>
      </c>
      <c r="D49" s="31">
        <v>0.6</v>
      </c>
      <c r="E49" s="32"/>
      <c r="F49" s="32"/>
    </row>
    <row r="50" ht="15.75" customHeight="1">
      <c r="A50" s="14" t="s">
        <v>13</v>
      </c>
      <c r="B50" s="14" t="s">
        <v>86</v>
      </c>
      <c r="C50" s="15" t="s">
        <v>32</v>
      </c>
      <c r="D50" s="31">
        <v>0.2</v>
      </c>
      <c r="E50" s="32"/>
      <c r="F50" s="32"/>
    </row>
    <row r="51" ht="15.75" customHeight="1">
      <c r="A51" s="14" t="s">
        <v>10</v>
      </c>
      <c r="B51" s="14" t="s">
        <v>87</v>
      </c>
      <c r="C51" s="15" t="s">
        <v>30</v>
      </c>
      <c r="D51" s="31">
        <v>0.7</v>
      </c>
      <c r="E51" s="32"/>
      <c r="F51" s="32"/>
    </row>
    <row r="52" ht="15.75" customHeight="1">
      <c r="A52" s="14" t="s">
        <v>10</v>
      </c>
      <c r="B52" s="14" t="s">
        <v>88</v>
      </c>
      <c r="C52" s="15" t="s">
        <v>30</v>
      </c>
      <c r="D52" s="31">
        <v>0.99</v>
      </c>
      <c r="E52" s="32"/>
      <c r="F52" s="32"/>
    </row>
    <row r="53" ht="15.75" customHeight="1">
      <c r="A53" s="14" t="s">
        <v>10</v>
      </c>
      <c r="B53" s="14" t="s">
        <v>89</v>
      </c>
      <c r="C53" s="15" t="s">
        <v>26</v>
      </c>
      <c r="D53" s="31">
        <v>0.8</v>
      </c>
      <c r="E53" s="32"/>
      <c r="F53" s="32"/>
    </row>
    <row r="54" ht="15.75" customHeight="1">
      <c r="A54" s="14" t="s">
        <v>10</v>
      </c>
      <c r="B54" s="14" t="s">
        <v>90</v>
      </c>
      <c r="C54" s="15" t="s">
        <v>32</v>
      </c>
      <c r="D54" s="31">
        <v>0.6</v>
      </c>
      <c r="E54" s="32"/>
      <c r="F54" s="32"/>
    </row>
    <row r="55" ht="15.75" customHeight="1">
      <c r="A55" s="14" t="s">
        <v>10</v>
      </c>
      <c r="B55" s="20" t="s">
        <v>91</v>
      </c>
      <c r="C55" s="15" t="s">
        <v>50</v>
      </c>
      <c r="D55" s="31">
        <v>0.8</v>
      </c>
      <c r="E55" s="32"/>
      <c r="F55" s="32"/>
    </row>
    <row r="56" ht="15.75" customHeight="1">
      <c r="A56" s="14" t="s">
        <v>17</v>
      </c>
      <c r="B56" s="14" t="s">
        <v>92</v>
      </c>
      <c r="C56" s="15" t="s">
        <v>32</v>
      </c>
      <c r="D56" s="31">
        <v>0.9</v>
      </c>
      <c r="E56" s="32"/>
      <c r="F56" s="32"/>
    </row>
    <row r="57" ht="15.75" customHeight="1">
      <c r="A57" s="14" t="s">
        <v>17</v>
      </c>
      <c r="B57" s="14" t="s">
        <v>93</v>
      </c>
      <c r="C57" s="15" t="s">
        <v>32</v>
      </c>
      <c r="D57" s="31">
        <v>0.3</v>
      </c>
      <c r="E57" s="32"/>
      <c r="F57" s="32"/>
    </row>
    <row r="58" ht="15.75" customHeight="1">
      <c r="A58" s="14" t="s">
        <v>17</v>
      </c>
      <c r="B58" s="14" t="s">
        <v>94</v>
      </c>
      <c r="C58" s="15" t="s">
        <v>30</v>
      </c>
      <c r="D58" s="31">
        <v>0.3</v>
      </c>
      <c r="E58" s="32"/>
      <c r="F58" s="32"/>
    </row>
    <row r="59" ht="15.75" customHeight="1">
      <c r="A59" s="14" t="s">
        <v>17</v>
      </c>
      <c r="B59" s="14" t="s">
        <v>95</v>
      </c>
      <c r="C59" s="15" t="s">
        <v>32</v>
      </c>
      <c r="D59" s="31">
        <v>0.6</v>
      </c>
      <c r="E59" s="32"/>
      <c r="F59" s="32"/>
    </row>
    <row r="60" ht="15.75" customHeight="1">
      <c r="A60" s="14" t="s">
        <v>17</v>
      </c>
      <c r="B60" s="14" t="s">
        <v>96</v>
      </c>
      <c r="C60" s="15" t="s">
        <v>32</v>
      </c>
      <c r="D60" s="31">
        <v>0.5</v>
      </c>
      <c r="E60" s="32"/>
      <c r="F60" s="32"/>
    </row>
    <row r="61">
      <c r="C61" s="33"/>
      <c r="D61" s="33"/>
      <c r="E61" s="33"/>
      <c r="F61" s="33"/>
    </row>
    <row r="62">
      <c r="C62" s="33"/>
      <c r="D62" s="33"/>
      <c r="E62" s="33"/>
      <c r="F62" s="33"/>
    </row>
    <row r="63">
      <c r="C63" s="33"/>
      <c r="D63" s="33"/>
      <c r="E63" s="33"/>
      <c r="F63" s="33"/>
    </row>
    <row r="64">
      <c r="C64" s="33"/>
      <c r="D64" s="33"/>
      <c r="E64" s="33"/>
      <c r="F64" s="33"/>
    </row>
    <row r="65">
      <c r="C65" s="33"/>
      <c r="D65" s="33"/>
      <c r="E65" s="33"/>
      <c r="F65" s="33"/>
    </row>
    <row r="66">
      <c r="C66" s="33"/>
      <c r="D66" s="33"/>
      <c r="E66" s="33"/>
      <c r="F66" s="33"/>
    </row>
    <row r="67">
      <c r="C67" s="33"/>
      <c r="D67" s="33"/>
      <c r="E67" s="33"/>
      <c r="F67" s="33"/>
    </row>
    <row r="68">
      <c r="C68" s="33"/>
      <c r="D68" s="33"/>
      <c r="E68" s="33"/>
      <c r="F68" s="33"/>
    </row>
    <row r="69">
      <c r="C69" s="33"/>
      <c r="D69" s="33"/>
      <c r="E69" s="33"/>
      <c r="F69" s="33"/>
    </row>
    <row r="70">
      <c r="C70" s="33"/>
      <c r="D70" s="33"/>
      <c r="E70" s="33"/>
      <c r="F70" s="33"/>
    </row>
    <row r="71">
      <c r="C71" s="33"/>
      <c r="D71" s="33"/>
      <c r="E71" s="33"/>
      <c r="F71" s="33"/>
    </row>
    <row r="72">
      <c r="C72" s="33"/>
      <c r="D72" s="33"/>
      <c r="E72" s="33"/>
      <c r="F72" s="33"/>
    </row>
    <row r="73">
      <c r="C73" s="33"/>
      <c r="D73" s="33"/>
      <c r="E73" s="33"/>
      <c r="F73" s="33"/>
    </row>
    <row r="74">
      <c r="C74" s="33"/>
      <c r="D74" s="33"/>
      <c r="E74" s="33"/>
      <c r="F74" s="33"/>
    </row>
    <row r="75">
      <c r="C75" s="33"/>
      <c r="D75" s="33"/>
      <c r="E75" s="33"/>
      <c r="F75" s="33"/>
    </row>
    <row r="76">
      <c r="C76" s="33"/>
      <c r="D76" s="33"/>
      <c r="E76" s="33"/>
      <c r="F76" s="33"/>
    </row>
    <row r="77">
      <c r="C77" s="33"/>
      <c r="D77" s="33"/>
      <c r="E77" s="33"/>
      <c r="F77" s="33"/>
    </row>
    <row r="78">
      <c r="C78" s="33"/>
      <c r="D78" s="33"/>
      <c r="E78" s="33"/>
      <c r="F78" s="33"/>
    </row>
    <row r="79">
      <c r="C79" s="33"/>
      <c r="D79" s="33"/>
      <c r="E79" s="33"/>
      <c r="F79" s="33"/>
    </row>
    <row r="80">
      <c r="C80" s="33"/>
      <c r="D80" s="33"/>
      <c r="E80" s="33"/>
      <c r="F80" s="33"/>
    </row>
    <row r="81">
      <c r="C81" s="33"/>
      <c r="D81" s="33"/>
      <c r="E81" s="33"/>
      <c r="F81" s="33"/>
    </row>
    <row r="82" ht="15.75" customHeight="1">
      <c r="C82" s="33"/>
      <c r="D82" s="33"/>
      <c r="E82" s="33"/>
      <c r="F82" s="33"/>
    </row>
    <row r="83" ht="15.75" customHeight="1">
      <c r="C83" s="33"/>
      <c r="D83" s="33"/>
      <c r="E83" s="33"/>
      <c r="F83" s="33"/>
    </row>
    <row r="84" ht="15.75" customHeight="1">
      <c r="C84" s="33"/>
      <c r="D84" s="33"/>
      <c r="E84" s="33"/>
      <c r="F84" s="33"/>
    </row>
    <row r="85" ht="15.75" customHeight="1">
      <c r="C85" s="33"/>
      <c r="D85" s="33"/>
      <c r="E85" s="33"/>
      <c r="F85" s="33"/>
    </row>
    <row r="86" ht="15.75" customHeight="1">
      <c r="C86" s="33"/>
      <c r="D86" s="33"/>
      <c r="E86" s="33"/>
      <c r="F86" s="33"/>
    </row>
    <row r="87" ht="15.75" customHeight="1">
      <c r="C87" s="33"/>
      <c r="D87" s="33"/>
      <c r="E87" s="33"/>
      <c r="F87" s="33"/>
    </row>
    <row r="88" ht="15.75" customHeight="1">
      <c r="C88" s="33"/>
      <c r="D88" s="33"/>
      <c r="E88" s="33"/>
      <c r="F88" s="33"/>
    </row>
    <row r="89" ht="15.75" customHeight="1">
      <c r="C89" s="33"/>
      <c r="D89" s="33"/>
      <c r="E89" s="33"/>
      <c r="F89" s="33"/>
    </row>
    <row r="90" ht="15.75" customHeight="1">
      <c r="C90" s="33"/>
      <c r="D90" s="33"/>
      <c r="E90" s="33"/>
      <c r="F90" s="33"/>
    </row>
    <row r="91" ht="15.75" customHeight="1">
      <c r="C91" s="33"/>
      <c r="D91" s="33"/>
      <c r="E91" s="33"/>
      <c r="F91" s="33"/>
    </row>
    <row r="92" ht="15.75" customHeight="1">
      <c r="C92" s="33"/>
      <c r="D92" s="33"/>
      <c r="E92" s="33"/>
      <c r="F92" s="33"/>
    </row>
    <row r="93" ht="15.75" customHeight="1">
      <c r="C93" s="33"/>
      <c r="D93" s="33"/>
      <c r="E93" s="33"/>
      <c r="F93" s="33"/>
    </row>
    <row r="94" ht="15.75" customHeight="1">
      <c r="C94" s="33"/>
      <c r="D94" s="33"/>
      <c r="E94" s="33"/>
      <c r="F94" s="33"/>
    </row>
    <row r="95" ht="15.75" customHeight="1">
      <c r="C95" s="33"/>
      <c r="D95" s="33"/>
      <c r="E95" s="33"/>
      <c r="F95" s="33"/>
    </row>
    <row r="96" ht="15.75" customHeight="1">
      <c r="C96" s="33"/>
      <c r="D96" s="33"/>
      <c r="E96" s="33"/>
      <c r="F96" s="33"/>
    </row>
    <row r="97" ht="15.75" customHeight="1">
      <c r="C97" s="33"/>
      <c r="D97" s="33"/>
      <c r="E97" s="33"/>
      <c r="F97" s="33"/>
    </row>
    <row r="98" ht="15.75" customHeight="1">
      <c r="C98" s="33"/>
      <c r="D98" s="33"/>
      <c r="E98" s="33"/>
      <c r="F98" s="33"/>
    </row>
    <row r="99" ht="15.75" customHeight="1">
      <c r="C99" s="33"/>
      <c r="D99" s="33"/>
      <c r="E99" s="33"/>
      <c r="F99" s="33"/>
    </row>
    <row r="100" ht="15.75" customHeight="1">
      <c r="C100" s="33"/>
      <c r="D100" s="33"/>
      <c r="E100" s="33"/>
      <c r="F100" s="33"/>
    </row>
    <row r="101" ht="15.75" customHeight="1">
      <c r="C101" s="33"/>
      <c r="D101" s="33"/>
      <c r="E101" s="33"/>
      <c r="F101" s="33"/>
    </row>
    <row r="102" ht="15.75" customHeight="1">
      <c r="C102" s="33"/>
      <c r="D102" s="33"/>
      <c r="E102" s="33"/>
      <c r="F102" s="33"/>
    </row>
    <row r="103" ht="15.75" customHeight="1">
      <c r="C103" s="33"/>
      <c r="D103" s="33"/>
      <c r="E103" s="33"/>
      <c r="F103" s="33"/>
    </row>
    <row r="104" ht="15.75" customHeight="1">
      <c r="C104" s="33"/>
      <c r="D104" s="33"/>
      <c r="E104" s="33"/>
      <c r="F104" s="33"/>
    </row>
    <row r="105" ht="15.75" customHeight="1">
      <c r="C105" s="33"/>
      <c r="D105" s="33"/>
      <c r="E105" s="33"/>
      <c r="F105" s="33"/>
    </row>
    <row r="106" ht="15.75" customHeight="1">
      <c r="C106" s="33"/>
      <c r="D106" s="33"/>
      <c r="E106" s="33"/>
      <c r="F106" s="33"/>
    </row>
    <row r="107" ht="15.75" customHeight="1">
      <c r="C107" s="33"/>
      <c r="D107" s="33"/>
      <c r="E107" s="33"/>
      <c r="F107" s="33"/>
    </row>
    <row r="108" ht="15.75" customHeight="1">
      <c r="C108" s="33"/>
      <c r="D108" s="33"/>
      <c r="E108" s="33"/>
      <c r="F108" s="33"/>
    </row>
    <row r="109" ht="15.75" customHeight="1">
      <c r="C109" s="33"/>
      <c r="D109" s="33"/>
      <c r="E109" s="33"/>
      <c r="F109" s="33"/>
    </row>
    <row r="110" ht="15.75" customHeight="1">
      <c r="C110" s="33"/>
      <c r="D110" s="33"/>
      <c r="E110" s="33"/>
      <c r="F110" s="33"/>
    </row>
    <row r="111" ht="15.75" customHeight="1">
      <c r="C111" s="33"/>
      <c r="D111" s="33"/>
      <c r="E111" s="33"/>
      <c r="F111" s="33"/>
    </row>
    <row r="112" ht="15.75" customHeight="1">
      <c r="C112" s="33"/>
      <c r="D112" s="33"/>
      <c r="E112" s="33"/>
      <c r="F112" s="33"/>
    </row>
    <row r="113" ht="15.75" customHeight="1">
      <c r="C113" s="33"/>
      <c r="D113" s="33"/>
      <c r="E113" s="33"/>
      <c r="F113" s="33"/>
    </row>
    <row r="114" ht="15.75" customHeight="1">
      <c r="C114" s="33"/>
      <c r="D114" s="33"/>
      <c r="E114" s="33"/>
      <c r="F114" s="33"/>
    </row>
    <row r="115" ht="15.75" customHeight="1">
      <c r="C115" s="33"/>
      <c r="D115" s="33"/>
      <c r="E115" s="33"/>
      <c r="F115" s="33"/>
    </row>
    <row r="116" ht="15.75" customHeight="1">
      <c r="C116" s="33"/>
      <c r="D116" s="33"/>
      <c r="E116" s="33"/>
      <c r="F116" s="33"/>
    </row>
    <row r="117" ht="15.75" customHeight="1">
      <c r="C117" s="33"/>
      <c r="D117" s="33"/>
      <c r="E117" s="33"/>
      <c r="F117" s="33"/>
    </row>
    <row r="118" ht="15.75" customHeight="1">
      <c r="C118" s="33"/>
      <c r="D118" s="33"/>
      <c r="E118" s="33"/>
      <c r="F118" s="33"/>
    </row>
    <row r="119" ht="15.75" customHeight="1">
      <c r="C119" s="33"/>
      <c r="D119" s="33"/>
      <c r="E119" s="33"/>
      <c r="F119" s="33"/>
    </row>
    <row r="120" ht="15.75" customHeight="1">
      <c r="C120" s="33"/>
      <c r="D120" s="33"/>
      <c r="E120" s="33"/>
      <c r="F120" s="33"/>
    </row>
    <row r="121" ht="15.75" customHeight="1">
      <c r="C121" s="33"/>
      <c r="D121" s="33"/>
      <c r="E121" s="33"/>
      <c r="F121" s="33"/>
    </row>
    <row r="122" ht="15.75" customHeight="1">
      <c r="C122" s="33"/>
      <c r="D122" s="33"/>
      <c r="E122" s="33"/>
      <c r="F122" s="33"/>
    </row>
    <row r="123" ht="15.75" customHeight="1">
      <c r="C123" s="33"/>
      <c r="D123" s="33"/>
      <c r="E123" s="33"/>
      <c r="F123" s="33"/>
    </row>
    <row r="124" ht="15.75" customHeight="1">
      <c r="C124" s="33"/>
      <c r="D124" s="33"/>
      <c r="E124" s="33"/>
      <c r="F124" s="33"/>
    </row>
    <row r="125" ht="15.75" customHeight="1">
      <c r="C125" s="33"/>
      <c r="D125" s="33"/>
      <c r="E125" s="33"/>
      <c r="F125" s="33"/>
    </row>
    <row r="126" ht="15.75" customHeight="1">
      <c r="C126" s="33"/>
      <c r="D126" s="33"/>
      <c r="E126" s="33"/>
      <c r="F126" s="33"/>
    </row>
    <row r="127" ht="15.75" customHeight="1">
      <c r="C127" s="33"/>
      <c r="D127" s="33"/>
      <c r="E127" s="33"/>
      <c r="F127" s="33"/>
    </row>
    <row r="128" ht="15.75" customHeight="1">
      <c r="C128" s="33"/>
      <c r="D128" s="33"/>
      <c r="E128" s="33"/>
      <c r="F128" s="33"/>
    </row>
    <row r="129" ht="15.75" customHeight="1">
      <c r="C129" s="33"/>
      <c r="D129" s="33"/>
      <c r="E129" s="33"/>
      <c r="F129" s="33"/>
    </row>
    <row r="130" ht="15.75" customHeight="1">
      <c r="C130" s="33"/>
      <c r="D130" s="33"/>
      <c r="E130" s="33"/>
      <c r="F130" s="33"/>
    </row>
    <row r="131" ht="15.75" customHeight="1">
      <c r="C131" s="33"/>
      <c r="D131" s="33"/>
      <c r="E131" s="33"/>
      <c r="F131" s="33"/>
    </row>
    <row r="132" ht="15.75" customHeight="1">
      <c r="C132" s="33"/>
      <c r="D132" s="33"/>
      <c r="E132" s="33"/>
      <c r="F132" s="33"/>
    </row>
    <row r="133" ht="15.75" customHeight="1">
      <c r="C133" s="33"/>
      <c r="D133" s="33"/>
      <c r="E133" s="33"/>
      <c r="F133" s="33"/>
    </row>
    <row r="134" ht="15.75" customHeight="1">
      <c r="C134" s="33"/>
      <c r="D134" s="33"/>
      <c r="E134" s="33"/>
      <c r="F134" s="33"/>
    </row>
    <row r="135" ht="15.75" customHeight="1">
      <c r="C135" s="33"/>
      <c r="D135" s="33"/>
      <c r="E135" s="33"/>
      <c r="F135" s="33"/>
    </row>
    <row r="136" ht="15.75" customHeight="1">
      <c r="C136" s="33"/>
      <c r="D136" s="33"/>
      <c r="E136" s="33"/>
      <c r="F136" s="33"/>
    </row>
    <row r="137" ht="15.75" customHeight="1">
      <c r="C137" s="33"/>
      <c r="D137" s="33"/>
      <c r="E137" s="33"/>
      <c r="F137" s="33"/>
    </row>
    <row r="138" ht="15.75" customHeight="1">
      <c r="C138" s="33"/>
      <c r="D138" s="33"/>
      <c r="E138" s="33"/>
      <c r="F138" s="33"/>
    </row>
    <row r="139" ht="15.75" customHeight="1">
      <c r="C139" s="33"/>
      <c r="D139" s="33"/>
      <c r="E139" s="33"/>
      <c r="F139" s="33"/>
    </row>
    <row r="140" ht="15.75" customHeight="1">
      <c r="C140" s="33"/>
      <c r="D140" s="33"/>
      <c r="E140" s="33"/>
      <c r="F140" s="33"/>
    </row>
    <row r="141" ht="15.75" customHeight="1">
      <c r="C141" s="33"/>
      <c r="D141" s="33"/>
      <c r="E141" s="33"/>
      <c r="F141" s="33"/>
    </row>
    <row r="142" ht="15.75" customHeight="1">
      <c r="C142" s="33"/>
      <c r="D142" s="33"/>
      <c r="E142" s="33"/>
      <c r="F142" s="33"/>
    </row>
    <row r="143" ht="15.75" customHeight="1">
      <c r="C143" s="33"/>
      <c r="D143" s="33"/>
      <c r="E143" s="33"/>
      <c r="F143" s="33"/>
    </row>
    <row r="144" ht="15.75" customHeight="1">
      <c r="C144" s="33"/>
      <c r="D144" s="33"/>
      <c r="E144" s="33"/>
      <c r="F144" s="33"/>
    </row>
    <row r="145" ht="15.75" customHeight="1">
      <c r="C145" s="33"/>
      <c r="D145" s="33"/>
      <c r="E145" s="33"/>
      <c r="F145" s="33"/>
    </row>
    <row r="146" ht="15.75" customHeight="1">
      <c r="C146" s="33"/>
      <c r="D146" s="33"/>
      <c r="E146" s="33"/>
      <c r="F146" s="33"/>
    </row>
    <row r="147" ht="15.75" customHeight="1">
      <c r="C147" s="33"/>
      <c r="D147" s="33"/>
      <c r="E147" s="33"/>
      <c r="F147" s="33"/>
    </row>
    <row r="148" ht="15.75" customHeight="1">
      <c r="C148" s="33"/>
      <c r="D148" s="33"/>
      <c r="E148" s="33"/>
      <c r="F148" s="33"/>
    </row>
    <row r="149" ht="15.75" customHeight="1">
      <c r="C149" s="33"/>
      <c r="D149" s="33"/>
      <c r="E149" s="33"/>
      <c r="F149" s="33"/>
    </row>
    <row r="150" ht="15.75" customHeight="1">
      <c r="C150" s="33"/>
      <c r="D150" s="33"/>
      <c r="E150" s="33"/>
      <c r="F150" s="33"/>
    </row>
    <row r="151" ht="15.75" customHeight="1">
      <c r="C151" s="33"/>
      <c r="D151" s="33"/>
      <c r="E151" s="33"/>
      <c r="F151" s="33"/>
    </row>
    <row r="152" ht="15.75" customHeight="1">
      <c r="C152" s="33"/>
      <c r="D152" s="33"/>
      <c r="E152" s="33"/>
      <c r="F152" s="33"/>
    </row>
    <row r="153" ht="15.75" customHeight="1">
      <c r="C153" s="33"/>
      <c r="D153" s="33"/>
      <c r="E153" s="33"/>
      <c r="F153" s="33"/>
    </row>
    <row r="154" ht="15.75" customHeight="1">
      <c r="C154" s="33"/>
      <c r="D154" s="33"/>
      <c r="E154" s="33"/>
      <c r="F154" s="33"/>
    </row>
    <row r="155" ht="15.75" customHeight="1">
      <c r="C155" s="33"/>
      <c r="D155" s="33"/>
      <c r="E155" s="33"/>
      <c r="F155" s="33"/>
    </row>
    <row r="156" ht="15.75" customHeight="1">
      <c r="C156" s="33"/>
      <c r="D156" s="33"/>
      <c r="E156" s="33"/>
      <c r="F156" s="33"/>
    </row>
    <row r="157" ht="15.75" customHeight="1">
      <c r="C157" s="33"/>
      <c r="D157" s="33"/>
      <c r="E157" s="33"/>
      <c r="F157" s="33"/>
    </row>
    <row r="158" ht="15.75" customHeight="1">
      <c r="C158" s="33"/>
      <c r="D158" s="33"/>
      <c r="E158" s="33"/>
      <c r="F158" s="33"/>
    </row>
    <row r="159" ht="15.75" customHeight="1">
      <c r="C159" s="33"/>
      <c r="D159" s="33"/>
      <c r="E159" s="33"/>
      <c r="F159" s="33"/>
    </row>
    <row r="160" ht="15.75" customHeight="1">
      <c r="C160" s="33"/>
      <c r="D160" s="33"/>
      <c r="E160" s="33"/>
      <c r="F160" s="33"/>
    </row>
    <row r="161" ht="15.75" customHeight="1">
      <c r="C161" s="33"/>
      <c r="D161" s="33"/>
      <c r="E161" s="33"/>
      <c r="F161" s="33"/>
    </row>
    <row r="162" ht="15.75" customHeight="1">
      <c r="C162" s="33"/>
      <c r="D162" s="33"/>
      <c r="E162" s="33"/>
      <c r="F162" s="33"/>
    </row>
    <row r="163" ht="15.75" customHeight="1">
      <c r="C163" s="33"/>
      <c r="D163" s="33"/>
      <c r="E163" s="33"/>
      <c r="F163" s="33"/>
    </row>
    <row r="164" ht="15.75" customHeight="1">
      <c r="C164" s="33"/>
      <c r="D164" s="33"/>
      <c r="E164" s="33"/>
      <c r="F164" s="33"/>
    </row>
    <row r="165" ht="15.75" customHeight="1">
      <c r="C165" s="33"/>
      <c r="D165" s="33"/>
      <c r="E165" s="33"/>
      <c r="F165" s="33"/>
    </row>
    <row r="166" ht="15.75" customHeight="1">
      <c r="C166" s="33"/>
      <c r="D166" s="33"/>
      <c r="E166" s="33"/>
      <c r="F166" s="33"/>
    </row>
    <row r="167" ht="15.75" customHeight="1">
      <c r="C167" s="33"/>
      <c r="D167" s="33"/>
      <c r="E167" s="33"/>
      <c r="F167" s="33"/>
    </row>
    <row r="168" ht="15.75" customHeight="1">
      <c r="C168" s="33"/>
      <c r="D168" s="33"/>
      <c r="E168" s="33"/>
      <c r="F168" s="33"/>
    </row>
    <row r="169" ht="15.75" customHeight="1">
      <c r="C169" s="33"/>
      <c r="D169" s="33"/>
      <c r="E169" s="33"/>
      <c r="F169" s="33"/>
    </row>
    <row r="170" ht="15.75" customHeight="1">
      <c r="C170" s="33"/>
      <c r="D170" s="33"/>
      <c r="E170" s="33"/>
      <c r="F170" s="33"/>
    </row>
    <row r="171" ht="15.75" customHeight="1">
      <c r="C171" s="33"/>
      <c r="D171" s="33"/>
      <c r="E171" s="33"/>
      <c r="F171" s="33"/>
    </row>
    <row r="172" ht="15.75" customHeight="1">
      <c r="C172" s="33"/>
      <c r="D172" s="33"/>
      <c r="E172" s="33"/>
      <c r="F172" s="33"/>
    </row>
    <row r="173" ht="15.75" customHeight="1">
      <c r="C173" s="33"/>
      <c r="D173" s="33"/>
      <c r="E173" s="33"/>
      <c r="F173" s="33"/>
    </row>
    <row r="174" ht="15.75" customHeight="1">
      <c r="C174" s="33"/>
      <c r="D174" s="33"/>
      <c r="E174" s="33"/>
      <c r="F174" s="33"/>
    </row>
    <row r="175" ht="15.75" customHeight="1">
      <c r="C175" s="33"/>
      <c r="D175" s="33"/>
      <c r="E175" s="33"/>
      <c r="F175" s="33"/>
    </row>
    <row r="176" ht="15.75" customHeight="1">
      <c r="C176" s="33"/>
      <c r="D176" s="33"/>
      <c r="E176" s="33"/>
      <c r="F176" s="33"/>
    </row>
    <row r="177" ht="15.75" customHeight="1">
      <c r="C177" s="33"/>
      <c r="D177" s="33"/>
      <c r="E177" s="33"/>
      <c r="F177" s="33"/>
    </row>
    <row r="178" ht="15.75" customHeight="1">
      <c r="C178" s="33"/>
      <c r="D178" s="33"/>
      <c r="E178" s="33"/>
      <c r="F178" s="33"/>
    </row>
    <row r="179" ht="15.75" customHeight="1">
      <c r="C179" s="33"/>
      <c r="D179" s="33"/>
      <c r="E179" s="33"/>
      <c r="F179" s="33"/>
    </row>
    <row r="180" ht="15.75" customHeight="1">
      <c r="C180" s="33"/>
      <c r="D180" s="33"/>
      <c r="E180" s="33"/>
      <c r="F180" s="33"/>
    </row>
    <row r="181" ht="15.75" customHeight="1">
      <c r="C181" s="33"/>
      <c r="D181" s="33"/>
      <c r="E181" s="33"/>
      <c r="F181" s="33"/>
    </row>
    <row r="182" ht="15.75" customHeight="1">
      <c r="C182" s="33"/>
      <c r="D182" s="33"/>
      <c r="E182" s="33"/>
      <c r="F182" s="33"/>
    </row>
    <row r="183" ht="15.75" customHeight="1">
      <c r="C183" s="33"/>
      <c r="D183" s="33"/>
      <c r="E183" s="33"/>
      <c r="F183" s="33"/>
    </row>
    <row r="184" ht="15.75" customHeight="1">
      <c r="C184" s="33"/>
      <c r="D184" s="33"/>
      <c r="E184" s="33"/>
      <c r="F184" s="33"/>
    </row>
    <row r="185" ht="15.75" customHeight="1">
      <c r="C185" s="33"/>
      <c r="D185" s="33"/>
      <c r="E185" s="33"/>
      <c r="F185" s="33"/>
    </row>
    <row r="186" ht="15.75" customHeight="1">
      <c r="C186" s="33"/>
      <c r="D186" s="33"/>
      <c r="E186" s="33"/>
      <c r="F186" s="33"/>
    </row>
    <row r="187" ht="15.75" customHeight="1">
      <c r="C187" s="33"/>
      <c r="D187" s="33"/>
      <c r="E187" s="33"/>
      <c r="F187" s="33"/>
    </row>
    <row r="188" ht="15.75" customHeight="1">
      <c r="C188" s="33"/>
      <c r="D188" s="33"/>
      <c r="E188" s="33"/>
      <c r="F188" s="33"/>
    </row>
    <row r="189" ht="15.75" customHeight="1">
      <c r="C189" s="33"/>
      <c r="D189" s="33"/>
      <c r="E189" s="33"/>
      <c r="F189" s="33"/>
    </row>
    <row r="190" ht="15.75" customHeight="1">
      <c r="C190" s="33"/>
      <c r="D190" s="33"/>
      <c r="E190" s="33"/>
      <c r="F190" s="33"/>
    </row>
    <row r="191" ht="15.75" customHeight="1">
      <c r="C191" s="33"/>
      <c r="D191" s="33"/>
      <c r="E191" s="33"/>
      <c r="F191" s="33"/>
    </row>
    <row r="192" ht="15.75" customHeight="1">
      <c r="C192" s="33"/>
      <c r="D192" s="33"/>
      <c r="E192" s="33"/>
      <c r="F192" s="33"/>
    </row>
    <row r="193" ht="15.75" customHeight="1">
      <c r="C193" s="33"/>
      <c r="D193" s="33"/>
      <c r="E193" s="33"/>
      <c r="F193" s="33"/>
    </row>
    <row r="194" ht="15.75" customHeight="1">
      <c r="C194" s="33"/>
      <c r="D194" s="33"/>
      <c r="E194" s="33"/>
      <c r="F194" s="33"/>
    </row>
    <row r="195" ht="15.75" customHeight="1">
      <c r="C195" s="33"/>
      <c r="D195" s="33"/>
      <c r="E195" s="33"/>
      <c r="F195" s="33"/>
    </row>
    <row r="196" ht="15.75" customHeight="1">
      <c r="C196" s="33"/>
      <c r="D196" s="33"/>
      <c r="E196" s="33"/>
      <c r="F196" s="33"/>
    </row>
    <row r="197" ht="15.75" customHeight="1">
      <c r="C197" s="33"/>
      <c r="D197" s="33"/>
      <c r="E197" s="33"/>
      <c r="F197" s="33"/>
    </row>
    <row r="198" ht="15.75" customHeight="1">
      <c r="C198" s="33"/>
      <c r="D198" s="33"/>
      <c r="E198" s="33"/>
      <c r="F198" s="33"/>
    </row>
    <row r="199" ht="15.75" customHeight="1">
      <c r="C199" s="33"/>
      <c r="D199" s="33"/>
      <c r="E199" s="33"/>
      <c r="F199" s="33"/>
    </row>
    <row r="200" ht="15.75" customHeight="1">
      <c r="C200" s="33"/>
      <c r="D200" s="33"/>
      <c r="E200" s="33"/>
      <c r="F200" s="33"/>
    </row>
    <row r="201" ht="15.75" customHeight="1">
      <c r="C201" s="33"/>
      <c r="D201" s="33"/>
      <c r="E201" s="33"/>
      <c r="F201" s="33"/>
    </row>
    <row r="202" ht="15.75" customHeight="1">
      <c r="C202" s="33"/>
      <c r="D202" s="33"/>
      <c r="E202" s="33"/>
      <c r="F202" s="33"/>
    </row>
    <row r="203" ht="15.75" customHeight="1">
      <c r="C203" s="33"/>
      <c r="D203" s="33"/>
      <c r="E203" s="33"/>
      <c r="F203" s="33"/>
    </row>
    <row r="204" ht="15.75" customHeight="1">
      <c r="C204" s="33"/>
      <c r="D204" s="33"/>
      <c r="E204" s="33"/>
      <c r="F204" s="33"/>
    </row>
    <row r="205" ht="15.75" customHeight="1">
      <c r="C205" s="33"/>
      <c r="D205" s="33"/>
      <c r="E205" s="33"/>
      <c r="F205" s="33"/>
    </row>
    <row r="206" ht="15.75" customHeight="1">
      <c r="C206" s="33"/>
      <c r="D206" s="33"/>
      <c r="E206" s="33"/>
      <c r="F206" s="33"/>
    </row>
    <row r="207" ht="15.75" customHeight="1">
      <c r="C207" s="33"/>
      <c r="D207" s="33"/>
      <c r="E207" s="33"/>
      <c r="F207" s="33"/>
    </row>
    <row r="208" ht="15.75" customHeight="1">
      <c r="C208" s="33"/>
      <c r="D208" s="33"/>
      <c r="E208" s="33"/>
      <c r="F208" s="33"/>
    </row>
    <row r="209" ht="15.75" customHeight="1">
      <c r="C209" s="33"/>
      <c r="D209" s="33"/>
      <c r="E209" s="33"/>
      <c r="F209" s="33"/>
    </row>
    <row r="210" ht="15.75" customHeight="1">
      <c r="C210" s="33"/>
      <c r="D210" s="33"/>
      <c r="E210" s="33"/>
      <c r="F210" s="33"/>
    </row>
    <row r="211" ht="15.75" customHeight="1">
      <c r="C211" s="33"/>
      <c r="D211" s="33"/>
      <c r="E211" s="33"/>
      <c r="F211" s="33"/>
    </row>
    <row r="212" ht="15.75" customHeight="1">
      <c r="C212" s="33"/>
      <c r="D212" s="33"/>
      <c r="E212" s="33"/>
      <c r="F212" s="33"/>
    </row>
    <row r="213" ht="15.75" customHeight="1">
      <c r="C213" s="33"/>
      <c r="D213" s="33"/>
      <c r="E213" s="33"/>
      <c r="F213" s="33"/>
    </row>
    <row r="214" ht="15.75" customHeight="1">
      <c r="C214" s="33"/>
      <c r="D214" s="33"/>
      <c r="E214" s="33"/>
      <c r="F214" s="33"/>
    </row>
    <row r="215" ht="15.75" customHeight="1">
      <c r="C215" s="33"/>
      <c r="D215" s="33"/>
      <c r="E215" s="33"/>
      <c r="F215" s="33"/>
    </row>
    <row r="216" ht="15.75" customHeight="1">
      <c r="C216" s="33"/>
      <c r="D216" s="33"/>
      <c r="E216" s="33"/>
      <c r="F216" s="33"/>
    </row>
    <row r="217" ht="15.75" customHeight="1">
      <c r="C217" s="33"/>
      <c r="D217" s="33"/>
      <c r="E217" s="33"/>
      <c r="F217" s="33"/>
    </row>
    <row r="218" ht="15.75" customHeight="1">
      <c r="C218" s="33"/>
      <c r="D218" s="33"/>
      <c r="E218" s="33"/>
      <c r="F218" s="33"/>
    </row>
    <row r="219" ht="15.75" customHeight="1">
      <c r="C219" s="33"/>
      <c r="D219" s="33"/>
      <c r="E219" s="33"/>
      <c r="F219" s="33"/>
    </row>
    <row r="220" ht="15.75" customHeight="1">
      <c r="C220" s="33"/>
      <c r="D220" s="33"/>
      <c r="E220" s="33"/>
      <c r="F220" s="33"/>
    </row>
    <row r="221" ht="15.75" customHeight="1">
      <c r="C221" s="33"/>
      <c r="D221" s="33"/>
      <c r="E221" s="33"/>
      <c r="F221" s="33"/>
    </row>
    <row r="222" ht="15.75" customHeight="1">
      <c r="C222" s="33"/>
      <c r="D222" s="33"/>
      <c r="E222" s="33"/>
      <c r="F222" s="33"/>
    </row>
    <row r="223" ht="15.75" customHeight="1">
      <c r="C223" s="33"/>
      <c r="D223" s="33"/>
      <c r="E223" s="33"/>
      <c r="F223" s="33"/>
    </row>
    <row r="224" ht="15.75" customHeight="1">
      <c r="C224" s="33"/>
      <c r="D224" s="33"/>
      <c r="E224" s="33"/>
      <c r="F224" s="33"/>
    </row>
    <row r="225" ht="15.75" customHeight="1">
      <c r="C225" s="33"/>
      <c r="D225" s="33"/>
      <c r="E225" s="33"/>
      <c r="F225" s="33"/>
    </row>
    <row r="226" ht="15.75" customHeight="1">
      <c r="C226" s="33"/>
      <c r="D226" s="33"/>
      <c r="E226" s="33"/>
      <c r="F226" s="33"/>
    </row>
    <row r="227" ht="15.75" customHeight="1">
      <c r="C227" s="33"/>
      <c r="D227" s="33"/>
      <c r="E227" s="33"/>
      <c r="F227" s="33"/>
    </row>
    <row r="228" ht="15.75" customHeight="1">
      <c r="C228" s="33"/>
      <c r="D228" s="33"/>
      <c r="E228" s="33"/>
      <c r="F228" s="33"/>
    </row>
    <row r="229" ht="15.75" customHeight="1">
      <c r="C229" s="33"/>
      <c r="D229" s="33"/>
      <c r="E229" s="33"/>
      <c r="F229" s="33"/>
    </row>
    <row r="230" ht="15.75" customHeight="1">
      <c r="C230" s="33"/>
      <c r="D230" s="33"/>
      <c r="E230" s="33"/>
      <c r="F230" s="33"/>
    </row>
    <row r="231" ht="15.75" customHeight="1">
      <c r="C231" s="33"/>
      <c r="D231" s="33"/>
      <c r="E231" s="33"/>
      <c r="F231" s="33"/>
    </row>
    <row r="232" ht="15.75" customHeight="1">
      <c r="C232" s="33"/>
      <c r="D232" s="33"/>
      <c r="E232" s="33"/>
      <c r="F232" s="33"/>
    </row>
    <row r="233" ht="15.75" customHeight="1">
      <c r="C233" s="33"/>
      <c r="D233" s="33"/>
      <c r="E233" s="33"/>
      <c r="F233" s="33"/>
    </row>
    <row r="234" ht="15.75" customHeight="1">
      <c r="C234" s="33"/>
      <c r="D234" s="33"/>
      <c r="E234" s="33"/>
      <c r="F234" s="33"/>
    </row>
    <row r="235" ht="15.75" customHeight="1">
      <c r="C235" s="33"/>
      <c r="D235" s="33"/>
      <c r="E235" s="33"/>
      <c r="F235" s="33"/>
    </row>
    <row r="236" ht="15.75" customHeight="1">
      <c r="C236" s="33"/>
      <c r="D236" s="33"/>
      <c r="E236" s="33"/>
      <c r="F236" s="33"/>
    </row>
    <row r="237" ht="15.75" customHeight="1">
      <c r="C237" s="33"/>
      <c r="D237" s="33"/>
      <c r="E237" s="33"/>
      <c r="F237" s="33"/>
    </row>
    <row r="238" ht="15.75" customHeight="1">
      <c r="C238" s="33"/>
      <c r="D238" s="33"/>
      <c r="E238" s="33"/>
      <c r="F238" s="33"/>
    </row>
    <row r="239" ht="15.75" customHeight="1">
      <c r="C239" s="33"/>
      <c r="D239" s="33"/>
      <c r="E239" s="33"/>
      <c r="F239" s="33"/>
    </row>
    <row r="240" ht="15.75" customHeight="1">
      <c r="C240" s="33"/>
      <c r="D240" s="33"/>
      <c r="E240" s="33"/>
      <c r="F240" s="33"/>
    </row>
    <row r="241" ht="15.75" customHeight="1">
      <c r="C241" s="33"/>
      <c r="D241" s="33"/>
      <c r="E241" s="33"/>
      <c r="F241" s="33"/>
    </row>
    <row r="242" ht="15.75" customHeight="1">
      <c r="C242" s="33"/>
      <c r="D242" s="33"/>
      <c r="E242" s="33"/>
      <c r="F242" s="33"/>
    </row>
    <row r="243" ht="15.75" customHeight="1">
      <c r="C243" s="33"/>
      <c r="D243" s="33"/>
      <c r="E243" s="33"/>
      <c r="F243" s="33"/>
    </row>
    <row r="244" ht="15.75" customHeight="1">
      <c r="C244" s="33"/>
      <c r="D244" s="33"/>
      <c r="E244" s="33"/>
      <c r="F244" s="33"/>
    </row>
    <row r="245" ht="15.75" customHeight="1">
      <c r="C245" s="33"/>
      <c r="D245" s="33"/>
      <c r="E245" s="33"/>
      <c r="F245" s="33"/>
    </row>
    <row r="246" ht="15.75" customHeight="1">
      <c r="C246" s="33"/>
      <c r="D246" s="33"/>
      <c r="E246" s="33"/>
      <c r="F246" s="33"/>
    </row>
    <row r="247" ht="15.75" customHeight="1">
      <c r="C247" s="33"/>
      <c r="D247" s="33"/>
      <c r="E247" s="33"/>
      <c r="F247" s="33"/>
    </row>
    <row r="248" ht="15.75" customHeight="1">
      <c r="C248" s="33"/>
      <c r="D248" s="33"/>
      <c r="E248" s="33"/>
      <c r="F248" s="33"/>
    </row>
    <row r="249" ht="15.75" customHeight="1">
      <c r="C249" s="33"/>
      <c r="D249" s="33"/>
      <c r="E249" s="33"/>
      <c r="F249" s="33"/>
    </row>
    <row r="250" ht="15.75" customHeight="1">
      <c r="C250" s="33"/>
      <c r="D250" s="33"/>
      <c r="E250" s="33"/>
      <c r="F250" s="33"/>
    </row>
    <row r="251" ht="15.75" customHeight="1">
      <c r="C251" s="33"/>
      <c r="D251" s="33"/>
      <c r="E251" s="33"/>
      <c r="F251" s="33"/>
    </row>
    <row r="252" ht="15.75" customHeight="1">
      <c r="C252" s="33"/>
      <c r="D252" s="33"/>
      <c r="E252" s="33"/>
      <c r="F252" s="33"/>
    </row>
    <row r="253" ht="15.75" customHeight="1">
      <c r="C253" s="33"/>
      <c r="D253" s="33"/>
      <c r="E253" s="33"/>
      <c r="F253" s="33"/>
    </row>
    <row r="254" ht="15.75" customHeight="1">
      <c r="C254" s="33"/>
      <c r="D254" s="33"/>
      <c r="E254" s="33"/>
      <c r="F254" s="33"/>
    </row>
    <row r="255" ht="15.75" customHeight="1">
      <c r="C255" s="33"/>
      <c r="D255" s="33"/>
      <c r="E255" s="33"/>
      <c r="F255" s="33"/>
    </row>
    <row r="256" ht="15.75" customHeight="1">
      <c r="C256" s="33"/>
      <c r="D256" s="33"/>
      <c r="E256" s="33"/>
      <c r="F256" s="33"/>
    </row>
    <row r="257" ht="15.75" customHeight="1">
      <c r="C257" s="33"/>
      <c r="D257" s="33"/>
      <c r="E257" s="33"/>
      <c r="F257" s="33"/>
    </row>
    <row r="258" ht="15.75" customHeight="1">
      <c r="C258" s="33"/>
      <c r="D258" s="33"/>
      <c r="E258" s="33"/>
      <c r="F258" s="33"/>
    </row>
    <row r="259" ht="15.75" customHeight="1">
      <c r="C259" s="33"/>
      <c r="D259" s="33"/>
      <c r="E259" s="33"/>
      <c r="F259" s="33"/>
    </row>
    <row r="260" ht="15.75" customHeight="1">
      <c r="C260" s="33"/>
      <c r="D260" s="33"/>
      <c r="E260" s="33"/>
      <c r="F260" s="33"/>
    </row>
    <row r="261" ht="15.75" customHeight="1">
      <c r="C261" s="33"/>
      <c r="D261" s="33"/>
      <c r="E261" s="33"/>
      <c r="F261" s="33"/>
    </row>
    <row r="262" ht="15.75" customHeight="1">
      <c r="C262" s="33"/>
      <c r="D262" s="33"/>
      <c r="E262" s="33"/>
      <c r="F262" s="33"/>
    </row>
    <row r="263" ht="15.75" customHeight="1">
      <c r="C263" s="33"/>
      <c r="D263" s="33"/>
      <c r="E263" s="33"/>
      <c r="F263" s="33"/>
    </row>
    <row r="264" ht="15.75" customHeight="1">
      <c r="C264" s="33"/>
      <c r="D264" s="33"/>
      <c r="E264" s="33"/>
      <c r="F264" s="33"/>
    </row>
    <row r="265" ht="15.75" customHeight="1">
      <c r="C265" s="33"/>
      <c r="D265" s="33"/>
      <c r="E265" s="33"/>
      <c r="F265" s="33"/>
    </row>
    <row r="266" ht="15.75" customHeight="1">
      <c r="C266" s="33"/>
      <c r="D266" s="33"/>
      <c r="E266" s="33"/>
      <c r="F266" s="33"/>
    </row>
    <row r="267" ht="15.75" customHeight="1">
      <c r="C267" s="33"/>
      <c r="D267" s="33"/>
      <c r="E267" s="33"/>
      <c r="F267" s="33"/>
    </row>
    <row r="268" ht="15.75" customHeight="1">
      <c r="C268" s="33"/>
      <c r="D268" s="33"/>
      <c r="E268" s="33"/>
      <c r="F268" s="33"/>
    </row>
    <row r="269" ht="15.75" customHeight="1">
      <c r="C269" s="33"/>
      <c r="D269" s="33"/>
      <c r="E269" s="33"/>
      <c r="F269" s="33"/>
    </row>
    <row r="270" ht="15.75" customHeight="1">
      <c r="C270" s="33"/>
      <c r="D270" s="33"/>
      <c r="E270" s="33"/>
      <c r="F270" s="33"/>
    </row>
    <row r="271" ht="15.75" customHeight="1">
      <c r="C271" s="33"/>
      <c r="D271" s="33"/>
      <c r="E271" s="33"/>
      <c r="F271" s="33"/>
    </row>
    <row r="272" ht="15.75" customHeight="1">
      <c r="C272" s="33"/>
      <c r="D272" s="33"/>
      <c r="E272" s="33"/>
      <c r="F272" s="33"/>
    </row>
    <row r="273" ht="15.75" customHeight="1">
      <c r="C273" s="33"/>
      <c r="D273" s="33"/>
      <c r="E273" s="33"/>
      <c r="F273" s="33"/>
    </row>
    <row r="274" ht="15.75" customHeight="1">
      <c r="C274" s="33"/>
      <c r="D274" s="33"/>
      <c r="E274" s="33"/>
      <c r="F274" s="33"/>
    </row>
    <row r="275" ht="15.75" customHeight="1">
      <c r="C275" s="33"/>
      <c r="D275" s="33"/>
      <c r="E275" s="33"/>
      <c r="F275" s="33"/>
    </row>
    <row r="276" ht="15.75" customHeight="1">
      <c r="C276" s="33"/>
      <c r="D276" s="33"/>
      <c r="E276" s="33"/>
      <c r="F276" s="33"/>
    </row>
    <row r="277" ht="15.75" customHeight="1">
      <c r="C277" s="33"/>
      <c r="D277" s="33"/>
      <c r="E277" s="33"/>
      <c r="F277" s="33"/>
    </row>
    <row r="278" ht="15.75" customHeight="1">
      <c r="C278" s="33"/>
      <c r="D278" s="33"/>
      <c r="E278" s="33"/>
      <c r="F278" s="33"/>
    </row>
    <row r="279" ht="15.75" customHeight="1">
      <c r="C279" s="33"/>
      <c r="D279" s="33"/>
      <c r="E279" s="33"/>
      <c r="F279" s="33"/>
    </row>
    <row r="280" ht="15.75" customHeight="1">
      <c r="C280" s="33"/>
      <c r="D280" s="33"/>
      <c r="E280" s="33"/>
      <c r="F280" s="33"/>
    </row>
    <row r="281" ht="15.75" customHeight="1">
      <c r="C281" s="33"/>
      <c r="D281" s="33"/>
      <c r="E281" s="33"/>
      <c r="F281" s="33"/>
    </row>
    <row r="282" ht="15.75" customHeight="1">
      <c r="C282" s="33"/>
      <c r="D282" s="33"/>
      <c r="E282" s="33"/>
      <c r="F282" s="33"/>
    </row>
    <row r="283" ht="15.75" customHeight="1">
      <c r="C283" s="33"/>
      <c r="D283" s="33"/>
      <c r="E283" s="33"/>
      <c r="F283" s="33"/>
    </row>
    <row r="284" ht="15.75" customHeight="1">
      <c r="C284" s="33"/>
      <c r="D284" s="33"/>
      <c r="E284" s="33"/>
      <c r="F284" s="33"/>
    </row>
    <row r="285" ht="15.75" customHeight="1">
      <c r="C285" s="33"/>
      <c r="D285" s="33"/>
      <c r="E285" s="33"/>
      <c r="F285" s="33"/>
    </row>
    <row r="286" ht="15.75" customHeight="1">
      <c r="C286" s="33"/>
      <c r="D286" s="33"/>
      <c r="E286" s="33"/>
      <c r="F286" s="33"/>
    </row>
    <row r="287" ht="15.75" customHeight="1">
      <c r="C287" s="33"/>
      <c r="D287" s="33"/>
      <c r="E287" s="33"/>
      <c r="F287" s="33"/>
    </row>
    <row r="288" ht="15.75" customHeight="1">
      <c r="C288" s="33"/>
      <c r="D288" s="33"/>
      <c r="E288" s="33"/>
      <c r="F288" s="33"/>
    </row>
    <row r="289" ht="15.75" customHeight="1">
      <c r="C289" s="33"/>
      <c r="D289" s="33"/>
      <c r="E289" s="33"/>
      <c r="F289" s="33"/>
    </row>
    <row r="290" ht="15.75" customHeight="1">
      <c r="C290" s="33"/>
      <c r="D290" s="33"/>
      <c r="E290" s="33"/>
      <c r="F290" s="33"/>
    </row>
    <row r="291" ht="15.75" customHeight="1">
      <c r="C291" s="33"/>
      <c r="D291" s="33"/>
      <c r="E291" s="33"/>
      <c r="F291" s="33"/>
    </row>
    <row r="292" ht="15.75" customHeight="1">
      <c r="C292" s="33"/>
      <c r="D292" s="33"/>
      <c r="E292" s="33"/>
      <c r="F292" s="33"/>
    </row>
    <row r="293" ht="15.75" customHeight="1">
      <c r="C293" s="33"/>
      <c r="D293" s="33"/>
      <c r="E293" s="33"/>
      <c r="F293" s="33"/>
    </row>
    <row r="294" ht="15.75" customHeight="1">
      <c r="C294" s="33"/>
      <c r="D294" s="33"/>
      <c r="E294" s="33"/>
      <c r="F294" s="33"/>
    </row>
    <row r="295" ht="15.75" customHeight="1">
      <c r="C295" s="33"/>
      <c r="D295" s="33"/>
      <c r="E295" s="33"/>
      <c r="F295" s="33"/>
    </row>
    <row r="296" ht="15.75" customHeight="1">
      <c r="C296" s="33"/>
      <c r="D296" s="33"/>
      <c r="E296" s="33"/>
      <c r="F296" s="33"/>
    </row>
    <row r="297" ht="15.75" customHeight="1">
      <c r="C297" s="33"/>
      <c r="D297" s="33"/>
      <c r="E297" s="33"/>
      <c r="F297" s="33"/>
    </row>
    <row r="298" ht="15.75" customHeight="1">
      <c r="C298" s="33"/>
      <c r="D298" s="33"/>
      <c r="E298" s="33"/>
      <c r="F298" s="33"/>
    </row>
    <row r="299" ht="15.75" customHeight="1">
      <c r="C299" s="33"/>
      <c r="D299" s="33"/>
      <c r="E299" s="33"/>
      <c r="F299" s="33"/>
    </row>
    <row r="300" ht="15.75" customHeight="1">
      <c r="C300" s="33"/>
      <c r="D300" s="33"/>
      <c r="E300" s="33"/>
      <c r="F300" s="33"/>
    </row>
    <row r="301" ht="15.75" customHeight="1">
      <c r="C301" s="33"/>
      <c r="D301" s="33"/>
      <c r="E301" s="33"/>
      <c r="F301" s="33"/>
    </row>
    <row r="302" ht="15.75" customHeight="1">
      <c r="C302" s="33"/>
      <c r="D302" s="33"/>
      <c r="E302" s="33"/>
      <c r="F302" s="33"/>
    </row>
    <row r="303" ht="15.75" customHeight="1">
      <c r="C303" s="33"/>
      <c r="D303" s="33"/>
      <c r="E303" s="33"/>
      <c r="F303" s="33"/>
    </row>
    <row r="304" ht="15.75" customHeight="1">
      <c r="C304" s="33"/>
      <c r="D304" s="33"/>
      <c r="E304" s="33"/>
      <c r="F304" s="33"/>
    </row>
    <row r="305" ht="15.75" customHeight="1">
      <c r="C305" s="33"/>
      <c r="D305" s="33"/>
      <c r="E305" s="33"/>
      <c r="F305" s="33"/>
    </row>
    <row r="306" ht="15.75" customHeight="1">
      <c r="C306" s="33"/>
      <c r="D306" s="33"/>
      <c r="E306" s="33"/>
      <c r="F306" s="33"/>
    </row>
    <row r="307" ht="15.75" customHeight="1">
      <c r="C307" s="33"/>
      <c r="D307" s="33"/>
      <c r="E307" s="33"/>
      <c r="F307" s="33"/>
    </row>
    <row r="308" ht="15.75" customHeight="1">
      <c r="C308" s="33"/>
      <c r="D308" s="33"/>
      <c r="E308" s="33"/>
      <c r="F308" s="33"/>
    </row>
    <row r="309" ht="15.75" customHeight="1">
      <c r="C309" s="33"/>
      <c r="D309" s="33"/>
      <c r="E309" s="33"/>
      <c r="F309" s="33"/>
    </row>
    <row r="310" ht="15.75" customHeight="1">
      <c r="C310" s="33"/>
      <c r="D310" s="33"/>
      <c r="E310" s="33"/>
      <c r="F310" s="33"/>
    </row>
    <row r="311" ht="15.75" customHeight="1">
      <c r="C311" s="33"/>
      <c r="D311" s="33"/>
      <c r="E311" s="33"/>
      <c r="F311" s="33"/>
    </row>
    <row r="312" ht="15.75" customHeight="1">
      <c r="C312" s="33"/>
      <c r="D312" s="33"/>
      <c r="E312" s="33"/>
      <c r="F312" s="33"/>
    </row>
    <row r="313" ht="15.75" customHeight="1">
      <c r="C313" s="33"/>
      <c r="D313" s="33"/>
      <c r="E313" s="33"/>
      <c r="F313" s="33"/>
    </row>
    <row r="314" ht="15.75" customHeight="1">
      <c r="C314" s="33"/>
      <c r="D314" s="33"/>
      <c r="E314" s="33"/>
      <c r="F314" s="33"/>
    </row>
    <row r="315" ht="15.75" customHeight="1">
      <c r="C315" s="33"/>
      <c r="D315" s="33"/>
      <c r="E315" s="33"/>
      <c r="F315" s="33"/>
    </row>
    <row r="316" ht="15.75" customHeight="1">
      <c r="C316" s="33"/>
      <c r="D316" s="33"/>
      <c r="E316" s="33"/>
      <c r="F316" s="33"/>
    </row>
    <row r="317" ht="15.75" customHeight="1">
      <c r="C317" s="33"/>
      <c r="D317" s="33"/>
      <c r="E317" s="33"/>
      <c r="F317" s="33"/>
    </row>
    <row r="318" ht="15.75" customHeight="1">
      <c r="C318" s="33"/>
      <c r="D318" s="33"/>
      <c r="E318" s="33"/>
      <c r="F318" s="33"/>
    </row>
    <row r="319" ht="15.75" customHeight="1">
      <c r="C319" s="33"/>
      <c r="D319" s="33"/>
      <c r="E319" s="33"/>
      <c r="F319" s="33"/>
    </row>
    <row r="320" ht="15.75" customHeight="1">
      <c r="C320" s="33"/>
      <c r="D320" s="33"/>
      <c r="E320" s="33"/>
      <c r="F320" s="33"/>
    </row>
    <row r="321" ht="15.75" customHeight="1">
      <c r="C321" s="33"/>
      <c r="D321" s="33"/>
      <c r="E321" s="33"/>
      <c r="F321" s="33"/>
    </row>
    <row r="322" ht="15.75" customHeight="1">
      <c r="C322" s="33"/>
      <c r="D322" s="33"/>
      <c r="E322" s="33"/>
      <c r="F322" s="33"/>
    </row>
    <row r="323" ht="15.75" customHeight="1">
      <c r="C323" s="33"/>
      <c r="D323" s="33"/>
      <c r="E323" s="33"/>
      <c r="F323" s="33"/>
    </row>
    <row r="324" ht="15.75" customHeight="1">
      <c r="C324" s="33"/>
      <c r="D324" s="33"/>
      <c r="E324" s="33"/>
      <c r="F324" s="33"/>
    </row>
    <row r="325" ht="15.75" customHeight="1">
      <c r="C325" s="33"/>
      <c r="D325" s="33"/>
      <c r="E325" s="33"/>
      <c r="F325" s="33"/>
    </row>
    <row r="326" ht="15.75" customHeight="1">
      <c r="C326" s="33"/>
      <c r="D326" s="33"/>
      <c r="E326" s="33"/>
      <c r="F326" s="33"/>
    </row>
    <row r="327" ht="15.75" customHeight="1">
      <c r="C327" s="33"/>
      <c r="D327" s="33"/>
      <c r="E327" s="33"/>
      <c r="F327" s="33"/>
    </row>
    <row r="328" ht="15.75" customHeight="1">
      <c r="C328" s="33"/>
      <c r="D328" s="33"/>
      <c r="E328" s="33"/>
      <c r="F328" s="33"/>
    </row>
    <row r="329" ht="15.75" customHeight="1">
      <c r="C329" s="33"/>
      <c r="D329" s="33"/>
      <c r="E329" s="33"/>
      <c r="F329" s="33"/>
    </row>
    <row r="330" ht="15.75" customHeight="1">
      <c r="C330" s="33"/>
      <c r="D330" s="33"/>
      <c r="E330" s="33"/>
      <c r="F330" s="33"/>
    </row>
    <row r="331" ht="15.75" customHeight="1">
      <c r="C331" s="33"/>
      <c r="D331" s="33"/>
      <c r="E331" s="33"/>
      <c r="F331" s="33"/>
    </row>
    <row r="332" ht="15.75" customHeight="1">
      <c r="C332" s="33"/>
      <c r="D332" s="33"/>
      <c r="E332" s="33"/>
      <c r="F332" s="33"/>
    </row>
    <row r="333" ht="15.75" customHeight="1">
      <c r="C333" s="33"/>
      <c r="D333" s="33"/>
      <c r="E333" s="33"/>
      <c r="F333" s="33"/>
    </row>
    <row r="334" ht="15.75" customHeight="1">
      <c r="C334" s="33"/>
      <c r="D334" s="33"/>
      <c r="E334" s="33"/>
      <c r="F334" s="33"/>
    </row>
    <row r="335" ht="15.75" customHeight="1">
      <c r="C335" s="33"/>
      <c r="D335" s="33"/>
      <c r="E335" s="33"/>
      <c r="F335" s="33"/>
    </row>
    <row r="336" ht="15.75" customHeight="1">
      <c r="C336" s="33"/>
      <c r="D336" s="33"/>
      <c r="E336" s="33"/>
      <c r="F336" s="33"/>
    </row>
    <row r="337" ht="15.75" customHeight="1">
      <c r="C337" s="33"/>
      <c r="D337" s="33"/>
      <c r="E337" s="33"/>
      <c r="F337" s="33"/>
    </row>
    <row r="338" ht="15.75" customHeight="1">
      <c r="C338" s="33"/>
      <c r="D338" s="33"/>
      <c r="E338" s="33"/>
      <c r="F338" s="33"/>
    </row>
    <row r="339" ht="15.75" customHeight="1">
      <c r="C339" s="33"/>
      <c r="D339" s="33"/>
      <c r="E339" s="33"/>
      <c r="F339" s="33"/>
    </row>
    <row r="340" ht="15.75" customHeight="1">
      <c r="C340" s="33"/>
      <c r="D340" s="33"/>
      <c r="E340" s="33"/>
      <c r="F340" s="33"/>
    </row>
    <row r="341" ht="15.75" customHeight="1">
      <c r="C341" s="33"/>
      <c r="D341" s="33"/>
      <c r="E341" s="33"/>
      <c r="F341" s="33"/>
    </row>
    <row r="342" ht="15.75" customHeight="1">
      <c r="C342" s="33"/>
      <c r="D342" s="33"/>
      <c r="E342" s="33"/>
      <c r="F342" s="33"/>
    </row>
    <row r="343" ht="15.75" customHeight="1">
      <c r="C343" s="33"/>
      <c r="D343" s="33"/>
      <c r="E343" s="33"/>
      <c r="F343" s="33"/>
    </row>
    <row r="344" ht="15.75" customHeight="1">
      <c r="C344" s="33"/>
      <c r="D344" s="33"/>
      <c r="E344" s="33"/>
      <c r="F344" s="33"/>
    </row>
    <row r="345" ht="15.75" customHeight="1">
      <c r="C345" s="33"/>
      <c r="D345" s="33"/>
      <c r="E345" s="33"/>
      <c r="F345" s="33"/>
    </row>
    <row r="346" ht="15.75" customHeight="1">
      <c r="C346" s="33"/>
      <c r="D346" s="33"/>
      <c r="E346" s="33"/>
      <c r="F346" s="33"/>
    </row>
    <row r="347" ht="15.75" customHeight="1">
      <c r="C347" s="33"/>
      <c r="D347" s="33"/>
      <c r="E347" s="33"/>
      <c r="F347" s="33"/>
    </row>
    <row r="348" ht="15.75" customHeight="1">
      <c r="C348" s="33"/>
      <c r="D348" s="33"/>
      <c r="E348" s="33"/>
      <c r="F348" s="33"/>
    </row>
    <row r="349" ht="15.75" customHeight="1">
      <c r="C349" s="33"/>
      <c r="D349" s="33"/>
      <c r="E349" s="33"/>
      <c r="F349" s="33"/>
    </row>
    <row r="350" ht="15.75" customHeight="1">
      <c r="C350" s="33"/>
      <c r="D350" s="33"/>
      <c r="E350" s="33"/>
      <c r="F350" s="33"/>
    </row>
    <row r="351" ht="15.75" customHeight="1">
      <c r="C351" s="33"/>
      <c r="D351" s="33"/>
      <c r="E351" s="33"/>
      <c r="F351" s="33"/>
    </row>
    <row r="352" ht="15.75" customHeight="1">
      <c r="C352" s="33"/>
      <c r="D352" s="33"/>
      <c r="E352" s="33"/>
      <c r="F352" s="33"/>
    </row>
    <row r="353" ht="15.75" customHeight="1">
      <c r="C353" s="33"/>
      <c r="D353" s="33"/>
      <c r="E353" s="33"/>
      <c r="F353" s="33"/>
    </row>
    <row r="354" ht="15.75" customHeight="1">
      <c r="C354" s="33"/>
      <c r="D354" s="33"/>
      <c r="E354" s="33"/>
      <c r="F354" s="33"/>
    </row>
    <row r="355" ht="15.75" customHeight="1">
      <c r="C355" s="33"/>
      <c r="D355" s="33"/>
      <c r="E355" s="33"/>
      <c r="F355" s="33"/>
    </row>
    <row r="356" ht="15.75" customHeight="1">
      <c r="C356" s="33"/>
      <c r="D356" s="33"/>
      <c r="E356" s="33"/>
      <c r="F356" s="33"/>
    </row>
    <row r="357" ht="15.75" customHeight="1">
      <c r="C357" s="33"/>
      <c r="D357" s="33"/>
      <c r="E357" s="33"/>
      <c r="F357" s="33"/>
    </row>
    <row r="358" ht="15.75" customHeight="1">
      <c r="C358" s="33"/>
      <c r="D358" s="33"/>
      <c r="E358" s="33"/>
      <c r="F358" s="33"/>
    </row>
    <row r="359" ht="15.75" customHeight="1">
      <c r="C359" s="33"/>
      <c r="D359" s="33"/>
      <c r="E359" s="33"/>
      <c r="F359" s="33"/>
    </row>
    <row r="360" ht="15.75" customHeight="1">
      <c r="C360" s="33"/>
      <c r="D360" s="33"/>
      <c r="E360" s="33"/>
      <c r="F360" s="33"/>
    </row>
    <row r="361" ht="15.75" customHeight="1">
      <c r="C361" s="33"/>
      <c r="D361" s="33"/>
      <c r="E361" s="33"/>
      <c r="F361" s="33"/>
    </row>
    <row r="362" ht="15.75" customHeight="1">
      <c r="C362" s="33"/>
      <c r="D362" s="33"/>
      <c r="E362" s="33"/>
      <c r="F362" s="33"/>
    </row>
    <row r="363" ht="15.75" customHeight="1">
      <c r="C363" s="33"/>
      <c r="D363" s="33"/>
      <c r="E363" s="33"/>
      <c r="F363" s="33"/>
    </row>
    <row r="364" ht="15.75" customHeight="1">
      <c r="C364" s="33"/>
      <c r="D364" s="33"/>
      <c r="E364" s="33"/>
      <c r="F364" s="33"/>
    </row>
    <row r="365" ht="15.75" customHeight="1">
      <c r="C365" s="33"/>
      <c r="D365" s="33"/>
      <c r="E365" s="33"/>
      <c r="F365" s="33"/>
    </row>
    <row r="366" ht="15.75" customHeight="1">
      <c r="C366" s="33"/>
      <c r="D366" s="33"/>
      <c r="E366" s="33"/>
      <c r="F366" s="33"/>
    </row>
    <row r="367" ht="15.75" customHeight="1">
      <c r="C367" s="33"/>
      <c r="D367" s="33"/>
      <c r="E367" s="33"/>
      <c r="F367" s="33"/>
    </row>
    <row r="368" ht="15.75" customHeight="1">
      <c r="C368" s="33"/>
      <c r="D368" s="33"/>
      <c r="E368" s="33"/>
      <c r="F368" s="33"/>
    </row>
    <row r="369" ht="15.75" customHeight="1">
      <c r="C369" s="33"/>
      <c r="D369" s="33"/>
      <c r="E369" s="33"/>
      <c r="F369" s="33"/>
    </row>
    <row r="370" ht="15.75" customHeight="1">
      <c r="C370" s="33"/>
      <c r="D370" s="33"/>
      <c r="E370" s="33"/>
      <c r="F370" s="33"/>
    </row>
    <row r="371" ht="15.75" customHeight="1">
      <c r="C371" s="33"/>
      <c r="D371" s="33"/>
      <c r="E371" s="33"/>
      <c r="F371" s="33"/>
    </row>
    <row r="372" ht="15.75" customHeight="1">
      <c r="C372" s="33"/>
      <c r="D372" s="33"/>
      <c r="E372" s="33"/>
      <c r="F372" s="33"/>
    </row>
    <row r="373" ht="15.75" customHeight="1">
      <c r="C373" s="33"/>
      <c r="D373" s="33"/>
      <c r="E373" s="33"/>
      <c r="F373" s="33"/>
    </row>
    <row r="374" ht="15.75" customHeight="1">
      <c r="C374" s="33"/>
      <c r="D374" s="33"/>
      <c r="E374" s="33"/>
      <c r="F374" s="33"/>
    </row>
    <row r="375" ht="15.75" customHeight="1">
      <c r="C375" s="33"/>
      <c r="D375" s="33"/>
      <c r="E375" s="33"/>
      <c r="F375" s="33"/>
    </row>
    <row r="376" ht="15.75" customHeight="1">
      <c r="C376" s="33"/>
      <c r="D376" s="33"/>
      <c r="E376" s="33"/>
      <c r="F376" s="33"/>
    </row>
    <row r="377" ht="15.75" customHeight="1">
      <c r="C377" s="33"/>
      <c r="D377" s="33"/>
      <c r="E377" s="33"/>
      <c r="F377" s="33"/>
    </row>
    <row r="378" ht="15.75" customHeight="1">
      <c r="C378" s="33"/>
      <c r="D378" s="33"/>
      <c r="E378" s="33"/>
      <c r="F378" s="33"/>
    </row>
    <row r="379" ht="15.75" customHeight="1">
      <c r="C379" s="33"/>
      <c r="D379" s="33"/>
      <c r="E379" s="33"/>
      <c r="F379" s="33"/>
    </row>
    <row r="380" ht="15.75" customHeight="1">
      <c r="C380" s="33"/>
      <c r="D380" s="33"/>
      <c r="E380" s="33"/>
      <c r="F380" s="33"/>
    </row>
    <row r="381" ht="15.75" customHeight="1">
      <c r="C381" s="33"/>
      <c r="D381" s="33"/>
      <c r="E381" s="33"/>
      <c r="F381" s="33"/>
    </row>
    <row r="382" ht="15.75" customHeight="1">
      <c r="C382" s="33"/>
      <c r="D382" s="33"/>
      <c r="E382" s="33"/>
      <c r="F382" s="33"/>
    </row>
    <row r="383" ht="15.75" customHeight="1">
      <c r="C383" s="33"/>
      <c r="D383" s="33"/>
      <c r="E383" s="33"/>
      <c r="F383" s="33"/>
    </row>
    <row r="384" ht="15.75" customHeight="1">
      <c r="C384" s="33"/>
      <c r="D384" s="33"/>
      <c r="E384" s="33"/>
      <c r="F384" s="33"/>
    </row>
    <row r="385" ht="15.75" customHeight="1">
      <c r="C385" s="33"/>
      <c r="D385" s="33"/>
      <c r="E385" s="33"/>
      <c r="F385" s="33"/>
    </row>
    <row r="386" ht="15.75" customHeight="1">
      <c r="C386" s="33"/>
      <c r="D386" s="33"/>
      <c r="E386" s="33"/>
      <c r="F386" s="33"/>
    </row>
    <row r="387" ht="15.75" customHeight="1">
      <c r="C387" s="33"/>
      <c r="D387" s="33"/>
      <c r="E387" s="33"/>
      <c r="F387" s="33"/>
    </row>
    <row r="388" ht="15.75" customHeight="1">
      <c r="C388" s="33"/>
      <c r="D388" s="33"/>
      <c r="E388" s="33"/>
      <c r="F388" s="33"/>
    </row>
    <row r="389" ht="15.75" customHeight="1">
      <c r="C389" s="33"/>
      <c r="D389" s="33"/>
      <c r="E389" s="33"/>
      <c r="F389" s="33"/>
    </row>
    <row r="390" ht="15.75" customHeight="1">
      <c r="C390" s="33"/>
      <c r="D390" s="33"/>
      <c r="E390" s="33"/>
      <c r="F390" s="33"/>
    </row>
    <row r="391" ht="15.75" customHeight="1">
      <c r="C391" s="33"/>
      <c r="D391" s="33"/>
      <c r="E391" s="33"/>
      <c r="F391" s="33"/>
    </row>
    <row r="392" ht="15.75" customHeight="1">
      <c r="C392" s="33"/>
      <c r="D392" s="33"/>
      <c r="E392" s="33"/>
      <c r="F392" s="33"/>
    </row>
    <row r="393" ht="15.75" customHeight="1">
      <c r="C393" s="33"/>
      <c r="D393" s="33"/>
      <c r="E393" s="33"/>
      <c r="F393" s="33"/>
    </row>
    <row r="394" ht="15.75" customHeight="1">
      <c r="C394" s="33"/>
      <c r="D394" s="33"/>
      <c r="E394" s="33"/>
      <c r="F394" s="33"/>
    </row>
    <row r="395" ht="15.75" customHeight="1">
      <c r="C395" s="33"/>
      <c r="D395" s="33"/>
      <c r="E395" s="33"/>
      <c r="F395" s="33"/>
    </row>
    <row r="396" ht="15.75" customHeight="1">
      <c r="C396" s="33"/>
      <c r="D396" s="33"/>
      <c r="E396" s="33"/>
      <c r="F396" s="33"/>
    </row>
    <row r="397" ht="15.75" customHeight="1">
      <c r="C397" s="33"/>
      <c r="D397" s="33"/>
      <c r="E397" s="33"/>
      <c r="F397" s="33"/>
    </row>
    <row r="398" ht="15.75" customHeight="1">
      <c r="C398" s="33"/>
      <c r="D398" s="33"/>
      <c r="E398" s="33"/>
      <c r="F398" s="33"/>
    </row>
    <row r="399" ht="15.75" customHeight="1">
      <c r="C399" s="33"/>
      <c r="D399" s="33"/>
      <c r="E399" s="33"/>
      <c r="F399" s="33"/>
    </row>
    <row r="400" ht="15.75" customHeight="1">
      <c r="C400" s="33"/>
      <c r="D400" s="33"/>
      <c r="E400" s="33"/>
      <c r="F400" s="33"/>
    </row>
    <row r="401" ht="15.75" customHeight="1">
      <c r="C401" s="33"/>
      <c r="D401" s="33"/>
      <c r="E401" s="33"/>
      <c r="F401" s="33"/>
    </row>
    <row r="402" ht="15.75" customHeight="1">
      <c r="C402" s="33"/>
      <c r="D402" s="33"/>
      <c r="E402" s="33"/>
      <c r="F402" s="33"/>
    </row>
    <row r="403" ht="15.75" customHeight="1">
      <c r="C403" s="33"/>
      <c r="D403" s="33"/>
      <c r="E403" s="33"/>
      <c r="F403" s="33"/>
    </row>
    <row r="404" ht="15.75" customHeight="1">
      <c r="C404" s="33"/>
      <c r="D404" s="33"/>
      <c r="E404" s="33"/>
      <c r="F404" s="33"/>
    </row>
    <row r="405" ht="15.75" customHeight="1">
      <c r="C405" s="33"/>
      <c r="D405" s="33"/>
      <c r="E405" s="33"/>
      <c r="F405" s="33"/>
    </row>
    <row r="406" ht="15.75" customHeight="1">
      <c r="C406" s="33"/>
      <c r="D406" s="33"/>
      <c r="E406" s="33"/>
      <c r="F406" s="33"/>
    </row>
    <row r="407" ht="15.75" customHeight="1">
      <c r="C407" s="33"/>
      <c r="D407" s="33"/>
      <c r="E407" s="33"/>
      <c r="F407" s="33"/>
    </row>
    <row r="408" ht="15.75" customHeight="1">
      <c r="C408" s="33"/>
      <c r="D408" s="33"/>
      <c r="E408" s="33"/>
      <c r="F408" s="33"/>
    </row>
    <row r="409" ht="15.75" customHeight="1">
      <c r="C409" s="33"/>
      <c r="D409" s="33"/>
      <c r="E409" s="33"/>
      <c r="F409" s="33"/>
    </row>
    <row r="410" ht="15.75" customHeight="1">
      <c r="C410" s="33"/>
      <c r="D410" s="33"/>
      <c r="E410" s="33"/>
      <c r="F410" s="33"/>
    </row>
    <row r="411" ht="15.75" customHeight="1">
      <c r="C411" s="33"/>
      <c r="D411" s="33"/>
      <c r="E411" s="33"/>
      <c r="F411" s="33"/>
    </row>
    <row r="412" ht="15.75" customHeight="1">
      <c r="C412" s="33"/>
      <c r="D412" s="33"/>
      <c r="E412" s="33"/>
      <c r="F412" s="33"/>
    </row>
    <row r="413" ht="15.75" customHeight="1">
      <c r="C413" s="33"/>
      <c r="D413" s="33"/>
      <c r="E413" s="33"/>
      <c r="F413" s="33"/>
    </row>
    <row r="414" ht="15.75" customHeight="1">
      <c r="C414" s="33"/>
      <c r="D414" s="33"/>
      <c r="E414" s="33"/>
      <c r="F414" s="33"/>
    </row>
    <row r="415" ht="15.75" customHeight="1">
      <c r="C415" s="33"/>
      <c r="D415" s="33"/>
      <c r="E415" s="33"/>
      <c r="F415" s="33"/>
    </row>
    <row r="416" ht="15.75" customHeight="1">
      <c r="C416" s="33"/>
      <c r="D416" s="33"/>
      <c r="E416" s="33"/>
      <c r="F416" s="33"/>
    </row>
    <row r="417" ht="15.75" customHeight="1">
      <c r="C417" s="33"/>
      <c r="D417" s="33"/>
      <c r="E417" s="33"/>
      <c r="F417" s="33"/>
    </row>
    <row r="418" ht="15.75" customHeight="1">
      <c r="C418" s="33"/>
      <c r="D418" s="33"/>
      <c r="E418" s="33"/>
      <c r="F418" s="33"/>
    </row>
    <row r="419" ht="15.75" customHeight="1">
      <c r="C419" s="33"/>
      <c r="D419" s="33"/>
      <c r="E419" s="33"/>
      <c r="F419" s="33"/>
    </row>
    <row r="420" ht="15.75" customHeight="1">
      <c r="C420" s="33"/>
      <c r="D420" s="33"/>
      <c r="E420" s="33"/>
      <c r="F420" s="33"/>
    </row>
    <row r="421" ht="15.75" customHeight="1">
      <c r="C421" s="33"/>
      <c r="D421" s="33"/>
      <c r="E421" s="33"/>
      <c r="F421" s="33"/>
    </row>
    <row r="422" ht="15.75" customHeight="1">
      <c r="C422" s="33"/>
      <c r="D422" s="33"/>
      <c r="E422" s="33"/>
      <c r="F422" s="33"/>
    </row>
    <row r="423" ht="15.75" customHeight="1">
      <c r="C423" s="33"/>
      <c r="D423" s="33"/>
      <c r="E423" s="33"/>
      <c r="F423" s="33"/>
    </row>
    <row r="424" ht="15.75" customHeight="1">
      <c r="C424" s="33"/>
      <c r="D424" s="33"/>
      <c r="E424" s="33"/>
      <c r="F424" s="33"/>
    </row>
    <row r="425" ht="15.75" customHeight="1">
      <c r="C425" s="33"/>
      <c r="D425" s="33"/>
      <c r="E425" s="33"/>
      <c r="F425" s="33"/>
    </row>
    <row r="426" ht="15.75" customHeight="1">
      <c r="C426" s="33"/>
      <c r="D426" s="33"/>
      <c r="E426" s="33"/>
      <c r="F426" s="33"/>
    </row>
    <row r="427" ht="15.75" customHeight="1">
      <c r="C427" s="33"/>
      <c r="D427" s="33"/>
      <c r="E427" s="33"/>
      <c r="F427" s="33"/>
    </row>
    <row r="428" ht="15.75" customHeight="1">
      <c r="C428" s="33"/>
      <c r="D428" s="33"/>
      <c r="E428" s="33"/>
      <c r="F428" s="33"/>
    </row>
    <row r="429" ht="15.75" customHeight="1">
      <c r="C429" s="33"/>
      <c r="D429" s="33"/>
      <c r="E429" s="33"/>
      <c r="F429" s="33"/>
    </row>
    <row r="430" ht="15.75" customHeight="1">
      <c r="C430" s="33"/>
      <c r="D430" s="33"/>
      <c r="E430" s="33"/>
      <c r="F430" s="33"/>
    </row>
    <row r="431" ht="15.75" customHeight="1">
      <c r="C431" s="33"/>
      <c r="D431" s="33"/>
      <c r="E431" s="33"/>
      <c r="F431" s="33"/>
    </row>
    <row r="432" ht="15.75" customHeight="1">
      <c r="C432" s="33"/>
      <c r="D432" s="33"/>
      <c r="E432" s="33"/>
      <c r="F432" s="33"/>
    </row>
    <row r="433" ht="15.75" customHeight="1">
      <c r="C433" s="33"/>
      <c r="D433" s="33"/>
      <c r="E433" s="33"/>
      <c r="F433" s="33"/>
    </row>
    <row r="434" ht="15.75" customHeight="1">
      <c r="C434" s="33"/>
      <c r="D434" s="33"/>
      <c r="E434" s="33"/>
      <c r="F434" s="33"/>
    </row>
    <row r="435" ht="15.75" customHeight="1">
      <c r="C435" s="33"/>
      <c r="D435" s="33"/>
      <c r="E435" s="33"/>
      <c r="F435" s="33"/>
    </row>
    <row r="436" ht="15.75" customHeight="1">
      <c r="C436" s="33"/>
      <c r="D436" s="33"/>
      <c r="E436" s="33"/>
      <c r="F436" s="33"/>
    </row>
    <row r="437" ht="15.75" customHeight="1">
      <c r="C437" s="33"/>
      <c r="D437" s="33"/>
      <c r="E437" s="33"/>
      <c r="F437" s="33"/>
    </row>
    <row r="438" ht="15.75" customHeight="1">
      <c r="C438" s="33"/>
      <c r="D438" s="33"/>
      <c r="E438" s="33"/>
      <c r="F438" s="33"/>
    </row>
    <row r="439" ht="15.75" customHeight="1">
      <c r="C439" s="33"/>
      <c r="D439" s="33"/>
      <c r="E439" s="33"/>
      <c r="F439" s="33"/>
    </row>
    <row r="440" ht="15.75" customHeight="1">
      <c r="C440" s="33"/>
      <c r="D440" s="33"/>
      <c r="E440" s="33"/>
      <c r="F440" s="33"/>
    </row>
    <row r="441" ht="15.75" customHeight="1">
      <c r="C441" s="33"/>
      <c r="D441" s="33"/>
      <c r="E441" s="33"/>
      <c r="F441" s="33"/>
    </row>
    <row r="442" ht="15.75" customHeight="1">
      <c r="C442" s="33"/>
      <c r="D442" s="33"/>
      <c r="E442" s="33"/>
      <c r="F442" s="33"/>
    </row>
    <row r="443" ht="15.75" customHeight="1">
      <c r="C443" s="33"/>
      <c r="D443" s="33"/>
      <c r="E443" s="33"/>
      <c r="F443" s="33"/>
    </row>
    <row r="444" ht="15.75" customHeight="1">
      <c r="C444" s="33"/>
      <c r="D444" s="33"/>
      <c r="E444" s="33"/>
      <c r="F444" s="33"/>
    </row>
    <row r="445" ht="15.75" customHeight="1">
      <c r="C445" s="33"/>
      <c r="D445" s="33"/>
      <c r="E445" s="33"/>
      <c r="F445" s="33"/>
    </row>
    <row r="446" ht="15.75" customHeight="1">
      <c r="C446" s="33"/>
      <c r="D446" s="33"/>
      <c r="E446" s="33"/>
      <c r="F446" s="33"/>
    </row>
    <row r="447" ht="15.75" customHeight="1">
      <c r="C447" s="33"/>
      <c r="D447" s="33"/>
      <c r="E447" s="33"/>
      <c r="F447" s="33"/>
    </row>
    <row r="448" ht="15.75" customHeight="1">
      <c r="C448" s="33"/>
      <c r="D448" s="33"/>
      <c r="E448" s="33"/>
      <c r="F448" s="33"/>
    </row>
    <row r="449" ht="15.75" customHeight="1">
      <c r="C449" s="33"/>
      <c r="D449" s="33"/>
      <c r="E449" s="33"/>
      <c r="F449" s="33"/>
    </row>
    <row r="450" ht="15.75" customHeight="1">
      <c r="C450" s="33"/>
      <c r="D450" s="33"/>
      <c r="E450" s="33"/>
      <c r="F450" s="33"/>
    </row>
    <row r="451" ht="15.75" customHeight="1">
      <c r="C451" s="33"/>
      <c r="D451" s="33"/>
      <c r="E451" s="33"/>
      <c r="F451" s="33"/>
    </row>
    <row r="452" ht="15.75" customHeight="1">
      <c r="C452" s="33"/>
      <c r="D452" s="33"/>
      <c r="E452" s="33"/>
      <c r="F452" s="33"/>
    </row>
    <row r="453" ht="15.75" customHeight="1">
      <c r="C453" s="33"/>
      <c r="D453" s="33"/>
      <c r="E453" s="33"/>
      <c r="F453" s="33"/>
    </row>
    <row r="454" ht="15.75" customHeight="1">
      <c r="C454" s="33"/>
      <c r="D454" s="33"/>
      <c r="E454" s="33"/>
      <c r="F454" s="33"/>
    </row>
    <row r="455" ht="15.75" customHeight="1">
      <c r="C455" s="33"/>
      <c r="D455" s="33"/>
      <c r="E455" s="33"/>
      <c r="F455" s="33"/>
    </row>
    <row r="456" ht="15.75" customHeight="1">
      <c r="C456" s="33"/>
      <c r="D456" s="33"/>
      <c r="E456" s="33"/>
      <c r="F456" s="33"/>
    </row>
    <row r="457" ht="15.75" customHeight="1">
      <c r="C457" s="33"/>
      <c r="D457" s="33"/>
      <c r="E457" s="33"/>
      <c r="F457" s="33"/>
    </row>
    <row r="458" ht="15.75" customHeight="1">
      <c r="C458" s="33"/>
      <c r="D458" s="33"/>
      <c r="E458" s="33"/>
      <c r="F458" s="33"/>
    </row>
    <row r="459" ht="15.75" customHeight="1">
      <c r="C459" s="33"/>
      <c r="D459" s="33"/>
      <c r="E459" s="33"/>
      <c r="F459" s="33"/>
    </row>
    <row r="460" ht="15.75" customHeight="1">
      <c r="C460" s="33"/>
      <c r="D460" s="33"/>
      <c r="E460" s="33"/>
      <c r="F460" s="33"/>
    </row>
    <row r="461" ht="15.75" customHeight="1">
      <c r="C461" s="33"/>
      <c r="D461" s="33"/>
      <c r="E461" s="33"/>
      <c r="F461" s="33"/>
    </row>
    <row r="462" ht="15.75" customHeight="1">
      <c r="C462" s="33"/>
      <c r="D462" s="33"/>
      <c r="E462" s="33"/>
      <c r="F462" s="33"/>
    </row>
    <row r="463" ht="15.75" customHeight="1">
      <c r="C463" s="33"/>
      <c r="D463" s="33"/>
      <c r="E463" s="33"/>
      <c r="F463" s="33"/>
    </row>
    <row r="464" ht="15.75" customHeight="1">
      <c r="C464" s="33"/>
      <c r="D464" s="33"/>
      <c r="E464" s="33"/>
      <c r="F464" s="33"/>
    </row>
    <row r="465" ht="15.75" customHeight="1">
      <c r="C465" s="33"/>
      <c r="D465" s="33"/>
      <c r="E465" s="33"/>
      <c r="F465" s="33"/>
    </row>
    <row r="466" ht="15.75" customHeight="1">
      <c r="C466" s="33"/>
      <c r="D466" s="33"/>
      <c r="E466" s="33"/>
      <c r="F466" s="33"/>
    </row>
    <row r="467" ht="15.75" customHeight="1">
      <c r="C467" s="33"/>
      <c r="D467" s="33"/>
      <c r="E467" s="33"/>
      <c r="F467" s="33"/>
    </row>
    <row r="468" ht="15.75" customHeight="1">
      <c r="C468" s="33"/>
      <c r="D468" s="33"/>
      <c r="E468" s="33"/>
      <c r="F468" s="33"/>
    </row>
    <row r="469" ht="15.75" customHeight="1">
      <c r="C469" s="33"/>
      <c r="D469" s="33"/>
      <c r="E469" s="33"/>
      <c r="F469" s="33"/>
    </row>
    <row r="470" ht="15.75" customHeight="1">
      <c r="C470" s="33"/>
      <c r="D470" s="33"/>
      <c r="E470" s="33"/>
      <c r="F470" s="33"/>
    </row>
    <row r="471" ht="15.75" customHeight="1">
      <c r="C471" s="33"/>
      <c r="D471" s="33"/>
      <c r="E471" s="33"/>
      <c r="F471" s="33"/>
    </row>
    <row r="472" ht="15.75" customHeight="1">
      <c r="C472" s="33"/>
      <c r="D472" s="33"/>
      <c r="E472" s="33"/>
      <c r="F472" s="33"/>
    </row>
    <row r="473" ht="15.75" customHeight="1">
      <c r="C473" s="33"/>
      <c r="D473" s="33"/>
      <c r="E473" s="33"/>
      <c r="F473" s="33"/>
    </row>
    <row r="474" ht="15.75" customHeight="1">
      <c r="C474" s="33"/>
      <c r="D474" s="33"/>
      <c r="E474" s="33"/>
      <c r="F474" s="33"/>
    </row>
    <row r="475" ht="15.75" customHeight="1">
      <c r="C475" s="33"/>
      <c r="D475" s="33"/>
      <c r="E475" s="33"/>
      <c r="F475" s="33"/>
    </row>
    <row r="476" ht="15.75" customHeight="1">
      <c r="C476" s="33"/>
      <c r="D476" s="33"/>
      <c r="E476" s="33"/>
      <c r="F476" s="33"/>
    </row>
    <row r="477" ht="15.75" customHeight="1">
      <c r="C477" s="33"/>
      <c r="D477" s="33"/>
      <c r="E477" s="33"/>
      <c r="F477" s="33"/>
    </row>
    <row r="478" ht="15.75" customHeight="1">
      <c r="C478" s="33"/>
      <c r="D478" s="33"/>
      <c r="E478" s="33"/>
      <c r="F478" s="33"/>
    </row>
    <row r="479" ht="15.75" customHeight="1">
      <c r="C479" s="33"/>
      <c r="D479" s="33"/>
      <c r="E479" s="33"/>
      <c r="F479" s="33"/>
    </row>
    <row r="480" ht="15.75" customHeight="1">
      <c r="C480" s="33"/>
      <c r="D480" s="33"/>
      <c r="E480" s="33"/>
      <c r="F480" s="33"/>
    </row>
    <row r="481" ht="15.75" customHeight="1">
      <c r="C481" s="33"/>
      <c r="D481" s="33"/>
      <c r="E481" s="33"/>
      <c r="F481" s="33"/>
    </row>
    <row r="482" ht="15.75" customHeight="1">
      <c r="C482" s="33"/>
      <c r="D482" s="33"/>
      <c r="E482" s="33"/>
      <c r="F482" s="33"/>
    </row>
    <row r="483" ht="15.75" customHeight="1">
      <c r="C483" s="33"/>
      <c r="D483" s="33"/>
      <c r="E483" s="33"/>
      <c r="F483" s="33"/>
    </row>
    <row r="484" ht="15.75" customHeight="1">
      <c r="C484" s="33"/>
      <c r="D484" s="33"/>
      <c r="E484" s="33"/>
      <c r="F484" s="33"/>
    </row>
    <row r="485" ht="15.75" customHeight="1">
      <c r="C485" s="33"/>
      <c r="D485" s="33"/>
      <c r="E485" s="33"/>
      <c r="F485" s="33"/>
    </row>
    <row r="486" ht="15.75" customHeight="1">
      <c r="C486" s="33"/>
      <c r="D486" s="33"/>
      <c r="E486" s="33"/>
      <c r="F486" s="33"/>
    </row>
    <row r="487" ht="15.75" customHeight="1">
      <c r="C487" s="33"/>
      <c r="D487" s="33"/>
      <c r="E487" s="33"/>
      <c r="F487" s="33"/>
    </row>
    <row r="488" ht="15.75" customHeight="1">
      <c r="C488" s="33"/>
      <c r="D488" s="33"/>
      <c r="E488" s="33"/>
      <c r="F488" s="33"/>
    </row>
    <row r="489" ht="15.75" customHeight="1">
      <c r="C489" s="33"/>
      <c r="D489" s="33"/>
      <c r="E489" s="33"/>
      <c r="F489" s="33"/>
    </row>
    <row r="490" ht="15.75" customHeight="1">
      <c r="C490" s="33"/>
      <c r="D490" s="33"/>
      <c r="E490" s="33"/>
      <c r="F490" s="33"/>
    </row>
    <row r="491" ht="15.75" customHeight="1">
      <c r="C491" s="33"/>
      <c r="D491" s="33"/>
      <c r="E491" s="33"/>
      <c r="F491" s="33"/>
    </row>
    <row r="492" ht="15.75" customHeight="1">
      <c r="C492" s="33"/>
      <c r="D492" s="33"/>
      <c r="E492" s="33"/>
      <c r="F492" s="33"/>
    </row>
    <row r="493" ht="15.75" customHeight="1">
      <c r="C493" s="33"/>
      <c r="D493" s="33"/>
      <c r="E493" s="33"/>
      <c r="F493" s="33"/>
    </row>
    <row r="494" ht="15.75" customHeight="1">
      <c r="C494" s="33"/>
      <c r="D494" s="33"/>
      <c r="E494" s="33"/>
      <c r="F494" s="33"/>
    </row>
    <row r="495" ht="15.75" customHeight="1">
      <c r="C495" s="33"/>
      <c r="D495" s="33"/>
      <c r="E495" s="33"/>
      <c r="F495" s="33"/>
    </row>
    <row r="496" ht="15.75" customHeight="1">
      <c r="C496" s="33"/>
      <c r="D496" s="33"/>
      <c r="E496" s="33"/>
      <c r="F496" s="33"/>
    </row>
    <row r="497" ht="15.75" customHeight="1">
      <c r="C497" s="33"/>
      <c r="D497" s="33"/>
      <c r="E497" s="33"/>
      <c r="F497" s="33"/>
    </row>
    <row r="498" ht="15.75" customHeight="1">
      <c r="C498" s="33"/>
      <c r="D498" s="33"/>
      <c r="E498" s="33"/>
      <c r="F498" s="33"/>
    </row>
    <row r="499" ht="15.75" customHeight="1">
      <c r="C499" s="33"/>
      <c r="D499" s="33"/>
      <c r="E499" s="33"/>
      <c r="F499" s="33"/>
    </row>
    <row r="500" ht="15.75" customHeight="1">
      <c r="C500" s="33"/>
      <c r="D500" s="33"/>
      <c r="E500" s="33"/>
      <c r="F500" s="33"/>
    </row>
    <row r="501" ht="15.75" customHeight="1">
      <c r="C501" s="33"/>
      <c r="D501" s="33"/>
      <c r="E501" s="33"/>
      <c r="F501" s="33"/>
    </row>
    <row r="502" ht="15.75" customHeight="1">
      <c r="C502" s="33"/>
      <c r="D502" s="33"/>
      <c r="E502" s="33"/>
      <c r="F502" s="33"/>
    </row>
    <row r="503" ht="15.75" customHeight="1">
      <c r="C503" s="33"/>
      <c r="D503" s="33"/>
      <c r="E503" s="33"/>
      <c r="F503" s="33"/>
    </row>
    <row r="504" ht="15.75" customHeight="1">
      <c r="C504" s="33"/>
      <c r="D504" s="33"/>
      <c r="E504" s="33"/>
      <c r="F504" s="33"/>
    </row>
    <row r="505" ht="15.75" customHeight="1">
      <c r="C505" s="33"/>
      <c r="D505" s="33"/>
      <c r="E505" s="33"/>
      <c r="F505" s="33"/>
    </row>
    <row r="506" ht="15.75" customHeight="1">
      <c r="C506" s="33"/>
      <c r="D506" s="33"/>
      <c r="E506" s="33"/>
      <c r="F506" s="33"/>
    </row>
    <row r="507" ht="15.75" customHeight="1">
      <c r="C507" s="33"/>
      <c r="D507" s="33"/>
      <c r="E507" s="33"/>
      <c r="F507" s="33"/>
    </row>
    <row r="508" ht="15.75" customHeight="1">
      <c r="C508" s="33"/>
      <c r="D508" s="33"/>
      <c r="E508" s="33"/>
      <c r="F508" s="33"/>
    </row>
    <row r="509" ht="15.75" customHeight="1">
      <c r="C509" s="33"/>
      <c r="D509" s="33"/>
      <c r="E509" s="33"/>
      <c r="F509" s="33"/>
    </row>
    <row r="510" ht="15.75" customHeight="1">
      <c r="C510" s="33"/>
      <c r="D510" s="33"/>
      <c r="E510" s="33"/>
      <c r="F510" s="33"/>
    </row>
    <row r="511" ht="15.75" customHeight="1">
      <c r="C511" s="33"/>
      <c r="D511" s="33"/>
      <c r="E511" s="33"/>
      <c r="F511" s="33"/>
    </row>
    <row r="512" ht="15.75" customHeight="1">
      <c r="C512" s="33"/>
      <c r="D512" s="33"/>
      <c r="E512" s="33"/>
      <c r="F512" s="33"/>
    </row>
    <row r="513" ht="15.75" customHeight="1">
      <c r="C513" s="33"/>
      <c r="D513" s="33"/>
      <c r="E513" s="33"/>
      <c r="F513" s="33"/>
    </row>
    <row r="514" ht="15.75" customHeight="1">
      <c r="C514" s="33"/>
      <c r="D514" s="33"/>
      <c r="E514" s="33"/>
      <c r="F514" s="33"/>
    </row>
    <row r="515" ht="15.75" customHeight="1">
      <c r="C515" s="33"/>
      <c r="D515" s="33"/>
      <c r="E515" s="33"/>
      <c r="F515" s="33"/>
    </row>
    <row r="516" ht="15.75" customHeight="1">
      <c r="C516" s="33"/>
      <c r="D516" s="33"/>
      <c r="E516" s="33"/>
      <c r="F516" s="33"/>
    </row>
    <row r="517" ht="15.75" customHeight="1">
      <c r="C517" s="33"/>
      <c r="D517" s="33"/>
      <c r="E517" s="33"/>
      <c r="F517" s="33"/>
    </row>
    <row r="518" ht="15.75" customHeight="1">
      <c r="C518" s="33"/>
      <c r="D518" s="33"/>
      <c r="E518" s="33"/>
      <c r="F518" s="33"/>
    </row>
    <row r="519" ht="15.75" customHeight="1">
      <c r="C519" s="33"/>
      <c r="D519" s="33"/>
      <c r="E519" s="33"/>
      <c r="F519" s="33"/>
    </row>
    <row r="520" ht="15.75" customHeight="1">
      <c r="C520" s="33"/>
      <c r="D520" s="33"/>
      <c r="E520" s="33"/>
      <c r="F520" s="33"/>
    </row>
    <row r="521" ht="15.75" customHeight="1">
      <c r="C521" s="33"/>
      <c r="D521" s="33"/>
      <c r="E521" s="33"/>
      <c r="F521" s="33"/>
    </row>
    <row r="522" ht="15.75" customHeight="1">
      <c r="C522" s="33"/>
      <c r="D522" s="33"/>
      <c r="E522" s="33"/>
      <c r="F522" s="33"/>
    </row>
    <row r="523" ht="15.75" customHeight="1">
      <c r="C523" s="33"/>
      <c r="D523" s="33"/>
      <c r="E523" s="33"/>
      <c r="F523" s="33"/>
    </row>
    <row r="524" ht="15.75" customHeight="1">
      <c r="C524" s="33"/>
      <c r="D524" s="33"/>
      <c r="E524" s="33"/>
      <c r="F524" s="33"/>
    </row>
    <row r="525" ht="15.75" customHeight="1">
      <c r="C525" s="33"/>
      <c r="D525" s="33"/>
      <c r="E525" s="33"/>
      <c r="F525" s="33"/>
    </row>
    <row r="526" ht="15.75" customHeight="1">
      <c r="C526" s="33"/>
      <c r="D526" s="33"/>
      <c r="E526" s="33"/>
      <c r="F526" s="33"/>
    </row>
    <row r="527" ht="15.75" customHeight="1">
      <c r="C527" s="33"/>
      <c r="D527" s="33"/>
      <c r="E527" s="33"/>
      <c r="F527" s="33"/>
    </row>
    <row r="528" ht="15.75" customHeight="1">
      <c r="C528" s="33"/>
      <c r="D528" s="33"/>
      <c r="E528" s="33"/>
      <c r="F528" s="33"/>
    </row>
    <row r="529" ht="15.75" customHeight="1">
      <c r="C529" s="33"/>
      <c r="D529" s="33"/>
      <c r="E529" s="33"/>
      <c r="F529" s="33"/>
    </row>
    <row r="530" ht="15.75" customHeight="1">
      <c r="C530" s="33"/>
      <c r="D530" s="33"/>
      <c r="E530" s="33"/>
      <c r="F530" s="33"/>
    </row>
    <row r="531" ht="15.75" customHeight="1">
      <c r="C531" s="33"/>
      <c r="D531" s="33"/>
      <c r="E531" s="33"/>
      <c r="F531" s="33"/>
    </row>
    <row r="532" ht="15.75" customHeight="1">
      <c r="C532" s="33"/>
      <c r="D532" s="33"/>
      <c r="E532" s="33"/>
      <c r="F532" s="33"/>
    </row>
    <row r="533" ht="15.75" customHeight="1">
      <c r="C533" s="33"/>
      <c r="D533" s="33"/>
      <c r="E533" s="33"/>
      <c r="F533" s="33"/>
    </row>
    <row r="534" ht="15.75" customHeight="1">
      <c r="C534" s="33"/>
      <c r="D534" s="33"/>
      <c r="E534" s="33"/>
      <c r="F534" s="33"/>
    </row>
    <row r="535" ht="15.75" customHeight="1">
      <c r="C535" s="33"/>
      <c r="D535" s="33"/>
      <c r="E535" s="33"/>
      <c r="F535" s="33"/>
    </row>
    <row r="536" ht="15.75" customHeight="1">
      <c r="C536" s="33"/>
      <c r="D536" s="33"/>
      <c r="E536" s="33"/>
      <c r="F536" s="33"/>
    </row>
    <row r="537" ht="15.75" customHeight="1">
      <c r="C537" s="33"/>
      <c r="D537" s="33"/>
      <c r="E537" s="33"/>
      <c r="F537" s="33"/>
    </row>
    <row r="538" ht="15.75" customHeight="1">
      <c r="C538" s="33"/>
      <c r="D538" s="33"/>
      <c r="E538" s="33"/>
      <c r="F538" s="33"/>
    </row>
    <row r="539" ht="15.75" customHeight="1">
      <c r="C539" s="33"/>
      <c r="D539" s="33"/>
      <c r="E539" s="33"/>
      <c r="F539" s="33"/>
    </row>
    <row r="540" ht="15.75" customHeight="1">
      <c r="C540" s="33"/>
      <c r="D540" s="33"/>
      <c r="E540" s="33"/>
      <c r="F540" s="33"/>
    </row>
    <row r="541" ht="15.75" customHeight="1">
      <c r="C541" s="33"/>
      <c r="D541" s="33"/>
      <c r="E541" s="33"/>
      <c r="F541" s="33"/>
    </row>
    <row r="542" ht="15.75" customHeight="1">
      <c r="C542" s="33"/>
      <c r="D542" s="33"/>
      <c r="E542" s="33"/>
      <c r="F542" s="33"/>
    </row>
    <row r="543" ht="15.75" customHeight="1">
      <c r="C543" s="33"/>
      <c r="D543" s="33"/>
      <c r="E543" s="33"/>
      <c r="F543" s="33"/>
    </row>
    <row r="544" ht="15.75" customHeight="1">
      <c r="C544" s="33"/>
      <c r="D544" s="33"/>
      <c r="E544" s="33"/>
      <c r="F544" s="33"/>
    </row>
    <row r="545" ht="15.75" customHeight="1">
      <c r="C545" s="33"/>
      <c r="D545" s="33"/>
      <c r="E545" s="33"/>
      <c r="F545" s="33"/>
    </row>
    <row r="546" ht="15.75" customHeight="1">
      <c r="C546" s="33"/>
      <c r="D546" s="33"/>
      <c r="E546" s="33"/>
      <c r="F546" s="33"/>
    </row>
    <row r="547" ht="15.75" customHeight="1">
      <c r="C547" s="33"/>
      <c r="D547" s="33"/>
      <c r="E547" s="33"/>
      <c r="F547" s="33"/>
    </row>
    <row r="548" ht="15.75" customHeight="1">
      <c r="C548" s="33"/>
      <c r="D548" s="33"/>
      <c r="E548" s="33"/>
      <c r="F548" s="33"/>
    </row>
    <row r="549" ht="15.75" customHeight="1">
      <c r="C549" s="33"/>
      <c r="D549" s="33"/>
      <c r="E549" s="33"/>
      <c r="F549" s="33"/>
    </row>
    <row r="550" ht="15.75" customHeight="1">
      <c r="C550" s="33"/>
      <c r="D550" s="33"/>
      <c r="E550" s="33"/>
      <c r="F550" s="33"/>
    </row>
    <row r="551" ht="15.75" customHeight="1">
      <c r="C551" s="33"/>
      <c r="D551" s="33"/>
      <c r="E551" s="33"/>
      <c r="F551" s="33"/>
    </row>
    <row r="552" ht="15.75" customHeight="1">
      <c r="C552" s="33"/>
      <c r="D552" s="33"/>
      <c r="E552" s="33"/>
      <c r="F552" s="33"/>
    </row>
    <row r="553" ht="15.75" customHeight="1">
      <c r="C553" s="33"/>
      <c r="D553" s="33"/>
      <c r="E553" s="33"/>
      <c r="F553" s="33"/>
    </row>
    <row r="554" ht="15.75" customHeight="1">
      <c r="C554" s="33"/>
      <c r="D554" s="33"/>
      <c r="E554" s="33"/>
      <c r="F554" s="33"/>
    </row>
    <row r="555" ht="15.75" customHeight="1">
      <c r="C555" s="33"/>
      <c r="D555" s="33"/>
      <c r="E555" s="33"/>
      <c r="F555" s="33"/>
    </row>
    <row r="556" ht="15.75" customHeight="1">
      <c r="C556" s="33"/>
      <c r="D556" s="33"/>
      <c r="E556" s="33"/>
      <c r="F556" s="33"/>
    </row>
    <row r="557" ht="15.75" customHeight="1">
      <c r="C557" s="33"/>
      <c r="D557" s="33"/>
      <c r="E557" s="33"/>
      <c r="F557" s="33"/>
    </row>
    <row r="558" ht="15.75" customHeight="1">
      <c r="C558" s="33"/>
      <c r="D558" s="33"/>
      <c r="E558" s="33"/>
      <c r="F558" s="33"/>
    </row>
    <row r="559" ht="15.75" customHeight="1">
      <c r="C559" s="33"/>
      <c r="D559" s="33"/>
      <c r="E559" s="33"/>
      <c r="F559" s="33"/>
    </row>
    <row r="560" ht="15.75" customHeight="1">
      <c r="C560" s="33"/>
      <c r="D560" s="33"/>
      <c r="E560" s="33"/>
      <c r="F560" s="33"/>
    </row>
    <row r="561" ht="15.75" customHeight="1">
      <c r="C561" s="33"/>
      <c r="D561" s="33"/>
      <c r="E561" s="33"/>
      <c r="F561" s="33"/>
    </row>
    <row r="562" ht="15.75" customHeight="1">
      <c r="C562" s="33"/>
      <c r="D562" s="33"/>
      <c r="E562" s="33"/>
      <c r="F562" s="33"/>
    </row>
    <row r="563" ht="15.75" customHeight="1">
      <c r="C563" s="33"/>
      <c r="D563" s="33"/>
      <c r="E563" s="33"/>
      <c r="F563" s="33"/>
    </row>
    <row r="564" ht="15.75" customHeight="1">
      <c r="C564" s="33"/>
      <c r="D564" s="33"/>
      <c r="E564" s="33"/>
      <c r="F564" s="33"/>
    </row>
    <row r="565" ht="15.75" customHeight="1">
      <c r="C565" s="33"/>
      <c r="D565" s="33"/>
      <c r="E565" s="33"/>
      <c r="F565" s="33"/>
    </row>
    <row r="566" ht="15.75" customHeight="1">
      <c r="C566" s="33"/>
      <c r="D566" s="33"/>
      <c r="E566" s="33"/>
      <c r="F566" s="33"/>
    </row>
    <row r="567" ht="15.75" customHeight="1">
      <c r="C567" s="33"/>
      <c r="D567" s="33"/>
      <c r="E567" s="33"/>
      <c r="F567" s="33"/>
    </row>
    <row r="568" ht="15.75" customHeight="1">
      <c r="C568" s="33"/>
      <c r="D568" s="33"/>
      <c r="E568" s="33"/>
      <c r="F568" s="33"/>
    </row>
    <row r="569" ht="15.75" customHeight="1">
      <c r="C569" s="33"/>
      <c r="D569" s="33"/>
      <c r="E569" s="33"/>
      <c r="F569" s="33"/>
    </row>
    <row r="570" ht="15.75" customHeight="1">
      <c r="C570" s="33"/>
      <c r="D570" s="33"/>
      <c r="E570" s="33"/>
      <c r="F570" s="33"/>
    </row>
    <row r="571" ht="15.75" customHeight="1">
      <c r="C571" s="33"/>
      <c r="D571" s="33"/>
      <c r="E571" s="33"/>
      <c r="F571" s="33"/>
    </row>
    <row r="572" ht="15.75" customHeight="1">
      <c r="C572" s="33"/>
      <c r="D572" s="33"/>
      <c r="E572" s="33"/>
      <c r="F572" s="33"/>
    </row>
    <row r="573" ht="15.75" customHeight="1">
      <c r="C573" s="33"/>
      <c r="D573" s="33"/>
      <c r="E573" s="33"/>
      <c r="F573" s="33"/>
    </row>
    <row r="574" ht="15.75" customHeight="1">
      <c r="C574" s="33"/>
      <c r="D574" s="33"/>
      <c r="E574" s="33"/>
      <c r="F574" s="33"/>
    </row>
    <row r="575" ht="15.75" customHeight="1">
      <c r="C575" s="33"/>
      <c r="D575" s="33"/>
      <c r="E575" s="33"/>
      <c r="F575" s="33"/>
    </row>
    <row r="576" ht="15.75" customHeight="1">
      <c r="C576" s="33"/>
      <c r="D576" s="33"/>
      <c r="E576" s="33"/>
      <c r="F576" s="33"/>
    </row>
    <row r="577" ht="15.75" customHeight="1">
      <c r="C577" s="33"/>
      <c r="D577" s="33"/>
      <c r="E577" s="33"/>
      <c r="F577" s="33"/>
    </row>
    <row r="578" ht="15.75" customHeight="1">
      <c r="C578" s="33"/>
      <c r="D578" s="33"/>
      <c r="E578" s="33"/>
      <c r="F578" s="33"/>
    </row>
    <row r="579" ht="15.75" customHeight="1">
      <c r="C579" s="33"/>
      <c r="D579" s="33"/>
      <c r="E579" s="33"/>
      <c r="F579" s="33"/>
    </row>
    <row r="580" ht="15.75" customHeight="1">
      <c r="C580" s="33"/>
      <c r="D580" s="33"/>
      <c r="E580" s="33"/>
      <c r="F580" s="33"/>
    </row>
    <row r="581" ht="15.75" customHeight="1">
      <c r="C581" s="33"/>
      <c r="D581" s="33"/>
      <c r="E581" s="33"/>
      <c r="F581" s="33"/>
    </row>
    <row r="582" ht="15.75" customHeight="1">
      <c r="C582" s="33"/>
      <c r="D582" s="33"/>
      <c r="E582" s="33"/>
      <c r="F582" s="33"/>
    </row>
    <row r="583" ht="15.75" customHeight="1">
      <c r="C583" s="33"/>
      <c r="D583" s="33"/>
      <c r="E583" s="33"/>
      <c r="F583" s="33"/>
    </row>
    <row r="584" ht="15.75" customHeight="1">
      <c r="C584" s="33"/>
      <c r="D584" s="33"/>
      <c r="E584" s="33"/>
      <c r="F584" s="33"/>
    </row>
    <row r="585" ht="15.75" customHeight="1">
      <c r="C585" s="33"/>
      <c r="D585" s="33"/>
      <c r="E585" s="33"/>
      <c r="F585" s="33"/>
    </row>
    <row r="586" ht="15.75" customHeight="1">
      <c r="C586" s="33"/>
      <c r="D586" s="33"/>
      <c r="E586" s="33"/>
      <c r="F586" s="33"/>
    </row>
    <row r="587" ht="15.75" customHeight="1">
      <c r="C587" s="33"/>
      <c r="D587" s="33"/>
      <c r="E587" s="33"/>
      <c r="F587" s="33"/>
    </row>
    <row r="588" ht="15.75" customHeight="1">
      <c r="C588" s="33"/>
      <c r="D588" s="33"/>
      <c r="E588" s="33"/>
      <c r="F588" s="33"/>
    </row>
    <row r="589" ht="15.75" customHeight="1">
      <c r="C589" s="33"/>
      <c r="D589" s="33"/>
      <c r="E589" s="33"/>
      <c r="F589" s="33"/>
    </row>
    <row r="590" ht="15.75" customHeight="1">
      <c r="C590" s="33"/>
      <c r="D590" s="33"/>
      <c r="E590" s="33"/>
      <c r="F590" s="33"/>
    </row>
    <row r="591" ht="15.75" customHeight="1">
      <c r="C591" s="33"/>
      <c r="D591" s="33"/>
      <c r="E591" s="33"/>
      <c r="F591" s="33"/>
    </row>
    <row r="592" ht="15.75" customHeight="1">
      <c r="C592" s="33"/>
      <c r="D592" s="33"/>
      <c r="E592" s="33"/>
      <c r="F592" s="33"/>
    </row>
    <row r="593" ht="15.75" customHeight="1">
      <c r="C593" s="33"/>
      <c r="D593" s="33"/>
      <c r="E593" s="33"/>
      <c r="F593" s="33"/>
    </row>
    <row r="594" ht="15.75" customHeight="1">
      <c r="C594" s="33"/>
      <c r="D594" s="33"/>
      <c r="E594" s="33"/>
      <c r="F594" s="33"/>
    </row>
    <row r="595" ht="15.75" customHeight="1">
      <c r="C595" s="33"/>
      <c r="D595" s="33"/>
      <c r="E595" s="33"/>
      <c r="F595" s="33"/>
    </row>
    <row r="596" ht="15.75" customHeight="1">
      <c r="C596" s="33"/>
      <c r="D596" s="33"/>
      <c r="E596" s="33"/>
      <c r="F596" s="33"/>
    </row>
    <row r="597" ht="15.75" customHeight="1">
      <c r="C597" s="33"/>
      <c r="D597" s="33"/>
      <c r="E597" s="33"/>
      <c r="F597" s="33"/>
    </row>
    <row r="598" ht="15.75" customHeight="1">
      <c r="C598" s="33"/>
      <c r="D598" s="33"/>
      <c r="E598" s="33"/>
      <c r="F598" s="33"/>
    </row>
    <row r="599" ht="15.75" customHeight="1">
      <c r="C599" s="33"/>
      <c r="D599" s="33"/>
      <c r="E599" s="33"/>
      <c r="F599" s="33"/>
    </row>
    <row r="600" ht="15.75" customHeight="1">
      <c r="C600" s="33"/>
      <c r="D600" s="33"/>
      <c r="E600" s="33"/>
      <c r="F600" s="33"/>
    </row>
    <row r="601" ht="15.75" customHeight="1">
      <c r="C601" s="33"/>
      <c r="D601" s="33"/>
      <c r="E601" s="33"/>
      <c r="F601" s="33"/>
    </row>
    <row r="602" ht="15.75" customHeight="1">
      <c r="C602" s="33"/>
      <c r="D602" s="33"/>
      <c r="E602" s="33"/>
      <c r="F602" s="33"/>
    </row>
    <row r="603" ht="15.75" customHeight="1">
      <c r="C603" s="33"/>
      <c r="D603" s="33"/>
      <c r="E603" s="33"/>
      <c r="F603" s="33"/>
    </row>
    <row r="604" ht="15.75" customHeight="1">
      <c r="C604" s="33"/>
      <c r="D604" s="33"/>
      <c r="E604" s="33"/>
      <c r="F604" s="33"/>
    </row>
    <row r="605" ht="15.75" customHeight="1">
      <c r="C605" s="33"/>
      <c r="D605" s="33"/>
      <c r="E605" s="33"/>
      <c r="F605" s="33"/>
    </row>
    <row r="606" ht="15.75" customHeight="1">
      <c r="C606" s="33"/>
      <c r="D606" s="33"/>
      <c r="E606" s="33"/>
      <c r="F606" s="33"/>
    </row>
    <row r="607" ht="15.75" customHeight="1">
      <c r="C607" s="33"/>
      <c r="D607" s="33"/>
      <c r="E607" s="33"/>
      <c r="F607" s="33"/>
    </row>
    <row r="608" ht="15.75" customHeight="1">
      <c r="C608" s="33"/>
      <c r="D608" s="33"/>
      <c r="E608" s="33"/>
      <c r="F608" s="33"/>
    </row>
    <row r="609" ht="15.75" customHeight="1">
      <c r="C609" s="33"/>
      <c r="D609" s="33"/>
      <c r="E609" s="33"/>
      <c r="F609" s="33"/>
    </row>
    <row r="610" ht="15.75" customHeight="1">
      <c r="C610" s="33"/>
      <c r="D610" s="33"/>
      <c r="E610" s="33"/>
      <c r="F610" s="33"/>
    </row>
    <row r="611" ht="15.75" customHeight="1">
      <c r="C611" s="33"/>
      <c r="D611" s="33"/>
      <c r="E611" s="33"/>
      <c r="F611" s="33"/>
    </row>
    <row r="612" ht="15.75" customHeight="1">
      <c r="C612" s="33"/>
      <c r="D612" s="33"/>
      <c r="E612" s="33"/>
      <c r="F612" s="33"/>
    </row>
    <row r="613" ht="15.75" customHeight="1">
      <c r="C613" s="33"/>
      <c r="D613" s="33"/>
      <c r="E613" s="33"/>
      <c r="F613" s="33"/>
    </row>
    <row r="614" ht="15.75" customHeight="1">
      <c r="C614" s="33"/>
      <c r="D614" s="33"/>
      <c r="E614" s="33"/>
      <c r="F614" s="33"/>
    </row>
    <row r="615" ht="15.75" customHeight="1">
      <c r="C615" s="33"/>
      <c r="D615" s="33"/>
      <c r="E615" s="33"/>
      <c r="F615" s="33"/>
    </row>
    <row r="616" ht="15.75" customHeight="1">
      <c r="C616" s="33"/>
      <c r="D616" s="33"/>
      <c r="E616" s="33"/>
      <c r="F616" s="33"/>
    </row>
    <row r="617" ht="15.75" customHeight="1">
      <c r="C617" s="33"/>
      <c r="D617" s="33"/>
      <c r="E617" s="33"/>
      <c r="F617" s="33"/>
    </row>
    <row r="618" ht="15.75" customHeight="1">
      <c r="C618" s="33"/>
      <c r="D618" s="33"/>
      <c r="E618" s="33"/>
      <c r="F618" s="33"/>
    </row>
    <row r="619" ht="15.75" customHeight="1">
      <c r="C619" s="33"/>
      <c r="D619" s="33"/>
      <c r="E619" s="33"/>
      <c r="F619" s="33"/>
    </row>
    <row r="620" ht="15.75" customHeight="1">
      <c r="C620" s="33"/>
      <c r="D620" s="33"/>
      <c r="E620" s="33"/>
      <c r="F620" s="33"/>
    </row>
    <row r="621" ht="15.75" customHeight="1">
      <c r="C621" s="33"/>
      <c r="D621" s="33"/>
      <c r="E621" s="33"/>
      <c r="F621" s="33"/>
    </row>
    <row r="622" ht="15.75" customHeight="1">
      <c r="C622" s="33"/>
      <c r="D622" s="33"/>
      <c r="E622" s="33"/>
      <c r="F622" s="33"/>
    </row>
    <row r="623" ht="15.75" customHeight="1">
      <c r="C623" s="33"/>
      <c r="D623" s="33"/>
      <c r="E623" s="33"/>
      <c r="F623" s="33"/>
    </row>
    <row r="624" ht="15.75" customHeight="1">
      <c r="C624" s="33"/>
      <c r="D624" s="33"/>
      <c r="E624" s="33"/>
      <c r="F624" s="33"/>
    </row>
    <row r="625" ht="15.75" customHeight="1">
      <c r="C625" s="33"/>
      <c r="D625" s="33"/>
      <c r="E625" s="33"/>
      <c r="F625" s="33"/>
    </row>
    <row r="626" ht="15.75" customHeight="1">
      <c r="C626" s="33"/>
      <c r="D626" s="33"/>
      <c r="E626" s="33"/>
      <c r="F626" s="33"/>
    </row>
    <row r="627" ht="15.75" customHeight="1">
      <c r="C627" s="33"/>
      <c r="D627" s="33"/>
      <c r="E627" s="33"/>
      <c r="F627" s="33"/>
    </row>
    <row r="628" ht="15.75" customHeight="1">
      <c r="C628" s="33"/>
      <c r="D628" s="33"/>
      <c r="E628" s="33"/>
      <c r="F628" s="33"/>
    </row>
    <row r="629" ht="15.75" customHeight="1">
      <c r="C629" s="33"/>
      <c r="D629" s="33"/>
      <c r="E629" s="33"/>
      <c r="F629" s="33"/>
    </row>
    <row r="630" ht="15.75" customHeight="1">
      <c r="C630" s="33"/>
      <c r="D630" s="33"/>
      <c r="E630" s="33"/>
      <c r="F630" s="33"/>
    </row>
    <row r="631" ht="15.75" customHeight="1">
      <c r="C631" s="33"/>
      <c r="D631" s="33"/>
      <c r="E631" s="33"/>
      <c r="F631" s="33"/>
    </row>
    <row r="632" ht="15.75" customHeight="1">
      <c r="C632" s="33"/>
      <c r="D632" s="33"/>
      <c r="E632" s="33"/>
      <c r="F632" s="33"/>
    </row>
    <row r="633" ht="15.75" customHeight="1">
      <c r="C633" s="33"/>
      <c r="D633" s="33"/>
      <c r="E633" s="33"/>
      <c r="F633" s="33"/>
    </row>
    <row r="634" ht="15.75" customHeight="1">
      <c r="C634" s="33"/>
      <c r="D634" s="33"/>
      <c r="E634" s="33"/>
      <c r="F634" s="33"/>
    </row>
    <row r="635" ht="15.75" customHeight="1">
      <c r="C635" s="33"/>
      <c r="D635" s="33"/>
      <c r="E635" s="33"/>
      <c r="F635" s="33"/>
    </row>
    <row r="636" ht="15.75" customHeight="1">
      <c r="C636" s="33"/>
      <c r="D636" s="33"/>
      <c r="E636" s="33"/>
      <c r="F636" s="33"/>
    </row>
    <row r="637" ht="15.75" customHeight="1">
      <c r="C637" s="33"/>
      <c r="D637" s="33"/>
      <c r="E637" s="33"/>
      <c r="F637" s="33"/>
    </row>
    <row r="638" ht="15.75" customHeight="1">
      <c r="C638" s="33"/>
      <c r="D638" s="33"/>
      <c r="E638" s="33"/>
      <c r="F638" s="33"/>
    </row>
    <row r="639" ht="15.75" customHeight="1">
      <c r="C639" s="33"/>
      <c r="D639" s="33"/>
      <c r="E639" s="33"/>
      <c r="F639" s="33"/>
    </row>
    <row r="640" ht="15.75" customHeight="1">
      <c r="C640" s="33"/>
      <c r="D640" s="33"/>
      <c r="E640" s="33"/>
      <c r="F640" s="33"/>
    </row>
    <row r="641" ht="15.75" customHeight="1">
      <c r="C641" s="33"/>
      <c r="D641" s="33"/>
      <c r="E641" s="33"/>
      <c r="F641" s="33"/>
    </row>
    <row r="642" ht="15.75" customHeight="1">
      <c r="C642" s="33"/>
      <c r="D642" s="33"/>
      <c r="E642" s="33"/>
      <c r="F642" s="33"/>
    </row>
    <row r="643" ht="15.75" customHeight="1">
      <c r="C643" s="33"/>
      <c r="D643" s="33"/>
      <c r="E643" s="33"/>
      <c r="F643" s="33"/>
    </row>
    <row r="644" ht="15.75" customHeight="1">
      <c r="C644" s="33"/>
      <c r="D644" s="33"/>
      <c r="E644" s="33"/>
      <c r="F644" s="33"/>
    </row>
    <row r="645" ht="15.75" customHeight="1">
      <c r="C645" s="33"/>
      <c r="D645" s="33"/>
      <c r="E645" s="33"/>
      <c r="F645" s="33"/>
    </row>
    <row r="646" ht="15.75" customHeight="1">
      <c r="C646" s="33"/>
      <c r="D646" s="33"/>
      <c r="E646" s="33"/>
      <c r="F646" s="33"/>
    </row>
    <row r="647" ht="15.75" customHeight="1">
      <c r="C647" s="33"/>
      <c r="D647" s="33"/>
      <c r="E647" s="33"/>
      <c r="F647" s="33"/>
    </row>
    <row r="648" ht="15.75" customHeight="1">
      <c r="C648" s="33"/>
      <c r="D648" s="33"/>
      <c r="E648" s="33"/>
      <c r="F648" s="33"/>
    </row>
    <row r="649" ht="15.75" customHeight="1">
      <c r="C649" s="33"/>
      <c r="D649" s="33"/>
      <c r="E649" s="33"/>
      <c r="F649" s="33"/>
    </row>
    <row r="650" ht="15.75" customHeight="1">
      <c r="C650" s="33"/>
      <c r="D650" s="33"/>
      <c r="E650" s="33"/>
      <c r="F650" s="33"/>
    </row>
    <row r="651" ht="15.75" customHeight="1">
      <c r="C651" s="33"/>
      <c r="D651" s="33"/>
      <c r="E651" s="33"/>
      <c r="F651" s="33"/>
    </row>
    <row r="652" ht="15.75" customHeight="1">
      <c r="C652" s="33"/>
      <c r="D652" s="33"/>
      <c r="E652" s="33"/>
      <c r="F652" s="33"/>
    </row>
    <row r="653" ht="15.75" customHeight="1">
      <c r="C653" s="33"/>
      <c r="D653" s="33"/>
      <c r="E653" s="33"/>
      <c r="F653" s="33"/>
    </row>
    <row r="654" ht="15.75" customHeight="1">
      <c r="C654" s="33"/>
      <c r="D654" s="33"/>
      <c r="E654" s="33"/>
      <c r="F654" s="33"/>
    </row>
    <row r="655" ht="15.75" customHeight="1">
      <c r="C655" s="33"/>
      <c r="D655" s="33"/>
      <c r="E655" s="33"/>
      <c r="F655" s="33"/>
    </row>
    <row r="656" ht="15.75" customHeight="1">
      <c r="C656" s="33"/>
      <c r="D656" s="33"/>
      <c r="E656" s="33"/>
      <c r="F656" s="33"/>
    </row>
    <row r="657" ht="15.75" customHeight="1">
      <c r="C657" s="33"/>
      <c r="D657" s="33"/>
      <c r="E657" s="33"/>
      <c r="F657" s="33"/>
    </row>
    <row r="658" ht="15.75" customHeight="1">
      <c r="C658" s="33"/>
      <c r="D658" s="33"/>
      <c r="E658" s="33"/>
      <c r="F658" s="33"/>
    </row>
    <row r="659" ht="15.75" customHeight="1">
      <c r="C659" s="33"/>
      <c r="D659" s="33"/>
      <c r="E659" s="33"/>
      <c r="F659" s="33"/>
    </row>
    <row r="660" ht="15.75" customHeight="1">
      <c r="C660" s="33"/>
      <c r="D660" s="33"/>
      <c r="E660" s="33"/>
      <c r="F660" s="33"/>
    </row>
    <row r="661" ht="15.75" customHeight="1">
      <c r="C661" s="33"/>
      <c r="D661" s="33"/>
      <c r="E661" s="33"/>
      <c r="F661" s="33"/>
    </row>
    <row r="662" ht="15.75" customHeight="1">
      <c r="C662" s="33"/>
      <c r="D662" s="33"/>
      <c r="E662" s="33"/>
      <c r="F662" s="33"/>
    </row>
    <row r="663" ht="15.75" customHeight="1">
      <c r="C663" s="33"/>
      <c r="D663" s="33"/>
      <c r="E663" s="33"/>
      <c r="F663" s="33"/>
    </row>
    <row r="664" ht="15.75" customHeight="1">
      <c r="C664" s="33"/>
      <c r="D664" s="33"/>
      <c r="E664" s="33"/>
      <c r="F664" s="33"/>
    </row>
    <row r="665" ht="15.75" customHeight="1">
      <c r="C665" s="33"/>
      <c r="D665" s="33"/>
      <c r="E665" s="33"/>
      <c r="F665" s="33"/>
    </row>
    <row r="666" ht="15.75" customHeight="1">
      <c r="C666" s="33"/>
      <c r="D666" s="33"/>
      <c r="E666" s="33"/>
      <c r="F666" s="33"/>
    </row>
    <row r="667" ht="15.75" customHeight="1">
      <c r="C667" s="33"/>
      <c r="D667" s="33"/>
      <c r="E667" s="33"/>
      <c r="F667" s="33"/>
    </row>
    <row r="668" ht="15.75" customHeight="1">
      <c r="C668" s="33"/>
      <c r="D668" s="33"/>
      <c r="E668" s="33"/>
      <c r="F668" s="33"/>
    </row>
    <row r="669" ht="15.75" customHeight="1">
      <c r="C669" s="33"/>
      <c r="D669" s="33"/>
      <c r="E669" s="33"/>
      <c r="F669" s="33"/>
    </row>
    <row r="670" ht="15.75" customHeight="1">
      <c r="C670" s="33"/>
      <c r="D670" s="33"/>
      <c r="E670" s="33"/>
      <c r="F670" s="33"/>
    </row>
    <row r="671" ht="15.75" customHeight="1">
      <c r="C671" s="33"/>
      <c r="D671" s="33"/>
      <c r="E671" s="33"/>
      <c r="F671" s="33"/>
    </row>
    <row r="672" ht="15.75" customHeight="1">
      <c r="C672" s="33"/>
      <c r="D672" s="33"/>
      <c r="E672" s="33"/>
      <c r="F672" s="33"/>
    </row>
    <row r="673" ht="15.75" customHeight="1">
      <c r="C673" s="33"/>
      <c r="D673" s="33"/>
      <c r="E673" s="33"/>
      <c r="F673" s="33"/>
    </row>
    <row r="674" ht="15.75" customHeight="1">
      <c r="C674" s="33"/>
      <c r="D674" s="33"/>
      <c r="E674" s="33"/>
      <c r="F674" s="33"/>
    </row>
    <row r="675" ht="15.75" customHeight="1">
      <c r="C675" s="33"/>
      <c r="D675" s="33"/>
      <c r="E675" s="33"/>
      <c r="F675" s="33"/>
    </row>
    <row r="676" ht="15.75" customHeight="1">
      <c r="C676" s="33"/>
      <c r="D676" s="33"/>
      <c r="E676" s="33"/>
      <c r="F676" s="33"/>
    </row>
    <row r="677" ht="15.75" customHeight="1">
      <c r="C677" s="33"/>
      <c r="D677" s="33"/>
      <c r="E677" s="33"/>
      <c r="F677" s="33"/>
    </row>
    <row r="678" ht="15.75" customHeight="1">
      <c r="C678" s="33"/>
      <c r="D678" s="33"/>
      <c r="E678" s="33"/>
      <c r="F678" s="33"/>
    </row>
    <row r="679" ht="15.75" customHeight="1">
      <c r="C679" s="33"/>
      <c r="D679" s="33"/>
      <c r="E679" s="33"/>
      <c r="F679" s="33"/>
    </row>
    <row r="680" ht="15.75" customHeight="1">
      <c r="C680" s="33"/>
      <c r="D680" s="33"/>
      <c r="E680" s="33"/>
      <c r="F680" s="33"/>
    </row>
    <row r="681" ht="15.75" customHeight="1">
      <c r="C681" s="33"/>
      <c r="D681" s="33"/>
      <c r="E681" s="33"/>
      <c r="F681" s="33"/>
    </row>
    <row r="682" ht="15.75" customHeight="1">
      <c r="C682" s="33"/>
      <c r="D682" s="33"/>
      <c r="E682" s="33"/>
      <c r="F682" s="33"/>
    </row>
    <row r="683" ht="15.75" customHeight="1">
      <c r="C683" s="33"/>
      <c r="D683" s="33"/>
      <c r="E683" s="33"/>
      <c r="F683" s="33"/>
    </row>
    <row r="684" ht="15.75" customHeight="1">
      <c r="C684" s="33"/>
      <c r="D684" s="33"/>
      <c r="E684" s="33"/>
      <c r="F684" s="33"/>
    </row>
    <row r="685" ht="15.75" customHeight="1">
      <c r="C685" s="33"/>
      <c r="D685" s="33"/>
      <c r="E685" s="33"/>
      <c r="F685" s="33"/>
    </row>
    <row r="686" ht="15.75" customHeight="1">
      <c r="C686" s="33"/>
      <c r="D686" s="33"/>
      <c r="E686" s="33"/>
      <c r="F686" s="33"/>
    </row>
    <row r="687" ht="15.75" customHeight="1">
      <c r="C687" s="33"/>
      <c r="D687" s="33"/>
      <c r="E687" s="33"/>
      <c r="F687" s="33"/>
    </row>
    <row r="688" ht="15.75" customHeight="1">
      <c r="C688" s="33"/>
      <c r="D688" s="33"/>
      <c r="E688" s="33"/>
      <c r="F688" s="33"/>
    </row>
    <row r="689" ht="15.75" customHeight="1">
      <c r="C689" s="33"/>
      <c r="D689" s="33"/>
      <c r="E689" s="33"/>
      <c r="F689" s="33"/>
    </row>
    <row r="690" ht="15.75" customHeight="1">
      <c r="C690" s="33"/>
      <c r="D690" s="33"/>
      <c r="E690" s="33"/>
      <c r="F690" s="33"/>
    </row>
    <row r="691" ht="15.75" customHeight="1">
      <c r="C691" s="33"/>
      <c r="D691" s="33"/>
      <c r="E691" s="33"/>
      <c r="F691" s="33"/>
    </row>
    <row r="692" ht="15.75" customHeight="1">
      <c r="C692" s="33"/>
      <c r="D692" s="33"/>
      <c r="E692" s="33"/>
      <c r="F692" s="33"/>
    </row>
    <row r="693" ht="15.75" customHeight="1">
      <c r="C693" s="33"/>
      <c r="D693" s="33"/>
      <c r="E693" s="33"/>
      <c r="F693" s="33"/>
    </row>
    <row r="694" ht="15.75" customHeight="1">
      <c r="C694" s="33"/>
      <c r="D694" s="33"/>
      <c r="E694" s="33"/>
      <c r="F694" s="33"/>
    </row>
    <row r="695" ht="15.75" customHeight="1">
      <c r="C695" s="33"/>
      <c r="D695" s="33"/>
      <c r="E695" s="33"/>
      <c r="F695" s="33"/>
    </row>
    <row r="696" ht="15.75" customHeight="1">
      <c r="C696" s="33"/>
      <c r="D696" s="33"/>
      <c r="E696" s="33"/>
      <c r="F696" s="33"/>
    </row>
    <row r="697" ht="15.75" customHeight="1">
      <c r="C697" s="33"/>
      <c r="D697" s="33"/>
      <c r="E697" s="33"/>
      <c r="F697" s="33"/>
    </row>
    <row r="698" ht="15.75" customHeight="1">
      <c r="C698" s="33"/>
      <c r="D698" s="33"/>
      <c r="E698" s="33"/>
      <c r="F698" s="33"/>
    </row>
    <row r="699" ht="15.75" customHeight="1">
      <c r="C699" s="33"/>
      <c r="D699" s="33"/>
      <c r="E699" s="33"/>
      <c r="F699" s="33"/>
    </row>
    <row r="700" ht="15.75" customHeight="1">
      <c r="C700" s="33"/>
      <c r="D700" s="33"/>
      <c r="E700" s="33"/>
      <c r="F700" s="33"/>
    </row>
    <row r="701" ht="15.75" customHeight="1">
      <c r="C701" s="33"/>
      <c r="D701" s="33"/>
      <c r="E701" s="33"/>
      <c r="F701" s="33"/>
    </row>
    <row r="702" ht="15.75" customHeight="1">
      <c r="C702" s="33"/>
      <c r="D702" s="33"/>
      <c r="E702" s="33"/>
      <c r="F702" s="33"/>
    </row>
    <row r="703" ht="15.75" customHeight="1">
      <c r="C703" s="33"/>
      <c r="D703" s="33"/>
      <c r="E703" s="33"/>
      <c r="F703" s="33"/>
    </row>
    <row r="704" ht="15.75" customHeight="1">
      <c r="C704" s="33"/>
      <c r="D704" s="33"/>
      <c r="E704" s="33"/>
      <c r="F704" s="33"/>
    </row>
    <row r="705" ht="15.75" customHeight="1">
      <c r="C705" s="33"/>
      <c r="D705" s="33"/>
      <c r="E705" s="33"/>
      <c r="F705" s="33"/>
    </row>
    <row r="706" ht="15.75" customHeight="1">
      <c r="C706" s="33"/>
      <c r="D706" s="33"/>
      <c r="E706" s="33"/>
      <c r="F706" s="33"/>
    </row>
    <row r="707" ht="15.75" customHeight="1">
      <c r="C707" s="33"/>
      <c r="D707" s="33"/>
      <c r="E707" s="33"/>
      <c r="F707" s="33"/>
    </row>
    <row r="708" ht="15.75" customHeight="1">
      <c r="C708" s="33"/>
      <c r="D708" s="33"/>
      <c r="E708" s="33"/>
      <c r="F708" s="33"/>
    </row>
    <row r="709" ht="15.75" customHeight="1">
      <c r="C709" s="33"/>
      <c r="D709" s="33"/>
      <c r="E709" s="33"/>
      <c r="F709" s="33"/>
    </row>
    <row r="710" ht="15.75" customHeight="1">
      <c r="C710" s="33"/>
      <c r="D710" s="33"/>
      <c r="E710" s="33"/>
      <c r="F710" s="33"/>
    </row>
    <row r="711" ht="15.75" customHeight="1">
      <c r="C711" s="33"/>
      <c r="D711" s="33"/>
      <c r="E711" s="33"/>
      <c r="F711" s="33"/>
    </row>
    <row r="712" ht="15.75" customHeight="1">
      <c r="C712" s="33"/>
      <c r="D712" s="33"/>
      <c r="E712" s="33"/>
      <c r="F712" s="33"/>
    </row>
    <row r="713" ht="15.75" customHeight="1">
      <c r="C713" s="33"/>
      <c r="D713" s="33"/>
      <c r="E713" s="33"/>
      <c r="F713" s="33"/>
    </row>
    <row r="714" ht="15.75" customHeight="1">
      <c r="C714" s="33"/>
      <c r="D714" s="33"/>
      <c r="E714" s="33"/>
      <c r="F714" s="33"/>
    </row>
    <row r="715" ht="15.75" customHeight="1">
      <c r="C715" s="33"/>
      <c r="D715" s="33"/>
      <c r="E715" s="33"/>
      <c r="F715" s="33"/>
    </row>
    <row r="716" ht="15.75" customHeight="1">
      <c r="C716" s="33"/>
      <c r="D716" s="33"/>
      <c r="E716" s="33"/>
      <c r="F716" s="33"/>
    </row>
    <row r="717" ht="15.75" customHeight="1">
      <c r="C717" s="33"/>
      <c r="D717" s="33"/>
      <c r="E717" s="33"/>
      <c r="F717" s="33"/>
    </row>
    <row r="718" ht="15.75" customHeight="1">
      <c r="C718" s="33"/>
      <c r="D718" s="33"/>
      <c r="E718" s="33"/>
      <c r="F718" s="33"/>
    </row>
    <row r="719" ht="15.75" customHeight="1">
      <c r="C719" s="33"/>
      <c r="D719" s="33"/>
      <c r="E719" s="33"/>
      <c r="F719" s="33"/>
    </row>
    <row r="720" ht="15.75" customHeight="1">
      <c r="C720" s="33"/>
      <c r="D720" s="33"/>
      <c r="E720" s="33"/>
      <c r="F720" s="33"/>
    </row>
    <row r="721" ht="15.75" customHeight="1">
      <c r="C721" s="33"/>
      <c r="D721" s="33"/>
      <c r="E721" s="33"/>
      <c r="F721" s="33"/>
    </row>
    <row r="722" ht="15.75" customHeight="1">
      <c r="C722" s="33"/>
      <c r="D722" s="33"/>
      <c r="E722" s="33"/>
      <c r="F722" s="33"/>
    </row>
    <row r="723" ht="15.75" customHeight="1">
      <c r="C723" s="33"/>
      <c r="D723" s="33"/>
      <c r="E723" s="33"/>
      <c r="F723" s="33"/>
    </row>
    <row r="724" ht="15.75" customHeight="1">
      <c r="C724" s="33"/>
      <c r="D724" s="33"/>
      <c r="E724" s="33"/>
      <c r="F724" s="33"/>
    </row>
    <row r="725" ht="15.75" customHeight="1">
      <c r="C725" s="33"/>
      <c r="D725" s="33"/>
      <c r="E725" s="33"/>
      <c r="F725" s="33"/>
    </row>
    <row r="726" ht="15.75" customHeight="1">
      <c r="C726" s="33"/>
      <c r="D726" s="33"/>
      <c r="E726" s="33"/>
      <c r="F726" s="33"/>
    </row>
    <row r="727" ht="15.75" customHeight="1">
      <c r="C727" s="33"/>
      <c r="D727" s="33"/>
      <c r="E727" s="33"/>
      <c r="F727" s="33"/>
    </row>
    <row r="728" ht="15.75" customHeight="1">
      <c r="C728" s="33"/>
      <c r="D728" s="33"/>
      <c r="E728" s="33"/>
      <c r="F728" s="33"/>
    </row>
    <row r="729" ht="15.75" customHeight="1">
      <c r="C729" s="33"/>
      <c r="D729" s="33"/>
      <c r="E729" s="33"/>
      <c r="F729" s="33"/>
    </row>
    <row r="730" ht="15.75" customHeight="1">
      <c r="C730" s="33"/>
      <c r="D730" s="33"/>
      <c r="E730" s="33"/>
      <c r="F730" s="33"/>
    </row>
    <row r="731" ht="15.75" customHeight="1">
      <c r="C731" s="33"/>
      <c r="D731" s="33"/>
      <c r="E731" s="33"/>
      <c r="F731" s="33"/>
    </row>
    <row r="732" ht="15.75" customHeight="1">
      <c r="C732" s="33"/>
      <c r="D732" s="33"/>
      <c r="E732" s="33"/>
      <c r="F732" s="33"/>
    </row>
    <row r="733" ht="15.75" customHeight="1">
      <c r="C733" s="33"/>
      <c r="D733" s="33"/>
      <c r="E733" s="33"/>
      <c r="F733" s="33"/>
    </row>
    <row r="734" ht="15.75" customHeight="1">
      <c r="C734" s="33"/>
      <c r="D734" s="33"/>
      <c r="E734" s="33"/>
      <c r="F734" s="33"/>
    </row>
    <row r="735" ht="15.75" customHeight="1">
      <c r="C735" s="33"/>
      <c r="D735" s="33"/>
      <c r="E735" s="33"/>
      <c r="F735" s="33"/>
    </row>
    <row r="736" ht="15.75" customHeight="1">
      <c r="C736" s="33"/>
      <c r="D736" s="33"/>
      <c r="E736" s="33"/>
      <c r="F736" s="33"/>
    </row>
    <row r="737" ht="15.75" customHeight="1">
      <c r="C737" s="33"/>
      <c r="D737" s="33"/>
      <c r="E737" s="33"/>
      <c r="F737" s="33"/>
    </row>
    <row r="738" ht="15.75" customHeight="1">
      <c r="C738" s="33"/>
      <c r="D738" s="33"/>
      <c r="E738" s="33"/>
      <c r="F738" s="33"/>
    </row>
    <row r="739" ht="15.75" customHeight="1">
      <c r="C739" s="33"/>
      <c r="D739" s="33"/>
      <c r="E739" s="33"/>
      <c r="F739" s="33"/>
    </row>
    <row r="740" ht="15.75" customHeight="1">
      <c r="C740" s="33"/>
      <c r="D740" s="33"/>
      <c r="E740" s="33"/>
      <c r="F740" s="33"/>
    </row>
    <row r="741" ht="15.75" customHeight="1">
      <c r="C741" s="33"/>
      <c r="D741" s="33"/>
      <c r="E741" s="33"/>
      <c r="F741" s="33"/>
    </row>
    <row r="742" ht="15.75" customHeight="1">
      <c r="C742" s="33"/>
      <c r="D742" s="33"/>
      <c r="E742" s="33"/>
      <c r="F742" s="33"/>
    </row>
    <row r="743" ht="15.75" customHeight="1">
      <c r="C743" s="33"/>
      <c r="D743" s="33"/>
      <c r="E743" s="33"/>
      <c r="F743" s="33"/>
    </row>
    <row r="744" ht="15.75" customHeight="1">
      <c r="C744" s="33"/>
      <c r="D744" s="33"/>
      <c r="E744" s="33"/>
      <c r="F744" s="33"/>
    </row>
    <row r="745" ht="15.75" customHeight="1">
      <c r="C745" s="33"/>
      <c r="D745" s="33"/>
      <c r="E745" s="33"/>
      <c r="F745" s="33"/>
    </row>
    <row r="746" ht="15.75" customHeight="1">
      <c r="C746" s="33"/>
      <c r="D746" s="33"/>
      <c r="E746" s="33"/>
      <c r="F746" s="33"/>
    </row>
    <row r="747" ht="15.75" customHeight="1">
      <c r="C747" s="33"/>
      <c r="D747" s="33"/>
      <c r="E747" s="33"/>
      <c r="F747" s="33"/>
    </row>
    <row r="748" ht="15.75" customHeight="1">
      <c r="C748" s="33"/>
      <c r="D748" s="33"/>
      <c r="E748" s="33"/>
      <c r="F748" s="33"/>
    </row>
    <row r="749" ht="15.75" customHeight="1">
      <c r="C749" s="33"/>
      <c r="D749" s="33"/>
      <c r="E749" s="33"/>
      <c r="F749" s="33"/>
    </row>
    <row r="750" ht="15.75" customHeight="1">
      <c r="C750" s="33"/>
      <c r="D750" s="33"/>
      <c r="E750" s="33"/>
      <c r="F750" s="33"/>
    </row>
    <row r="751" ht="15.75" customHeight="1">
      <c r="C751" s="33"/>
      <c r="D751" s="33"/>
      <c r="E751" s="33"/>
      <c r="F751" s="33"/>
    </row>
    <row r="752" ht="15.75" customHeight="1">
      <c r="C752" s="33"/>
      <c r="D752" s="33"/>
      <c r="E752" s="33"/>
      <c r="F752" s="33"/>
    </row>
    <row r="753" ht="15.75" customHeight="1">
      <c r="C753" s="33"/>
      <c r="D753" s="33"/>
      <c r="E753" s="33"/>
      <c r="F753" s="33"/>
    </row>
    <row r="754" ht="15.75" customHeight="1">
      <c r="C754" s="33"/>
      <c r="D754" s="33"/>
      <c r="E754" s="33"/>
      <c r="F754" s="33"/>
    </row>
    <row r="755" ht="15.75" customHeight="1">
      <c r="C755" s="33"/>
      <c r="D755" s="33"/>
      <c r="E755" s="33"/>
      <c r="F755" s="33"/>
    </row>
    <row r="756" ht="15.75" customHeight="1">
      <c r="C756" s="33"/>
      <c r="D756" s="33"/>
      <c r="E756" s="33"/>
      <c r="F756" s="33"/>
    </row>
    <row r="757" ht="15.75" customHeight="1">
      <c r="C757" s="33"/>
      <c r="D757" s="33"/>
      <c r="E757" s="33"/>
      <c r="F757" s="33"/>
    </row>
    <row r="758" ht="15.75" customHeight="1">
      <c r="C758" s="33"/>
      <c r="D758" s="33"/>
      <c r="E758" s="33"/>
      <c r="F758" s="33"/>
    </row>
    <row r="759" ht="15.75" customHeight="1">
      <c r="C759" s="33"/>
      <c r="D759" s="33"/>
      <c r="E759" s="33"/>
      <c r="F759" s="33"/>
    </row>
    <row r="760" ht="15.75" customHeight="1">
      <c r="C760" s="33"/>
      <c r="D760" s="33"/>
      <c r="E760" s="33"/>
      <c r="F760" s="33"/>
    </row>
    <row r="761" ht="15.75" customHeight="1">
      <c r="C761" s="33"/>
      <c r="D761" s="33"/>
      <c r="E761" s="33"/>
      <c r="F761" s="33"/>
    </row>
    <row r="762" ht="15.75" customHeight="1">
      <c r="C762" s="33"/>
      <c r="D762" s="33"/>
      <c r="E762" s="33"/>
      <c r="F762" s="33"/>
    </row>
    <row r="763" ht="15.75" customHeight="1">
      <c r="C763" s="33"/>
      <c r="D763" s="33"/>
      <c r="E763" s="33"/>
      <c r="F763" s="33"/>
    </row>
    <row r="764" ht="15.75" customHeight="1">
      <c r="C764" s="33"/>
      <c r="D764" s="33"/>
      <c r="E764" s="33"/>
      <c r="F764" s="33"/>
    </row>
    <row r="765" ht="15.75" customHeight="1">
      <c r="C765" s="33"/>
      <c r="D765" s="33"/>
      <c r="E765" s="33"/>
      <c r="F765" s="33"/>
    </row>
    <row r="766" ht="15.75" customHeight="1">
      <c r="C766" s="33"/>
      <c r="D766" s="33"/>
      <c r="E766" s="33"/>
      <c r="F766" s="33"/>
    </row>
    <row r="767" ht="15.75" customHeight="1">
      <c r="C767" s="33"/>
      <c r="D767" s="33"/>
      <c r="E767" s="33"/>
      <c r="F767" s="33"/>
    </row>
    <row r="768" ht="15.75" customHeight="1">
      <c r="C768" s="33"/>
      <c r="D768" s="33"/>
      <c r="E768" s="33"/>
      <c r="F768" s="33"/>
    </row>
    <row r="769" ht="15.75" customHeight="1">
      <c r="C769" s="33"/>
      <c r="D769" s="33"/>
      <c r="E769" s="33"/>
      <c r="F769" s="33"/>
    </row>
    <row r="770" ht="15.75" customHeight="1">
      <c r="C770" s="33"/>
      <c r="D770" s="33"/>
      <c r="E770" s="33"/>
      <c r="F770" s="33"/>
    </row>
    <row r="771" ht="15.75" customHeight="1">
      <c r="C771" s="33"/>
      <c r="D771" s="33"/>
      <c r="E771" s="33"/>
      <c r="F771" s="33"/>
    </row>
    <row r="772" ht="15.75" customHeight="1">
      <c r="C772" s="33"/>
      <c r="D772" s="33"/>
      <c r="E772" s="33"/>
      <c r="F772" s="33"/>
    </row>
    <row r="773" ht="15.75" customHeight="1">
      <c r="C773" s="33"/>
      <c r="D773" s="33"/>
      <c r="E773" s="33"/>
      <c r="F773" s="33"/>
    </row>
    <row r="774" ht="15.75" customHeight="1">
      <c r="C774" s="33"/>
      <c r="D774" s="33"/>
      <c r="E774" s="33"/>
      <c r="F774" s="33"/>
    </row>
    <row r="775" ht="15.75" customHeight="1">
      <c r="C775" s="33"/>
      <c r="D775" s="33"/>
      <c r="E775" s="33"/>
      <c r="F775" s="33"/>
    </row>
    <row r="776" ht="15.75" customHeight="1">
      <c r="C776" s="33"/>
      <c r="D776" s="33"/>
      <c r="E776" s="33"/>
      <c r="F776" s="33"/>
    </row>
    <row r="777" ht="15.75" customHeight="1">
      <c r="C777" s="33"/>
      <c r="D777" s="33"/>
      <c r="E777" s="33"/>
      <c r="F777" s="33"/>
    </row>
    <row r="778" ht="15.75" customHeight="1">
      <c r="C778" s="33"/>
      <c r="D778" s="33"/>
      <c r="E778" s="33"/>
      <c r="F778" s="33"/>
    </row>
    <row r="779" ht="15.75" customHeight="1">
      <c r="C779" s="33"/>
      <c r="D779" s="33"/>
      <c r="E779" s="33"/>
      <c r="F779" s="33"/>
    </row>
    <row r="780" ht="15.75" customHeight="1">
      <c r="C780" s="33"/>
      <c r="D780" s="33"/>
      <c r="E780" s="33"/>
      <c r="F780" s="33"/>
    </row>
    <row r="781" ht="15.75" customHeight="1">
      <c r="C781" s="33"/>
      <c r="D781" s="33"/>
      <c r="E781" s="33"/>
      <c r="F781" s="33"/>
    </row>
    <row r="782" ht="15.75" customHeight="1">
      <c r="C782" s="33"/>
      <c r="D782" s="33"/>
      <c r="E782" s="33"/>
      <c r="F782" s="33"/>
    </row>
    <row r="783" ht="15.75" customHeight="1">
      <c r="C783" s="33"/>
      <c r="D783" s="33"/>
      <c r="E783" s="33"/>
      <c r="F783" s="33"/>
    </row>
    <row r="784" ht="15.75" customHeight="1">
      <c r="C784" s="33"/>
      <c r="D784" s="33"/>
      <c r="E784" s="33"/>
      <c r="F784" s="33"/>
    </row>
    <row r="785" ht="15.75" customHeight="1">
      <c r="C785" s="33"/>
      <c r="D785" s="33"/>
      <c r="E785" s="33"/>
      <c r="F785" s="33"/>
    </row>
    <row r="786" ht="15.75" customHeight="1">
      <c r="C786" s="33"/>
      <c r="D786" s="33"/>
      <c r="E786" s="33"/>
      <c r="F786" s="33"/>
    </row>
    <row r="787" ht="15.75" customHeight="1">
      <c r="C787" s="33"/>
      <c r="D787" s="33"/>
      <c r="E787" s="33"/>
      <c r="F787" s="33"/>
    </row>
    <row r="788" ht="15.75" customHeight="1">
      <c r="C788" s="33"/>
      <c r="D788" s="33"/>
      <c r="E788" s="33"/>
      <c r="F788" s="33"/>
    </row>
    <row r="789" ht="15.75" customHeight="1">
      <c r="C789" s="33"/>
      <c r="D789" s="33"/>
      <c r="E789" s="33"/>
      <c r="F789" s="33"/>
    </row>
    <row r="790" ht="15.75" customHeight="1">
      <c r="C790" s="33"/>
      <c r="D790" s="33"/>
      <c r="E790" s="33"/>
      <c r="F790" s="33"/>
    </row>
    <row r="791" ht="15.75" customHeight="1">
      <c r="C791" s="33"/>
      <c r="D791" s="33"/>
      <c r="E791" s="33"/>
      <c r="F791" s="33"/>
    </row>
    <row r="792" ht="15.75" customHeight="1">
      <c r="C792" s="33"/>
      <c r="D792" s="33"/>
      <c r="E792" s="33"/>
      <c r="F792" s="33"/>
    </row>
    <row r="793" ht="15.75" customHeight="1">
      <c r="C793" s="33"/>
      <c r="D793" s="33"/>
      <c r="E793" s="33"/>
      <c r="F793" s="33"/>
    </row>
    <row r="794" ht="15.75" customHeight="1">
      <c r="C794" s="33"/>
      <c r="D794" s="33"/>
      <c r="E794" s="33"/>
      <c r="F794" s="33"/>
    </row>
    <row r="795" ht="15.75" customHeight="1">
      <c r="C795" s="33"/>
      <c r="D795" s="33"/>
      <c r="E795" s="33"/>
      <c r="F795" s="33"/>
    </row>
    <row r="796" ht="15.75" customHeight="1">
      <c r="C796" s="33"/>
      <c r="D796" s="33"/>
      <c r="E796" s="33"/>
      <c r="F796" s="33"/>
    </row>
    <row r="797" ht="15.75" customHeight="1">
      <c r="C797" s="33"/>
      <c r="D797" s="33"/>
      <c r="E797" s="33"/>
      <c r="F797" s="33"/>
    </row>
    <row r="798" ht="15.75" customHeight="1">
      <c r="C798" s="33"/>
      <c r="D798" s="33"/>
      <c r="E798" s="33"/>
      <c r="F798" s="33"/>
    </row>
    <row r="799" ht="15.75" customHeight="1">
      <c r="C799" s="33"/>
      <c r="D799" s="33"/>
      <c r="E799" s="33"/>
      <c r="F799" s="33"/>
    </row>
    <row r="800" ht="15.75" customHeight="1">
      <c r="C800" s="33"/>
      <c r="D800" s="33"/>
      <c r="E800" s="33"/>
      <c r="F800" s="33"/>
    </row>
    <row r="801" ht="15.75" customHeight="1">
      <c r="C801" s="33"/>
      <c r="D801" s="33"/>
      <c r="E801" s="33"/>
      <c r="F801" s="33"/>
    </row>
    <row r="802" ht="15.75" customHeight="1">
      <c r="C802" s="33"/>
      <c r="D802" s="33"/>
      <c r="E802" s="33"/>
      <c r="F802" s="33"/>
    </row>
    <row r="803" ht="15.75" customHeight="1">
      <c r="C803" s="33"/>
      <c r="D803" s="33"/>
      <c r="E803" s="33"/>
      <c r="F803" s="33"/>
    </row>
    <row r="804" ht="15.75" customHeight="1">
      <c r="C804" s="33"/>
      <c r="D804" s="33"/>
      <c r="E804" s="33"/>
      <c r="F804" s="33"/>
    </row>
    <row r="805" ht="15.75" customHeight="1">
      <c r="C805" s="33"/>
      <c r="D805" s="33"/>
      <c r="E805" s="33"/>
      <c r="F805" s="33"/>
    </row>
    <row r="806" ht="15.75" customHeight="1">
      <c r="C806" s="33"/>
      <c r="D806" s="33"/>
      <c r="E806" s="33"/>
      <c r="F806" s="33"/>
    </row>
    <row r="807" ht="15.75" customHeight="1">
      <c r="C807" s="33"/>
      <c r="D807" s="33"/>
      <c r="E807" s="33"/>
      <c r="F807" s="33"/>
    </row>
    <row r="808" ht="15.75" customHeight="1">
      <c r="C808" s="33"/>
      <c r="D808" s="33"/>
      <c r="E808" s="33"/>
      <c r="F808" s="33"/>
    </row>
    <row r="809" ht="15.75" customHeight="1">
      <c r="C809" s="33"/>
      <c r="D809" s="33"/>
      <c r="E809" s="33"/>
      <c r="F809" s="33"/>
    </row>
    <row r="810" ht="15.75" customHeight="1">
      <c r="C810" s="33"/>
      <c r="D810" s="33"/>
      <c r="E810" s="33"/>
      <c r="F810" s="33"/>
    </row>
    <row r="811" ht="15.75" customHeight="1">
      <c r="C811" s="33"/>
      <c r="D811" s="33"/>
      <c r="E811" s="33"/>
      <c r="F811" s="33"/>
    </row>
    <row r="812" ht="15.75" customHeight="1">
      <c r="C812" s="33"/>
      <c r="D812" s="33"/>
      <c r="E812" s="33"/>
      <c r="F812" s="33"/>
    </row>
    <row r="813" ht="15.75" customHeight="1">
      <c r="C813" s="33"/>
      <c r="D813" s="33"/>
      <c r="E813" s="33"/>
      <c r="F813" s="33"/>
    </row>
    <row r="814" ht="15.75" customHeight="1">
      <c r="C814" s="33"/>
      <c r="D814" s="33"/>
      <c r="E814" s="33"/>
      <c r="F814" s="33"/>
    </row>
    <row r="815" ht="15.75" customHeight="1">
      <c r="C815" s="33"/>
      <c r="D815" s="33"/>
      <c r="E815" s="33"/>
      <c r="F815" s="33"/>
    </row>
    <row r="816" ht="15.75" customHeight="1">
      <c r="C816" s="33"/>
      <c r="D816" s="33"/>
      <c r="E816" s="33"/>
      <c r="F816" s="33"/>
    </row>
    <row r="817" ht="15.75" customHeight="1">
      <c r="C817" s="33"/>
      <c r="D817" s="33"/>
      <c r="E817" s="33"/>
      <c r="F817" s="33"/>
    </row>
    <row r="818" ht="15.75" customHeight="1">
      <c r="C818" s="33"/>
      <c r="D818" s="33"/>
      <c r="E818" s="33"/>
      <c r="F818" s="33"/>
    </row>
    <row r="819" ht="15.75" customHeight="1">
      <c r="C819" s="33"/>
      <c r="D819" s="33"/>
      <c r="E819" s="33"/>
      <c r="F819" s="33"/>
    </row>
    <row r="820" ht="15.75" customHeight="1">
      <c r="C820" s="33"/>
      <c r="D820" s="33"/>
      <c r="E820" s="33"/>
      <c r="F820" s="33"/>
    </row>
    <row r="821" ht="15.75" customHeight="1">
      <c r="C821" s="33"/>
      <c r="D821" s="33"/>
      <c r="E821" s="33"/>
      <c r="F821" s="33"/>
    </row>
    <row r="822" ht="15.75" customHeight="1">
      <c r="C822" s="33"/>
      <c r="D822" s="33"/>
      <c r="E822" s="33"/>
      <c r="F822" s="33"/>
    </row>
    <row r="823" ht="15.75" customHeight="1">
      <c r="C823" s="33"/>
      <c r="D823" s="33"/>
      <c r="E823" s="33"/>
      <c r="F823" s="33"/>
    </row>
    <row r="824" ht="15.75" customHeight="1">
      <c r="C824" s="33"/>
      <c r="D824" s="33"/>
      <c r="E824" s="33"/>
      <c r="F824" s="33"/>
    </row>
    <row r="825" ht="15.75" customHeight="1">
      <c r="C825" s="33"/>
      <c r="D825" s="33"/>
      <c r="E825" s="33"/>
      <c r="F825" s="33"/>
    </row>
    <row r="826" ht="15.75" customHeight="1">
      <c r="C826" s="33"/>
      <c r="D826" s="33"/>
      <c r="E826" s="33"/>
      <c r="F826" s="33"/>
    </row>
    <row r="827" ht="15.75" customHeight="1">
      <c r="C827" s="33"/>
      <c r="D827" s="33"/>
      <c r="E827" s="33"/>
      <c r="F827" s="33"/>
    </row>
    <row r="828" ht="15.75" customHeight="1">
      <c r="C828" s="33"/>
      <c r="D828" s="33"/>
      <c r="E828" s="33"/>
      <c r="F828" s="33"/>
    </row>
    <row r="829" ht="15.75" customHeight="1">
      <c r="C829" s="33"/>
      <c r="D829" s="33"/>
      <c r="E829" s="33"/>
      <c r="F829" s="33"/>
    </row>
    <row r="830" ht="15.75" customHeight="1">
      <c r="C830" s="33"/>
      <c r="D830" s="33"/>
      <c r="E830" s="33"/>
      <c r="F830" s="33"/>
    </row>
    <row r="831" ht="15.75" customHeight="1">
      <c r="C831" s="33"/>
      <c r="D831" s="33"/>
      <c r="E831" s="33"/>
      <c r="F831" s="33"/>
    </row>
    <row r="832" ht="15.75" customHeight="1">
      <c r="C832" s="33"/>
      <c r="D832" s="33"/>
      <c r="E832" s="33"/>
      <c r="F832" s="33"/>
    </row>
    <row r="833" ht="15.75" customHeight="1">
      <c r="C833" s="33"/>
      <c r="D833" s="33"/>
      <c r="E833" s="33"/>
      <c r="F833" s="33"/>
    </row>
    <row r="834" ht="15.75" customHeight="1">
      <c r="C834" s="33"/>
      <c r="D834" s="33"/>
      <c r="E834" s="33"/>
      <c r="F834" s="33"/>
    </row>
    <row r="835" ht="15.75" customHeight="1">
      <c r="C835" s="33"/>
      <c r="D835" s="33"/>
      <c r="E835" s="33"/>
      <c r="F835" s="33"/>
    </row>
    <row r="836" ht="15.75" customHeight="1">
      <c r="C836" s="33"/>
      <c r="D836" s="33"/>
      <c r="E836" s="33"/>
      <c r="F836" s="33"/>
    </row>
    <row r="837" ht="15.75" customHeight="1">
      <c r="C837" s="33"/>
      <c r="D837" s="33"/>
      <c r="E837" s="33"/>
      <c r="F837" s="33"/>
    </row>
    <row r="838" ht="15.75" customHeight="1">
      <c r="C838" s="33"/>
      <c r="D838" s="33"/>
      <c r="E838" s="33"/>
      <c r="F838" s="33"/>
    </row>
    <row r="839" ht="15.75" customHeight="1">
      <c r="C839" s="33"/>
      <c r="D839" s="33"/>
      <c r="E839" s="33"/>
      <c r="F839" s="33"/>
    </row>
    <row r="840" ht="15.75" customHeight="1">
      <c r="C840" s="33"/>
      <c r="D840" s="33"/>
      <c r="E840" s="33"/>
      <c r="F840" s="33"/>
    </row>
    <row r="841" ht="15.75" customHeight="1">
      <c r="C841" s="33"/>
      <c r="D841" s="33"/>
      <c r="E841" s="33"/>
      <c r="F841" s="33"/>
    </row>
    <row r="842" ht="15.75" customHeight="1">
      <c r="C842" s="33"/>
      <c r="D842" s="33"/>
      <c r="E842" s="33"/>
      <c r="F842" s="33"/>
    </row>
    <row r="843" ht="15.75" customHeight="1">
      <c r="C843" s="33"/>
      <c r="D843" s="33"/>
      <c r="E843" s="33"/>
      <c r="F843" s="33"/>
    </row>
    <row r="844" ht="15.75" customHeight="1">
      <c r="C844" s="33"/>
      <c r="D844" s="33"/>
      <c r="E844" s="33"/>
      <c r="F844" s="33"/>
    </row>
    <row r="845" ht="15.75" customHeight="1">
      <c r="C845" s="33"/>
      <c r="D845" s="33"/>
      <c r="E845" s="33"/>
      <c r="F845" s="33"/>
    </row>
    <row r="846" ht="15.75" customHeight="1">
      <c r="C846" s="33"/>
      <c r="D846" s="33"/>
      <c r="E846" s="33"/>
      <c r="F846" s="33"/>
    </row>
    <row r="847" ht="15.75" customHeight="1">
      <c r="C847" s="33"/>
      <c r="D847" s="33"/>
      <c r="E847" s="33"/>
      <c r="F847" s="33"/>
    </row>
    <row r="848" ht="15.75" customHeight="1">
      <c r="C848" s="33"/>
      <c r="D848" s="33"/>
      <c r="E848" s="33"/>
      <c r="F848" s="33"/>
    </row>
    <row r="849" ht="15.75" customHeight="1">
      <c r="C849" s="33"/>
      <c r="D849" s="33"/>
      <c r="E849" s="33"/>
      <c r="F849" s="33"/>
    </row>
    <row r="850" ht="15.75" customHeight="1">
      <c r="C850" s="33"/>
      <c r="D850" s="33"/>
      <c r="E850" s="33"/>
      <c r="F850" s="33"/>
    </row>
    <row r="851" ht="15.75" customHeight="1">
      <c r="C851" s="33"/>
      <c r="D851" s="33"/>
      <c r="E851" s="33"/>
      <c r="F851" s="33"/>
    </row>
    <row r="852" ht="15.75" customHeight="1">
      <c r="C852" s="33"/>
      <c r="D852" s="33"/>
      <c r="E852" s="33"/>
      <c r="F852" s="33"/>
    </row>
    <row r="853" ht="15.75" customHeight="1">
      <c r="C853" s="33"/>
      <c r="D853" s="33"/>
      <c r="E853" s="33"/>
      <c r="F853" s="33"/>
    </row>
    <row r="854" ht="15.75" customHeight="1">
      <c r="C854" s="33"/>
      <c r="D854" s="33"/>
      <c r="E854" s="33"/>
      <c r="F854" s="33"/>
    </row>
    <row r="855" ht="15.75" customHeight="1">
      <c r="C855" s="33"/>
      <c r="D855" s="33"/>
      <c r="E855" s="33"/>
      <c r="F855" s="33"/>
    </row>
    <row r="856" ht="15.75" customHeight="1">
      <c r="C856" s="33"/>
      <c r="D856" s="33"/>
      <c r="E856" s="33"/>
      <c r="F856" s="33"/>
    </row>
    <row r="857" ht="15.75" customHeight="1">
      <c r="C857" s="33"/>
      <c r="D857" s="33"/>
      <c r="E857" s="33"/>
      <c r="F857" s="33"/>
    </row>
    <row r="858" ht="15.75" customHeight="1">
      <c r="C858" s="33"/>
      <c r="D858" s="33"/>
      <c r="E858" s="33"/>
      <c r="F858" s="33"/>
    </row>
    <row r="859" ht="15.75" customHeight="1">
      <c r="C859" s="33"/>
      <c r="D859" s="33"/>
      <c r="E859" s="33"/>
      <c r="F859" s="33"/>
    </row>
    <row r="860" ht="15.75" customHeight="1">
      <c r="C860" s="33"/>
      <c r="D860" s="33"/>
      <c r="E860" s="33"/>
      <c r="F860" s="33"/>
    </row>
    <row r="861" ht="15.75" customHeight="1">
      <c r="C861" s="33"/>
      <c r="D861" s="33"/>
      <c r="E861" s="33"/>
      <c r="F861" s="33"/>
    </row>
    <row r="862" ht="15.75" customHeight="1">
      <c r="C862" s="33"/>
      <c r="D862" s="33"/>
      <c r="E862" s="33"/>
      <c r="F862" s="33"/>
    </row>
    <row r="863" ht="15.75" customHeight="1">
      <c r="C863" s="33"/>
      <c r="D863" s="33"/>
      <c r="E863" s="33"/>
      <c r="F863" s="33"/>
    </row>
    <row r="864" ht="15.75" customHeight="1">
      <c r="C864" s="33"/>
      <c r="D864" s="33"/>
      <c r="E864" s="33"/>
      <c r="F864" s="33"/>
    </row>
    <row r="865" ht="15.75" customHeight="1">
      <c r="C865" s="33"/>
      <c r="D865" s="33"/>
      <c r="E865" s="33"/>
      <c r="F865" s="33"/>
    </row>
    <row r="866" ht="15.75" customHeight="1">
      <c r="C866" s="33"/>
      <c r="D866" s="33"/>
      <c r="E866" s="33"/>
      <c r="F866" s="33"/>
    </row>
    <row r="867" ht="15.75" customHeight="1">
      <c r="C867" s="33"/>
      <c r="D867" s="33"/>
      <c r="E867" s="33"/>
      <c r="F867" s="33"/>
    </row>
    <row r="868" ht="15.75" customHeight="1">
      <c r="C868" s="33"/>
      <c r="D868" s="33"/>
      <c r="E868" s="33"/>
      <c r="F868" s="33"/>
    </row>
    <row r="869" ht="15.75" customHeight="1">
      <c r="C869" s="33"/>
      <c r="D869" s="33"/>
      <c r="E869" s="33"/>
      <c r="F869" s="33"/>
    </row>
    <row r="870" ht="15.75" customHeight="1">
      <c r="C870" s="33"/>
      <c r="D870" s="33"/>
      <c r="E870" s="33"/>
      <c r="F870" s="33"/>
    </row>
    <row r="871" ht="15.75" customHeight="1">
      <c r="C871" s="33"/>
      <c r="D871" s="33"/>
      <c r="E871" s="33"/>
      <c r="F871" s="33"/>
    </row>
    <row r="872" ht="15.75" customHeight="1">
      <c r="C872" s="33"/>
      <c r="D872" s="33"/>
      <c r="E872" s="33"/>
      <c r="F872" s="33"/>
    </row>
    <row r="873" ht="15.75" customHeight="1">
      <c r="C873" s="33"/>
      <c r="D873" s="33"/>
      <c r="E873" s="33"/>
      <c r="F873" s="33"/>
    </row>
    <row r="874" ht="15.75" customHeight="1">
      <c r="C874" s="33"/>
      <c r="D874" s="33"/>
      <c r="E874" s="33"/>
      <c r="F874" s="33"/>
    </row>
    <row r="875" ht="15.75" customHeight="1">
      <c r="C875" s="33"/>
      <c r="D875" s="33"/>
      <c r="E875" s="33"/>
      <c r="F875" s="33"/>
    </row>
    <row r="876" ht="15.75" customHeight="1">
      <c r="C876" s="33"/>
      <c r="D876" s="33"/>
      <c r="E876" s="33"/>
      <c r="F876" s="33"/>
    </row>
    <row r="877" ht="15.75" customHeight="1">
      <c r="C877" s="33"/>
      <c r="D877" s="33"/>
      <c r="E877" s="33"/>
      <c r="F877" s="33"/>
    </row>
    <row r="878" ht="15.75" customHeight="1">
      <c r="C878" s="33"/>
      <c r="D878" s="33"/>
      <c r="E878" s="33"/>
      <c r="F878" s="33"/>
    </row>
    <row r="879" ht="15.75" customHeight="1">
      <c r="C879" s="33"/>
      <c r="D879" s="33"/>
      <c r="E879" s="33"/>
      <c r="F879" s="33"/>
    </row>
    <row r="880" ht="15.75" customHeight="1">
      <c r="C880" s="33"/>
      <c r="D880" s="33"/>
      <c r="E880" s="33"/>
      <c r="F880" s="33"/>
    </row>
    <row r="881" ht="15.75" customHeight="1">
      <c r="C881" s="33"/>
      <c r="D881" s="33"/>
      <c r="E881" s="33"/>
      <c r="F881" s="33"/>
    </row>
    <row r="882" ht="15.75" customHeight="1">
      <c r="C882" s="33"/>
      <c r="D882" s="33"/>
      <c r="E882" s="33"/>
      <c r="F882" s="33"/>
    </row>
    <row r="883" ht="15.75" customHeight="1">
      <c r="C883" s="33"/>
      <c r="D883" s="33"/>
      <c r="E883" s="33"/>
      <c r="F883" s="33"/>
    </row>
    <row r="884" ht="15.75" customHeight="1">
      <c r="C884" s="33"/>
      <c r="D884" s="33"/>
      <c r="E884" s="33"/>
      <c r="F884" s="33"/>
    </row>
    <row r="885" ht="15.75" customHeight="1">
      <c r="C885" s="33"/>
      <c r="D885" s="33"/>
      <c r="E885" s="33"/>
      <c r="F885" s="33"/>
    </row>
    <row r="886" ht="15.75" customHeight="1">
      <c r="C886" s="33"/>
      <c r="D886" s="33"/>
      <c r="E886" s="33"/>
      <c r="F886" s="33"/>
    </row>
    <row r="887" ht="15.75" customHeight="1">
      <c r="C887" s="33"/>
      <c r="D887" s="33"/>
      <c r="E887" s="33"/>
      <c r="F887" s="33"/>
    </row>
    <row r="888" ht="15.75" customHeight="1">
      <c r="C888" s="33"/>
      <c r="D888" s="33"/>
      <c r="E888" s="33"/>
      <c r="F888" s="33"/>
    </row>
    <row r="889" ht="15.75" customHeight="1">
      <c r="C889" s="33"/>
      <c r="D889" s="33"/>
      <c r="E889" s="33"/>
      <c r="F889" s="33"/>
    </row>
    <row r="890" ht="15.75" customHeight="1">
      <c r="C890" s="33"/>
      <c r="D890" s="33"/>
      <c r="E890" s="33"/>
      <c r="F890" s="33"/>
    </row>
    <row r="891" ht="15.75" customHeight="1">
      <c r="C891" s="33"/>
      <c r="D891" s="33"/>
      <c r="E891" s="33"/>
      <c r="F891" s="33"/>
    </row>
    <row r="892" ht="15.75" customHeight="1">
      <c r="C892" s="33"/>
      <c r="D892" s="33"/>
      <c r="E892" s="33"/>
      <c r="F892" s="33"/>
    </row>
    <row r="893" ht="15.75" customHeight="1">
      <c r="C893" s="33"/>
      <c r="D893" s="33"/>
      <c r="E893" s="33"/>
      <c r="F893" s="33"/>
    </row>
    <row r="894" ht="15.75" customHeight="1">
      <c r="C894" s="33"/>
      <c r="D894" s="33"/>
      <c r="E894" s="33"/>
      <c r="F894" s="33"/>
    </row>
    <row r="895" ht="15.75" customHeight="1">
      <c r="C895" s="33"/>
      <c r="D895" s="33"/>
      <c r="E895" s="33"/>
      <c r="F895" s="33"/>
    </row>
    <row r="896" ht="15.75" customHeight="1">
      <c r="C896" s="33"/>
      <c r="D896" s="33"/>
      <c r="E896" s="33"/>
      <c r="F896" s="33"/>
    </row>
    <row r="897" ht="15.75" customHeight="1">
      <c r="C897" s="33"/>
      <c r="D897" s="33"/>
      <c r="E897" s="33"/>
      <c r="F897" s="33"/>
    </row>
    <row r="898" ht="15.75" customHeight="1">
      <c r="C898" s="33"/>
      <c r="D898" s="33"/>
      <c r="E898" s="33"/>
      <c r="F898" s="33"/>
    </row>
    <row r="899" ht="15.75" customHeight="1">
      <c r="C899" s="33"/>
      <c r="D899" s="33"/>
      <c r="E899" s="33"/>
      <c r="F899" s="33"/>
    </row>
    <row r="900" ht="15.75" customHeight="1">
      <c r="C900" s="33"/>
      <c r="D900" s="33"/>
      <c r="E900" s="33"/>
      <c r="F900" s="33"/>
    </row>
    <row r="901" ht="15.75" customHeight="1">
      <c r="C901" s="33"/>
      <c r="D901" s="33"/>
      <c r="E901" s="33"/>
      <c r="F901" s="33"/>
    </row>
    <row r="902" ht="15.75" customHeight="1">
      <c r="C902" s="33"/>
      <c r="D902" s="33"/>
      <c r="E902" s="33"/>
      <c r="F902" s="33"/>
    </row>
    <row r="903" ht="15.75" customHeight="1">
      <c r="C903" s="33"/>
      <c r="D903" s="33"/>
      <c r="E903" s="33"/>
      <c r="F903" s="33"/>
    </row>
    <row r="904" ht="15.75" customHeight="1">
      <c r="C904" s="33"/>
      <c r="D904" s="33"/>
      <c r="E904" s="33"/>
      <c r="F904" s="33"/>
    </row>
    <row r="905" ht="15.75" customHeight="1">
      <c r="C905" s="33"/>
      <c r="D905" s="33"/>
      <c r="E905" s="33"/>
      <c r="F905" s="33"/>
    </row>
    <row r="906" ht="15.75" customHeight="1">
      <c r="C906" s="33"/>
      <c r="D906" s="33"/>
      <c r="E906" s="33"/>
      <c r="F906" s="33"/>
    </row>
    <row r="907" ht="15.75" customHeight="1">
      <c r="C907" s="33"/>
      <c r="D907" s="33"/>
      <c r="E907" s="33"/>
      <c r="F907" s="33"/>
    </row>
    <row r="908" ht="15.75" customHeight="1">
      <c r="C908" s="33"/>
      <c r="D908" s="33"/>
      <c r="E908" s="33"/>
      <c r="F908" s="33"/>
    </row>
    <row r="909" ht="15.75" customHeight="1">
      <c r="C909" s="33"/>
      <c r="D909" s="33"/>
      <c r="E909" s="33"/>
      <c r="F909" s="33"/>
    </row>
    <row r="910" ht="15.75" customHeight="1">
      <c r="C910" s="33"/>
      <c r="D910" s="33"/>
      <c r="E910" s="33"/>
      <c r="F910" s="33"/>
    </row>
    <row r="911" ht="15.75" customHeight="1">
      <c r="C911" s="33"/>
      <c r="D911" s="33"/>
      <c r="E911" s="33"/>
      <c r="F911" s="33"/>
    </row>
    <row r="912" ht="15.75" customHeight="1">
      <c r="C912" s="33"/>
      <c r="D912" s="33"/>
      <c r="E912" s="33"/>
      <c r="F912" s="33"/>
    </row>
    <row r="913" ht="15.75" customHeight="1">
      <c r="C913" s="33"/>
      <c r="D913" s="33"/>
      <c r="E913" s="33"/>
      <c r="F913" s="33"/>
    </row>
    <row r="914" ht="15.75" customHeight="1">
      <c r="C914" s="33"/>
      <c r="D914" s="33"/>
      <c r="E914" s="33"/>
      <c r="F914" s="33"/>
    </row>
    <row r="915" ht="15.75" customHeight="1">
      <c r="C915" s="33"/>
      <c r="D915" s="33"/>
      <c r="E915" s="33"/>
      <c r="F915" s="33"/>
    </row>
    <row r="916" ht="15.75" customHeight="1">
      <c r="C916" s="33"/>
      <c r="D916" s="33"/>
      <c r="E916" s="33"/>
      <c r="F916" s="33"/>
    </row>
    <row r="917" ht="15.75" customHeight="1">
      <c r="C917" s="33"/>
      <c r="D917" s="33"/>
      <c r="E917" s="33"/>
      <c r="F917" s="33"/>
    </row>
    <row r="918" ht="15.75" customHeight="1">
      <c r="C918" s="33"/>
      <c r="D918" s="33"/>
      <c r="E918" s="33"/>
      <c r="F918" s="33"/>
    </row>
    <row r="919" ht="15.75" customHeight="1">
      <c r="C919" s="33"/>
      <c r="D919" s="33"/>
      <c r="E919" s="33"/>
      <c r="F919" s="33"/>
    </row>
    <row r="920" ht="15.75" customHeight="1">
      <c r="C920" s="33"/>
      <c r="D920" s="33"/>
      <c r="E920" s="33"/>
      <c r="F920" s="33"/>
    </row>
    <row r="921" ht="15.75" customHeight="1">
      <c r="C921" s="33"/>
      <c r="D921" s="33"/>
      <c r="E921" s="33"/>
      <c r="F921" s="33"/>
    </row>
    <row r="922" ht="15.75" customHeight="1">
      <c r="C922" s="33"/>
      <c r="D922" s="33"/>
      <c r="E922" s="33"/>
      <c r="F922" s="33"/>
    </row>
    <row r="923" ht="15.75" customHeight="1">
      <c r="C923" s="33"/>
      <c r="D923" s="33"/>
      <c r="E923" s="33"/>
      <c r="F923" s="33"/>
    </row>
    <row r="924" ht="15.75" customHeight="1">
      <c r="C924" s="33"/>
      <c r="D924" s="33"/>
      <c r="E924" s="33"/>
      <c r="F924" s="33"/>
    </row>
    <row r="925" ht="15.75" customHeight="1">
      <c r="C925" s="33"/>
      <c r="D925" s="33"/>
      <c r="E925" s="33"/>
      <c r="F925" s="33"/>
    </row>
    <row r="926" ht="15.75" customHeight="1">
      <c r="C926" s="33"/>
      <c r="D926" s="33"/>
      <c r="E926" s="33"/>
      <c r="F926" s="33"/>
    </row>
    <row r="927" ht="15.75" customHeight="1">
      <c r="C927" s="33"/>
      <c r="D927" s="33"/>
      <c r="E927" s="33"/>
      <c r="F927" s="33"/>
    </row>
    <row r="928" ht="15.75" customHeight="1">
      <c r="C928" s="33"/>
      <c r="D928" s="33"/>
      <c r="E928" s="33"/>
      <c r="F928" s="33"/>
    </row>
    <row r="929" ht="15.75" customHeight="1">
      <c r="C929" s="33"/>
      <c r="D929" s="33"/>
      <c r="E929" s="33"/>
      <c r="F929" s="33"/>
    </row>
    <row r="930" ht="15.75" customHeight="1">
      <c r="C930" s="33"/>
      <c r="D930" s="33"/>
      <c r="E930" s="33"/>
      <c r="F930" s="33"/>
    </row>
    <row r="931" ht="15.75" customHeight="1">
      <c r="C931" s="33"/>
      <c r="D931" s="33"/>
      <c r="E931" s="33"/>
      <c r="F931" s="33"/>
    </row>
    <row r="932" ht="15.75" customHeight="1">
      <c r="C932" s="33"/>
      <c r="D932" s="33"/>
      <c r="E932" s="33"/>
      <c r="F932" s="33"/>
    </row>
    <row r="933" ht="15.75" customHeight="1">
      <c r="C933" s="33"/>
      <c r="D933" s="33"/>
      <c r="E933" s="33"/>
      <c r="F933" s="33"/>
    </row>
    <row r="934" ht="15.75" customHeight="1">
      <c r="C934" s="33"/>
      <c r="D934" s="33"/>
      <c r="E934" s="33"/>
      <c r="F934" s="33"/>
    </row>
    <row r="935" ht="15.75" customHeight="1">
      <c r="C935" s="33"/>
      <c r="D935" s="33"/>
      <c r="E935" s="33"/>
      <c r="F935" s="33"/>
    </row>
    <row r="936" ht="15.75" customHeight="1">
      <c r="C936" s="33"/>
      <c r="D936" s="33"/>
      <c r="E936" s="33"/>
      <c r="F936" s="33"/>
    </row>
    <row r="937" ht="15.75" customHeight="1">
      <c r="C937" s="33"/>
      <c r="D937" s="33"/>
      <c r="E937" s="33"/>
      <c r="F937" s="33"/>
    </row>
    <row r="938" ht="15.75" customHeight="1">
      <c r="C938" s="33"/>
      <c r="D938" s="33"/>
      <c r="E938" s="33"/>
      <c r="F938" s="33"/>
    </row>
    <row r="939" ht="15.75" customHeight="1">
      <c r="C939" s="33"/>
      <c r="D939" s="33"/>
      <c r="E939" s="33"/>
      <c r="F939" s="33"/>
    </row>
    <row r="940" ht="15.75" customHeight="1">
      <c r="C940" s="33"/>
      <c r="D940" s="33"/>
      <c r="E940" s="33"/>
      <c r="F940" s="33"/>
    </row>
    <row r="941" ht="15.75" customHeight="1">
      <c r="C941" s="33"/>
      <c r="D941" s="33"/>
      <c r="E941" s="33"/>
      <c r="F941" s="33"/>
    </row>
    <row r="942" ht="15.75" customHeight="1">
      <c r="C942" s="33"/>
      <c r="D942" s="33"/>
      <c r="E942" s="33"/>
      <c r="F942" s="33"/>
    </row>
    <row r="943" ht="15.75" customHeight="1">
      <c r="C943" s="33"/>
      <c r="D943" s="33"/>
      <c r="E943" s="33"/>
      <c r="F943" s="33"/>
    </row>
    <row r="944" ht="15.75" customHeight="1">
      <c r="C944" s="33"/>
      <c r="D944" s="33"/>
      <c r="E944" s="33"/>
      <c r="F944" s="33"/>
    </row>
    <row r="945" ht="15.75" customHeight="1">
      <c r="C945" s="33"/>
      <c r="D945" s="33"/>
      <c r="E945" s="33"/>
      <c r="F945" s="33"/>
    </row>
    <row r="946" ht="15.75" customHeight="1">
      <c r="C946" s="33"/>
      <c r="D946" s="33"/>
      <c r="E946" s="33"/>
      <c r="F946" s="33"/>
    </row>
    <row r="947" ht="15.75" customHeight="1">
      <c r="C947" s="33"/>
      <c r="D947" s="33"/>
      <c r="E947" s="33"/>
      <c r="F947" s="33"/>
    </row>
    <row r="948" ht="15.75" customHeight="1">
      <c r="C948" s="33"/>
      <c r="D948" s="33"/>
      <c r="E948" s="33"/>
      <c r="F948" s="33"/>
    </row>
    <row r="949" ht="15.75" customHeight="1">
      <c r="C949" s="33"/>
      <c r="D949" s="33"/>
      <c r="E949" s="33"/>
      <c r="F949" s="33"/>
    </row>
    <row r="950" ht="15.75" customHeight="1">
      <c r="C950" s="33"/>
      <c r="D950" s="33"/>
      <c r="E950" s="33"/>
      <c r="F950" s="33"/>
    </row>
    <row r="951" ht="15.75" customHeight="1">
      <c r="C951" s="33"/>
      <c r="D951" s="33"/>
      <c r="E951" s="33"/>
      <c r="F951" s="33"/>
    </row>
    <row r="952" ht="15.75" customHeight="1">
      <c r="C952" s="33"/>
      <c r="D952" s="33"/>
      <c r="E952" s="33"/>
      <c r="F952" s="33"/>
    </row>
    <row r="953" ht="15.75" customHeight="1">
      <c r="C953" s="33"/>
      <c r="D953" s="33"/>
      <c r="E953" s="33"/>
      <c r="F953" s="33"/>
    </row>
    <row r="954" ht="15.75" customHeight="1">
      <c r="C954" s="33"/>
      <c r="D954" s="33"/>
      <c r="E954" s="33"/>
      <c r="F954" s="33"/>
    </row>
    <row r="955" ht="15.75" customHeight="1">
      <c r="C955" s="33"/>
      <c r="D955" s="33"/>
      <c r="E955" s="33"/>
      <c r="F955" s="33"/>
    </row>
    <row r="956" ht="15.75" customHeight="1">
      <c r="C956" s="33"/>
      <c r="D956" s="33"/>
      <c r="E956" s="33"/>
      <c r="F956" s="33"/>
    </row>
    <row r="957" ht="15.75" customHeight="1">
      <c r="C957" s="33"/>
      <c r="D957" s="33"/>
      <c r="E957" s="33"/>
      <c r="F957" s="33"/>
    </row>
    <row r="958" ht="15.75" customHeight="1">
      <c r="C958" s="33"/>
      <c r="D958" s="33"/>
      <c r="E958" s="33"/>
      <c r="F958" s="33"/>
    </row>
    <row r="959" ht="15.75" customHeight="1">
      <c r="C959" s="33"/>
      <c r="D959" s="33"/>
      <c r="E959" s="33"/>
      <c r="F959" s="33"/>
    </row>
    <row r="960" ht="15.75" customHeight="1">
      <c r="C960" s="33"/>
      <c r="D960" s="33"/>
      <c r="E960" s="33"/>
      <c r="F960" s="33"/>
    </row>
    <row r="961" ht="15.75" customHeight="1">
      <c r="C961" s="33"/>
      <c r="D961" s="33"/>
      <c r="E961" s="33"/>
      <c r="F961" s="33"/>
    </row>
    <row r="962" ht="15.75" customHeight="1">
      <c r="C962" s="33"/>
      <c r="D962" s="33"/>
      <c r="E962" s="33"/>
      <c r="F962" s="33"/>
    </row>
    <row r="963" ht="15.75" customHeight="1">
      <c r="C963" s="33"/>
      <c r="D963" s="33"/>
      <c r="E963" s="33"/>
      <c r="F963" s="33"/>
    </row>
    <row r="964" ht="15.75" customHeight="1">
      <c r="C964" s="33"/>
      <c r="D964" s="33"/>
      <c r="E964" s="33"/>
      <c r="F964" s="33"/>
    </row>
    <row r="965" ht="15.75" customHeight="1">
      <c r="C965" s="33"/>
      <c r="D965" s="33"/>
      <c r="E965" s="33"/>
      <c r="F965" s="33"/>
    </row>
    <row r="966" ht="15.75" customHeight="1">
      <c r="C966" s="33"/>
      <c r="D966" s="33"/>
      <c r="E966" s="33"/>
      <c r="F966" s="33"/>
    </row>
    <row r="967" ht="15.75" customHeight="1">
      <c r="C967" s="33"/>
      <c r="D967" s="33"/>
      <c r="E967" s="33"/>
      <c r="F967" s="33"/>
    </row>
    <row r="968" ht="15.75" customHeight="1">
      <c r="C968" s="33"/>
      <c r="D968" s="33"/>
      <c r="E968" s="33"/>
      <c r="F968" s="33"/>
    </row>
    <row r="969" ht="15.75" customHeight="1">
      <c r="C969" s="33"/>
      <c r="D969" s="33"/>
      <c r="E969" s="33"/>
      <c r="F969" s="33"/>
    </row>
    <row r="970" ht="15.75" customHeight="1">
      <c r="C970" s="33"/>
      <c r="D970" s="33"/>
      <c r="E970" s="33"/>
      <c r="F970" s="33"/>
    </row>
    <row r="971" ht="15.75" customHeight="1">
      <c r="C971" s="33"/>
      <c r="D971" s="33"/>
      <c r="E971" s="33"/>
      <c r="F971" s="33"/>
    </row>
    <row r="972" ht="15.75" customHeight="1">
      <c r="C972" s="33"/>
      <c r="D972" s="33"/>
      <c r="E972" s="33"/>
      <c r="F972" s="33"/>
    </row>
    <row r="973" ht="15.75" customHeight="1">
      <c r="C973" s="33"/>
      <c r="D973" s="33"/>
      <c r="E973" s="33"/>
      <c r="F973" s="33"/>
    </row>
    <row r="974" ht="15.75" customHeight="1">
      <c r="C974" s="33"/>
      <c r="D974" s="33"/>
      <c r="E974" s="33"/>
      <c r="F974" s="33"/>
    </row>
    <row r="975" ht="15.75" customHeight="1">
      <c r="C975" s="33"/>
      <c r="D975" s="33"/>
      <c r="E975" s="33"/>
      <c r="F975" s="33"/>
    </row>
    <row r="976" ht="15.75" customHeight="1">
      <c r="C976" s="33"/>
      <c r="D976" s="33"/>
      <c r="E976" s="33"/>
      <c r="F976" s="33"/>
    </row>
    <row r="977" ht="15.75" customHeight="1">
      <c r="C977" s="33"/>
      <c r="D977" s="33"/>
      <c r="E977" s="33"/>
      <c r="F977" s="33"/>
    </row>
    <row r="978" ht="15.75" customHeight="1">
      <c r="C978" s="33"/>
      <c r="D978" s="33"/>
      <c r="E978" s="33"/>
      <c r="F978" s="33"/>
    </row>
    <row r="979" ht="15.75" customHeight="1">
      <c r="C979" s="33"/>
      <c r="D979" s="33"/>
      <c r="E979" s="33"/>
      <c r="F979" s="33"/>
    </row>
    <row r="980" ht="15.75" customHeight="1">
      <c r="C980" s="33"/>
      <c r="D980" s="33"/>
      <c r="E980" s="33"/>
      <c r="F980" s="33"/>
    </row>
    <row r="981" ht="15.75" customHeight="1">
      <c r="C981" s="33"/>
      <c r="D981" s="33"/>
      <c r="E981" s="33"/>
      <c r="F981" s="33"/>
    </row>
    <row r="982" ht="15.75" customHeight="1">
      <c r="C982" s="33"/>
      <c r="D982" s="33"/>
      <c r="E982" s="33"/>
      <c r="F982" s="33"/>
    </row>
    <row r="983" ht="15.75" customHeight="1">
      <c r="C983" s="33"/>
      <c r="D983" s="33"/>
      <c r="E983" s="33"/>
      <c r="F983" s="33"/>
    </row>
    <row r="984" ht="15.75" customHeight="1">
      <c r="C984" s="33"/>
      <c r="D984" s="33"/>
      <c r="E984" s="33"/>
      <c r="F984" s="33"/>
    </row>
    <row r="985" ht="15.75" customHeight="1">
      <c r="C985" s="33"/>
      <c r="D985" s="33"/>
      <c r="E985" s="33"/>
      <c r="F985" s="33"/>
    </row>
    <row r="986" ht="15.75" customHeight="1">
      <c r="C986" s="33"/>
      <c r="D986" s="33"/>
      <c r="E986" s="33"/>
      <c r="F986" s="33"/>
    </row>
    <row r="987" ht="15.75" customHeight="1">
      <c r="C987" s="33"/>
      <c r="D987" s="33"/>
      <c r="E987" s="33"/>
      <c r="F987" s="33"/>
    </row>
    <row r="988" ht="15.75" customHeight="1">
      <c r="C988" s="33"/>
      <c r="D988" s="33"/>
      <c r="E988" s="33"/>
      <c r="F988" s="33"/>
    </row>
    <row r="989" ht="15.75" customHeight="1">
      <c r="C989" s="33"/>
      <c r="D989" s="33"/>
      <c r="E989" s="33"/>
      <c r="F989" s="33"/>
    </row>
    <row r="990" ht="15.75" customHeight="1">
      <c r="C990" s="33"/>
      <c r="D990" s="33"/>
      <c r="E990" s="33"/>
      <c r="F990" s="33"/>
    </row>
    <row r="991" ht="15.75" customHeight="1">
      <c r="C991" s="33"/>
      <c r="D991" s="33"/>
      <c r="E991" s="33"/>
      <c r="F991" s="33"/>
    </row>
    <row r="992" ht="15.75" customHeight="1">
      <c r="C992" s="33"/>
      <c r="D992" s="33"/>
      <c r="E992" s="33"/>
      <c r="F992" s="33"/>
    </row>
    <row r="993" ht="15.75" customHeight="1">
      <c r="C993" s="33"/>
      <c r="D993" s="33"/>
      <c r="E993" s="33"/>
      <c r="F993" s="33"/>
    </row>
    <row r="994" ht="15.75" customHeight="1">
      <c r="C994" s="33"/>
      <c r="D994" s="33"/>
      <c r="E994" s="33"/>
      <c r="F994" s="33"/>
    </row>
    <row r="995" ht="15.75" customHeight="1">
      <c r="C995" s="33"/>
      <c r="D995" s="33"/>
      <c r="E995" s="33"/>
      <c r="F995" s="33"/>
    </row>
    <row r="996" ht="15.75" customHeight="1">
      <c r="C996" s="33"/>
      <c r="D996" s="33"/>
      <c r="E996" s="33"/>
      <c r="F996" s="33"/>
    </row>
    <row r="997" ht="15.75" customHeight="1">
      <c r="C997" s="33"/>
      <c r="D997" s="33"/>
      <c r="E997" s="33"/>
      <c r="F997" s="33"/>
    </row>
    <row r="998" ht="15.75" customHeight="1">
      <c r="C998" s="33"/>
      <c r="D998" s="33"/>
      <c r="E998" s="33"/>
      <c r="F998" s="33"/>
    </row>
    <row r="999" ht="15.75" customHeight="1">
      <c r="C999" s="33"/>
      <c r="D999" s="33"/>
      <c r="E999" s="33"/>
      <c r="F999" s="33"/>
    </row>
    <row r="1000" ht="15.75" customHeight="1">
      <c r="C1000" s="33"/>
      <c r="D1000" s="33"/>
      <c r="E1000" s="33"/>
      <c r="F1000" s="33"/>
    </row>
    <row r="1001" ht="15.75" customHeight="1">
      <c r="C1001" s="33"/>
      <c r="D1001" s="33"/>
      <c r="E1001" s="33"/>
      <c r="F1001" s="33"/>
    </row>
    <row r="1002" ht="15.75" customHeight="1">
      <c r="C1002" s="33"/>
      <c r="D1002" s="33"/>
      <c r="E1002" s="33"/>
      <c r="F1002" s="33"/>
    </row>
    <row r="1003" ht="15.75" customHeight="1">
      <c r="C1003" s="33"/>
      <c r="D1003" s="33"/>
      <c r="E1003" s="33"/>
      <c r="F1003" s="33"/>
    </row>
    <row r="1004" ht="15.75" customHeight="1">
      <c r="C1004" s="33"/>
      <c r="D1004" s="33"/>
      <c r="E1004" s="33"/>
      <c r="F1004" s="33"/>
    </row>
    <row r="1005" ht="15.75" customHeight="1">
      <c r="C1005" s="33"/>
      <c r="D1005" s="33"/>
      <c r="E1005" s="33"/>
      <c r="F1005" s="33"/>
    </row>
    <row r="1006" ht="15.75" customHeight="1">
      <c r="C1006" s="33"/>
      <c r="D1006" s="33"/>
      <c r="E1006" s="33"/>
      <c r="F1006" s="33"/>
    </row>
    <row r="1007" ht="15.75" customHeight="1">
      <c r="C1007" s="33"/>
      <c r="D1007" s="33"/>
      <c r="E1007" s="33"/>
      <c r="F1007" s="33"/>
    </row>
    <row r="1008" ht="15.75" customHeight="1">
      <c r="C1008" s="33"/>
      <c r="D1008" s="33"/>
      <c r="E1008" s="33"/>
      <c r="F1008" s="33"/>
    </row>
    <row r="1009" ht="15.75" customHeight="1">
      <c r="C1009" s="33"/>
      <c r="D1009" s="33"/>
      <c r="E1009" s="33"/>
      <c r="F1009" s="33"/>
    </row>
    <row r="1010" ht="15.75" customHeight="1">
      <c r="C1010" s="33"/>
      <c r="D1010" s="33"/>
      <c r="E1010" s="33"/>
      <c r="F1010" s="33"/>
    </row>
    <row r="1011" ht="15.75" customHeight="1">
      <c r="C1011" s="33"/>
      <c r="D1011" s="33"/>
      <c r="E1011" s="33"/>
      <c r="F1011" s="33"/>
    </row>
    <row r="1012" ht="15.75" customHeight="1">
      <c r="C1012" s="33"/>
      <c r="D1012" s="33"/>
      <c r="E1012" s="33"/>
      <c r="F1012" s="33"/>
    </row>
    <row r="1013" ht="15.75" customHeight="1">
      <c r="C1013" s="33"/>
      <c r="D1013" s="33"/>
      <c r="E1013" s="33"/>
      <c r="F1013" s="33"/>
    </row>
    <row r="1014" ht="15.75" customHeight="1">
      <c r="C1014" s="33"/>
      <c r="D1014" s="33"/>
      <c r="E1014" s="33"/>
      <c r="F1014" s="33"/>
    </row>
    <row r="1015" ht="15.75" customHeight="1">
      <c r="C1015" s="33"/>
      <c r="D1015" s="33"/>
      <c r="E1015" s="33"/>
      <c r="F1015" s="33"/>
    </row>
    <row r="1016" ht="15.75" customHeight="1">
      <c r="C1016" s="33"/>
      <c r="D1016" s="33"/>
      <c r="E1016" s="33"/>
      <c r="F1016" s="33"/>
    </row>
    <row r="1017" ht="15.75" customHeight="1">
      <c r="C1017" s="33"/>
      <c r="D1017" s="33"/>
      <c r="E1017" s="33"/>
      <c r="F1017" s="33"/>
    </row>
    <row r="1018" ht="15.75" customHeight="1">
      <c r="C1018" s="33"/>
      <c r="D1018" s="33"/>
      <c r="E1018" s="33"/>
      <c r="F1018" s="33"/>
    </row>
    <row r="1019" ht="15.75" customHeight="1">
      <c r="C1019" s="33"/>
      <c r="D1019" s="33"/>
      <c r="E1019" s="33"/>
      <c r="F1019" s="33"/>
    </row>
    <row r="1020" ht="15.75" customHeight="1">
      <c r="C1020" s="33"/>
      <c r="D1020" s="33"/>
      <c r="E1020" s="33"/>
      <c r="F1020" s="33"/>
    </row>
    <row r="1021" ht="15.75" customHeight="1">
      <c r="C1021" s="33"/>
      <c r="D1021" s="33"/>
      <c r="E1021" s="33"/>
      <c r="F1021" s="33"/>
    </row>
    <row r="1022" ht="15.75" customHeight="1">
      <c r="C1022" s="33"/>
      <c r="D1022" s="33"/>
      <c r="E1022" s="33"/>
      <c r="F1022" s="3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6.13"/>
    <col customWidth="1" min="3" max="4" width="13.38"/>
    <col customWidth="1" min="5" max="5" width="12.63"/>
  </cols>
  <sheetData>
    <row r="1" ht="15.75" customHeight="1">
      <c r="A1" s="5" t="s">
        <v>3</v>
      </c>
      <c r="B1" s="5" t="s">
        <v>4</v>
      </c>
      <c r="C1" s="4" t="s">
        <v>5</v>
      </c>
      <c r="D1" s="28" t="s">
        <v>102</v>
      </c>
      <c r="E1" s="29"/>
      <c r="F1" s="29"/>
      <c r="G1" s="30"/>
    </row>
    <row r="2" ht="15.75" customHeight="1">
      <c r="A2" s="14" t="s">
        <v>11</v>
      </c>
      <c r="B2" s="14" t="s">
        <v>25</v>
      </c>
      <c r="C2" s="15" t="s">
        <v>26</v>
      </c>
      <c r="D2" s="31">
        <v>0.64</v>
      </c>
      <c r="E2" s="32"/>
      <c r="F2" s="32"/>
    </row>
    <row r="3" ht="15.75" customHeight="1">
      <c r="A3" s="14" t="s">
        <v>11</v>
      </c>
      <c r="B3" s="14" t="s">
        <v>27</v>
      </c>
      <c r="C3" s="15" t="s">
        <v>28</v>
      </c>
      <c r="D3" s="31">
        <v>0.44</v>
      </c>
      <c r="E3" s="32"/>
      <c r="F3" s="32"/>
    </row>
    <row r="4" ht="15.75" customHeight="1">
      <c r="A4" s="14" t="s">
        <v>11</v>
      </c>
      <c r="B4" s="14" t="s">
        <v>29</v>
      </c>
      <c r="C4" s="15" t="s">
        <v>30</v>
      </c>
      <c r="D4" s="31">
        <v>0.1</v>
      </c>
      <c r="E4" s="32"/>
      <c r="F4" s="32"/>
    </row>
    <row r="5" ht="15.75" customHeight="1">
      <c r="A5" s="14" t="s">
        <v>11</v>
      </c>
      <c r="B5" s="14" t="s">
        <v>31</v>
      </c>
      <c r="C5" s="15" t="s">
        <v>32</v>
      </c>
      <c r="D5" s="31">
        <v>0.1</v>
      </c>
      <c r="E5" s="32"/>
      <c r="F5" s="32"/>
    </row>
    <row r="6" ht="15.75" customHeight="1">
      <c r="A6" s="14" t="s">
        <v>18</v>
      </c>
      <c r="B6" s="14" t="s">
        <v>33</v>
      </c>
      <c r="C6" s="15" t="s">
        <v>30</v>
      </c>
      <c r="D6" s="31">
        <v>0.53</v>
      </c>
      <c r="E6" s="32"/>
      <c r="F6" s="32"/>
    </row>
    <row r="7" ht="15.75" customHeight="1">
      <c r="A7" s="14" t="s">
        <v>18</v>
      </c>
      <c r="B7" s="14" t="s">
        <v>34</v>
      </c>
      <c r="C7" s="15" t="s">
        <v>26</v>
      </c>
      <c r="D7" s="31">
        <v>0.5</v>
      </c>
      <c r="E7" s="32"/>
      <c r="F7" s="32"/>
    </row>
    <row r="8" ht="15.75" customHeight="1">
      <c r="A8" s="14" t="s">
        <v>18</v>
      </c>
      <c r="B8" s="14" t="s">
        <v>35</v>
      </c>
      <c r="C8" s="15" t="s">
        <v>26</v>
      </c>
      <c r="D8" s="31">
        <v>0.45</v>
      </c>
      <c r="E8" s="32"/>
      <c r="F8" s="32"/>
    </row>
    <row r="9" ht="15.75" customHeight="1">
      <c r="A9" s="14" t="s">
        <v>18</v>
      </c>
      <c r="B9" s="14" t="s">
        <v>36</v>
      </c>
      <c r="C9" s="15" t="s">
        <v>37</v>
      </c>
      <c r="D9" s="31">
        <v>0.6</v>
      </c>
      <c r="E9" s="32"/>
      <c r="F9" s="32"/>
    </row>
    <row r="10" ht="15.75" customHeight="1">
      <c r="A10" s="14" t="s">
        <v>18</v>
      </c>
      <c r="B10" s="14" t="s">
        <v>38</v>
      </c>
      <c r="C10" s="15" t="s">
        <v>39</v>
      </c>
      <c r="D10" s="31">
        <v>0.45</v>
      </c>
      <c r="E10" s="32"/>
      <c r="F10" s="32"/>
    </row>
    <row r="11" ht="15.75" customHeight="1">
      <c r="A11" s="14" t="s">
        <v>8</v>
      </c>
      <c r="B11" s="14" t="s">
        <v>40</v>
      </c>
      <c r="C11" s="15" t="s">
        <v>39</v>
      </c>
      <c r="D11" s="31">
        <v>0.65</v>
      </c>
      <c r="E11" s="32"/>
      <c r="F11" s="32"/>
    </row>
    <row r="12" ht="15.75" customHeight="1">
      <c r="A12" s="14" t="s">
        <v>8</v>
      </c>
      <c r="B12" s="14" t="s">
        <v>41</v>
      </c>
      <c r="C12" s="15" t="s">
        <v>42</v>
      </c>
      <c r="D12" s="31">
        <v>0.5</v>
      </c>
      <c r="E12" s="32"/>
      <c r="F12" s="32"/>
    </row>
    <row r="13" ht="15.75" customHeight="1">
      <c r="A13" s="14" t="s">
        <v>8</v>
      </c>
      <c r="B13" s="14" t="s">
        <v>43</v>
      </c>
      <c r="C13" s="15" t="s">
        <v>28</v>
      </c>
      <c r="D13" s="31">
        <v>0.1</v>
      </c>
      <c r="E13" s="32"/>
      <c r="F13" s="32"/>
    </row>
    <row r="14" ht="15.75" customHeight="1">
      <c r="A14" s="14" t="s">
        <v>8</v>
      </c>
      <c r="B14" s="14" t="s">
        <v>44</v>
      </c>
      <c r="C14" s="15" t="s">
        <v>45</v>
      </c>
      <c r="D14" s="31">
        <v>0.14</v>
      </c>
      <c r="E14" s="32"/>
      <c r="F14" s="32"/>
    </row>
    <row r="15" ht="15.75" customHeight="1">
      <c r="A15" s="14" t="s">
        <v>8</v>
      </c>
      <c r="B15" s="14" t="s">
        <v>46</v>
      </c>
      <c r="C15" s="15" t="s">
        <v>45</v>
      </c>
      <c r="D15" s="31">
        <v>0.17</v>
      </c>
      <c r="E15" s="32"/>
      <c r="F15" s="32"/>
    </row>
    <row r="16" ht="15.75" customHeight="1">
      <c r="A16" s="14" t="s">
        <v>16</v>
      </c>
      <c r="B16" s="14" t="s">
        <v>47</v>
      </c>
      <c r="C16" s="15" t="s">
        <v>30</v>
      </c>
      <c r="D16" s="31">
        <v>0.48</v>
      </c>
      <c r="E16" s="32"/>
      <c r="F16" s="32"/>
    </row>
    <row r="17" ht="15.75" customHeight="1">
      <c r="A17" s="14" t="s">
        <v>16</v>
      </c>
      <c r="B17" s="14" t="s">
        <v>48</v>
      </c>
      <c r="C17" s="15" t="s">
        <v>30</v>
      </c>
      <c r="D17" s="31">
        <v>0.6</v>
      </c>
      <c r="E17" s="32"/>
      <c r="F17" s="32"/>
    </row>
    <row r="18" ht="15.75" customHeight="1">
      <c r="A18" s="14" t="s">
        <v>16</v>
      </c>
      <c r="B18" s="14" t="s">
        <v>49</v>
      </c>
      <c r="C18" s="15" t="s">
        <v>50</v>
      </c>
      <c r="D18" s="31">
        <v>0.45</v>
      </c>
      <c r="E18" s="32"/>
      <c r="F18" s="32"/>
    </row>
    <row r="19" ht="15.75" customHeight="1">
      <c r="A19" s="14" t="s">
        <v>16</v>
      </c>
      <c r="B19" s="14" t="s">
        <v>51</v>
      </c>
      <c r="C19" s="15" t="s">
        <v>30</v>
      </c>
      <c r="D19" s="31">
        <v>0.38</v>
      </c>
      <c r="E19" s="32"/>
      <c r="F19" s="32"/>
    </row>
    <row r="20" ht="15.75" customHeight="1">
      <c r="A20" s="14" t="s">
        <v>16</v>
      </c>
      <c r="B20" s="14" t="s">
        <v>52</v>
      </c>
      <c r="C20" s="15" t="s">
        <v>42</v>
      </c>
      <c r="D20" s="31">
        <v>0.4</v>
      </c>
      <c r="E20" s="32"/>
      <c r="F20" s="32"/>
    </row>
    <row r="21" ht="15.75" customHeight="1">
      <c r="A21" s="14" t="s">
        <v>14</v>
      </c>
      <c r="B21" s="14" t="s">
        <v>53</v>
      </c>
      <c r="C21" s="15" t="s">
        <v>28</v>
      </c>
      <c r="D21" s="31">
        <v>0.35</v>
      </c>
      <c r="E21" s="32"/>
      <c r="F21" s="32"/>
    </row>
    <row r="22" ht="15.75" customHeight="1">
      <c r="A22" s="14" t="s">
        <v>14</v>
      </c>
      <c r="B22" s="14" t="s">
        <v>54</v>
      </c>
      <c r="C22" s="15" t="s">
        <v>39</v>
      </c>
      <c r="D22" s="31">
        <v>0.6</v>
      </c>
      <c r="E22" s="32"/>
      <c r="F22" s="32"/>
    </row>
    <row r="23" ht="15.75" customHeight="1">
      <c r="A23" s="14" t="s">
        <v>14</v>
      </c>
      <c r="B23" s="14" t="s">
        <v>55</v>
      </c>
      <c r="C23" s="15" t="s">
        <v>32</v>
      </c>
      <c r="D23" s="31">
        <v>0.05</v>
      </c>
      <c r="E23" s="32"/>
      <c r="F23" s="32"/>
    </row>
    <row r="24" ht="15.75" customHeight="1">
      <c r="A24" s="14" t="s">
        <v>14</v>
      </c>
      <c r="B24" s="14" t="s">
        <v>57</v>
      </c>
      <c r="C24" s="15" t="s">
        <v>32</v>
      </c>
      <c r="D24" s="31">
        <v>0.24</v>
      </c>
      <c r="E24" s="32"/>
      <c r="F24" s="32"/>
    </row>
    <row r="25" ht="15.75" customHeight="1">
      <c r="A25" s="14" t="s">
        <v>14</v>
      </c>
      <c r="B25" s="14" t="s">
        <v>58</v>
      </c>
      <c r="C25" s="15" t="s">
        <v>37</v>
      </c>
      <c r="D25" s="31">
        <v>0.05</v>
      </c>
      <c r="E25" s="32"/>
      <c r="F25" s="32"/>
    </row>
    <row r="26" ht="15.75" customHeight="1">
      <c r="A26" s="14" t="s">
        <v>9</v>
      </c>
      <c r="B26" s="14" t="s">
        <v>59</v>
      </c>
      <c r="C26" s="15" t="s">
        <v>30</v>
      </c>
      <c r="D26" s="31">
        <v>0.6</v>
      </c>
      <c r="E26" s="32"/>
      <c r="F26" s="32"/>
    </row>
    <row r="27" ht="15.75" customHeight="1">
      <c r="A27" s="14" t="s">
        <v>9</v>
      </c>
      <c r="B27" s="14" t="s">
        <v>60</v>
      </c>
      <c r="C27" s="15" t="s">
        <v>32</v>
      </c>
      <c r="D27" s="31">
        <v>0.25</v>
      </c>
      <c r="E27" s="32"/>
      <c r="F27" s="32"/>
    </row>
    <row r="28" ht="15.75" customHeight="1">
      <c r="A28" s="14" t="s">
        <v>9</v>
      </c>
      <c r="B28" s="14" t="s">
        <v>61</v>
      </c>
      <c r="C28" s="15" t="s">
        <v>28</v>
      </c>
      <c r="D28" s="31">
        <v>0.35</v>
      </c>
      <c r="E28" s="32"/>
      <c r="F28" s="32"/>
    </row>
    <row r="29" ht="15.75" customHeight="1">
      <c r="A29" s="14" t="s">
        <v>9</v>
      </c>
      <c r="B29" s="14" t="s">
        <v>62</v>
      </c>
      <c r="C29" s="15" t="s">
        <v>28</v>
      </c>
      <c r="D29" s="31">
        <v>0.6</v>
      </c>
      <c r="E29" s="32"/>
      <c r="F29" s="32"/>
    </row>
    <row r="30" ht="15.75" customHeight="1">
      <c r="A30" s="14" t="s">
        <v>9</v>
      </c>
      <c r="B30" s="14" t="s">
        <v>63</v>
      </c>
      <c r="C30" s="15" t="s">
        <v>28</v>
      </c>
      <c r="D30" s="31">
        <v>0.45</v>
      </c>
      <c r="E30" s="32"/>
      <c r="F30" s="32"/>
    </row>
    <row r="31" ht="15.75" customHeight="1">
      <c r="A31" s="14" t="s">
        <v>64</v>
      </c>
      <c r="B31" s="14" t="s">
        <v>65</v>
      </c>
      <c r="C31" s="15" t="s">
        <v>32</v>
      </c>
      <c r="D31" s="31">
        <v>0.15</v>
      </c>
      <c r="E31" s="32"/>
      <c r="F31" s="32"/>
    </row>
    <row r="32" ht="15.75" customHeight="1">
      <c r="A32" s="14" t="s">
        <v>64</v>
      </c>
      <c r="B32" s="14" t="s">
        <v>66</v>
      </c>
      <c r="C32" s="15" t="s">
        <v>26</v>
      </c>
      <c r="D32" s="31">
        <v>0.75</v>
      </c>
      <c r="E32" s="32"/>
      <c r="F32" s="32"/>
    </row>
    <row r="33" ht="15.75" customHeight="1">
      <c r="A33" s="14" t="s">
        <v>64</v>
      </c>
      <c r="B33" s="14" t="s">
        <v>67</v>
      </c>
      <c r="C33" s="15" t="s">
        <v>32</v>
      </c>
      <c r="D33" s="31">
        <v>0.15</v>
      </c>
      <c r="E33" s="32"/>
      <c r="F33" s="32"/>
    </row>
    <row r="34" ht="15.75" customHeight="1">
      <c r="A34" s="14" t="s">
        <v>64</v>
      </c>
      <c r="B34" s="14" t="s">
        <v>68</v>
      </c>
      <c r="C34" s="15" t="s">
        <v>39</v>
      </c>
      <c r="D34" s="31">
        <v>0.85</v>
      </c>
      <c r="E34" s="32"/>
      <c r="F34" s="32"/>
    </row>
    <row r="35" ht="15.75" customHeight="1">
      <c r="A35" s="14" t="s">
        <v>64</v>
      </c>
      <c r="B35" s="14" t="s">
        <v>69</v>
      </c>
      <c r="C35" s="15" t="s">
        <v>28</v>
      </c>
      <c r="D35" s="31">
        <v>0.7</v>
      </c>
      <c r="E35" s="32"/>
      <c r="F35" s="32"/>
    </row>
    <row r="36" ht="15.75" customHeight="1">
      <c r="A36" s="14" t="s">
        <v>7</v>
      </c>
      <c r="B36" s="14" t="s">
        <v>70</v>
      </c>
      <c r="C36" s="15" t="s">
        <v>32</v>
      </c>
      <c r="D36" s="31">
        <v>0.51</v>
      </c>
      <c r="E36" s="32"/>
      <c r="F36" s="32"/>
    </row>
    <row r="37" ht="15.75" customHeight="1">
      <c r="A37" s="14" t="s">
        <v>7</v>
      </c>
      <c r="B37" s="14" t="s">
        <v>71</v>
      </c>
      <c r="C37" s="15" t="s">
        <v>28</v>
      </c>
      <c r="D37" s="31">
        <v>0.64</v>
      </c>
      <c r="E37" s="32"/>
      <c r="F37" s="32"/>
    </row>
    <row r="38" ht="15.75" customHeight="1">
      <c r="A38" s="14" t="s">
        <v>7</v>
      </c>
      <c r="B38" s="14" t="s">
        <v>72</v>
      </c>
      <c r="C38" s="15" t="s">
        <v>42</v>
      </c>
      <c r="D38" s="31">
        <v>0.3</v>
      </c>
      <c r="E38" s="32"/>
      <c r="F38" s="32"/>
    </row>
    <row r="39" ht="15.75" customHeight="1">
      <c r="A39" s="14" t="s">
        <v>7</v>
      </c>
      <c r="B39" s="14" t="s">
        <v>73</v>
      </c>
      <c r="C39" s="15" t="s">
        <v>45</v>
      </c>
      <c r="D39" s="31">
        <v>0.55</v>
      </c>
      <c r="E39" s="32"/>
      <c r="F39" s="32"/>
    </row>
    <row r="40" ht="15.75" customHeight="1">
      <c r="A40" s="14" t="s">
        <v>7</v>
      </c>
      <c r="B40" s="14" t="s">
        <v>74</v>
      </c>
      <c r="C40" s="15" t="s">
        <v>30</v>
      </c>
      <c r="D40" s="31">
        <v>0.28</v>
      </c>
      <c r="E40" s="32"/>
      <c r="F40" s="32"/>
    </row>
    <row r="41" ht="15.75" customHeight="1">
      <c r="A41" s="14" t="s">
        <v>75</v>
      </c>
      <c r="B41" s="14" t="s">
        <v>76</v>
      </c>
      <c r="C41" s="15" t="s">
        <v>28</v>
      </c>
      <c r="D41" s="31">
        <v>0.24</v>
      </c>
      <c r="E41" s="32"/>
      <c r="F41" s="32"/>
    </row>
    <row r="42" ht="15.75" customHeight="1">
      <c r="A42" s="14" t="s">
        <v>75</v>
      </c>
      <c r="B42" s="14" t="s">
        <v>77</v>
      </c>
      <c r="C42" s="15" t="s">
        <v>32</v>
      </c>
      <c r="D42" s="31">
        <v>0.48</v>
      </c>
      <c r="E42" s="32"/>
      <c r="F42" s="32"/>
    </row>
    <row r="43" ht="15.75" customHeight="1">
      <c r="A43" s="14" t="s">
        <v>75</v>
      </c>
      <c r="B43" s="14" t="s">
        <v>78</v>
      </c>
      <c r="C43" s="15" t="s">
        <v>32</v>
      </c>
      <c r="D43" s="31">
        <v>0.49</v>
      </c>
      <c r="E43" s="32"/>
      <c r="F43" s="32"/>
    </row>
    <row r="44" ht="15.75" customHeight="1">
      <c r="A44" s="14" t="s">
        <v>75</v>
      </c>
      <c r="B44" s="14" t="s">
        <v>79</v>
      </c>
      <c r="C44" s="15" t="s">
        <v>28</v>
      </c>
      <c r="D44" s="31">
        <v>0.54</v>
      </c>
      <c r="E44" s="32"/>
      <c r="F44" s="32"/>
    </row>
    <row r="45" ht="15.75" customHeight="1">
      <c r="A45" s="14" t="s">
        <v>75</v>
      </c>
      <c r="B45" s="14" t="s">
        <v>80</v>
      </c>
      <c r="C45" s="15" t="s">
        <v>45</v>
      </c>
      <c r="D45" s="31">
        <v>0.39</v>
      </c>
      <c r="E45" s="32"/>
      <c r="F45" s="32"/>
    </row>
    <row r="46" ht="15.75" customHeight="1">
      <c r="A46" s="14" t="s">
        <v>13</v>
      </c>
      <c r="B46" s="14" t="s">
        <v>82</v>
      </c>
      <c r="C46" s="15" t="s">
        <v>32</v>
      </c>
      <c r="D46" s="31">
        <v>0.49</v>
      </c>
      <c r="E46" s="32"/>
      <c r="F46" s="32"/>
    </row>
    <row r="47" ht="15.75" customHeight="1">
      <c r="A47" s="14" t="s">
        <v>13</v>
      </c>
      <c r="B47" s="14" t="s">
        <v>83</v>
      </c>
      <c r="C47" s="15" t="s">
        <v>39</v>
      </c>
      <c r="D47" s="31">
        <v>0.6</v>
      </c>
      <c r="E47" s="32"/>
      <c r="F47" s="32"/>
    </row>
    <row r="48" ht="15.75" customHeight="1">
      <c r="A48" s="14" t="s">
        <v>13</v>
      </c>
      <c r="B48" s="14" t="s">
        <v>84</v>
      </c>
      <c r="C48" s="15" t="s">
        <v>30</v>
      </c>
      <c r="D48" s="31">
        <v>0.05</v>
      </c>
      <c r="E48" s="32"/>
      <c r="F48" s="32"/>
    </row>
    <row r="49" ht="15.75" customHeight="1">
      <c r="A49" s="14" t="s">
        <v>13</v>
      </c>
      <c r="B49" s="14" t="s">
        <v>85</v>
      </c>
      <c r="C49" s="15" t="s">
        <v>30</v>
      </c>
      <c r="D49" s="31">
        <v>0.53</v>
      </c>
      <c r="E49" s="32"/>
      <c r="F49" s="32"/>
    </row>
    <row r="50" ht="15.75" customHeight="1">
      <c r="A50" s="14" t="s">
        <v>13</v>
      </c>
      <c r="B50" s="14" t="s">
        <v>86</v>
      </c>
      <c r="C50" s="15" t="s">
        <v>32</v>
      </c>
      <c r="D50" s="31">
        <v>0.13</v>
      </c>
      <c r="E50" s="32"/>
      <c r="F50" s="32"/>
    </row>
    <row r="51" ht="15.75" customHeight="1">
      <c r="A51" s="14" t="s">
        <v>10</v>
      </c>
      <c r="B51" s="14" t="s">
        <v>87</v>
      </c>
      <c r="C51" s="15" t="s">
        <v>30</v>
      </c>
      <c r="D51" s="31">
        <v>0.58</v>
      </c>
      <c r="E51" s="32"/>
      <c r="F51" s="32"/>
    </row>
    <row r="52" ht="15.75" customHeight="1">
      <c r="A52" s="14" t="s">
        <v>10</v>
      </c>
      <c r="B52" s="14" t="s">
        <v>88</v>
      </c>
      <c r="C52" s="15" t="s">
        <v>30</v>
      </c>
      <c r="D52" s="34">
        <v>0.99</v>
      </c>
      <c r="E52" s="32"/>
      <c r="F52" s="32"/>
    </row>
    <row r="53" ht="15.75" customHeight="1">
      <c r="A53" s="14" t="s">
        <v>10</v>
      </c>
      <c r="B53" s="14" t="s">
        <v>89</v>
      </c>
      <c r="C53" s="15" t="s">
        <v>26</v>
      </c>
      <c r="D53" s="31">
        <v>0.1</v>
      </c>
      <c r="E53" s="32"/>
      <c r="F53" s="32"/>
    </row>
    <row r="54" ht="15.75" customHeight="1">
      <c r="A54" s="14" t="s">
        <v>10</v>
      </c>
      <c r="B54" s="14" t="s">
        <v>90</v>
      </c>
      <c r="C54" s="15" t="s">
        <v>32</v>
      </c>
      <c r="D54" s="31">
        <v>0.4</v>
      </c>
      <c r="E54" s="32"/>
      <c r="F54" s="32"/>
    </row>
    <row r="55" ht="15.75" customHeight="1">
      <c r="A55" s="14" t="s">
        <v>10</v>
      </c>
      <c r="B55" s="20" t="s">
        <v>91</v>
      </c>
      <c r="C55" s="15" t="s">
        <v>50</v>
      </c>
      <c r="D55" s="31">
        <v>0.6</v>
      </c>
      <c r="E55" s="32"/>
      <c r="F55" s="32"/>
    </row>
    <row r="56" ht="15.75" customHeight="1">
      <c r="A56" s="14" t="s">
        <v>17</v>
      </c>
      <c r="B56" s="14" t="s">
        <v>92</v>
      </c>
      <c r="C56" s="15" t="s">
        <v>32</v>
      </c>
      <c r="D56" s="31">
        <v>0.6</v>
      </c>
      <c r="E56" s="32"/>
      <c r="F56" s="32"/>
    </row>
    <row r="57" ht="15.75" customHeight="1">
      <c r="A57" s="14" t="s">
        <v>17</v>
      </c>
      <c r="B57" s="14" t="s">
        <v>93</v>
      </c>
      <c r="C57" s="15" t="s">
        <v>32</v>
      </c>
      <c r="D57" s="31">
        <v>0.46</v>
      </c>
      <c r="E57" s="32"/>
      <c r="F57" s="32"/>
    </row>
    <row r="58" ht="15.75" customHeight="1">
      <c r="A58" s="14" t="s">
        <v>17</v>
      </c>
      <c r="B58" s="14" t="s">
        <v>94</v>
      </c>
      <c r="C58" s="15" t="s">
        <v>30</v>
      </c>
      <c r="D58" s="31">
        <v>0.45</v>
      </c>
      <c r="E58" s="32"/>
      <c r="F58" s="32"/>
    </row>
    <row r="59" ht="15.75" customHeight="1">
      <c r="A59" s="14" t="s">
        <v>17</v>
      </c>
      <c r="B59" s="14" t="s">
        <v>95</v>
      </c>
      <c r="C59" s="15" t="s">
        <v>32</v>
      </c>
      <c r="D59" s="31">
        <v>0.35</v>
      </c>
      <c r="E59" s="32"/>
      <c r="F59" s="32"/>
    </row>
    <row r="60" ht="15.75" customHeight="1">
      <c r="A60" s="14" t="s">
        <v>17</v>
      </c>
      <c r="B60" s="14" t="s">
        <v>96</v>
      </c>
      <c r="C60" s="15" t="s">
        <v>32</v>
      </c>
      <c r="D60" s="31">
        <v>0.75</v>
      </c>
      <c r="E60" s="32"/>
      <c r="F60" s="32"/>
    </row>
    <row r="61">
      <c r="C61" s="33"/>
      <c r="D61" s="33"/>
      <c r="E61" s="33"/>
      <c r="F61" s="33"/>
    </row>
    <row r="62">
      <c r="C62" s="33"/>
      <c r="D62" s="33"/>
      <c r="E62" s="33"/>
      <c r="F62" s="33"/>
    </row>
    <row r="63">
      <c r="C63" s="33"/>
      <c r="D63" s="33"/>
      <c r="E63" s="33"/>
      <c r="F63" s="33"/>
    </row>
    <row r="64">
      <c r="C64" s="33"/>
      <c r="D64" s="33"/>
      <c r="E64" s="33"/>
      <c r="F64" s="33"/>
    </row>
    <row r="65">
      <c r="C65" s="33"/>
      <c r="D65" s="33"/>
      <c r="E65" s="33"/>
      <c r="F65" s="33"/>
    </row>
    <row r="66">
      <c r="C66" s="33"/>
      <c r="D66" s="33"/>
      <c r="E66" s="33"/>
      <c r="F66" s="33"/>
    </row>
    <row r="67">
      <c r="C67" s="33"/>
      <c r="D67" s="33"/>
      <c r="E67" s="33"/>
      <c r="F67" s="33"/>
    </row>
    <row r="68">
      <c r="C68" s="33"/>
      <c r="D68" s="33"/>
      <c r="E68" s="33"/>
      <c r="F68" s="33"/>
    </row>
    <row r="69">
      <c r="C69" s="33"/>
      <c r="D69" s="33"/>
      <c r="E69" s="33"/>
      <c r="F69" s="33"/>
    </row>
    <row r="70">
      <c r="C70" s="33"/>
      <c r="D70" s="33"/>
      <c r="E70" s="33"/>
      <c r="F70" s="33"/>
    </row>
    <row r="71">
      <c r="C71" s="33"/>
      <c r="D71" s="33"/>
      <c r="E71" s="33"/>
      <c r="F71" s="33"/>
    </row>
    <row r="72">
      <c r="C72" s="33"/>
      <c r="D72" s="33"/>
      <c r="E72" s="33"/>
      <c r="F72" s="33"/>
    </row>
    <row r="73">
      <c r="C73" s="33"/>
      <c r="D73" s="33"/>
      <c r="E73" s="33"/>
      <c r="F73" s="33"/>
    </row>
    <row r="74">
      <c r="C74" s="33"/>
      <c r="D74" s="33"/>
      <c r="E74" s="33"/>
      <c r="F74" s="33"/>
    </row>
    <row r="75">
      <c r="C75" s="33"/>
      <c r="D75" s="33"/>
      <c r="E75" s="33"/>
      <c r="F75" s="33"/>
    </row>
    <row r="76">
      <c r="C76" s="33"/>
      <c r="D76" s="33"/>
      <c r="E76" s="33"/>
      <c r="F76" s="33"/>
    </row>
    <row r="77">
      <c r="C77" s="33"/>
      <c r="D77" s="33"/>
      <c r="E77" s="33"/>
      <c r="F77" s="33"/>
    </row>
    <row r="78">
      <c r="C78" s="33"/>
      <c r="D78" s="33"/>
      <c r="E78" s="33"/>
      <c r="F78" s="33"/>
    </row>
    <row r="79">
      <c r="C79" s="33"/>
      <c r="D79" s="33"/>
      <c r="E79" s="33"/>
      <c r="F79" s="33"/>
    </row>
    <row r="80">
      <c r="C80" s="33"/>
      <c r="D80" s="33"/>
      <c r="E80" s="33"/>
      <c r="F80" s="33"/>
    </row>
    <row r="81">
      <c r="C81" s="33"/>
      <c r="D81" s="33"/>
      <c r="E81" s="33"/>
      <c r="F81" s="33"/>
    </row>
    <row r="82" ht="15.75" customHeight="1">
      <c r="C82" s="33"/>
      <c r="D82" s="33"/>
      <c r="E82" s="33"/>
      <c r="F82" s="33"/>
    </row>
    <row r="83" ht="15.75" customHeight="1">
      <c r="C83" s="33"/>
      <c r="D83" s="33"/>
      <c r="E83" s="33"/>
      <c r="F83" s="33"/>
    </row>
    <row r="84" ht="15.75" customHeight="1">
      <c r="C84" s="33"/>
      <c r="D84" s="33"/>
      <c r="E84" s="33"/>
      <c r="F84" s="33"/>
    </row>
    <row r="85" ht="15.75" customHeight="1">
      <c r="C85" s="33"/>
      <c r="D85" s="33"/>
      <c r="E85" s="33"/>
      <c r="F85" s="33"/>
    </row>
    <row r="86" ht="15.75" customHeight="1">
      <c r="C86" s="33"/>
      <c r="D86" s="33"/>
      <c r="E86" s="33"/>
      <c r="F86" s="33"/>
    </row>
    <row r="87" ht="15.75" customHeight="1">
      <c r="C87" s="33"/>
      <c r="D87" s="33"/>
      <c r="E87" s="33"/>
      <c r="F87" s="33"/>
    </row>
    <row r="88" ht="15.75" customHeight="1">
      <c r="C88" s="33"/>
      <c r="D88" s="33"/>
      <c r="E88" s="33"/>
      <c r="F88" s="33"/>
    </row>
    <row r="89" ht="15.75" customHeight="1">
      <c r="C89" s="33"/>
      <c r="D89" s="33"/>
      <c r="E89" s="33"/>
      <c r="F89" s="33"/>
    </row>
    <row r="90" ht="15.75" customHeight="1">
      <c r="C90" s="33"/>
      <c r="D90" s="33"/>
      <c r="E90" s="33"/>
      <c r="F90" s="33"/>
    </row>
    <row r="91" ht="15.75" customHeight="1">
      <c r="C91" s="33"/>
      <c r="D91" s="33"/>
      <c r="E91" s="33"/>
      <c r="F91" s="33"/>
    </row>
    <row r="92" ht="15.75" customHeight="1">
      <c r="C92" s="33"/>
      <c r="D92" s="33"/>
      <c r="E92" s="33"/>
      <c r="F92" s="33"/>
    </row>
    <row r="93" ht="15.75" customHeight="1">
      <c r="C93" s="33"/>
      <c r="D93" s="33"/>
      <c r="E93" s="33"/>
      <c r="F93" s="33"/>
    </row>
    <row r="94" ht="15.75" customHeight="1">
      <c r="C94" s="33"/>
      <c r="D94" s="33"/>
      <c r="E94" s="33"/>
      <c r="F94" s="33"/>
    </row>
    <row r="95" ht="15.75" customHeight="1">
      <c r="C95" s="33"/>
      <c r="D95" s="33"/>
      <c r="E95" s="33"/>
      <c r="F95" s="33"/>
    </row>
    <row r="96" ht="15.75" customHeight="1">
      <c r="C96" s="33"/>
      <c r="D96" s="33"/>
      <c r="E96" s="33"/>
      <c r="F96" s="33"/>
    </row>
    <row r="97" ht="15.75" customHeight="1">
      <c r="C97" s="33"/>
      <c r="D97" s="33"/>
      <c r="E97" s="33"/>
      <c r="F97" s="33"/>
    </row>
    <row r="98" ht="15.75" customHeight="1">
      <c r="C98" s="33"/>
      <c r="D98" s="33"/>
      <c r="E98" s="33"/>
      <c r="F98" s="33"/>
    </row>
    <row r="99" ht="15.75" customHeight="1">
      <c r="C99" s="33"/>
      <c r="D99" s="33"/>
      <c r="E99" s="33"/>
      <c r="F99" s="33"/>
    </row>
    <row r="100" ht="15.75" customHeight="1">
      <c r="C100" s="33"/>
      <c r="D100" s="33"/>
      <c r="E100" s="33"/>
      <c r="F100" s="33"/>
    </row>
    <row r="101" ht="15.75" customHeight="1">
      <c r="C101" s="33"/>
      <c r="D101" s="33"/>
      <c r="E101" s="33"/>
      <c r="F101" s="33"/>
    </row>
    <row r="102" ht="15.75" customHeight="1">
      <c r="C102" s="33"/>
      <c r="D102" s="33"/>
      <c r="E102" s="33"/>
      <c r="F102" s="33"/>
    </row>
    <row r="103" ht="15.75" customHeight="1">
      <c r="C103" s="33"/>
      <c r="D103" s="33"/>
      <c r="E103" s="33"/>
      <c r="F103" s="33"/>
    </row>
    <row r="104" ht="15.75" customHeight="1">
      <c r="C104" s="33"/>
      <c r="D104" s="33"/>
      <c r="E104" s="33"/>
      <c r="F104" s="33"/>
    </row>
    <row r="105" ht="15.75" customHeight="1">
      <c r="C105" s="33"/>
      <c r="D105" s="33"/>
      <c r="E105" s="33"/>
      <c r="F105" s="33"/>
    </row>
    <row r="106" ht="15.75" customHeight="1">
      <c r="C106" s="33"/>
      <c r="D106" s="33"/>
      <c r="E106" s="33"/>
      <c r="F106" s="33"/>
    </row>
    <row r="107" ht="15.75" customHeight="1">
      <c r="C107" s="33"/>
      <c r="D107" s="33"/>
      <c r="E107" s="33"/>
      <c r="F107" s="33"/>
    </row>
    <row r="108" ht="15.75" customHeight="1">
      <c r="C108" s="33"/>
      <c r="D108" s="33"/>
      <c r="E108" s="33"/>
      <c r="F108" s="33"/>
    </row>
    <row r="109" ht="15.75" customHeight="1">
      <c r="C109" s="33"/>
      <c r="D109" s="33"/>
      <c r="E109" s="33"/>
      <c r="F109" s="33"/>
    </row>
    <row r="110" ht="15.75" customHeight="1">
      <c r="C110" s="33"/>
      <c r="D110" s="33"/>
      <c r="E110" s="33"/>
      <c r="F110" s="33"/>
    </row>
    <row r="111" ht="15.75" customHeight="1">
      <c r="C111" s="33"/>
      <c r="D111" s="33"/>
      <c r="E111" s="33"/>
      <c r="F111" s="33"/>
    </row>
    <row r="112" ht="15.75" customHeight="1">
      <c r="C112" s="33"/>
      <c r="D112" s="33"/>
      <c r="E112" s="33"/>
      <c r="F112" s="33"/>
    </row>
    <row r="113" ht="15.75" customHeight="1">
      <c r="C113" s="33"/>
      <c r="D113" s="33"/>
      <c r="E113" s="33"/>
      <c r="F113" s="33"/>
    </row>
    <row r="114" ht="15.75" customHeight="1">
      <c r="C114" s="33"/>
      <c r="D114" s="33"/>
      <c r="E114" s="33"/>
      <c r="F114" s="33"/>
    </row>
    <row r="115" ht="15.75" customHeight="1">
      <c r="C115" s="33"/>
      <c r="D115" s="33"/>
      <c r="E115" s="33"/>
      <c r="F115" s="33"/>
    </row>
    <row r="116" ht="15.75" customHeight="1">
      <c r="C116" s="33"/>
      <c r="D116" s="33"/>
      <c r="E116" s="33"/>
      <c r="F116" s="33"/>
    </row>
    <row r="117" ht="15.75" customHeight="1">
      <c r="C117" s="33"/>
      <c r="D117" s="33"/>
      <c r="E117" s="33"/>
      <c r="F117" s="33"/>
    </row>
    <row r="118" ht="15.75" customHeight="1">
      <c r="C118" s="33"/>
      <c r="D118" s="33"/>
      <c r="E118" s="33"/>
      <c r="F118" s="33"/>
    </row>
    <row r="119" ht="15.75" customHeight="1">
      <c r="C119" s="33"/>
      <c r="D119" s="33"/>
      <c r="E119" s="33"/>
      <c r="F119" s="33"/>
    </row>
    <row r="120" ht="15.75" customHeight="1">
      <c r="C120" s="33"/>
      <c r="D120" s="33"/>
      <c r="E120" s="33"/>
      <c r="F120" s="33"/>
    </row>
    <row r="121" ht="15.75" customHeight="1">
      <c r="C121" s="33"/>
      <c r="D121" s="33"/>
      <c r="E121" s="33"/>
      <c r="F121" s="33"/>
    </row>
    <row r="122" ht="15.75" customHeight="1">
      <c r="C122" s="33"/>
      <c r="D122" s="33"/>
      <c r="E122" s="33"/>
      <c r="F122" s="33"/>
    </row>
    <row r="123" ht="15.75" customHeight="1">
      <c r="C123" s="33"/>
      <c r="D123" s="33"/>
      <c r="E123" s="33"/>
      <c r="F123" s="33"/>
    </row>
    <row r="124" ht="15.75" customHeight="1">
      <c r="C124" s="33"/>
      <c r="D124" s="33"/>
      <c r="E124" s="33"/>
      <c r="F124" s="33"/>
    </row>
    <row r="125" ht="15.75" customHeight="1">
      <c r="C125" s="33"/>
      <c r="D125" s="33"/>
      <c r="E125" s="33"/>
      <c r="F125" s="33"/>
    </row>
    <row r="126" ht="15.75" customHeight="1">
      <c r="C126" s="33"/>
      <c r="D126" s="33"/>
      <c r="E126" s="33"/>
      <c r="F126" s="33"/>
    </row>
    <row r="127" ht="15.75" customHeight="1">
      <c r="C127" s="33"/>
      <c r="D127" s="33"/>
      <c r="E127" s="33"/>
      <c r="F127" s="33"/>
    </row>
    <row r="128" ht="15.75" customHeight="1">
      <c r="C128" s="33"/>
      <c r="D128" s="33"/>
      <c r="E128" s="33"/>
      <c r="F128" s="33"/>
    </row>
    <row r="129" ht="15.75" customHeight="1">
      <c r="C129" s="33"/>
      <c r="D129" s="33"/>
      <c r="E129" s="33"/>
      <c r="F129" s="33"/>
    </row>
    <row r="130" ht="15.75" customHeight="1">
      <c r="C130" s="33"/>
      <c r="D130" s="33"/>
      <c r="E130" s="33"/>
      <c r="F130" s="33"/>
    </row>
    <row r="131" ht="15.75" customHeight="1">
      <c r="C131" s="33"/>
      <c r="D131" s="33"/>
      <c r="E131" s="33"/>
      <c r="F131" s="33"/>
    </row>
    <row r="132" ht="15.75" customHeight="1">
      <c r="C132" s="33"/>
      <c r="D132" s="33"/>
      <c r="E132" s="33"/>
      <c r="F132" s="33"/>
    </row>
    <row r="133" ht="15.75" customHeight="1">
      <c r="C133" s="33"/>
      <c r="D133" s="33"/>
      <c r="E133" s="33"/>
      <c r="F133" s="33"/>
    </row>
    <row r="134" ht="15.75" customHeight="1">
      <c r="C134" s="33"/>
      <c r="D134" s="33"/>
      <c r="E134" s="33"/>
      <c r="F134" s="33"/>
    </row>
    <row r="135" ht="15.75" customHeight="1">
      <c r="C135" s="33"/>
      <c r="D135" s="33"/>
      <c r="E135" s="33"/>
      <c r="F135" s="33"/>
    </row>
    <row r="136" ht="15.75" customHeight="1">
      <c r="C136" s="33"/>
      <c r="D136" s="33"/>
      <c r="E136" s="33"/>
      <c r="F136" s="33"/>
    </row>
    <row r="137" ht="15.75" customHeight="1">
      <c r="C137" s="33"/>
      <c r="D137" s="33"/>
      <c r="E137" s="33"/>
      <c r="F137" s="33"/>
    </row>
    <row r="138" ht="15.75" customHeight="1">
      <c r="C138" s="33"/>
      <c r="D138" s="33"/>
      <c r="E138" s="33"/>
      <c r="F138" s="33"/>
    </row>
    <row r="139" ht="15.75" customHeight="1">
      <c r="C139" s="33"/>
      <c r="D139" s="33"/>
      <c r="E139" s="33"/>
      <c r="F139" s="33"/>
    </row>
    <row r="140" ht="15.75" customHeight="1">
      <c r="C140" s="33"/>
      <c r="D140" s="33"/>
      <c r="E140" s="33"/>
      <c r="F140" s="33"/>
    </row>
    <row r="141" ht="15.75" customHeight="1">
      <c r="C141" s="33"/>
      <c r="D141" s="33"/>
      <c r="E141" s="33"/>
      <c r="F141" s="33"/>
    </row>
    <row r="142" ht="15.75" customHeight="1">
      <c r="C142" s="33"/>
      <c r="D142" s="33"/>
      <c r="E142" s="33"/>
      <c r="F142" s="33"/>
    </row>
    <row r="143" ht="15.75" customHeight="1">
      <c r="C143" s="33"/>
      <c r="D143" s="33"/>
      <c r="E143" s="33"/>
      <c r="F143" s="33"/>
    </row>
    <row r="144" ht="15.75" customHeight="1">
      <c r="C144" s="33"/>
      <c r="D144" s="33"/>
      <c r="E144" s="33"/>
      <c r="F144" s="33"/>
    </row>
    <row r="145" ht="15.75" customHeight="1">
      <c r="C145" s="33"/>
      <c r="D145" s="33"/>
      <c r="E145" s="33"/>
      <c r="F145" s="33"/>
    </row>
    <row r="146" ht="15.75" customHeight="1">
      <c r="C146" s="33"/>
      <c r="D146" s="33"/>
      <c r="E146" s="33"/>
      <c r="F146" s="33"/>
    </row>
    <row r="147" ht="15.75" customHeight="1">
      <c r="C147" s="33"/>
      <c r="D147" s="33"/>
      <c r="E147" s="33"/>
      <c r="F147" s="33"/>
    </row>
    <row r="148" ht="15.75" customHeight="1">
      <c r="C148" s="33"/>
      <c r="D148" s="33"/>
      <c r="E148" s="33"/>
      <c r="F148" s="33"/>
    </row>
    <row r="149" ht="15.75" customHeight="1">
      <c r="C149" s="33"/>
      <c r="D149" s="33"/>
      <c r="E149" s="33"/>
      <c r="F149" s="33"/>
    </row>
    <row r="150" ht="15.75" customHeight="1">
      <c r="C150" s="33"/>
      <c r="D150" s="33"/>
      <c r="E150" s="33"/>
      <c r="F150" s="33"/>
    </row>
    <row r="151" ht="15.75" customHeight="1">
      <c r="C151" s="33"/>
      <c r="D151" s="33"/>
      <c r="E151" s="33"/>
      <c r="F151" s="33"/>
    </row>
    <row r="152" ht="15.75" customHeight="1">
      <c r="C152" s="33"/>
      <c r="D152" s="33"/>
      <c r="E152" s="33"/>
      <c r="F152" s="33"/>
    </row>
    <row r="153" ht="15.75" customHeight="1">
      <c r="C153" s="33"/>
      <c r="D153" s="33"/>
      <c r="E153" s="33"/>
      <c r="F153" s="33"/>
    </row>
    <row r="154" ht="15.75" customHeight="1">
      <c r="C154" s="33"/>
      <c r="D154" s="33"/>
      <c r="E154" s="33"/>
      <c r="F154" s="33"/>
    </row>
    <row r="155" ht="15.75" customHeight="1">
      <c r="C155" s="33"/>
      <c r="D155" s="33"/>
      <c r="E155" s="33"/>
      <c r="F155" s="33"/>
    </row>
    <row r="156" ht="15.75" customHeight="1">
      <c r="C156" s="33"/>
      <c r="D156" s="33"/>
      <c r="E156" s="33"/>
      <c r="F156" s="33"/>
    </row>
    <row r="157" ht="15.75" customHeight="1">
      <c r="C157" s="33"/>
      <c r="D157" s="33"/>
      <c r="E157" s="33"/>
      <c r="F157" s="33"/>
    </row>
    <row r="158" ht="15.75" customHeight="1">
      <c r="C158" s="33"/>
      <c r="D158" s="33"/>
      <c r="E158" s="33"/>
      <c r="F158" s="33"/>
    </row>
    <row r="159" ht="15.75" customHeight="1">
      <c r="C159" s="33"/>
      <c r="D159" s="33"/>
      <c r="E159" s="33"/>
      <c r="F159" s="33"/>
    </row>
    <row r="160" ht="15.75" customHeight="1">
      <c r="C160" s="33"/>
      <c r="D160" s="33"/>
      <c r="E160" s="33"/>
      <c r="F160" s="33"/>
    </row>
    <row r="161" ht="15.75" customHeight="1">
      <c r="C161" s="33"/>
      <c r="D161" s="33"/>
      <c r="E161" s="33"/>
      <c r="F161" s="33"/>
    </row>
    <row r="162" ht="15.75" customHeight="1">
      <c r="C162" s="33"/>
      <c r="D162" s="33"/>
      <c r="E162" s="33"/>
      <c r="F162" s="33"/>
    </row>
    <row r="163" ht="15.75" customHeight="1">
      <c r="C163" s="33"/>
      <c r="D163" s="33"/>
      <c r="E163" s="33"/>
      <c r="F163" s="33"/>
    </row>
    <row r="164" ht="15.75" customHeight="1">
      <c r="C164" s="33"/>
      <c r="D164" s="33"/>
      <c r="E164" s="33"/>
      <c r="F164" s="33"/>
    </row>
    <row r="165" ht="15.75" customHeight="1">
      <c r="C165" s="33"/>
      <c r="D165" s="33"/>
      <c r="E165" s="33"/>
      <c r="F165" s="33"/>
    </row>
    <row r="166" ht="15.75" customHeight="1">
      <c r="C166" s="33"/>
      <c r="D166" s="33"/>
      <c r="E166" s="33"/>
      <c r="F166" s="33"/>
    </row>
    <row r="167" ht="15.75" customHeight="1">
      <c r="C167" s="33"/>
      <c r="D167" s="33"/>
      <c r="E167" s="33"/>
      <c r="F167" s="33"/>
    </row>
    <row r="168" ht="15.75" customHeight="1">
      <c r="C168" s="33"/>
      <c r="D168" s="33"/>
      <c r="E168" s="33"/>
      <c r="F168" s="33"/>
    </row>
    <row r="169" ht="15.75" customHeight="1">
      <c r="C169" s="33"/>
      <c r="D169" s="33"/>
      <c r="E169" s="33"/>
      <c r="F169" s="33"/>
    </row>
    <row r="170" ht="15.75" customHeight="1">
      <c r="C170" s="33"/>
      <c r="D170" s="33"/>
      <c r="E170" s="33"/>
      <c r="F170" s="33"/>
    </row>
    <row r="171" ht="15.75" customHeight="1">
      <c r="C171" s="33"/>
      <c r="D171" s="33"/>
      <c r="E171" s="33"/>
      <c r="F171" s="33"/>
    </row>
    <row r="172" ht="15.75" customHeight="1">
      <c r="C172" s="33"/>
      <c r="D172" s="33"/>
      <c r="E172" s="33"/>
      <c r="F172" s="33"/>
    </row>
    <row r="173" ht="15.75" customHeight="1">
      <c r="C173" s="33"/>
      <c r="D173" s="33"/>
      <c r="E173" s="33"/>
      <c r="F173" s="33"/>
    </row>
    <row r="174" ht="15.75" customHeight="1">
      <c r="C174" s="33"/>
      <c r="D174" s="33"/>
      <c r="E174" s="33"/>
      <c r="F174" s="33"/>
    </row>
    <row r="175" ht="15.75" customHeight="1">
      <c r="C175" s="33"/>
      <c r="D175" s="33"/>
      <c r="E175" s="33"/>
      <c r="F175" s="33"/>
    </row>
    <row r="176" ht="15.75" customHeight="1">
      <c r="C176" s="33"/>
      <c r="D176" s="33"/>
      <c r="E176" s="33"/>
      <c r="F176" s="33"/>
    </row>
    <row r="177" ht="15.75" customHeight="1">
      <c r="C177" s="33"/>
      <c r="D177" s="33"/>
      <c r="E177" s="33"/>
      <c r="F177" s="33"/>
    </row>
    <row r="178" ht="15.75" customHeight="1">
      <c r="C178" s="33"/>
      <c r="D178" s="33"/>
      <c r="E178" s="33"/>
      <c r="F178" s="33"/>
    </row>
    <row r="179" ht="15.75" customHeight="1">
      <c r="C179" s="33"/>
      <c r="D179" s="33"/>
      <c r="E179" s="33"/>
      <c r="F179" s="33"/>
    </row>
    <row r="180" ht="15.75" customHeight="1">
      <c r="C180" s="33"/>
      <c r="D180" s="33"/>
      <c r="E180" s="33"/>
      <c r="F180" s="33"/>
    </row>
    <row r="181" ht="15.75" customHeight="1">
      <c r="C181" s="33"/>
      <c r="D181" s="33"/>
      <c r="E181" s="33"/>
      <c r="F181" s="33"/>
    </row>
    <row r="182" ht="15.75" customHeight="1">
      <c r="C182" s="33"/>
      <c r="D182" s="33"/>
      <c r="E182" s="33"/>
      <c r="F182" s="33"/>
    </row>
    <row r="183" ht="15.75" customHeight="1">
      <c r="C183" s="33"/>
      <c r="D183" s="33"/>
      <c r="E183" s="33"/>
      <c r="F183" s="33"/>
    </row>
    <row r="184" ht="15.75" customHeight="1">
      <c r="C184" s="33"/>
      <c r="D184" s="33"/>
      <c r="E184" s="33"/>
      <c r="F184" s="33"/>
    </row>
    <row r="185" ht="15.75" customHeight="1">
      <c r="C185" s="33"/>
      <c r="D185" s="33"/>
      <c r="E185" s="33"/>
      <c r="F185" s="33"/>
    </row>
    <row r="186" ht="15.75" customHeight="1">
      <c r="C186" s="33"/>
      <c r="D186" s="33"/>
      <c r="E186" s="33"/>
      <c r="F186" s="33"/>
    </row>
    <row r="187" ht="15.75" customHeight="1">
      <c r="C187" s="33"/>
      <c r="D187" s="33"/>
      <c r="E187" s="33"/>
      <c r="F187" s="33"/>
    </row>
    <row r="188" ht="15.75" customHeight="1">
      <c r="C188" s="33"/>
      <c r="D188" s="33"/>
      <c r="E188" s="33"/>
      <c r="F188" s="33"/>
    </row>
    <row r="189" ht="15.75" customHeight="1">
      <c r="C189" s="33"/>
      <c r="D189" s="33"/>
      <c r="E189" s="33"/>
      <c r="F189" s="33"/>
    </row>
    <row r="190" ht="15.75" customHeight="1">
      <c r="C190" s="33"/>
      <c r="D190" s="33"/>
      <c r="E190" s="33"/>
      <c r="F190" s="33"/>
    </row>
    <row r="191" ht="15.75" customHeight="1">
      <c r="C191" s="33"/>
      <c r="D191" s="33"/>
      <c r="E191" s="33"/>
      <c r="F191" s="33"/>
    </row>
    <row r="192" ht="15.75" customHeight="1">
      <c r="C192" s="33"/>
      <c r="D192" s="33"/>
      <c r="E192" s="33"/>
      <c r="F192" s="33"/>
    </row>
    <row r="193" ht="15.75" customHeight="1">
      <c r="C193" s="33"/>
      <c r="D193" s="33"/>
      <c r="E193" s="33"/>
      <c r="F193" s="33"/>
    </row>
    <row r="194" ht="15.75" customHeight="1">
      <c r="C194" s="33"/>
      <c r="D194" s="33"/>
      <c r="E194" s="33"/>
      <c r="F194" s="33"/>
    </row>
    <row r="195" ht="15.75" customHeight="1">
      <c r="C195" s="33"/>
      <c r="D195" s="33"/>
      <c r="E195" s="33"/>
      <c r="F195" s="33"/>
    </row>
    <row r="196" ht="15.75" customHeight="1">
      <c r="C196" s="33"/>
      <c r="D196" s="33"/>
      <c r="E196" s="33"/>
      <c r="F196" s="33"/>
    </row>
    <row r="197" ht="15.75" customHeight="1">
      <c r="C197" s="33"/>
      <c r="D197" s="33"/>
      <c r="E197" s="33"/>
      <c r="F197" s="33"/>
    </row>
    <row r="198" ht="15.75" customHeight="1">
      <c r="C198" s="33"/>
      <c r="D198" s="33"/>
      <c r="E198" s="33"/>
      <c r="F198" s="33"/>
    </row>
    <row r="199" ht="15.75" customHeight="1">
      <c r="C199" s="33"/>
      <c r="D199" s="33"/>
      <c r="E199" s="33"/>
      <c r="F199" s="33"/>
    </row>
    <row r="200" ht="15.75" customHeight="1">
      <c r="C200" s="33"/>
      <c r="D200" s="33"/>
      <c r="E200" s="33"/>
      <c r="F200" s="33"/>
    </row>
    <row r="201" ht="15.75" customHeight="1">
      <c r="C201" s="33"/>
      <c r="D201" s="33"/>
      <c r="E201" s="33"/>
      <c r="F201" s="33"/>
    </row>
    <row r="202" ht="15.75" customHeight="1">
      <c r="C202" s="33"/>
      <c r="D202" s="33"/>
      <c r="E202" s="33"/>
      <c r="F202" s="33"/>
    </row>
    <row r="203" ht="15.75" customHeight="1">
      <c r="C203" s="33"/>
      <c r="D203" s="33"/>
      <c r="E203" s="33"/>
      <c r="F203" s="33"/>
    </row>
    <row r="204" ht="15.75" customHeight="1">
      <c r="C204" s="33"/>
      <c r="D204" s="33"/>
      <c r="E204" s="33"/>
      <c r="F204" s="33"/>
    </row>
    <row r="205" ht="15.75" customHeight="1">
      <c r="C205" s="33"/>
      <c r="D205" s="33"/>
      <c r="E205" s="33"/>
      <c r="F205" s="33"/>
    </row>
    <row r="206" ht="15.75" customHeight="1">
      <c r="C206" s="33"/>
      <c r="D206" s="33"/>
      <c r="E206" s="33"/>
      <c r="F206" s="33"/>
    </row>
    <row r="207" ht="15.75" customHeight="1">
      <c r="C207" s="33"/>
      <c r="D207" s="33"/>
      <c r="E207" s="33"/>
      <c r="F207" s="33"/>
    </row>
    <row r="208" ht="15.75" customHeight="1">
      <c r="C208" s="33"/>
      <c r="D208" s="33"/>
      <c r="E208" s="33"/>
      <c r="F208" s="33"/>
    </row>
    <row r="209" ht="15.75" customHeight="1">
      <c r="C209" s="33"/>
      <c r="D209" s="33"/>
      <c r="E209" s="33"/>
      <c r="F209" s="33"/>
    </row>
    <row r="210" ht="15.75" customHeight="1">
      <c r="C210" s="33"/>
      <c r="D210" s="33"/>
      <c r="E210" s="33"/>
      <c r="F210" s="33"/>
    </row>
    <row r="211" ht="15.75" customHeight="1">
      <c r="C211" s="33"/>
      <c r="D211" s="33"/>
      <c r="E211" s="33"/>
      <c r="F211" s="33"/>
    </row>
    <row r="212" ht="15.75" customHeight="1">
      <c r="C212" s="33"/>
      <c r="D212" s="33"/>
      <c r="E212" s="33"/>
      <c r="F212" s="33"/>
    </row>
    <row r="213" ht="15.75" customHeight="1">
      <c r="C213" s="33"/>
      <c r="D213" s="33"/>
      <c r="E213" s="33"/>
      <c r="F213" s="33"/>
    </row>
    <row r="214" ht="15.75" customHeight="1">
      <c r="C214" s="33"/>
      <c r="D214" s="33"/>
      <c r="E214" s="33"/>
      <c r="F214" s="33"/>
    </row>
    <row r="215" ht="15.75" customHeight="1">
      <c r="C215" s="33"/>
      <c r="D215" s="33"/>
      <c r="E215" s="33"/>
      <c r="F215" s="33"/>
    </row>
    <row r="216" ht="15.75" customHeight="1">
      <c r="C216" s="33"/>
      <c r="D216" s="33"/>
      <c r="E216" s="33"/>
      <c r="F216" s="33"/>
    </row>
    <row r="217" ht="15.75" customHeight="1">
      <c r="C217" s="33"/>
      <c r="D217" s="33"/>
      <c r="E217" s="33"/>
      <c r="F217" s="33"/>
    </row>
    <row r="218" ht="15.75" customHeight="1">
      <c r="C218" s="33"/>
      <c r="D218" s="33"/>
      <c r="E218" s="33"/>
      <c r="F218" s="33"/>
    </row>
    <row r="219" ht="15.75" customHeight="1">
      <c r="C219" s="33"/>
      <c r="D219" s="33"/>
      <c r="E219" s="33"/>
      <c r="F219" s="33"/>
    </row>
    <row r="220" ht="15.75" customHeight="1">
      <c r="C220" s="33"/>
      <c r="D220" s="33"/>
      <c r="E220" s="33"/>
      <c r="F220" s="33"/>
    </row>
    <row r="221" ht="15.75" customHeight="1">
      <c r="C221" s="33"/>
      <c r="D221" s="33"/>
      <c r="E221" s="33"/>
      <c r="F221" s="33"/>
    </row>
    <row r="222" ht="15.75" customHeight="1">
      <c r="C222" s="33"/>
      <c r="D222" s="33"/>
      <c r="E222" s="33"/>
      <c r="F222" s="33"/>
    </row>
    <row r="223" ht="15.75" customHeight="1">
      <c r="C223" s="33"/>
      <c r="D223" s="33"/>
      <c r="E223" s="33"/>
      <c r="F223" s="33"/>
    </row>
    <row r="224" ht="15.75" customHeight="1">
      <c r="C224" s="33"/>
      <c r="D224" s="33"/>
      <c r="E224" s="33"/>
      <c r="F224" s="33"/>
    </row>
    <row r="225" ht="15.75" customHeight="1">
      <c r="C225" s="33"/>
      <c r="D225" s="33"/>
      <c r="E225" s="33"/>
      <c r="F225" s="33"/>
    </row>
    <row r="226" ht="15.75" customHeight="1">
      <c r="C226" s="33"/>
      <c r="D226" s="33"/>
      <c r="E226" s="33"/>
      <c r="F226" s="33"/>
    </row>
    <row r="227" ht="15.75" customHeight="1">
      <c r="C227" s="33"/>
      <c r="D227" s="33"/>
      <c r="E227" s="33"/>
      <c r="F227" s="33"/>
    </row>
    <row r="228" ht="15.75" customHeight="1">
      <c r="C228" s="33"/>
      <c r="D228" s="33"/>
      <c r="E228" s="33"/>
      <c r="F228" s="33"/>
    </row>
    <row r="229" ht="15.75" customHeight="1">
      <c r="C229" s="33"/>
      <c r="D229" s="33"/>
      <c r="E229" s="33"/>
      <c r="F229" s="33"/>
    </row>
    <row r="230" ht="15.75" customHeight="1">
      <c r="C230" s="33"/>
      <c r="D230" s="33"/>
      <c r="E230" s="33"/>
      <c r="F230" s="33"/>
    </row>
    <row r="231" ht="15.75" customHeight="1">
      <c r="C231" s="33"/>
      <c r="D231" s="33"/>
      <c r="E231" s="33"/>
      <c r="F231" s="33"/>
    </row>
    <row r="232" ht="15.75" customHeight="1">
      <c r="C232" s="33"/>
      <c r="D232" s="33"/>
      <c r="E232" s="33"/>
      <c r="F232" s="33"/>
    </row>
    <row r="233" ht="15.75" customHeight="1">
      <c r="C233" s="33"/>
      <c r="D233" s="33"/>
      <c r="E233" s="33"/>
      <c r="F233" s="33"/>
    </row>
    <row r="234" ht="15.75" customHeight="1">
      <c r="C234" s="33"/>
      <c r="D234" s="33"/>
      <c r="E234" s="33"/>
      <c r="F234" s="33"/>
    </row>
    <row r="235" ht="15.75" customHeight="1">
      <c r="C235" s="33"/>
      <c r="D235" s="33"/>
      <c r="E235" s="33"/>
      <c r="F235" s="33"/>
    </row>
    <row r="236" ht="15.75" customHeight="1">
      <c r="C236" s="33"/>
      <c r="D236" s="33"/>
      <c r="E236" s="33"/>
      <c r="F236" s="33"/>
    </row>
    <row r="237" ht="15.75" customHeight="1">
      <c r="C237" s="33"/>
      <c r="D237" s="33"/>
      <c r="E237" s="33"/>
      <c r="F237" s="33"/>
    </row>
    <row r="238" ht="15.75" customHeight="1">
      <c r="C238" s="33"/>
      <c r="D238" s="33"/>
      <c r="E238" s="33"/>
      <c r="F238" s="33"/>
    </row>
    <row r="239" ht="15.75" customHeight="1">
      <c r="C239" s="33"/>
      <c r="D239" s="33"/>
      <c r="E239" s="33"/>
      <c r="F239" s="33"/>
    </row>
    <row r="240" ht="15.75" customHeight="1">
      <c r="C240" s="33"/>
      <c r="D240" s="33"/>
      <c r="E240" s="33"/>
      <c r="F240" s="33"/>
    </row>
    <row r="241" ht="15.75" customHeight="1">
      <c r="C241" s="33"/>
      <c r="D241" s="33"/>
      <c r="E241" s="33"/>
      <c r="F241" s="33"/>
    </row>
    <row r="242" ht="15.75" customHeight="1">
      <c r="C242" s="33"/>
      <c r="D242" s="33"/>
      <c r="E242" s="33"/>
      <c r="F242" s="33"/>
    </row>
    <row r="243" ht="15.75" customHeight="1">
      <c r="C243" s="33"/>
      <c r="D243" s="33"/>
      <c r="E243" s="33"/>
      <c r="F243" s="33"/>
    </row>
    <row r="244" ht="15.75" customHeight="1">
      <c r="C244" s="33"/>
      <c r="D244" s="33"/>
      <c r="E244" s="33"/>
      <c r="F244" s="33"/>
    </row>
    <row r="245" ht="15.75" customHeight="1">
      <c r="C245" s="33"/>
      <c r="D245" s="33"/>
      <c r="E245" s="33"/>
      <c r="F245" s="33"/>
    </row>
    <row r="246" ht="15.75" customHeight="1">
      <c r="C246" s="33"/>
      <c r="D246" s="33"/>
      <c r="E246" s="33"/>
      <c r="F246" s="33"/>
    </row>
    <row r="247" ht="15.75" customHeight="1">
      <c r="C247" s="33"/>
      <c r="D247" s="33"/>
      <c r="E247" s="33"/>
      <c r="F247" s="33"/>
    </row>
    <row r="248" ht="15.75" customHeight="1">
      <c r="C248" s="33"/>
      <c r="D248" s="33"/>
      <c r="E248" s="33"/>
      <c r="F248" s="33"/>
    </row>
    <row r="249" ht="15.75" customHeight="1">
      <c r="C249" s="33"/>
      <c r="D249" s="33"/>
      <c r="E249" s="33"/>
      <c r="F249" s="33"/>
    </row>
    <row r="250" ht="15.75" customHeight="1">
      <c r="C250" s="33"/>
      <c r="D250" s="33"/>
      <c r="E250" s="33"/>
      <c r="F250" s="33"/>
    </row>
    <row r="251" ht="15.75" customHeight="1">
      <c r="C251" s="33"/>
      <c r="D251" s="33"/>
      <c r="E251" s="33"/>
      <c r="F251" s="33"/>
    </row>
    <row r="252" ht="15.75" customHeight="1">
      <c r="C252" s="33"/>
      <c r="D252" s="33"/>
      <c r="E252" s="33"/>
      <c r="F252" s="33"/>
    </row>
    <row r="253" ht="15.75" customHeight="1">
      <c r="C253" s="33"/>
      <c r="D253" s="33"/>
      <c r="E253" s="33"/>
      <c r="F253" s="33"/>
    </row>
    <row r="254" ht="15.75" customHeight="1">
      <c r="C254" s="33"/>
      <c r="D254" s="33"/>
      <c r="E254" s="33"/>
      <c r="F254" s="33"/>
    </row>
    <row r="255" ht="15.75" customHeight="1">
      <c r="C255" s="33"/>
      <c r="D255" s="33"/>
      <c r="E255" s="33"/>
      <c r="F255" s="33"/>
    </row>
    <row r="256" ht="15.75" customHeight="1">
      <c r="C256" s="33"/>
      <c r="D256" s="33"/>
      <c r="E256" s="33"/>
      <c r="F256" s="33"/>
    </row>
    <row r="257" ht="15.75" customHeight="1">
      <c r="C257" s="33"/>
      <c r="D257" s="33"/>
      <c r="E257" s="33"/>
      <c r="F257" s="33"/>
    </row>
    <row r="258" ht="15.75" customHeight="1">
      <c r="C258" s="33"/>
      <c r="D258" s="33"/>
      <c r="E258" s="33"/>
      <c r="F258" s="33"/>
    </row>
    <row r="259" ht="15.75" customHeight="1">
      <c r="C259" s="33"/>
      <c r="D259" s="33"/>
      <c r="E259" s="33"/>
      <c r="F259" s="33"/>
    </row>
    <row r="260" ht="15.75" customHeight="1">
      <c r="C260" s="33"/>
      <c r="D260" s="33"/>
      <c r="E260" s="33"/>
      <c r="F260" s="33"/>
    </row>
    <row r="261" ht="15.75" customHeight="1">
      <c r="C261" s="33"/>
      <c r="D261" s="33"/>
      <c r="E261" s="33"/>
      <c r="F261" s="33"/>
    </row>
    <row r="262" ht="15.75" customHeight="1">
      <c r="C262" s="33"/>
      <c r="D262" s="33"/>
      <c r="E262" s="33"/>
      <c r="F262" s="33"/>
    </row>
    <row r="263" ht="15.75" customHeight="1">
      <c r="C263" s="33"/>
      <c r="D263" s="33"/>
      <c r="E263" s="33"/>
      <c r="F263" s="33"/>
    </row>
    <row r="264" ht="15.75" customHeight="1">
      <c r="C264" s="33"/>
      <c r="D264" s="33"/>
      <c r="E264" s="33"/>
      <c r="F264" s="33"/>
    </row>
    <row r="265" ht="15.75" customHeight="1">
      <c r="C265" s="33"/>
      <c r="D265" s="33"/>
      <c r="E265" s="33"/>
      <c r="F265" s="33"/>
    </row>
    <row r="266" ht="15.75" customHeight="1">
      <c r="C266" s="33"/>
      <c r="D266" s="33"/>
      <c r="E266" s="33"/>
      <c r="F266" s="33"/>
    </row>
    <row r="267" ht="15.75" customHeight="1">
      <c r="C267" s="33"/>
      <c r="D267" s="33"/>
      <c r="E267" s="33"/>
      <c r="F267" s="33"/>
    </row>
    <row r="268" ht="15.75" customHeight="1">
      <c r="C268" s="33"/>
      <c r="D268" s="33"/>
      <c r="E268" s="33"/>
      <c r="F268" s="33"/>
    </row>
    <row r="269" ht="15.75" customHeight="1">
      <c r="C269" s="33"/>
      <c r="D269" s="33"/>
      <c r="E269" s="33"/>
      <c r="F269" s="33"/>
    </row>
    <row r="270" ht="15.75" customHeight="1">
      <c r="C270" s="33"/>
      <c r="D270" s="33"/>
      <c r="E270" s="33"/>
      <c r="F270" s="33"/>
    </row>
    <row r="271" ht="15.75" customHeight="1">
      <c r="C271" s="33"/>
      <c r="D271" s="33"/>
      <c r="E271" s="33"/>
      <c r="F271" s="33"/>
    </row>
    <row r="272" ht="15.75" customHeight="1">
      <c r="C272" s="33"/>
      <c r="D272" s="33"/>
      <c r="E272" s="33"/>
      <c r="F272" s="33"/>
    </row>
    <row r="273" ht="15.75" customHeight="1">
      <c r="C273" s="33"/>
      <c r="D273" s="33"/>
      <c r="E273" s="33"/>
      <c r="F273" s="33"/>
    </row>
    <row r="274" ht="15.75" customHeight="1">
      <c r="C274" s="33"/>
      <c r="D274" s="33"/>
      <c r="E274" s="33"/>
      <c r="F274" s="33"/>
    </row>
    <row r="275" ht="15.75" customHeight="1">
      <c r="C275" s="33"/>
      <c r="D275" s="33"/>
      <c r="E275" s="33"/>
      <c r="F275" s="33"/>
    </row>
    <row r="276" ht="15.75" customHeight="1">
      <c r="C276" s="33"/>
      <c r="D276" s="33"/>
      <c r="E276" s="33"/>
      <c r="F276" s="33"/>
    </row>
    <row r="277" ht="15.75" customHeight="1">
      <c r="C277" s="33"/>
      <c r="D277" s="33"/>
      <c r="E277" s="33"/>
      <c r="F277" s="33"/>
    </row>
    <row r="278" ht="15.75" customHeight="1">
      <c r="C278" s="33"/>
      <c r="D278" s="33"/>
      <c r="E278" s="33"/>
      <c r="F278" s="33"/>
    </row>
    <row r="279" ht="15.75" customHeight="1">
      <c r="C279" s="33"/>
      <c r="D279" s="33"/>
      <c r="E279" s="33"/>
      <c r="F279" s="33"/>
    </row>
    <row r="280" ht="15.75" customHeight="1">
      <c r="C280" s="33"/>
      <c r="D280" s="33"/>
      <c r="E280" s="33"/>
      <c r="F280" s="33"/>
    </row>
    <row r="281" ht="15.75" customHeight="1">
      <c r="C281" s="33"/>
      <c r="D281" s="33"/>
      <c r="E281" s="33"/>
      <c r="F281" s="33"/>
    </row>
    <row r="282" ht="15.75" customHeight="1">
      <c r="C282" s="33"/>
      <c r="D282" s="33"/>
      <c r="E282" s="33"/>
      <c r="F282" s="33"/>
    </row>
    <row r="283" ht="15.75" customHeight="1">
      <c r="C283" s="33"/>
      <c r="D283" s="33"/>
      <c r="E283" s="33"/>
      <c r="F283" s="33"/>
    </row>
    <row r="284" ht="15.75" customHeight="1">
      <c r="C284" s="33"/>
      <c r="D284" s="33"/>
      <c r="E284" s="33"/>
      <c r="F284" s="33"/>
    </row>
    <row r="285" ht="15.75" customHeight="1">
      <c r="C285" s="33"/>
      <c r="D285" s="33"/>
      <c r="E285" s="33"/>
      <c r="F285" s="33"/>
    </row>
    <row r="286" ht="15.75" customHeight="1">
      <c r="C286" s="33"/>
      <c r="D286" s="33"/>
      <c r="E286" s="33"/>
      <c r="F286" s="33"/>
    </row>
    <row r="287" ht="15.75" customHeight="1">
      <c r="C287" s="33"/>
      <c r="D287" s="33"/>
      <c r="E287" s="33"/>
      <c r="F287" s="33"/>
    </row>
    <row r="288" ht="15.75" customHeight="1">
      <c r="C288" s="33"/>
      <c r="D288" s="33"/>
      <c r="E288" s="33"/>
      <c r="F288" s="33"/>
    </row>
    <row r="289" ht="15.75" customHeight="1">
      <c r="C289" s="33"/>
      <c r="D289" s="33"/>
      <c r="E289" s="33"/>
      <c r="F289" s="33"/>
    </row>
    <row r="290" ht="15.75" customHeight="1">
      <c r="C290" s="33"/>
      <c r="D290" s="33"/>
      <c r="E290" s="33"/>
      <c r="F290" s="33"/>
    </row>
    <row r="291" ht="15.75" customHeight="1">
      <c r="C291" s="33"/>
      <c r="D291" s="33"/>
      <c r="E291" s="33"/>
      <c r="F291" s="33"/>
    </row>
    <row r="292" ht="15.75" customHeight="1">
      <c r="C292" s="33"/>
      <c r="D292" s="33"/>
      <c r="E292" s="33"/>
      <c r="F292" s="33"/>
    </row>
    <row r="293" ht="15.75" customHeight="1">
      <c r="C293" s="33"/>
      <c r="D293" s="33"/>
      <c r="E293" s="33"/>
      <c r="F293" s="33"/>
    </row>
    <row r="294" ht="15.75" customHeight="1">
      <c r="C294" s="33"/>
      <c r="D294" s="33"/>
      <c r="E294" s="33"/>
      <c r="F294" s="33"/>
    </row>
    <row r="295" ht="15.75" customHeight="1">
      <c r="C295" s="33"/>
      <c r="D295" s="33"/>
      <c r="E295" s="33"/>
      <c r="F295" s="33"/>
    </row>
    <row r="296" ht="15.75" customHeight="1">
      <c r="C296" s="33"/>
      <c r="D296" s="33"/>
      <c r="E296" s="33"/>
      <c r="F296" s="33"/>
    </row>
    <row r="297" ht="15.75" customHeight="1">
      <c r="C297" s="33"/>
      <c r="D297" s="33"/>
      <c r="E297" s="33"/>
      <c r="F297" s="33"/>
    </row>
    <row r="298" ht="15.75" customHeight="1">
      <c r="C298" s="33"/>
      <c r="D298" s="33"/>
      <c r="E298" s="33"/>
      <c r="F298" s="33"/>
    </row>
    <row r="299" ht="15.75" customHeight="1">
      <c r="C299" s="33"/>
      <c r="D299" s="33"/>
      <c r="E299" s="33"/>
      <c r="F299" s="33"/>
    </row>
    <row r="300" ht="15.75" customHeight="1">
      <c r="C300" s="33"/>
      <c r="D300" s="33"/>
      <c r="E300" s="33"/>
      <c r="F300" s="33"/>
    </row>
    <row r="301" ht="15.75" customHeight="1">
      <c r="C301" s="33"/>
      <c r="D301" s="33"/>
      <c r="E301" s="33"/>
      <c r="F301" s="33"/>
    </row>
    <row r="302" ht="15.75" customHeight="1">
      <c r="C302" s="33"/>
      <c r="D302" s="33"/>
      <c r="E302" s="33"/>
      <c r="F302" s="33"/>
    </row>
    <row r="303" ht="15.75" customHeight="1">
      <c r="C303" s="33"/>
      <c r="D303" s="33"/>
      <c r="E303" s="33"/>
      <c r="F303" s="33"/>
    </row>
    <row r="304" ht="15.75" customHeight="1">
      <c r="C304" s="33"/>
      <c r="D304" s="33"/>
      <c r="E304" s="33"/>
      <c r="F304" s="33"/>
    </row>
    <row r="305" ht="15.75" customHeight="1">
      <c r="C305" s="33"/>
      <c r="D305" s="33"/>
      <c r="E305" s="33"/>
      <c r="F305" s="33"/>
    </row>
    <row r="306" ht="15.75" customHeight="1">
      <c r="C306" s="33"/>
      <c r="D306" s="33"/>
      <c r="E306" s="33"/>
      <c r="F306" s="33"/>
    </row>
    <row r="307" ht="15.75" customHeight="1">
      <c r="C307" s="33"/>
      <c r="D307" s="33"/>
      <c r="E307" s="33"/>
      <c r="F307" s="33"/>
    </row>
    <row r="308" ht="15.75" customHeight="1">
      <c r="C308" s="33"/>
      <c r="D308" s="33"/>
      <c r="E308" s="33"/>
      <c r="F308" s="33"/>
    </row>
    <row r="309" ht="15.75" customHeight="1">
      <c r="C309" s="33"/>
      <c r="D309" s="33"/>
      <c r="E309" s="33"/>
      <c r="F309" s="33"/>
    </row>
    <row r="310" ht="15.75" customHeight="1">
      <c r="C310" s="33"/>
      <c r="D310" s="33"/>
      <c r="E310" s="33"/>
      <c r="F310" s="33"/>
    </row>
    <row r="311" ht="15.75" customHeight="1">
      <c r="C311" s="33"/>
      <c r="D311" s="33"/>
      <c r="E311" s="33"/>
      <c r="F311" s="33"/>
    </row>
    <row r="312" ht="15.75" customHeight="1">
      <c r="C312" s="33"/>
      <c r="D312" s="33"/>
      <c r="E312" s="33"/>
      <c r="F312" s="33"/>
    </row>
    <row r="313" ht="15.75" customHeight="1">
      <c r="C313" s="33"/>
      <c r="D313" s="33"/>
      <c r="E313" s="33"/>
      <c r="F313" s="33"/>
    </row>
    <row r="314" ht="15.75" customHeight="1">
      <c r="C314" s="33"/>
      <c r="D314" s="33"/>
      <c r="E314" s="33"/>
      <c r="F314" s="33"/>
    </row>
    <row r="315" ht="15.75" customHeight="1">
      <c r="C315" s="33"/>
      <c r="D315" s="33"/>
      <c r="E315" s="33"/>
      <c r="F315" s="33"/>
    </row>
    <row r="316" ht="15.75" customHeight="1">
      <c r="C316" s="33"/>
      <c r="D316" s="33"/>
      <c r="E316" s="33"/>
      <c r="F316" s="33"/>
    </row>
    <row r="317" ht="15.75" customHeight="1">
      <c r="C317" s="33"/>
      <c r="D317" s="33"/>
      <c r="E317" s="33"/>
      <c r="F317" s="33"/>
    </row>
    <row r="318" ht="15.75" customHeight="1">
      <c r="C318" s="33"/>
      <c r="D318" s="33"/>
      <c r="E318" s="33"/>
      <c r="F318" s="33"/>
    </row>
    <row r="319" ht="15.75" customHeight="1">
      <c r="C319" s="33"/>
      <c r="D319" s="33"/>
      <c r="E319" s="33"/>
      <c r="F319" s="33"/>
    </row>
    <row r="320" ht="15.75" customHeight="1">
      <c r="C320" s="33"/>
      <c r="D320" s="33"/>
      <c r="E320" s="33"/>
      <c r="F320" s="33"/>
    </row>
    <row r="321" ht="15.75" customHeight="1">
      <c r="C321" s="33"/>
      <c r="D321" s="33"/>
      <c r="E321" s="33"/>
      <c r="F321" s="33"/>
    </row>
    <row r="322" ht="15.75" customHeight="1">
      <c r="C322" s="33"/>
      <c r="D322" s="33"/>
      <c r="E322" s="33"/>
      <c r="F322" s="33"/>
    </row>
    <row r="323" ht="15.75" customHeight="1">
      <c r="C323" s="33"/>
      <c r="D323" s="33"/>
      <c r="E323" s="33"/>
      <c r="F323" s="33"/>
    </row>
    <row r="324" ht="15.75" customHeight="1">
      <c r="C324" s="33"/>
      <c r="D324" s="33"/>
      <c r="E324" s="33"/>
      <c r="F324" s="33"/>
    </row>
    <row r="325" ht="15.75" customHeight="1">
      <c r="C325" s="33"/>
      <c r="D325" s="33"/>
      <c r="E325" s="33"/>
      <c r="F325" s="33"/>
    </row>
    <row r="326" ht="15.75" customHeight="1">
      <c r="C326" s="33"/>
      <c r="D326" s="33"/>
      <c r="E326" s="33"/>
      <c r="F326" s="33"/>
    </row>
    <row r="327" ht="15.75" customHeight="1">
      <c r="C327" s="33"/>
      <c r="D327" s="33"/>
      <c r="E327" s="33"/>
      <c r="F327" s="33"/>
    </row>
    <row r="328" ht="15.75" customHeight="1">
      <c r="C328" s="33"/>
      <c r="D328" s="33"/>
      <c r="E328" s="33"/>
      <c r="F328" s="33"/>
    </row>
    <row r="329" ht="15.75" customHeight="1">
      <c r="C329" s="33"/>
      <c r="D329" s="33"/>
      <c r="E329" s="33"/>
      <c r="F329" s="33"/>
    </row>
    <row r="330" ht="15.75" customHeight="1">
      <c r="C330" s="33"/>
      <c r="D330" s="33"/>
      <c r="E330" s="33"/>
      <c r="F330" s="33"/>
    </row>
    <row r="331" ht="15.75" customHeight="1">
      <c r="C331" s="33"/>
      <c r="D331" s="33"/>
      <c r="E331" s="33"/>
      <c r="F331" s="33"/>
    </row>
    <row r="332" ht="15.75" customHeight="1">
      <c r="C332" s="33"/>
      <c r="D332" s="33"/>
      <c r="E332" s="33"/>
      <c r="F332" s="33"/>
    </row>
    <row r="333" ht="15.75" customHeight="1">
      <c r="C333" s="33"/>
      <c r="D333" s="33"/>
      <c r="E333" s="33"/>
      <c r="F333" s="33"/>
    </row>
    <row r="334" ht="15.75" customHeight="1">
      <c r="C334" s="33"/>
      <c r="D334" s="33"/>
      <c r="E334" s="33"/>
      <c r="F334" s="33"/>
    </row>
    <row r="335" ht="15.75" customHeight="1">
      <c r="C335" s="33"/>
      <c r="D335" s="33"/>
      <c r="E335" s="33"/>
      <c r="F335" s="33"/>
    </row>
    <row r="336" ht="15.75" customHeight="1">
      <c r="C336" s="33"/>
      <c r="D336" s="33"/>
      <c r="E336" s="33"/>
      <c r="F336" s="33"/>
    </row>
    <row r="337" ht="15.75" customHeight="1">
      <c r="C337" s="33"/>
      <c r="D337" s="33"/>
      <c r="E337" s="33"/>
      <c r="F337" s="33"/>
    </row>
    <row r="338" ht="15.75" customHeight="1">
      <c r="C338" s="33"/>
      <c r="D338" s="33"/>
      <c r="E338" s="33"/>
      <c r="F338" s="33"/>
    </row>
    <row r="339" ht="15.75" customHeight="1">
      <c r="C339" s="33"/>
      <c r="D339" s="33"/>
      <c r="E339" s="33"/>
      <c r="F339" s="33"/>
    </row>
    <row r="340" ht="15.75" customHeight="1">
      <c r="C340" s="33"/>
      <c r="D340" s="33"/>
      <c r="E340" s="33"/>
      <c r="F340" s="33"/>
    </row>
    <row r="341" ht="15.75" customHeight="1">
      <c r="C341" s="33"/>
      <c r="D341" s="33"/>
      <c r="E341" s="33"/>
      <c r="F341" s="33"/>
    </row>
    <row r="342" ht="15.75" customHeight="1">
      <c r="C342" s="33"/>
      <c r="D342" s="33"/>
      <c r="E342" s="33"/>
      <c r="F342" s="33"/>
    </row>
    <row r="343" ht="15.75" customHeight="1">
      <c r="C343" s="33"/>
      <c r="D343" s="33"/>
      <c r="E343" s="33"/>
      <c r="F343" s="33"/>
    </row>
    <row r="344" ht="15.75" customHeight="1">
      <c r="C344" s="33"/>
      <c r="D344" s="33"/>
      <c r="E344" s="33"/>
      <c r="F344" s="33"/>
    </row>
    <row r="345" ht="15.75" customHeight="1">
      <c r="C345" s="33"/>
      <c r="D345" s="33"/>
      <c r="E345" s="33"/>
      <c r="F345" s="33"/>
    </row>
    <row r="346" ht="15.75" customHeight="1">
      <c r="C346" s="33"/>
      <c r="D346" s="33"/>
      <c r="E346" s="33"/>
      <c r="F346" s="33"/>
    </row>
    <row r="347" ht="15.75" customHeight="1">
      <c r="C347" s="33"/>
      <c r="D347" s="33"/>
      <c r="E347" s="33"/>
      <c r="F347" s="33"/>
    </row>
    <row r="348" ht="15.75" customHeight="1">
      <c r="C348" s="33"/>
      <c r="D348" s="33"/>
      <c r="E348" s="33"/>
      <c r="F348" s="33"/>
    </row>
    <row r="349" ht="15.75" customHeight="1">
      <c r="C349" s="33"/>
      <c r="D349" s="33"/>
      <c r="E349" s="33"/>
      <c r="F349" s="33"/>
    </row>
    <row r="350" ht="15.75" customHeight="1">
      <c r="C350" s="33"/>
      <c r="D350" s="33"/>
      <c r="E350" s="33"/>
      <c r="F350" s="33"/>
    </row>
    <row r="351" ht="15.75" customHeight="1">
      <c r="C351" s="33"/>
      <c r="D351" s="33"/>
      <c r="E351" s="33"/>
      <c r="F351" s="33"/>
    </row>
    <row r="352" ht="15.75" customHeight="1">
      <c r="C352" s="33"/>
      <c r="D352" s="33"/>
      <c r="E352" s="33"/>
      <c r="F352" s="33"/>
    </row>
    <row r="353" ht="15.75" customHeight="1">
      <c r="C353" s="33"/>
      <c r="D353" s="33"/>
      <c r="E353" s="33"/>
      <c r="F353" s="33"/>
    </row>
    <row r="354" ht="15.75" customHeight="1">
      <c r="C354" s="33"/>
      <c r="D354" s="33"/>
      <c r="E354" s="33"/>
      <c r="F354" s="33"/>
    </row>
    <row r="355" ht="15.75" customHeight="1">
      <c r="C355" s="33"/>
      <c r="D355" s="33"/>
      <c r="E355" s="33"/>
      <c r="F355" s="33"/>
    </row>
    <row r="356" ht="15.75" customHeight="1">
      <c r="C356" s="33"/>
      <c r="D356" s="33"/>
      <c r="E356" s="33"/>
      <c r="F356" s="33"/>
    </row>
    <row r="357" ht="15.75" customHeight="1">
      <c r="C357" s="33"/>
      <c r="D357" s="33"/>
      <c r="E357" s="33"/>
      <c r="F357" s="33"/>
    </row>
    <row r="358" ht="15.75" customHeight="1">
      <c r="C358" s="33"/>
      <c r="D358" s="33"/>
      <c r="E358" s="33"/>
      <c r="F358" s="33"/>
    </row>
    <row r="359" ht="15.75" customHeight="1">
      <c r="C359" s="33"/>
      <c r="D359" s="33"/>
      <c r="E359" s="33"/>
      <c r="F359" s="33"/>
    </row>
    <row r="360" ht="15.75" customHeight="1">
      <c r="C360" s="33"/>
      <c r="D360" s="33"/>
      <c r="E360" s="33"/>
      <c r="F360" s="33"/>
    </row>
    <row r="361" ht="15.75" customHeight="1">
      <c r="C361" s="33"/>
      <c r="D361" s="33"/>
      <c r="E361" s="33"/>
      <c r="F361" s="33"/>
    </row>
    <row r="362" ht="15.75" customHeight="1">
      <c r="C362" s="33"/>
      <c r="D362" s="33"/>
      <c r="E362" s="33"/>
      <c r="F362" s="33"/>
    </row>
    <row r="363" ht="15.75" customHeight="1">
      <c r="C363" s="33"/>
      <c r="D363" s="33"/>
      <c r="E363" s="33"/>
      <c r="F363" s="33"/>
    </row>
    <row r="364" ht="15.75" customHeight="1">
      <c r="C364" s="33"/>
      <c r="D364" s="33"/>
      <c r="E364" s="33"/>
      <c r="F364" s="33"/>
    </row>
    <row r="365" ht="15.75" customHeight="1">
      <c r="C365" s="33"/>
      <c r="D365" s="33"/>
      <c r="E365" s="33"/>
      <c r="F365" s="33"/>
    </row>
    <row r="366" ht="15.75" customHeight="1">
      <c r="C366" s="33"/>
      <c r="D366" s="33"/>
      <c r="E366" s="33"/>
      <c r="F366" s="33"/>
    </row>
    <row r="367" ht="15.75" customHeight="1">
      <c r="C367" s="33"/>
      <c r="D367" s="33"/>
      <c r="E367" s="33"/>
      <c r="F367" s="33"/>
    </row>
    <row r="368" ht="15.75" customHeight="1">
      <c r="C368" s="33"/>
      <c r="D368" s="33"/>
      <c r="E368" s="33"/>
      <c r="F368" s="33"/>
    </row>
    <row r="369" ht="15.75" customHeight="1">
      <c r="C369" s="33"/>
      <c r="D369" s="33"/>
      <c r="E369" s="33"/>
      <c r="F369" s="33"/>
    </row>
    <row r="370" ht="15.75" customHeight="1">
      <c r="C370" s="33"/>
      <c r="D370" s="33"/>
      <c r="E370" s="33"/>
      <c r="F370" s="33"/>
    </row>
    <row r="371" ht="15.75" customHeight="1">
      <c r="C371" s="33"/>
      <c r="D371" s="33"/>
      <c r="E371" s="33"/>
      <c r="F371" s="33"/>
    </row>
    <row r="372" ht="15.75" customHeight="1">
      <c r="C372" s="33"/>
      <c r="D372" s="33"/>
      <c r="E372" s="33"/>
      <c r="F372" s="33"/>
    </row>
    <row r="373" ht="15.75" customHeight="1">
      <c r="C373" s="33"/>
      <c r="D373" s="33"/>
      <c r="E373" s="33"/>
      <c r="F373" s="33"/>
    </row>
    <row r="374" ht="15.75" customHeight="1">
      <c r="C374" s="33"/>
      <c r="D374" s="33"/>
      <c r="E374" s="33"/>
      <c r="F374" s="33"/>
    </row>
    <row r="375" ht="15.75" customHeight="1">
      <c r="C375" s="33"/>
      <c r="D375" s="33"/>
      <c r="E375" s="33"/>
      <c r="F375" s="33"/>
    </row>
    <row r="376" ht="15.75" customHeight="1">
      <c r="C376" s="33"/>
      <c r="D376" s="33"/>
      <c r="E376" s="33"/>
      <c r="F376" s="33"/>
    </row>
    <row r="377" ht="15.75" customHeight="1">
      <c r="C377" s="33"/>
      <c r="D377" s="33"/>
      <c r="E377" s="33"/>
      <c r="F377" s="33"/>
    </row>
    <row r="378" ht="15.75" customHeight="1">
      <c r="C378" s="33"/>
      <c r="D378" s="33"/>
      <c r="E378" s="33"/>
      <c r="F378" s="33"/>
    </row>
    <row r="379" ht="15.75" customHeight="1">
      <c r="C379" s="33"/>
      <c r="D379" s="33"/>
      <c r="E379" s="33"/>
      <c r="F379" s="33"/>
    </row>
    <row r="380" ht="15.75" customHeight="1">
      <c r="C380" s="33"/>
      <c r="D380" s="33"/>
      <c r="E380" s="33"/>
      <c r="F380" s="33"/>
    </row>
    <row r="381" ht="15.75" customHeight="1">
      <c r="C381" s="33"/>
      <c r="D381" s="33"/>
      <c r="E381" s="33"/>
      <c r="F381" s="33"/>
    </row>
    <row r="382" ht="15.75" customHeight="1">
      <c r="C382" s="33"/>
      <c r="D382" s="33"/>
      <c r="E382" s="33"/>
      <c r="F382" s="33"/>
    </row>
    <row r="383" ht="15.75" customHeight="1">
      <c r="C383" s="33"/>
      <c r="D383" s="33"/>
      <c r="E383" s="33"/>
      <c r="F383" s="33"/>
    </row>
    <row r="384" ht="15.75" customHeight="1">
      <c r="C384" s="33"/>
      <c r="D384" s="33"/>
      <c r="E384" s="33"/>
      <c r="F384" s="33"/>
    </row>
    <row r="385" ht="15.75" customHeight="1">
      <c r="C385" s="33"/>
      <c r="D385" s="33"/>
      <c r="E385" s="33"/>
      <c r="F385" s="33"/>
    </row>
    <row r="386" ht="15.75" customHeight="1">
      <c r="C386" s="33"/>
      <c r="D386" s="33"/>
      <c r="E386" s="33"/>
      <c r="F386" s="33"/>
    </row>
    <row r="387" ht="15.75" customHeight="1">
      <c r="C387" s="33"/>
      <c r="D387" s="33"/>
      <c r="E387" s="33"/>
      <c r="F387" s="33"/>
    </row>
    <row r="388" ht="15.75" customHeight="1">
      <c r="C388" s="33"/>
      <c r="D388" s="33"/>
      <c r="E388" s="33"/>
      <c r="F388" s="33"/>
    </row>
    <row r="389" ht="15.75" customHeight="1">
      <c r="C389" s="33"/>
      <c r="D389" s="33"/>
      <c r="E389" s="33"/>
      <c r="F389" s="33"/>
    </row>
    <row r="390" ht="15.75" customHeight="1">
      <c r="C390" s="33"/>
      <c r="D390" s="33"/>
      <c r="E390" s="33"/>
      <c r="F390" s="33"/>
    </row>
    <row r="391" ht="15.75" customHeight="1">
      <c r="C391" s="33"/>
      <c r="D391" s="33"/>
      <c r="E391" s="33"/>
      <c r="F391" s="33"/>
    </row>
    <row r="392" ht="15.75" customHeight="1">
      <c r="C392" s="33"/>
      <c r="D392" s="33"/>
      <c r="E392" s="33"/>
      <c r="F392" s="33"/>
    </row>
    <row r="393" ht="15.75" customHeight="1">
      <c r="C393" s="33"/>
      <c r="D393" s="33"/>
      <c r="E393" s="33"/>
      <c r="F393" s="33"/>
    </row>
    <row r="394" ht="15.75" customHeight="1">
      <c r="C394" s="33"/>
      <c r="D394" s="33"/>
      <c r="E394" s="33"/>
      <c r="F394" s="33"/>
    </row>
    <row r="395" ht="15.75" customHeight="1">
      <c r="C395" s="33"/>
      <c r="D395" s="33"/>
      <c r="E395" s="33"/>
      <c r="F395" s="33"/>
    </row>
    <row r="396" ht="15.75" customHeight="1">
      <c r="C396" s="33"/>
      <c r="D396" s="33"/>
      <c r="E396" s="33"/>
      <c r="F396" s="33"/>
    </row>
    <row r="397" ht="15.75" customHeight="1">
      <c r="C397" s="33"/>
      <c r="D397" s="33"/>
      <c r="E397" s="33"/>
      <c r="F397" s="33"/>
    </row>
    <row r="398" ht="15.75" customHeight="1">
      <c r="C398" s="33"/>
      <c r="D398" s="33"/>
      <c r="E398" s="33"/>
      <c r="F398" s="33"/>
    </row>
    <row r="399" ht="15.75" customHeight="1">
      <c r="C399" s="33"/>
      <c r="D399" s="33"/>
      <c r="E399" s="33"/>
      <c r="F399" s="33"/>
    </row>
    <row r="400" ht="15.75" customHeight="1">
      <c r="C400" s="33"/>
      <c r="D400" s="33"/>
      <c r="E400" s="33"/>
      <c r="F400" s="33"/>
    </row>
    <row r="401" ht="15.75" customHeight="1">
      <c r="C401" s="33"/>
      <c r="D401" s="33"/>
      <c r="E401" s="33"/>
      <c r="F401" s="33"/>
    </row>
    <row r="402" ht="15.75" customHeight="1">
      <c r="C402" s="33"/>
      <c r="D402" s="33"/>
      <c r="E402" s="33"/>
      <c r="F402" s="33"/>
    </row>
    <row r="403" ht="15.75" customHeight="1">
      <c r="C403" s="33"/>
      <c r="D403" s="33"/>
      <c r="E403" s="33"/>
      <c r="F403" s="33"/>
    </row>
    <row r="404" ht="15.75" customHeight="1">
      <c r="C404" s="33"/>
      <c r="D404" s="33"/>
      <c r="E404" s="33"/>
      <c r="F404" s="33"/>
    </row>
    <row r="405" ht="15.75" customHeight="1">
      <c r="C405" s="33"/>
      <c r="D405" s="33"/>
      <c r="E405" s="33"/>
      <c r="F405" s="33"/>
    </row>
    <row r="406" ht="15.75" customHeight="1">
      <c r="C406" s="33"/>
      <c r="D406" s="33"/>
      <c r="E406" s="33"/>
      <c r="F406" s="33"/>
    </row>
    <row r="407" ht="15.75" customHeight="1">
      <c r="C407" s="33"/>
      <c r="D407" s="33"/>
      <c r="E407" s="33"/>
      <c r="F407" s="33"/>
    </row>
    <row r="408" ht="15.75" customHeight="1">
      <c r="C408" s="33"/>
      <c r="D408" s="33"/>
      <c r="E408" s="33"/>
      <c r="F408" s="33"/>
    </row>
    <row r="409" ht="15.75" customHeight="1">
      <c r="C409" s="33"/>
      <c r="D409" s="33"/>
      <c r="E409" s="33"/>
      <c r="F409" s="33"/>
    </row>
    <row r="410" ht="15.75" customHeight="1">
      <c r="C410" s="33"/>
      <c r="D410" s="33"/>
      <c r="E410" s="33"/>
      <c r="F410" s="33"/>
    </row>
    <row r="411" ht="15.75" customHeight="1">
      <c r="C411" s="33"/>
      <c r="D411" s="33"/>
      <c r="E411" s="33"/>
      <c r="F411" s="33"/>
    </row>
    <row r="412" ht="15.75" customHeight="1">
      <c r="C412" s="33"/>
      <c r="D412" s="33"/>
      <c r="E412" s="33"/>
      <c r="F412" s="33"/>
    </row>
    <row r="413" ht="15.75" customHeight="1">
      <c r="C413" s="33"/>
      <c r="D413" s="33"/>
      <c r="E413" s="33"/>
      <c r="F413" s="33"/>
    </row>
    <row r="414" ht="15.75" customHeight="1">
      <c r="C414" s="33"/>
      <c r="D414" s="33"/>
      <c r="E414" s="33"/>
      <c r="F414" s="33"/>
    </row>
    <row r="415" ht="15.75" customHeight="1">
      <c r="C415" s="33"/>
      <c r="D415" s="33"/>
      <c r="E415" s="33"/>
      <c r="F415" s="33"/>
    </row>
    <row r="416" ht="15.75" customHeight="1">
      <c r="C416" s="33"/>
      <c r="D416" s="33"/>
      <c r="E416" s="33"/>
      <c r="F416" s="33"/>
    </row>
    <row r="417" ht="15.75" customHeight="1">
      <c r="C417" s="33"/>
      <c r="D417" s="33"/>
      <c r="E417" s="33"/>
      <c r="F417" s="33"/>
    </row>
    <row r="418" ht="15.75" customHeight="1">
      <c r="C418" s="33"/>
      <c r="D418" s="33"/>
      <c r="E418" s="33"/>
      <c r="F418" s="33"/>
    </row>
    <row r="419" ht="15.75" customHeight="1">
      <c r="C419" s="33"/>
      <c r="D419" s="33"/>
      <c r="E419" s="33"/>
      <c r="F419" s="33"/>
    </row>
    <row r="420" ht="15.75" customHeight="1">
      <c r="C420" s="33"/>
      <c r="D420" s="33"/>
      <c r="E420" s="33"/>
      <c r="F420" s="33"/>
    </row>
    <row r="421" ht="15.75" customHeight="1">
      <c r="C421" s="33"/>
      <c r="D421" s="33"/>
      <c r="E421" s="33"/>
      <c r="F421" s="33"/>
    </row>
    <row r="422" ht="15.75" customHeight="1">
      <c r="C422" s="33"/>
      <c r="D422" s="33"/>
      <c r="E422" s="33"/>
      <c r="F422" s="33"/>
    </row>
    <row r="423" ht="15.75" customHeight="1">
      <c r="C423" s="33"/>
      <c r="D423" s="33"/>
      <c r="E423" s="33"/>
      <c r="F423" s="33"/>
    </row>
    <row r="424" ht="15.75" customHeight="1">
      <c r="C424" s="33"/>
      <c r="D424" s="33"/>
      <c r="E424" s="33"/>
      <c r="F424" s="33"/>
    </row>
    <row r="425" ht="15.75" customHeight="1">
      <c r="C425" s="33"/>
      <c r="D425" s="33"/>
      <c r="E425" s="33"/>
      <c r="F425" s="33"/>
    </row>
    <row r="426" ht="15.75" customHeight="1">
      <c r="C426" s="33"/>
      <c r="D426" s="33"/>
      <c r="E426" s="33"/>
      <c r="F426" s="33"/>
    </row>
    <row r="427" ht="15.75" customHeight="1">
      <c r="C427" s="33"/>
      <c r="D427" s="33"/>
      <c r="E427" s="33"/>
      <c r="F427" s="33"/>
    </row>
    <row r="428" ht="15.75" customHeight="1">
      <c r="C428" s="33"/>
      <c r="D428" s="33"/>
      <c r="E428" s="33"/>
      <c r="F428" s="33"/>
    </row>
    <row r="429" ht="15.75" customHeight="1">
      <c r="C429" s="33"/>
      <c r="D429" s="33"/>
      <c r="E429" s="33"/>
      <c r="F429" s="33"/>
    </row>
    <row r="430" ht="15.75" customHeight="1">
      <c r="C430" s="33"/>
      <c r="D430" s="33"/>
      <c r="E430" s="33"/>
      <c r="F430" s="33"/>
    </row>
    <row r="431" ht="15.75" customHeight="1">
      <c r="C431" s="33"/>
      <c r="D431" s="33"/>
      <c r="E431" s="33"/>
      <c r="F431" s="33"/>
    </row>
    <row r="432" ht="15.75" customHeight="1">
      <c r="C432" s="33"/>
      <c r="D432" s="33"/>
      <c r="E432" s="33"/>
      <c r="F432" s="33"/>
    </row>
    <row r="433" ht="15.75" customHeight="1">
      <c r="C433" s="33"/>
      <c r="D433" s="33"/>
      <c r="E433" s="33"/>
      <c r="F433" s="33"/>
    </row>
    <row r="434" ht="15.75" customHeight="1">
      <c r="C434" s="33"/>
      <c r="D434" s="33"/>
      <c r="E434" s="33"/>
      <c r="F434" s="33"/>
    </row>
    <row r="435" ht="15.75" customHeight="1">
      <c r="C435" s="33"/>
      <c r="D435" s="33"/>
      <c r="E435" s="33"/>
      <c r="F435" s="33"/>
    </row>
    <row r="436" ht="15.75" customHeight="1">
      <c r="C436" s="33"/>
      <c r="D436" s="33"/>
      <c r="E436" s="33"/>
      <c r="F436" s="33"/>
    </row>
    <row r="437" ht="15.75" customHeight="1">
      <c r="C437" s="33"/>
      <c r="D437" s="33"/>
      <c r="E437" s="33"/>
      <c r="F437" s="33"/>
    </row>
    <row r="438" ht="15.75" customHeight="1">
      <c r="C438" s="33"/>
      <c r="D438" s="33"/>
      <c r="E438" s="33"/>
      <c r="F438" s="33"/>
    </row>
    <row r="439" ht="15.75" customHeight="1">
      <c r="C439" s="33"/>
      <c r="D439" s="33"/>
      <c r="E439" s="33"/>
      <c r="F439" s="33"/>
    </row>
    <row r="440" ht="15.75" customHeight="1">
      <c r="C440" s="33"/>
      <c r="D440" s="33"/>
      <c r="E440" s="33"/>
      <c r="F440" s="33"/>
    </row>
    <row r="441" ht="15.75" customHeight="1">
      <c r="C441" s="33"/>
      <c r="D441" s="33"/>
      <c r="E441" s="33"/>
      <c r="F441" s="33"/>
    </row>
    <row r="442" ht="15.75" customHeight="1">
      <c r="C442" s="33"/>
      <c r="D442" s="33"/>
      <c r="E442" s="33"/>
      <c r="F442" s="33"/>
    </row>
    <row r="443" ht="15.75" customHeight="1">
      <c r="C443" s="33"/>
      <c r="D443" s="33"/>
      <c r="E443" s="33"/>
      <c r="F443" s="33"/>
    </row>
    <row r="444" ht="15.75" customHeight="1">
      <c r="C444" s="33"/>
      <c r="D444" s="33"/>
      <c r="E444" s="33"/>
      <c r="F444" s="33"/>
    </row>
    <row r="445" ht="15.75" customHeight="1">
      <c r="C445" s="33"/>
      <c r="D445" s="33"/>
      <c r="E445" s="33"/>
      <c r="F445" s="33"/>
    </row>
    <row r="446" ht="15.75" customHeight="1">
      <c r="C446" s="33"/>
      <c r="D446" s="33"/>
      <c r="E446" s="33"/>
      <c r="F446" s="33"/>
    </row>
    <row r="447" ht="15.75" customHeight="1">
      <c r="C447" s="33"/>
      <c r="D447" s="33"/>
      <c r="E447" s="33"/>
      <c r="F447" s="33"/>
    </row>
    <row r="448" ht="15.75" customHeight="1">
      <c r="C448" s="33"/>
      <c r="D448" s="33"/>
      <c r="E448" s="33"/>
      <c r="F448" s="33"/>
    </row>
    <row r="449" ht="15.75" customHeight="1">
      <c r="C449" s="33"/>
      <c r="D449" s="33"/>
      <c r="E449" s="33"/>
      <c r="F449" s="33"/>
    </row>
    <row r="450" ht="15.75" customHeight="1">
      <c r="C450" s="33"/>
      <c r="D450" s="33"/>
      <c r="E450" s="33"/>
      <c r="F450" s="33"/>
    </row>
    <row r="451" ht="15.75" customHeight="1">
      <c r="C451" s="33"/>
      <c r="D451" s="33"/>
      <c r="E451" s="33"/>
      <c r="F451" s="33"/>
    </row>
    <row r="452" ht="15.75" customHeight="1">
      <c r="C452" s="33"/>
      <c r="D452" s="33"/>
      <c r="E452" s="33"/>
      <c r="F452" s="33"/>
    </row>
    <row r="453" ht="15.75" customHeight="1">
      <c r="C453" s="33"/>
      <c r="D453" s="33"/>
      <c r="E453" s="33"/>
      <c r="F453" s="33"/>
    </row>
    <row r="454" ht="15.75" customHeight="1">
      <c r="C454" s="33"/>
      <c r="D454" s="33"/>
      <c r="E454" s="33"/>
      <c r="F454" s="33"/>
    </row>
    <row r="455" ht="15.75" customHeight="1">
      <c r="C455" s="33"/>
      <c r="D455" s="33"/>
      <c r="E455" s="33"/>
      <c r="F455" s="33"/>
    </row>
    <row r="456" ht="15.75" customHeight="1">
      <c r="C456" s="33"/>
      <c r="D456" s="33"/>
      <c r="E456" s="33"/>
      <c r="F456" s="33"/>
    </row>
    <row r="457" ht="15.75" customHeight="1">
      <c r="C457" s="33"/>
      <c r="D457" s="33"/>
      <c r="E457" s="33"/>
      <c r="F457" s="33"/>
    </row>
    <row r="458" ht="15.75" customHeight="1">
      <c r="C458" s="33"/>
      <c r="D458" s="33"/>
      <c r="E458" s="33"/>
      <c r="F458" s="33"/>
    </row>
    <row r="459" ht="15.75" customHeight="1">
      <c r="C459" s="33"/>
      <c r="D459" s="33"/>
      <c r="E459" s="33"/>
      <c r="F459" s="33"/>
    </row>
    <row r="460" ht="15.75" customHeight="1">
      <c r="C460" s="33"/>
      <c r="D460" s="33"/>
      <c r="E460" s="33"/>
      <c r="F460" s="33"/>
    </row>
    <row r="461" ht="15.75" customHeight="1">
      <c r="C461" s="33"/>
      <c r="D461" s="33"/>
      <c r="E461" s="33"/>
      <c r="F461" s="33"/>
    </row>
    <row r="462" ht="15.75" customHeight="1">
      <c r="C462" s="33"/>
      <c r="D462" s="33"/>
      <c r="E462" s="33"/>
      <c r="F462" s="33"/>
    </row>
    <row r="463" ht="15.75" customHeight="1">
      <c r="C463" s="33"/>
      <c r="D463" s="33"/>
      <c r="E463" s="33"/>
      <c r="F463" s="33"/>
    </row>
    <row r="464" ht="15.75" customHeight="1">
      <c r="C464" s="33"/>
      <c r="D464" s="33"/>
      <c r="E464" s="33"/>
      <c r="F464" s="33"/>
    </row>
    <row r="465" ht="15.75" customHeight="1">
      <c r="C465" s="33"/>
      <c r="D465" s="33"/>
      <c r="E465" s="33"/>
      <c r="F465" s="33"/>
    </row>
    <row r="466" ht="15.75" customHeight="1">
      <c r="C466" s="33"/>
      <c r="D466" s="33"/>
      <c r="E466" s="33"/>
      <c r="F466" s="33"/>
    </row>
    <row r="467" ht="15.75" customHeight="1">
      <c r="C467" s="33"/>
      <c r="D467" s="33"/>
      <c r="E467" s="33"/>
      <c r="F467" s="33"/>
    </row>
    <row r="468" ht="15.75" customHeight="1">
      <c r="C468" s="33"/>
      <c r="D468" s="33"/>
      <c r="E468" s="33"/>
      <c r="F468" s="33"/>
    </row>
    <row r="469" ht="15.75" customHeight="1">
      <c r="C469" s="33"/>
      <c r="D469" s="33"/>
      <c r="E469" s="33"/>
      <c r="F469" s="33"/>
    </row>
    <row r="470" ht="15.75" customHeight="1">
      <c r="C470" s="33"/>
      <c r="D470" s="33"/>
      <c r="E470" s="33"/>
      <c r="F470" s="33"/>
    </row>
    <row r="471" ht="15.75" customHeight="1">
      <c r="C471" s="33"/>
      <c r="D471" s="33"/>
      <c r="E471" s="33"/>
      <c r="F471" s="33"/>
    </row>
    <row r="472" ht="15.75" customHeight="1">
      <c r="C472" s="33"/>
      <c r="D472" s="33"/>
      <c r="E472" s="33"/>
      <c r="F472" s="33"/>
    </row>
    <row r="473" ht="15.75" customHeight="1">
      <c r="C473" s="33"/>
      <c r="D473" s="33"/>
      <c r="E473" s="33"/>
      <c r="F473" s="33"/>
    </row>
    <row r="474" ht="15.75" customHeight="1">
      <c r="C474" s="33"/>
      <c r="D474" s="33"/>
      <c r="E474" s="33"/>
      <c r="F474" s="33"/>
    </row>
    <row r="475" ht="15.75" customHeight="1">
      <c r="C475" s="33"/>
      <c r="D475" s="33"/>
      <c r="E475" s="33"/>
      <c r="F475" s="33"/>
    </row>
    <row r="476" ht="15.75" customHeight="1">
      <c r="C476" s="33"/>
      <c r="D476" s="33"/>
      <c r="E476" s="33"/>
      <c r="F476" s="33"/>
    </row>
    <row r="477" ht="15.75" customHeight="1">
      <c r="C477" s="33"/>
      <c r="D477" s="33"/>
      <c r="E477" s="33"/>
      <c r="F477" s="33"/>
    </row>
    <row r="478" ht="15.75" customHeight="1">
      <c r="C478" s="33"/>
      <c r="D478" s="33"/>
      <c r="E478" s="33"/>
      <c r="F478" s="33"/>
    </row>
    <row r="479" ht="15.75" customHeight="1">
      <c r="C479" s="33"/>
      <c r="D479" s="33"/>
      <c r="E479" s="33"/>
      <c r="F479" s="33"/>
    </row>
    <row r="480" ht="15.75" customHeight="1">
      <c r="C480" s="33"/>
      <c r="D480" s="33"/>
      <c r="E480" s="33"/>
      <c r="F480" s="33"/>
    </row>
    <row r="481" ht="15.75" customHeight="1">
      <c r="C481" s="33"/>
      <c r="D481" s="33"/>
      <c r="E481" s="33"/>
      <c r="F481" s="33"/>
    </row>
    <row r="482" ht="15.75" customHeight="1">
      <c r="C482" s="33"/>
      <c r="D482" s="33"/>
      <c r="E482" s="33"/>
      <c r="F482" s="33"/>
    </row>
    <row r="483" ht="15.75" customHeight="1">
      <c r="C483" s="33"/>
      <c r="D483" s="33"/>
      <c r="E483" s="33"/>
      <c r="F483" s="33"/>
    </row>
    <row r="484" ht="15.75" customHeight="1">
      <c r="C484" s="33"/>
      <c r="D484" s="33"/>
      <c r="E484" s="33"/>
      <c r="F484" s="33"/>
    </row>
    <row r="485" ht="15.75" customHeight="1">
      <c r="C485" s="33"/>
      <c r="D485" s="33"/>
      <c r="E485" s="33"/>
      <c r="F485" s="33"/>
    </row>
    <row r="486" ht="15.75" customHeight="1">
      <c r="C486" s="33"/>
      <c r="D486" s="33"/>
      <c r="E486" s="33"/>
      <c r="F486" s="33"/>
    </row>
    <row r="487" ht="15.75" customHeight="1">
      <c r="C487" s="33"/>
      <c r="D487" s="33"/>
      <c r="E487" s="33"/>
      <c r="F487" s="33"/>
    </row>
    <row r="488" ht="15.75" customHeight="1">
      <c r="C488" s="33"/>
      <c r="D488" s="33"/>
      <c r="E488" s="33"/>
      <c r="F488" s="33"/>
    </row>
    <row r="489" ht="15.75" customHeight="1">
      <c r="C489" s="33"/>
      <c r="D489" s="33"/>
      <c r="E489" s="33"/>
      <c r="F489" s="33"/>
    </row>
    <row r="490" ht="15.75" customHeight="1">
      <c r="C490" s="33"/>
      <c r="D490" s="33"/>
      <c r="E490" s="33"/>
      <c r="F490" s="33"/>
    </row>
    <row r="491" ht="15.75" customHeight="1">
      <c r="C491" s="33"/>
      <c r="D491" s="33"/>
      <c r="E491" s="33"/>
      <c r="F491" s="33"/>
    </row>
    <row r="492" ht="15.75" customHeight="1">
      <c r="C492" s="33"/>
      <c r="D492" s="33"/>
      <c r="E492" s="33"/>
      <c r="F492" s="33"/>
    </row>
    <row r="493" ht="15.75" customHeight="1">
      <c r="C493" s="33"/>
      <c r="D493" s="33"/>
      <c r="E493" s="33"/>
      <c r="F493" s="33"/>
    </row>
    <row r="494" ht="15.75" customHeight="1">
      <c r="C494" s="33"/>
      <c r="D494" s="33"/>
      <c r="E494" s="33"/>
      <c r="F494" s="33"/>
    </row>
    <row r="495" ht="15.75" customHeight="1">
      <c r="C495" s="33"/>
      <c r="D495" s="33"/>
      <c r="E495" s="33"/>
      <c r="F495" s="33"/>
    </row>
    <row r="496" ht="15.75" customHeight="1">
      <c r="C496" s="33"/>
      <c r="D496" s="33"/>
      <c r="E496" s="33"/>
      <c r="F496" s="33"/>
    </row>
    <row r="497" ht="15.75" customHeight="1">
      <c r="C497" s="33"/>
      <c r="D497" s="33"/>
      <c r="E497" s="33"/>
      <c r="F497" s="33"/>
    </row>
    <row r="498" ht="15.75" customHeight="1">
      <c r="C498" s="33"/>
      <c r="D498" s="33"/>
      <c r="E498" s="33"/>
      <c r="F498" s="33"/>
    </row>
    <row r="499" ht="15.75" customHeight="1">
      <c r="C499" s="33"/>
      <c r="D499" s="33"/>
      <c r="E499" s="33"/>
      <c r="F499" s="33"/>
    </row>
    <row r="500" ht="15.75" customHeight="1">
      <c r="C500" s="33"/>
      <c r="D500" s="33"/>
      <c r="E500" s="33"/>
      <c r="F500" s="33"/>
    </row>
    <row r="501" ht="15.75" customHeight="1">
      <c r="C501" s="33"/>
      <c r="D501" s="33"/>
      <c r="E501" s="33"/>
      <c r="F501" s="33"/>
    </row>
    <row r="502" ht="15.75" customHeight="1">
      <c r="C502" s="33"/>
      <c r="D502" s="33"/>
      <c r="E502" s="33"/>
      <c r="F502" s="33"/>
    </row>
    <row r="503" ht="15.75" customHeight="1">
      <c r="C503" s="33"/>
      <c r="D503" s="33"/>
      <c r="E503" s="33"/>
      <c r="F503" s="33"/>
    </row>
    <row r="504" ht="15.75" customHeight="1">
      <c r="C504" s="33"/>
      <c r="D504" s="33"/>
      <c r="E504" s="33"/>
      <c r="F504" s="33"/>
    </row>
    <row r="505" ht="15.75" customHeight="1">
      <c r="C505" s="33"/>
      <c r="D505" s="33"/>
      <c r="E505" s="33"/>
      <c r="F505" s="33"/>
    </row>
    <row r="506" ht="15.75" customHeight="1">
      <c r="C506" s="33"/>
      <c r="D506" s="33"/>
      <c r="E506" s="33"/>
      <c r="F506" s="33"/>
    </row>
    <row r="507" ht="15.75" customHeight="1">
      <c r="C507" s="33"/>
      <c r="D507" s="33"/>
      <c r="E507" s="33"/>
      <c r="F507" s="33"/>
    </row>
    <row r="508" ht="15.75" customHeight="1">
      <c r="C508" s="33"/>
      <c r="D508" s="33"/>
      <c r="E508" s="33"/>
      <c r="F508" s="33"/>
    </row>
    <row r="509" ht="15.75" customHeight="1">
      <c r="C509" s="33"/>
      <c r="D509" s="33"/>
      <c r="E509" s="33"/>
      <c r="F509" s="33"/>
    </row>
    <row r="510" ht="15.75" customHeight="1">
      <c r="C510" s="33"/>
      <c r="D510" s="33"/>
      <c r="E510" s="33"/>
      <c r="F510" s="33"/>
    </row>
    <row r="511" ht="15.75" customHeight="1">
      <c r="C511" s="33"/>
      <c r="D511" s="33"/>
      <c r="E511" s="33"/>
      <c r="F511" s="33"/>
    </row>
    <row r="512" ht="15.75" customHeight="1">
      <c r="C512" s="33"/>
      <c r="D512" s="33"/>
      <c r="E512" s="33"/>
      <c r="F512" s="33"/>
    </row>
    <row r="513" ht="15.75" customHeight="1">
      <c r="C513" s="33"/>
      <c r="D513" s="33"/>
      <c r="E513" s="33"/>
      <c r="F513" s="33"/>
    </row>
    <row r="514" ht="15.75" customHeight="1">
      <c r="C514" s="33"/>
      <c r="D514" s="33"/>
      <c r="E514" s="33"/>
      <c r="F514" s="33"/>
    </row>
    <row r="515" ht="15.75" customHeight="1">
      <c r="C515" s="33"/>
      <c r="D515" s="33"/>
      <c r="E515" s="33"/>
      <c r="F515" s="33"/>
    </row>
    <row r="516" ht="15.75" customHeight="1">
      <c r="C516" s="33"/>
      <c r="D516" s="33"/>
      <c r="E516" s="33"/>
      <c r="F516" s="33"/>
    </row>
    <row r="517" ht="15.75" customHeight="1">
      <c r="C517" s="33"/>
      <c r="D517" s="33"/>
      <c r="E517" s="33"/>
      <c r="F517" s="33"/>
    </row>
    <row r="518" ht="15.75" customHeight="1">
      <c r="C518" s="33"/>
      <c r="D518" s="33"/>
      <c r="E518" s="33"/>
      <c r="F518" s="33"/>
    </row>
    <row r="519" ht="15.75" customHeight="1">
      <c r="C519" s="33"/>
      <c r="D519" s="33"/>
      <c r="E519" s="33"/>
      <c r="F519" s="33"/>
    </row>
    <row r="520" ht="15.75" customHeight="1">
      <c r="C520" s="33"/>
      <c r="D520" s="33"/>
      <c r="E520" s="33"/>
      <c r="F520" s="33"/>
    </row>
    <row r="521" ht="15.75" customHeight="1">
      <c r="C521" s="33"/>
      <c r="D521" s="33"/>
      <c r="E521" s="33"/>
      <c r="F521" s="33"/>
    </row>
    <row r="522" ht="15.75" customHeight="1">
      <c r="C522" s="33"/>
      <c r="D522" s="33"/>
      <c r="E522" s="33"/>
      <c r="F522" s="33"/>
    </row>
    <row r="523" ht="15.75" customHeight="1">
      <c r="C523" s="33"/>
      <c r="D523" s="33"/>
      <c r="E523" s="33"/>
      <c r="F523" s="33"/>
    </row>
    <row r="524" ht="15.75" customHeight="1">
      <c r="C524" s="33"/>
      <c r="D524" s="33"/>
      <c r="E524" s="33"/>
      <c r="F524" s="33"/>
    </row>
    <row r="525" ht="15.75" customHeight="1">
      <c r="C525" s="33"/>
      <c r="D525" s="33"/>
      <c r="E525" s="33"/>
      <c r="F525" s="33"/>
    </row>
    <row r="526" ht="15.75" customHeight="1">
      <c r="C526" s="33"/>
      <c r="D526" s="33"/>
      <c r="E526" s="33"/>
      <c r="F526" s="33"/>
    </row>
    <row r="527" ht="15.75" customHeight="1">
      <c r="C527" s="33"/>
      <c r="D527" s="33"/>
      <c r="E527" s="33"/>
      <c r="F527" s="33"/>
    </row>
    <row r="528" ht="15.75" customHeight="1">
      <c r="C528" s="33"/>
      <c r="D528" s="33"/>
      <c r="E528" s="33"/>
      <c r="F528" s="33"/>
    </row>
    <row r="529" ht="15.75" customHeight="1">
      <c r="C529" s="33"/>
      <c r="D529" s="33"/>
      <c r="E529" s="33"/>
      <c r="F529" s="33"/>
    </row>
    <row r="530" ht="15.75" customHeight="1">
      <c r="C530" s="33"/>
      <c r="D530" s="33"/>
      <c r="E530" s="33"/>
      <c r="F530" s="33"/>
    </row>
    <row r="531" ht="15.75" customHeight="1">
      <c r="C531" s="33"/>
      <c r="D531" s="33"/>
      <c r="E531" s="33"/>
      <c r="F531" s="33"/>
    </row>
    <row r="532" ht="15.75" customHeight="1">
      <c r="C532" s="33"/>
      <c r="D532" s="33"/>
      <c r="E532" s="33"/>
      <c r="F532" s="33"/>
    </row>
    <row r="533" ht="15.75" customHeight="1">
      <c r="C533" s="33"/>
      <c r="D533" s="33"/>
      <c r="E533" s="33"/>
      <c r="F533" s="33"/>
    </row>
    <row r="534" ht="15.75" customHeight="1">
      <c r="C534" s="33"/>
      <c r="D534" s="33"/>
      <c r="E534" s="33"/>
      <c r="F534" s="33"/>
    </row>
    <row r="535" ht="15.75" customHeight="1">
      <c r="C535" s="33"/>
      <c r="D535" s="33"/>
      <c r="E535" s="33"/>
      <c r="F535" s="33"/>
    </row>
    <row r="536" ht="15.75" customHeight="1">
      <c r="C536" s="33"/>
      <c r="D536" s="33"/>
      <c r="E536" s="33"/>
      <c r="F536" s="33"/>
    </row>
    <row r="537" ht="15.75" customHeight="1">
      <c r="C537" s="33"/>
      <c r="D537" s="33"/>
      <c r="E537" s="33"/>
      <c r="F537" s="33"/>
    </row>
    <row r="538" ht="15.75" customHeight="1">
      <c r="C538" s="33"/>
      <c r="D538" s="33"/>
      <c r="E538" s="33"/>
      <c r="F538" s="33"/>
    </row>
    <row r="539" ht="15.75" customHeight="1">
      <c r="C539" s="33"/>
      <c r="D539" s="33"/>
      <c r="E539" s="33"/>
      <c r="F539" s="33"/>
    </row>
    <row r="540" ht="15.75" customHeight="1">
      <c r="C540" s="33"/>
      <c r="D540" s="33"/>
      <c r="E540" s="33"/>
      <c r="F540" s="33"/>
    </row>
    <row r="541" ht="15.75" customHeight="1">
      <c r="C541" s="33"/>
      <c r="D541" s="33"/>
      <c r="E541" s="33"/>
      <c r="F541" s="33"/>
    </row>
    <row r="542" ht="15.75" customHeight="1">
      <c r="C542" s="33"/>
      <c r="D542" s="33"/>
      <c r="E542" s="33"/>
      <c r="F542" s="33"/>
    </row>
    <row r="543" ht="15.75" customHeight="1">
      <c r="C543" s="33"/>
      <c r="D543" s="33"/>
      <c r="E543" s="33"/>
      <c r="F543" s="33"/>
    </row>
    <row r="544" ht="15.75" customHeight="1">
      <c r="C544" s="33"/>
      <c r="D544" s="33"/>
      <c r="E544" s="33"/>
      <c r="F544" s="33"/>
    </row>
    <row r="545" ht="15.75" customHeight="1">
      <c r="C545" s="33"/>
      <c r="D545" s="33"/>
      <c r="E545" s="33"/>
      <c r="F545" s="33"/>
    </row>
    <row r="546" ht="15.75" customHeight="1">
      <c r="C546" s="33"/>
      <c r="D546" s="33"/>
      <c r="E546" s="33"/>
      <c r="F546" s="33"/>
    </row>
    <row r="547" ht="15.75" customHeight="1">
      <c r="C547" s="33"/>
      <c r="D547" s="33"/>
      <c r="E547" s="33"/>
      <c r="F547" s="33"/>
    </row>
    <row r="548" ht="15.75" customHeight="1">
      <c r="C548" s="33"/>
      <c r="D548" s="33"/>
      <c r="E548" s="33"/>
      <c r="F548" s="33"/>
    </row>
    <row r="549" ht="15.75" customHeight="1">
      <c r="C549" s="33"/>
      <c r="D549" s="33"/>
      <c r="E549" s="33"/>
      <c r="F549" s="33"/>
    </row>
    <row r="550" ht="15.75" customHeight="1">
      <c r="C550" s="33"/>
      <c r="D550" s="33"/>
      <c r="E550" s="33"/>
      <c r="F550" s="33"/>
    </row>
    <row r="551" ht="15.75" customHeight="1">
      <c r="C551" s="33"/>
      <c r="D551" s="33"/>
      <c r="E551" s="33"/>
      <c r="F551" s="33"/>
    </row>
    <row r="552" ht="15.75" customHeight="1">
      <c r="C552" s="33"/>
      <c r="D552" s="33"/>
      <c r="E552" s="33"/>
      <c r="F552" s="33"/>
    </row>
    <row r="553" ht="15.75" customHeight="1">
      <c r="C553" s="33"/>
      <c r="D553" s="33"/>
      <c r="E553" s="33"/>
      <c r="F553" s="33"/>
    </row>
    <row r="554" ht="15.75" customHeight="1">
      <c r="C554" s="33"/>
      <c r="D554" s="33"/>
      <c r="E554" s="33"/>
      <c r="F554" s="33"/>
    </row>
    <row r="555" ht="15.75" customHeight="1">
      <c r="C555" s="33"/>
      <c r="D555" s="33"/>
      <c r="E555" s="33"/>
      <c r="F555" s="33"/>
    </row>
    <row r="556" ht="15.75" customHeight="1">
      <c r="C556" s="33"/>
      <c r="D556" s="33"/>
      <c r="E556" s="33"/>
      <c r="F556" s="33"/>
    </row>
    <row r="557" ht="15.75" customHeight="1">
      <c r="C557" s="33"/>
      <c r="D557" s="33"/>
      <c r="E557" s="33"/>
      <c r="F557" s="33"/>
    </row>
    <row r="558" ht="15.75" customHeight="1">
      <c r="C558" s="33"/>
      <c r="D558" s="33"/>
      <c r="E558" s="33"/>
      <c r="F558" s="33"/>
    </row>
    <row r="559" ht="15.75" customHeight="1">
      <c r="C559" s="33"/>
      <c r="D559" s="33"/>
      <c r="E559" s="33"/>
      <c r="F559" s="33"/>
    </row>
    <row r="560" ht="15.75" customHeight="1">
      <c r="C560" s="33"/>
      <c r="D560" s="33"/>
      <c r="E560" s="33"/>
      <c r="F560" s="33"/>
    </row>
    <row r="561" ht="15.75" customHeight="1">
      <c r="C561" s="33"/>
      <c r="D561" s="33"/>
      <c r="E561" s="33"/>
      <c r="F561" s="33"/>
    </row>
    <row r="562" ht="15.75" customHeight="1">
      <c r="C562" s="33"/>
      <c r="D562" s="33"/>
      <c r="E562" s="33"/>
      <c r="F562" s="33"/>
    </row>
    <row r="563" ht="15.75" customHeight="1">
      <c r="C563" s="33"/>
      <c r="D563" s="33"/>
      <c r="E563" s="33"/>
      <c r="F563" s="33"/>
    </row>
    <row r="564" ht="15.75" customHeight="1">
      <c r="C564" s="33"/>
      <c r="D564" s="33"/>
      <c r="E564" s="33"/>
      <c r="F564" s="33"/>
    </row>
    <row r="565" ht="15.75" customHeight="1">
      <c r="C565" s="33"/>
      <c r="D565" s="33"/>
      <c r="E565" s="33"/>
      <c r="F565" s="33"/>
    </row>
    <row r="566" ht="15.75" customHeight="1">
      <c r="C566" s="33"/>
      <c r="D566" s="33"/>
      <c r="E566" s="33"/>
      <c r="F566" s="33"/>
    </row>
    <row r="567" ht="15.75" customHeight="1">
      <c r="C567" s="33"/>
      <c r="D567" s="33"/>
      <c r="E567" s="33"/>
      <c r="F567" s="33"/>
    </row>
    <row r="568" ht="15.75" customHeight="1">
      <c r="C568" s="33"/>
      <c r="D568" s="33"/>
      <c r="E568" s="33"/>
      <c r="F568" s="33"/>
    </row>
    <row r="569" ht="15.75" customHeight="1">
      <c r="C569" s="33"/>
      <c r="D569" s="33"/>
      <c r="E569" s="33"/>
      <c r="F569" s="33"/>
    </row>
    <row r="570" ht="15.75" customHeight="1">
      <c r="C570" s="33"/>
      <c r="D570" s="33"/>
      <c r="E570" s="33"/>
      <c r="F570" s="33"/>
    </row>
    <row r="571" ht="15.75" customHeight="1">
      <c r="C571" s="33"/>
      <c r="D571" s="33"/>
      <c r="E571" s="33"/>
      <c r="F571" s="33"/>
    </row>
    <row r="572" ht="15.75" customHeight="1">
      <c r="C572" s="33"/>
      <c r="D572" s="33"/>
      <c r="E572" s="33"/>
      <c r="F572" s="33"/>
    </row>
    <row r="573" ht="15.75" customHeight="1">
      <c r="C573" s="33"/>
      <c r="D573" s="33"/>
      <c r="E573" s="33"/>
      <c r="F573" s="33"/>
    </row>
    <row r="574" ht="15.75" customHeight="1">
      <c r="C574" s="33"/>
      <c r="D574" s="33"/>
      <c r="E574" s="33"/>
      <c r="F574" s="33"/>
    </row>
    <row r="575" ht="15.75" customHeight="1">
      <c r="C575" s="33"/>
      <c r="D575" s="33"/>
      <c r="E575" s="33"/>
      <c r="F575" s="33"/>
    </row>
    <row r="576" ht="15.75" customHeight="1">
      <c r="C576" s="33"/>
      <c r="D576" s="33"/>
      <c r="E576" s="33"/>
      <c r="F576" s="33"/>
    </row>
    <row r="577" ht="15.75" customHeight="1">
      <c r="C577" s="33"/>
      <c r="D577" s="33"/>
      <c r="E577" s="33"/>
      <c r="F577" s="33"/>
    </row>
    <row r="578" ht="15.75" customHeight="1">
      <c r="C578" s="33"/>
      <c r="D578" s="33"/>
      <c r="E578" s="33"/>
      <c r="F578" s="33"/>
    </row>
    <row r="579" ht="15.75" customHeight="1">
      <c r="C579" s="33"/>
      <c r="D579" s="33"/>
      <c r="E579" s="33"/>
      <c r="F579" s="33"/>
    </row>
    <row r="580" ht="15.75" customHeight="1">
      <c r="C580" s="33"/>
      <c r="D580" s="33"/>
      <c r="E580" s="33"/>
      <c r="F580" s="33"/>
    </row>
    <row r="581" ht="15.75" customHeight="1">
      <c r="C581" s="33"/>
      <c r="D581" s="33"/>
      <c r="E581" s="33"/>
      <c r="F581" s="33"/>
    </row>
    <row r="582" ht="15.75" customHeight="1">
      <c r="C582" s="33"/>
      <c r="D582" s="33"/>
      <c r="E582" s="33"/>
      <c r="F582" s="33"/>
    </row>
    <row r="583" ht="15.75" customHeight="1">
      <c r="C583" s="33"/>
      <c r="D583" s="33"/>
      <c r="E583" s="33"/>
      <c r="F583" s="33"/>
    </row>
    <row r="584" ht="15.75" customHeight="1">
      <c r="C584" s="33"/>
      <c r="D584" s="33"/>
      <c r="E584" s="33"/>
      <c r="F584" s="33"/>
    </row>
    <row r="585" ht="15.75" customHeight="1">
      <c r="C585" s="33"/>
      <c r="D585" s="33"/>
      <c r="E585" s="33"/>
      <c r="F585" s="33"/>
    </row>
    <row r="586" ht="15.75" customHeight="1">
      <c r="C586" s="33"/>
      <c r="D586" s="33"/>
      <c r="E586" s="33"/>
      <c r="F586" s="33"/>
    </row>
    <row r="587" ht="15.75" customHeight="1">
      <c r="C587" s="33"/>
      <c r="D587" s="33"/>
      <c r="E587" s="33"/>
      <c r="F587" s="33"/>
    </row>
    <row r="588" ht="15.75" customHeight="1">
      <c r="C588" s="33"/>
      <c r="D588" s="33"/>
      <c r="E588" s="33"/>
      <c r="F588" s="33"/>
    </row>
    <row r="589" ht="15.75" customHeight="1">
      <c r="C589" s="33"/>
      <c r="D589" s="33"/>
      <c r="E589" s="33"/>
      <c r="F589" s="33"/>
    </row>
    <row r="590" ht="15.75" customHeight="1">
      <c r="C590" s="33"/>
      <c r="D590" s="33"/>
      <c r="E590" s="33"/>
      <c r="F590" s="33"/>
    </row>
    <row r="591" ht="15.75" customHeight="1">
      <c r="C591" s="33"/>
      <c r="D591" s="33"/>
      <c r="E591" s="33"/>
      <c r="F591" s="33"/>
    </row>
    <row r="592" ht="15.75" customHeight="1">
      <c r="C592" s="33"/>
      <c r="D592" s="33"/>
      <c r="E592" s="33"/>
      <c r="F592" s="33"/>
    </row>
    <row r="593" ht="15.75" customHeight="1">
      <c r="C593" s="33"/>
      <c r="D593" s="33"/>
      <c r="E593" s="33"/>
      <c r="F593" s="33"/>
    </row>
    <row r="594" ht="15.75" customHeight="1">
      <c r="C594" s="33"/>
      <c r="D594" s="33"/>
      <c r="E594" s="33"/>
      <c r="F594" s="33"/>
    </row>
    <row r="595" ht="15.75" customHeight="1">
      <c r="C595" s="33"/>
      <c r="D595" s="33"/>
      <c r="E595" s="33"/>
      <c r="F595" s="33"/>
    </row>
    <row r="596" ht="15.75" customHeight="1">
      <c r="C596" s="33"/>
      <c r="D596" s="33"/>
      <c r="E596" s="33"/>
      <c r="F596" s="33"/>
    </row>
    <row r="597" ht="15.75" customHeight="1">
      <c r="C597" s="33"/>
      <c r="D597" s="33"/>
      <c r="E597" s="33"/>
      <c r="F597" s="33"/>
    </row>
    <row r="598" ht="15.75" customHeight="1">
      <c r="C598" s="33"/>
      <c r="D598" s="33"/>
      <c r="E598" s="33"/>
      <c r="F598" s="33"/>
    </row>
    <row r="599" ht="15.75" customHeight="1">
      <c r="C599" s="33"/>
      <c r="D599" s="33"/>
      <c r="E599" s="33"/>
      <c r="F599" s="33"/>
    </row>
    <row r="600" ht="15.75" customHeight="1">
      <c r="C600" s="33"/>
      <c r="D600" s="33"/>
      <c r="E600" s="33"/>
      <c r="F600" s="33"/>
    </row>
    <row r="601" ht="15.75" customHeight="1">
      <c r="C601" s="33"/>
      <c r="D601" s="33"/>
      <c r="E601" s="33"/>
      <c r="F601" s="33"/>
    </row>
    <row r="602" ht="15.75" customHeight="1">
      <c r="C602" s="33"/>
      <c r="D602" s="33"/>
      <c r="E602" s="33"/>
      <c r="F602" s="33"/>
    </row>
    <row r="603" ht="15.75" customHeight="1">
      <c r="C603" s="33"/>
      <c r="D603" s="33"/>
      <c r="E603" s="33"/>
      <c r="F603" s="33"/>
    </row>
    <row r="604" ht="15.75" customHeight="1">
      <c r="C604" s="33"/>
      <c r="D604" s="33"/>
      <c r="E604" s="33"/>
      <c r="F604" s="33"/>
    </row>
    <row r="605" ht="15.75" customHeight="1">
      <c r="C605" s="33"/>
      <c r="D605" s="33"/>
      <c r="E605" s="33"/>
      <c r="F605" s="33"/>
    </row>
    <row r="606" ht="15.75" customHeight="1">
      <c r="C606" s="33"/>
      <c r="D606" s="33"/>
      <c r="E606" s="33"/>
      <c r="F606" s="33"/>
    </row>
    <row r="607" ht="15.75" customHeight="1">
      <c r="C607" s="33"/>
      <c r="D607" s="33"/>
      <c r="E607" s="33"/>
      <c r="F607" s="33"/>
    </row>
    <row r="608" ht="15.75" customHeight="1">
      <c r="C608" s="33"/>
      <c r="D608" s="33"/>
      <c r="E608" s="33"/>
      <c r="F608" s="33"/>
    </row>
    <row r="609" ht="15.75" customHeight="1">
      <c r="C609" s="33"/>
      <c r="D609" s="33"/>
      <c r="E609" s="33"/>
      <c r="F609" s="33"/>
    </row>
    <row r="610" ht="15.75" customHeight="1">
      <c r="C610" s="33"/>
      <c r="D610" s="33"/>
      <c r="E610" s="33"/>
      <c r="F610" s="33"/>
    </row>
    <row r="611" ht="15.75" customHeight="1">
      <c r="C611" s="33"/>
      <c r="D611" s="33"/>
      <c r="E611" s="33"/>
      <c r="F611" s="33"/>
    </row>
    <row r="612" ht="15.75" customHeight="1">
      <c r="C612" s="33"/>
      <c r="D612" s="33"/>
      <c r="E612" s="33"/>
      <c r="F612" s="33"/>
    </row>
    <row r="613" ht="15.75" customHeight="1">
      <c r="C613" s="33"/>
      <c r="D613" s="33"/>
      <c r="E613" s="33"/>
      <c r="F613" s="33"/>
    </row>
    <row r="614" ht="15.75" customHeight="1">
      <c r="C614" s="33"/>
      <c r="D614" s="33"/>
      <c r="E614" s="33"/>
      <c r="F614" s="33"/>
    </row>
    <row r="615" ht="15.75" customHeight="1">
      <c r="C615" s="33"/>
      <c r="D615" s="33"/>
      <c r="E615" s="33"/>
      <c r="F615" s="33"/>
    </row>
    <row r="616" ht="15.75" customHeight="1">
      <c r="C616" s="33"/>
      <c r="D616" s="33"/>
      <c r="E616" s="33"/>
      <c r="F616" s="33"/>
    </row>
    <row r="617" ht="15.75" customHeight="1">
      <c r="C617" s="33"/>
      <c r="D617" s="33"/>
      <c r="E617" s="33"/>
      <c r="F617" s="33"/>
    </row>
    <row r="618" ht="15.75" customHeight="1">
      <c r="C618" s="33"/>
      <c r="D618" s="33"/>
      <c r="E618" s="33"/>
      <c r="F618" s="33"/>
    </row>
    <row r="619" ht="15.75" customHeight="1">
      <c r="C619" s="33"/>
      <c r="D619" s="33"/>
      <c r="E619" s="33"/>
      <c r="F619" s="33"/>
    </row>
    <row r="620" ht="15.75" customHeight="1">
      <c r="C620" s="33"/>
      <c r="D620" s="33"/>
      <c r="E620" s="33"/>
      <c r="F620" s="33"/>
    </row>
    <row r="621" ht="15.75" customHeight="1">
      <c r="C621" s="33"/>
      <c r="D621" s="33"/>
      <c r="E621" s="33"/>
      <c r="F621" s="33"/>
    </row>
    <row r="622" ht="15.75" customHeight="1">
      <c r="C622" s="33"/>
      <c r="D622" s="33"/>
      <c r="E622" s="33"/>
      <c r="F622" s="33"/>
    </row>
    <row r="623" ht="15.75" customHeight="1">
      <c r="C623" s="33"/>
      <c r="D623" s="33"/>
      <c r="E623" s="33"/>
      <c r="F623" s="33"/>
    </row>
    <row r="624" ht="15.75" customHeight="1">
      <c r="C624" s="33"/>
      <c r="D624" s="33"/>
      <c r="E624" s="33"/>
      <c r="F624" s="33"/>
    </row>
    <row r="625" ht="15.75" customHeight="1">
      <c r="C625" s="33"/>
      <c r="D625" s="33"/>
      <c r="E625" s="33"/>
      <c r="F625" s="33"/>
    </row>
    <row r="626" ht="15.75" customHeight="1">
      <c r="C626" s="33"/>
      <c r="D626" s="33"/>
      <c r="E626" s="33"/>
      <c r="F626" s="33"/>
    </row>
    <row r="627" ht="15.75" customHeight="1">
      <c r="C627" s="33"/>
      <c r="D627" s="33"/>
      <c r="E627" s="33"/>
      <c r="F627" s="33"/>
    </row>
    <row r="628" ht="15.75" customHeight="1">
      <c r="C628" s="33"/>
      <c r="D628" s="33"/>
      <c r="E628" s="33"/>
      <c r="F628" s="33"/>
    </row>
    <row r="629" ht="15.75" customHeight="1">
      <c r="C629" s="33"/>
      <c r="D629" s="33"/>
      <c r="E629" s="33"/>
      <c r="F629" s="33"/>
    </row>
    <row r="630" ht="15.75" customHeight="1">
      <c r="C630" s="33"/>
      <c r="D630" s="33"/>
      <c r="E630" s="33"/>
      <c r="F630" s="33"/>
    </row>
    <row r="631" ht="15.75" customHeight="1">
      <c r="C631" s="33"/>
      <c r="D631" s="33"/>
      <c r="E631" s="33"/>
      <c r="F631" s="33"/>
    </row>
    <row r="632" ht="15.75" customHeight="1">
      <c r="C632" s="33"/>
      <c r="D632" s="33"/>
      <c r="E632" s="33"/>
      <c r="F632" s="33"/>
    </row>
    <row r="633" ht="15.75" customHeight="1">
      <c r="C633" s="33"/>
      <c r="D633" s="33"/>
      <c r="E633" s="33"/>
      <c r="F633" s="33"/>
    </row>
    <row r="634" ht="15.75" customHeight="1">
      <c r="C634" s="33"/>
      <c r="D634" s="33"/>
      <c r="E634" s="33"/>
      <c r="F634" s="33"/>
    </row>
    <row r="635" ht="15.75" customHeight="1">
      <c r="C635" s="33"/>
      <c r="D635" s="33"/>
      <c r="E635" s="33"/>
      <c r="F635" s="33"/>
    </row>
    <row r="636" ht="15.75" customHeight="1">
      <c r="C636" s="33"/>
      <c r="D636" s="33"/>
      <c r="E636" s="33"/>
      <c r="F636" s="33"/>
    </row>
    <row r="637" ht="15.75" customHeight="1">
      <c r="C637" s="33"/>
      <c r="D637" s="33"/>
      <c r="E637" s="33"/>
      <c r="F637" s="33"/>
    </row>
    <row r="638" ht="15.75" customHeight="1">
      <c r="C638" s="33"/>
      <c r="D638" s="33"/>
      <c r="E638" s="33"/>
      <c r="F638" s="33"/>
    </row>
    <row r="639" ht="15.75" customHeight="1">
      <c r="C639" s="33"/>
      <c r="D639" s="33"/>
      <c r="E639" s="33"/>
      <c r="F639" s="33"/>
    </row>
    <row r="640" ht="15.75" customHeight="1">
      <c r="C640" s="33"/>
      <c r="D640" s="33"/>
      <c r="E640" s="33"/>
      <c r="F640" s="33"/>
    </row>
    <row r="641" ht="15.75" customHeight="1">
      <c r="C641" s="33"/>
      <c r="D641" s="33"/>
      <c r="E641" s="33"/>
      <c r="F641" s="33"/>
    </row>
    <row r="642" ht="15.75" customHeight="1">
      <c r="C642" s="33"/>
      <c r="D642" s="33"/>
      <c r="E642" s="33"/>
      <c r="F642" s="33"/>
    </row>
    <row r="643" ht="15.75" customHeight="1">
      <c r="C643" s="33"/>
      <c r="D643" s="33"/>
      <c r="E643" s="33"/>
      <c r="F643" s="33"/>
    </row>
    <row r="644" ht="15.75" customHeight="1">
      <c r="C644" s="33"/>
      <c r="D644" s="33"/>
      <c r="E644" s="33"/>
      <c r="F644" s="33"/>
    </row>
    <row r="645" ht="15.75" customHeight="1">
      <c r="C645" s="33"/>
      <c r="D645" s="33"/>
      <c r="E645" s="33"/>
      <c r="F645" s="33"/>
    </row>
    <row r="646" ht="15.75" customHeight="1">
      <c r="C646" s="33"/>
      <c r="D646" s="33"/>
      <c r="E646" s="33"/>
      <c r="F646" s="33"/>
    </row>
    <row r="647" ht="15.75" customHeight="1">
      <c r="C647" s="33"/>
      <c r="D647" s="33"/>
      <c r="E647" s="33"/>
      <c r="F647" s="33"/>
    </row>
    <row r="648" ht="15.75" customHeight="1">
      <c r="C648" s="33"/>
      <c r="D648" s="33"/>
      <c r="E648" s="33"/>
      <c r="F648" s="33"/>
    </row>
    <row r="649" ht="15.75" customHeight="1">
      <c r="C649" s="33"/>
      <c r="D649" s="33"/>
      <c r="E649" s="33"/>
      <c r="F649" s="33"/>
    </row>
    <row r="650" ht="15.75" customHeight="1">
      <c r="C650" s="33"/>
      <c r="D650" s="33"/>
      <c r="E650" s="33"/>
      <c r="F650" s="33"/>
    </row>
    <row r="651" ht="15.75" customHeight="1">
      <c r="C651" s="33"/>
      <c r="D651" s="33"/>
      <c r="E651" s="33"/>
      <c r="F651" s="33"/>
    </row>
    <row r="652" ht="15.75" customHeight="1">
      <c r="C652" s="33"/>
      <c r="D652" s="33"/>
      <c r="E652" s="33"/>
      <c r="F652" s="33"/>
    </row>
    <row r="653" ht="15.75" customHeight="1">
      <c r="C653" s="33"/>
      <c r="D653" s="33"/>
      <c r="E653" s="33"/>
      <c r="F653" s="33"/>
    </row>
    <row r="654" ht="15.75" customHeight="1">
      <c r="C654" s="33"/>
      <c r="D654" s="33"/>
      <c r="E654" s="33"/>
      <c r="F654" s="33"/>
    </row>
    <row r="655" ht="15.75" customHeight="1">
      <c r="C655" s="33"/>
      <c r="D655" s="33"/>
      <c r="E655" s="33"/>
      <c r="F655" s="33"/>
    </row>
    <row r="656" ht="15.75" customHeight="1">
      <c r="C656" s="33"/>
      <c r="D656" s="33"/>
      <c r="E656" s="33"/>
      <c r="F656" s="33"/>
    </row>
    <row r="657" ht="15.75" customHeight="1">
      <c r="C657" s="33"/>
      <c r="D657" s="33"/>
      <c r="E657" s="33"/>
      <c r="F657" s="33"/>
    </row>
    <row r="658" ht="15.75" customHeight="1">
      <c r="C658" s="33"/>
      <c r="D658" s="33"/>
      <c r="E658" s="33"/>
      <c r="F658" s="33"/>
    </row>
    <row r="659" ht="15.75" customHeight="1">
      <c r="C659" s="33"/>
      <c r="D659" s="33"/>
      <c r="E659" s="33"/>
      <c r="F659" s="33"/>
    </row>
    <row r="660" ht="15.75" customHeight="1">
      <c r="C660" s="33"/>
      <c r="D660" s="33"/>
      <c r="E660" s="33"/>
      <c r="F660" s="33"/>
    </row>
    <row r="661" ht="15.75" customHeight="1">
      <c r="C661" s="33"/>
      <c r="D661" s="33"/>
      <c r="E661" s="33"/>
      <c r="F661" s="33"/>
    </row>
    <row r="662" ht="15.75" customHeight="1">
      <c r="C662" s="33"/>
      <c r="D662" s="33"/>
      <c r="E662" s="33"/>
      <c r="F662" s="33"/>
    </row>
    <row r="663" ht="15.75" customHeight="1">
      <c r="C663" s="33"/>
      <c r="D663" s="33"/>
      <c r="E663" s="33"/>
      <c r="F663" s="33"/>
    </row>
    <row r="664" ht="15.75" customHeight="1">
      <c r="C664" s="33"/>
      <c r="D664" s="33"/>
      <c r="E664" s="33"/>
      <c r="F664" s="33"/>
    </row>
    <row r="665" ht="15.75" customHeight="1">
      <c r="C665" s="33"/>
      <c r="D665" s="33"/>
      <c r="E665" s="33"/>
      <c r="F665" s="33"/>
    </row>
    <row r="666" ht="15.75" customHeight="1">
      <c r="C666" s="33"/>
      <c r="D666" s="33"/>
      <c r="E666" s="33"/>
      <c r="F666" s="33"/>
    </row>
    <row r="667" ht="15.75" customHeight="1">
      <c r="C667" s="33"/>
      <c r="D667" s="33"/>
      <c r="E667" s="33"/>
      <c r="F667" s="33"/>
    </row>
    <row r="668" ht="15.75" customHeight="1">
      <c r="C668" s="33"/>
      <c r="D668" s="33"/>
      <c r="E668" s="33"/>
      <c r="F668" s="33"/>
    </row>
    <row r="669" ht="15.75" customHeight="1">
      <c r="C669" s="33"/>
      <c r="D669" s="33"/>
      <c r="E669" s="33"/>
      <c r="F669" s="33"/>
    </row>
    <row r="670" ht="15.75" customHeight="1">
      <c r="C670" s="33"/>
      <c r="D670" s="33"/>
      <c r="E670" s="33"/>
      <c r="F670" s="33"/>
    </row>
    <row r="671" ht="15.75" customHeight="1">
      <c r="C671" s="33"/>
      <c r="D671" s="33"/>
      <c r="E671" s="33"/>
      <c r="F671" s="33"/>
    </row>
    <row r="672" ht="15.75" customHeight="1">
      <c r="C672" s="33"/>
      <c r="D672" s="33"/>
      <c r="E672" s="33"/>
      <c r="F672" s="33"/>
    </row>
    <row r="673" ht="15.75" customHeight="1">
      <c r="C673" s="33"/>
      <c r="D673" s="33"/>
      <c r="E673" s="33"/>
      <c r="F673" s="33"/>
    </row>
    <row r="674" ht="15.75" customHeight="1">
      <c r="C674" s="33"/>
      <c r="D674" s="33"/>
      <c r="E674" s="33"/>
      <c r="F674" s="33"/>
    </row>
    <row r="675" ht="15.75" customHeight="1">
      <c r="C675" s="33"/>
      <c r="D675" s="33"/>
      <c r="E675" s="33"/>
      <c r="F675" s="33"/>
    </row>
    <row r="676" ht="15.75" customHeight="1">
      <c r="C676" s="33"/>
      <c r="D676" s="33"/>
      <c r="E676" s="33"/>
      <c r="F676" s="33"/>
    </row>
    <row r="677" ht="15.75" customHeight="1">
      <c r="C677" s="33"/>
      <c r="D677" s="33"/>
      <c r="E677" s="33"/>
      <c r="F677" s="33"/>
    </row>
    <row r="678" ht="15.75" customHeight="1">
      <c r="C678" s="33"/>
      <c r="D678" s="33"/>
      <c r="E678" s="33"/>
      <c r="F678" s="33"/>
    </row>
    <row r="679" ht="15.75" customHeight="1">
      <c r="C679" s="33"/>
      <c r="D679" s="33"/>
      <c r="E679" s="33"/>
      <c r="F679" s="33"/>
    </row>
    <row r="680" ht="15.75" customHeight="1">
      <c r="C680" s="33"/>
      <c r="D680" s="33"/>
      <c r="E680" s="33"/>
      <c r="F680" s="33"/>
    </row>
    <row r="681" ht="15.75" customHeight="1">
      <c r="C681" s="33"/>
      <c r="D681" s="33"/>
      <c r="E681" s="33"/>
      <c r="F681" s="33"/>
    </row>
    <row r="682" ht="15.75" customHeight="1">
      <c r="C682" s="33"/>
      <c r="D682" s="33"/>
      <c r="E682" s="33"/>
      <c r="F682" s="33"/>
    </row>
    <row r="683" ht="15.75" customHeight="1">
      <c r="C683" s="33"/>
      <c r="D683" s="33"/>
      <c r="E683" s="33"/>
      <c r="F683" s="33"/>
    </row>
    <row r="684" ht="15.75" customHeight="1">
      <c r="C684" s="33"/>
      <c r="D684" s="33"/>
      <c r="E684" s="33"/>
      <c r="F684" s="33"/>
    </row>
    <row r="685" ht="15.75" customHeight="1">
      <c r="C685" s="33"/>
      <c r="D685" s="33"/>
      <c r="E685" s="33"/>
      <c r="F685" s="33"/>
    </row>
    <row r="686" ht="15.75" customHeight="1">
      <c r="C686" s="33"/>
      <c r="D686" s="33"/>
      <c r="E686" s="33"/>
      <c r="F686" s="33"/>
    </row>
    <row r="687" ht="15.75" customHeight="1">
      <c r="C687" s="33"/>
      <c r="D687" s="33"/>
      <c r="E687" s="33"/>
      <c r="F687" s="33"/>
    </row>
    <row r="688" ht="15.75" customHeight="1">
      <c r="C688" s="33"/>
      <c r="D688" s="33"/>
      <c r="E688" s="33"/>
      <c r="F688" s="33"/>
    </row>
    <row r="689" ht="15.75" customHeight="1">
      <c r="C689" s="33"/>
      <c r="D689" s="33"/>
      <c r="E689" s="33"/>
      <c r="F689" s="33"/>
    </row>
    <row r="690" ht="15.75" customHeight="1">
      <c r="C690" s="33"/>
      <c r="D690" s="33"/>
      <c r="E690" s="33"/>
      <c r="F690" s="33"/>
    </row>
    <row r="691" ht="15.75" customHeight="1">
      <c r="C691" s="33"/>
      <c r="D691" s="33"/>
      <c r="E691" s="33"/>
      <c r="F691" s="33"/>
    </row>
    <row r="692" ht="15.75" customHeight="1">
      <c r="C692" s="33"/>
      <c r="D692" s="33"/>
      <c r="E692" s="33"/>
      <c r="F692" s="33"/>
    </row>
    <row r="693" ht="15.75" customHeight="1">
      <c r="C693" s="33"/>
      <c r="D693" s="33"/>
      <c r="E693" s="33"/>
      <c r="F693" s="33"/>
    </row>
    <row r="694" ht="15.75" customHeight="1">
      <c r="C694" s="33"/>
      <c r="D694" s="33"/>
      <c r="E694" s="33"/>
      <c r="F694" s="33"/>
    </row>
    <row r="695" ht="15.75" customHeight="1">
      <c r="C695" s="33"/>
      <c r="D695" s="33"/>
      <c r="E695" s="33"/>
      <c r="F695" s="33"/>
    </row>
    <row r="696" ht="15.75" customHeight="1">
      <c r="C696" s="33"/>
      <c r="D696" s="33"/>
      <c r="E696" s="33"/>
      <c r="F696" s="33"/>
    </row>
    <row r="697" ht="15.75" customHeight="1">
      <c r="C697" s="33"/>
      <c r="D697" s="33"/>
      <c r="E697" s="33"/>
      <c r="F697" s="33"/>
    </row>
    <row r="698" ht="15.75" customHeight="1">
      <c r="C698" s="33"/>
      <c r="D698" s="33"/>
      <c r="E698" s="33"/>
      <c r="F698" s="33"/>
    </row>
    <row r="699" ht="15.75" customHeight="1">
      <c r="C699" s="33"/>
      <c r="D699" s="33"/>
      <c r="E699" s="33"/>
      <c r="F699" s="33"/>
    </row>
    <row r="700" ht="15.75" customHeight="1">
      <c r="C700" s="33"/>
      <c r="D700" s="33"/>
      <c r="E700" s="33"/>
      <c r="F700" s="33"/>
    </row>
    <row r="701" ht="15.75" customHeight="1">
      <c r="C701" s="33"/>
      <c r="D701" s="33"/>
      <c r="E701" s="33"/>
      <c r="F701" s="33"/>
    </row>
    <row r="702" ht="15.75" customHeight="1">
      <c r="C702" s="33"/>
      <c r="D702" s="33"/>
      <c r="E702" s="33"/>
      <c r="F702" s="33"/>
    </row>
    <row r="703" ht="15.75" customHeight="1">
      <c r="C703" s="33"/>
      <c r="D703" s="33"/>
      <c r="E703" s="33"/>
      <c r="F703" s="33"/>
    </row>
    <row r="704" ht="15.75" customHeight="1">
      <c r="C704" s="33"/>
      <c r="D704" s="33"/>
      <c r="E704" s="33"/>
      <c r="F704" s="33"/>
    </row>
    <row r="705" ht="15.75" customHeight="1">
      <c r="C705" s="33"/>
      <c r="D705" s="33"/>
      <c r="E705" s="33"/>
      <c r="F705" s="33"/>
    </row>
    <row r="706" ht="15.75" customHeight="1">
      <c r="C706" s="33"/>
      <c r="D706" s="33"/>
      <c r="E706" s="33"/>
      <c r="F706" s="33"/>
    </row>
    <row r="707" ht="15.75" customHeight="1">
      <c r="C707" s="33"/>
      <c r="D707" s="33"/>
      <c r="E707" s="33"/>
      <c r="F707" s="33"/>
    </row>
    <row r="708" ht="15.75" customHeight="1">
      <c r="C708" s="33"/>
      <c r="D708" s="33"/>
      <c r="E708" s="33"/>
      <c r="F708" s="33"/>
    </row>
    <row r="709" ht="15.75" customHeight="1">
      <c r="C709" s="33"/>
      <c r="D709" s="33"/>
      <c r="E709" s="33"/>
      <c r="F709" s="33"/>
    </row>
    <row r="710" ht="15.75" customHeight="1">
      <c r="C710" s="33"/>
      <c r="D710" s="33"/>
      <c r="E710" s="33"/>
      <c r="F710" s="33"/>
    </row>
    <row r="711" ht="15.75" customHeight="1">
      <c r="C711" s="33"/>
      <c r="D711" s="33"/>
      <c r="E711" s="33"/>
      <c r="F711" s="33"/>
    </row>
    <row r="712" ht="15.75" customHeight="1">
      <c r="C712" s="33"/>
      <c r="D712" s="33"/>
      <c r="E712" s="33"/>
      <c r="F712" s="33"/>
    </row>
    <row r="713" ht="15.75" customHeight="1">
      <c r="C713" s="33"/>
      <c r="D713" s="33"/>
      <c r="E713" s="33"/>
      <c r="F713" s="33"/>
    </row>
    <row r="714" ht="15.75" customHeight="1">
      <c r="C714" s="33"/>
      <c r="D714" s="33"/>
      <c r="E714" s="33"/>
      <c r="F714" s="33"/>
    </row>
    <row r="715" ht="15.75" customHeight="1">
      <c r="C715" s="33"/>
      <c r="D715" s="33"/>
      <c r="E715" s="33"/>
      <c r="F715" s="33"/>
    </row>
    <row r="716" ht="15.75" customHeight="1">
      <c r="C716" s="33"/>
      <c r="D716" s="33"/>
      <c r="E716" s="33"/>
      <c r="F716" s="33"/>
    </row>
    <row r="717" ht="15.75" customHeight="1">
      <c r="C717" s="33"/>
      <c r="D717" s="33"/>
      <c r="E717" s="33"/>
      <c r="F717" s="33"/>
    </row>
    <row r="718" ht="15.75" customHeight="1">
      <c r="C718" s="33"/>
      <c r="D718" s="33"/>
      <c r="E718" s="33"/>
      <c r="F718" s="33"/>
    </row>
    <row r="719" ht="15.75" customHeight="1">
      <c r="C719" s="33"/>
      <c r="D719" s="33"/>
      <c r="E719" s="33"/>
      <c r="F719" s="33"/>
    </row>
    <row r="720" ht="15.75" customHeight="1">
      <c r="C720" s="33"/>
      <c r="D720" s="33"/>
      <c r="E720" s="33"/>
      <c r="F720" s="33"/>
    </row>
    <row r="721" ht="15.75" customHeight="1">
      <c r="C721" s="33"/>
      <c r="D721" s="33"/>
      <c r="E721" s="33"/>
      <c r="F721" s="33"/>
    </row>
    <row r="722" ht="15.75" customHeight="1">
      <c r="C722" s="33"/>
      <c r="D722" s="33"/>
      <c r="E722" s="33"/>
      <c r="F722" s="33"/>
    </row>
    <row r="723" ht="15.75" customHeight="1">
      <c r="C723" s="33"/>
      <c r="D723" s="33"/>
      <c r="E723" s="33"/>
      <c r="F723" s="33"/>
    </row>
    <row r="724" ht="15.75" customHeight="1">
      <c r="C724" s="33"/>
      <c r="D724" s="33"/>
      <c r="E724" s="33"/>
      <c r="F724" s="33"/>
    </row>
    <row r="725" ht="15.75" customHeight="1">
      <c r="C725" s="33"/>
      <c r="D725" s="33"/>
      <c r="E725" s="33"/>
      <c r="F725" s="33"/>
    </row>
    <row r="726" ht="15.75" customHeight="1">
      <c r="C726" s="33"/>
      <c r="D726" s="33"/>
      <c r="E726" s="33"/>
      <c r="F726" s="33"/>
    </row>
    <row r="727" ht="15.75" customHeight="1">
      <c r="C727" s="33"/>
      <c r="D727" s="33"/>
      <c r="E727" s="33"/>
      <c r="F727" s="33"/>
    </row>
    <row r="728" ht="15.75" customHeight="1">
      <c r="C728" s="33"/>
      <c r="D728" s="33"/>
      <c r="E728" s="33"/>
      <c r="F728" s="33"/>
    </row>
    <row r="729" ht="15.75" customHeight="1">
      <c r="C729" s="33"/>
      <c r="D729" s="33"/>
      <c r="E729" s="33"/>
      <c r="F729" s="33"/>
    </row>
    <row r="730" ht="15.75" customHeight="1">
      <c r="C730" s="33"/>
      <c r="D730" s="33"/>
      <c r="E730" s="33"/>
      <c r="F730" s="33"/>
    </row>
    <row r="731" ht="15.75" customHeight="1">
      <c r="C731" s="33"/>
      <c r="D731" s="33"/>
      <c r="E731" s="33"/>
      <c r="F731" s="33"/>
    </row>
    <row r="732" ht="15.75" customHeight="1">
      <c r="C732" s="33"/>
      <c r="D732" s="33"/>
      <c r="E732" s="33"/>
      <c r="F732" s="33"/>
    </row>
    <row r="733" ht="15.75" customHeight="1">
      <c r="C733" s="33"/>
      <c r="D733" s="33"/>
      <c r="E733" s="33"/>
      <c r="F733" s="33"/>
    </row>
    <row r="734" ht="15.75" customHeight="1">
      <c r="C734" s="33"/>
      <c r="D734" s="33"/>
      <c r="E734" s="33"/>
      <c r="F734" s="33"/>
    </row>
    <row r="735" ht="15.75" customHeight="1">
      <c r="C735" s="33"/>
      <c r="D735" s="33"/>
      <c r="E735" s="33"/>
      <c r="F735" s="33"/>
    </row>
    <row r="736" ht="15.75" customHeight="1">
      <c r="C736" s="33"/>
      <c r="D736" s="33"/>
      <c r="E736" s="33"/>
      <c r="F736" s="33"/>
    </row>
    <row r="737" ht="15.75" customHeight="1">
      <c r="C737" s="33"/>
      <c r="D737" s="33"/>
      <c r="E737" s="33"/>
      <c r="F737" s="33"/>
    </row>
    <row r="738" ht="15.75" customHeight="1">
      <c r="C738" s="33"/>
      <c r="D738" s="33"/>
      <c r="E738" s="33"/>
      <c r="F738" s="33"/>
    </row>
    <row r="739" ht="15.75" customHeight="1">
      <c r="C739" s="33"/>
      <c r="D739" s="33"/>
      <c r="E739" s="33"/>
      <c r="F739" s="33"/>
    </row>
    <row r="740" ht="15.75" customHeight="1">
      <c r="C740" s="33"/>
      <c r="D740" s="33"/>
      <c r="E740" s="33"/>
      <c r="F740" s="33"/>
    </row>
    <row r="741" ht="15.75" customHeight="1">
      <c r="C741" s="33"/>
      <c r="D741" s="33"/>
      <c r="E741" s="33"/>
      <c r="F741" s="33"/>
    </row>
    <row r="742" ht="15.75" customHeight="1">
      <c r="C742" s="33"/>
      <c r="D742" s="33"/>
      <c r="E742" s="33"/>
      <c r="F742" s="33"/>
    </row>
    <row r="743" ht="15.75" customHeight="1">
      <c r="C743" s="33"/>
      <c r="D743" s="33"/>
      <c r="E743" s="33"/>
      <c r="F743" s="33"/>
    </row>
    <row r="744" ht="15.75" customHeight="1">
      <c r="C744" s="33"/>
      <c r="D744" s="33"/>
      <c r="E744" s="33"/>
      <c r="F744" s="33"/>
    </row>
    <row r="745" ht="15.75" customHeight="1">
      <c r="C745" s="33"/>
      <c r="D745" s="33"/>
      <c r="E745" s="33"/>
      <c r="F745" s="33"/>
    </row>
    <row r="746" ht="15.75" customHeight="1">
      <c r="C746" s="33"/>
      <c r="D746" s="33"/>
      <c r="E746" s="33"/>
      <c r="F746" s="33"/>
    </row>
    <row r="747" ht="15.75" customHeight="1">
      <c r="C747" s="33"/>
      <c r="D747" s="33"/>
      <c r="E747" s="33"/>
      <c r="F747" s="33"/>
    </row>
    <row r="748" ht="15.75" customHeight="1">
      <c r="C748" s="33"/>
      <c r="D748" s="33"/>
      <c r="E748" s="33"/>
      <c r="F748" s="33"/>
    </row>
    <row r="749" ht="15.75" customHeight="1">
      <c r="C749" s="33"/>
      <c r="D749" s="33"/>
      <c r="E749" s="33"/>
      <c r="F749" s="33"/>
    </row>
    <row r="750" ht="15.75" customHeight="1">
      <c r="C750" s="33"/>
      <c r="D750" s="33"/>
      <c r="E750" s="33"/>
      <c r="F750" s="33"/>
    </row>
    <row r="751" ht="15.75" customHeight="1">
      <c r="C751" s="33"/>
      <c r="D751" s="33"/>
      <c r="E751" s="33"/>
      <c r="F751" s="33"/>
    </row>
    <row r="752" ht="15.75" customHeight="1">
      <c r="C752" s="33"/>
      <c r="D752" s="33"/>
      <c r="E752" s="33"/>
      <c r="F752" s="33"/>
    </row>
    <row r="753" ht="15.75" customHeight="1">
      <c r="C753" s="33"/>
      <c r="D753" s="33"/>
      <c r="E753" s="33"/>
      <c r="F753" s="33"/>
    </row>
    <row r="754" ht="15.75" customHeight="1">
      <c r="C754" s="33"/>
      <c r="D754" s="33"/>
      <c r="E754" s="33"/>
      <c r="F754" s="33"/>
    </row>
    <row r="755" ht="15.75" customHeight="1">
      <c r="C755" s="33"/>
      <c r="D755" s="33"/>
      <c r="E755" s="33"/>
      <c r="F755" s="33"/>
    </row>
    <row r="756" ht="15.75" customHeight="1">
      <c r="C756" s="33"/>
      <c r="D756" s="33"/>
      <c r="E756" s="33"/>
      <c r="F756" s="33"/>
    </row>
    <row r="757" ht="15.75" customHeight="1">
      <c r="C757" s="33"/>
      <c r="D757" s="33"/>
      <c r="E757" s="33"/>
      <c r="F757" s="33"/>
    </row>
    <row r="758" ht="15.75" customHeight="1">
      <c r="C758" s="33"/>
      <c r="D758" s="33"/>
      <c r="E758" s="33"/>
      <c r="F758" s="33"/>
    </row>
    <row r="759" ht="15.75" customHeight="1">
      <c r="C759" s="33"/>
      <c r="D759" s="33"/>
      <c r="E759" s="33"/>
      <c r="F759" s="33"/>
    </row>
    <row r="760" ht="15.75" customHeight="1">
      <c r="C760" s="33"/>
      <c r="D760" s="33"/>
      <c r="E760" s="33"/>
      <c r="F760" s="33"/>
    </row>
    <row r="761" ht="15.75" customHeight="1">
      <c r="C761" s="33"/>
      <c r="D761" s="33"/>
      <c r="E761" s="33"/>
      <c r="F761" s="33"/>
    </row>
    <row r="762" ht="15.75" customHeight="1">
      <c r="C762" s="33"/>
      <c r="D762" s="33"/>
      <c r="E762" s="33"/>
      <c r="F762" s="33"/>
    </row>
    <row r="763" ht="15.75" customHeight="1">
      <c r="C763" s="33"/>
      <c r="D763" s="33"/>
      <c r="E763" s="33"/>
      <c r="F763" s="33"/>
    </row>
    <row r="764" ht="15.75" customHeight="1">
      <c r="C764" s="33"/>
      <c r="D764" s="33"/>
      <c r="E764" s="33"/>
      <c r="F764" s="33"/>
    </row>
    <row r="765" ht="15.75" customHeight="1">
      <c r="C765" s="33"/>
      <c r="D765" s="33"/>
      <c r="E765" s="33"/>
      <c r="F765" s="33"/>
    </row>
    <row r="766" ht="15.75" customHeight="1">
      <c r="C766" s="33"/>
      <c r="D766" s="33"/>
      <c r="E766" s="33"/>
      <c r="F766" s="33"/>
    </row>
    <row r="767" ht="15.75" customHeight="1">
      <c r="C767" s="33"/>
      <c r="D767" s="33"/>
      <c r="E767" s="33"/>
      <c r="F767" s="33"/>
    </row>
    <row r="768" ht="15.75" customHeight="1">
      <c r="C768" s="33"/>
      <c r="D768" s="33"/>
      <c r="E768" s="33"/>
      <c r="F768" s="33"/>
    </row>
    <row r="769" ht="15.75" customHeight="1">
      <c r="C769" s="33"/>
      <c r="D769" s="33"/>
      <c r="E769" s="33"/>
      <c r="F769" s="33"/>
    </row>
    <row r="770" ht="15.75" customHeight="1">
      <c r="C770" s="33"/>
      <c r="D770" s="33"/>
      <c r="E770" s="33"/>
      <c r="F770" s="33"/>
    </row>
    <row r="771" ht="15.75" customHeight="1">
      <c r="C771" s="33"/>
      <c r="D771" s="33"/>
      <c r="E771" s="33"/>
      <c r="F771" s="33"/>
    </row>
    <row r="772" ht="15.75" customHeight="1">
      <c r="C772" s="33"/>
      <c r="D772" s="33"/>
      <c r="E772" s="33"/>
      <c r="F772" s="33"/>
    </row>
    <row r="773" ht="15.75" customHeight="1">
      <c r="C773" s="33"/>
      <c r="D773" s="33"/>
      <c r="E773" s="33"/>
      <c r="F773" s="33"/>
    </row>
    <row r="774" ht="15.75" customHeight="1">
      <c r="C774" s="33"/>
      <c r="D774" s="33"/>
      <c r="E774" s="33"/>
      <c r="F774" s="33"/>
    </row>
    <row r="775" ht="15.75" customHeight="1">
      <c r="C775" s="33"/>
      <c r="D775" s="33"/>
      <c r="E775" s="33"/>
      <c r="F775" s="33"/>
    </row>
    <row r="776" ht="15.75" customHeight="1">
      <c r="C776" s="33"/>
      <c r="D776" s="33"/>
      <c r="E776" s="33"/>
      <c r="F776" s="33"/>
    </row>
    <row r="777" ht="15.75" customHeight="1">
      <c r="C777" s="33"/>
      <c r="D777" s="33"/>
      <c r="E777" s="33"/>
      <c r="F777" s="33"/>
    </row>
    <row r="778" ht="15.75" customHeight="1">
      <c r="C778" s="33"/>
      <c r="D778" s="33"/>
      <c r="E778" s="33"/>
      <c r="F778" s="33"/>
    </row>
    <row r="779" ht="15.75" customHeight="1">
      <c r="C779" s="33"/>
      <c r="D779" s="33"/>
      <c r="E779" s="33"/>
      <c r="F779" s="33"/>
    </row>
    <row r="780" ht="15.75" customHeight="1">
      <c r="C780" s="33"/>
      <c r="D780" s="33"/>
      <c r="E780" s="33"/>
      <c r="F780" s="33"/>
    </row>
    <row r="781" ht="15.75" customHeight="1">
      <c r="C781" s="33"/>
      <c r="D781" s="33"/>
      <c r="E781" s="33"/>
      <c r="F781" s="33"/>
    </row>
    <row r="782" ht="15.75" customHeight="1">
      <c r="C782" s="33"/>
      <c r="D782" s="33"/>
      <c r="E782" s="33"/>
      <c r="F782" s="33"/>
    </row>
    <row r="783" ht="15.75" customHeight="1">
      <c r="C783" s="33"/>
      <c r="D783" s="33"/>
      <c r="E783" s="33"/>
      <c r="F783" s="33"/>
    </row>
    <row r="784" ht="15.75" customHeight="1">
      <c r="C784" s="33"/>
      <c r="D784" s="33"/>
      <c r="E784" s="33"/>
      <c r="F784" s="33"/>
    </row>
    <row r="785" ht="15.75" customHeight="1">
      <c r="C785" s="33"/>
      <c r="D785" s="33"/>
      <c r="E785" s="33"/>
      <c r="F785" s="33"/>
    </row>
    <row r="786" ht="15.75" customHeight="1">
      <c r="C786" s="33"/>
      <c r="D786" s="33"/>
      <c r="E786" s="33"/>
      <c r="F786" s="33"/>
    </row>
    <row r="787" ht="15.75" customHeight="1">
      <c r="C787" s="33"/>
      <c r="D787" s="33"/>
      <c r="E787" s="33"/>
      <c r="F787" s="33"/>
    </row>
    <row r="788" ht="15.75" customHeight="1">
      <c r="C788" s="33"/>
      <c r="D788" s="33"/>
      <c r="E788" s="33"/>
      <c r="F788" s="33"/>
    </row>
    <row r="789" ht="15.75" customHeight="1">
      <c r="C789" s="33"/>
      <c r="D789" s="33"/>
      <c r="E789" s="33"/>
      <c r="F789" s="33"/>
    </row>
    <row r="790" ht="15.75" customHeight="1">
      <c r="C790" s="33"/>
      <c r="D790" s="33"/>
      <c r="E790" s="33"/>
      <c r="F790" s="33"/>
    </row>
    <row r="791" ht="15.75" customHeight="1">
      <c r="C791" s="33"/>
      <c r="D791" s="33"/>
      <c r="E791" s="33"/>
      <c r="F791" s="33"/>
    </row>
    <row r="792" ht="15.75" customHeight="1">
      <c r="C792" s="33"/>
      <c r="D792" s="33"/>
      <c r="E792" s="33"/>
      <c r="F792" s="33"/>
    </row>
    <row r="793" ht="15.75" customHeight="1">
      <c r="C793" s="33"/>
      <c r="D793" s="33"/>
      <c r="E793" s="33"/>
      <c r="F793" s="33"/>
    </row>
    <row r="794" ht="15.75" customHeight="1">
      <c r="C794" s="33"/>
      <c r="D794" s="33"/>
      <c r="E794" s="33"/>
      <c r="F794" s="33"/>
    </row>
    <row r="795" ht="15.75" customHeight="1">
      <c r="C795" s="33"/>
      <c r="D795" s="33"/>
      <c r="E795" s="33"/>
      <c r="F795" s="33"/>
    </row>
    <row r="796" ht="15.75" customHeight="1">
      <c r="C796" s="33"/>
      <c r="D796" s="33"/>
      <c r="E796" s="33"/>
      <c r="F796" s="33"/>
    </row>
    <row r="797" ht="15.75" customHeight="1">
      <c r="C797" s="33"/>
      <c r="D797" s="33"/>
      <c r="E797" s="33"/>
      <c r="F797" s="33"/>
    </row>
    <row r="798" ht="15.75" customHeight="1">
      <c r="C798" s="33"/>
      <c r="D798" s="33"/>
      <c r="E798" s="33"/>
      <c r="F798" s="33"/>
    </row>
    <row r="799" ht="15.75" customHeight="1">
      <c r="C799" s="33"/>
      <c r="D799" s="33"/>
      <c r="E799" s="33"/>
      <c r="F799" s="33"/>
    </row>
    <row r="800" ht="15.75" customHeight="1">
      <c r="C800" s="33"/>
      <c r="D800" s="33"/>
      <c r="E800" s="33"/>
      <c r="F800" s="33"/>
    </row>
    <row r="801" ht="15.75" customHeight="1">
      <c r="C801" s="33"/>
      <c r="D801" s="33"/>
      <c r="E801" s="33"/>
      <c r="F801" s="33"/>
    </row>
    <row r="802" ht="15.75" customHeight="1">
      <c r="C802" s="33"/>
      <c r="D802" s="33"/>
      <c r="E802" s="33"/>
      <c r="F802" s="33"/>
    </row>
    <row r="803" ht="15.75" customHeight="1">
      <c r="C803" s="33"/>
      <c r="D803" s="33"/>
      <c r="E803" s="33"/>
      <c r="F803" s="33"/>
    </row>
    <row r="804" ht="15.75" customHeight="1">
      <c r="C804" s="33"/>
      <c r="D804" s="33"/>
      <c r="E804" s="33"/>
      <c r="F804" s="33"/>
    </row>
    <row r="805" ht="15.75" customHeight="1">
      <c r="C805" s="33"/>
      <c r="D805" s="33"/>
      <c r="E805" s="33"/>
      <c r="F805" s="33"/>
    </row>
    <row r="806" ht="15.75" customHeight="1">
      <c r="C806" s="33"/>
      <c r="D806" s="33"/>
      <c r="E806" s="33"/>
      <c r="F806" s="33"/>
    </row>
    <row r="807" ht="15.75" customHeight="1">
      <c r="C807" s="33"/>
      <c r="D807" s="33"/>
      <c r="E807" s="33"/>
      <c r="F807" s="33"/>
    </row>
    <row r="808" ht="15.75" customHeight="1">
      <c r="C808" s="33"/>
      <c r="D808" s="33"/>
      <c r="E808" s="33"/>
      <c r="F808" s="33"/>
    </row>
    <row r="809" ht="15.75" customHeight="1">
      <c r="C809" s="33"/>
      <c r="D809" s="33"/>
      <c r="E809" s="33"/>
      <c r="F809" s="33"/>
    </row>
    <row r="810" ht="15.75" customHeight="1">
      <c r="C810" s="33"/>
      <c r="D810" s="33"/>
      <c r="E810" s="33"/>
      <c r="F810" s="33"/>
    </row>
    <row r="811" ht="15.75" customHeight="1">
      <c r="C811" s="33"/>
      <c r="D811" s="33"/>
      <c r="E811" s="33"/>
      <c r="F811" s="33"/>
    </row>
    <row r="812" ht="15.75" customHeight="1">
      <c r="C812" s="33"/>
      <c r="D812" s="33"/>
      <c r="E812" s="33"/>
      <c r="F812" s="33"/>
    </row>
    <row r="813" ht="15.75" customHeight="1">
      <c r="C813" s="33"/>
      <c r="D813" s="33"/>
      <c r="E813" s="33"/>
      <c r="F813" s="33"/>
    </row>
    <row r="814" ht="15.75" customHeight="1">
      <c r="C814" s="33"/>
      <c r="D814" s="33"/>
      <c r="E814" s="33"/>
      <c r="F814" s="33"/>
    </row>
    <row r="815" ht="15.75" customHeight="1">
      <c r="C815" s="33"/>
      <c r="D815" s="33"/>
      <c r="E815" s="33"/>
      <c r="F815" s="33"/>
    </row>
    <row r="816" ht="15.75" customHeight="1">
      <c r="C816" s="33"/>
      <c r="D816" s="33"/>
      <c r="E816" s="33"/>
      <c r="F816" s="33"/>
    </row>
    <row r="817" ht="15.75" customHeight="1">
      <c r="C817" s="33"/>
      <c r="D817" s="33"/>
      <c r="E817" s="33"/>
      <c r="F817" s="33"/>
    </row>
    <row r="818" ht="15.75" customHeight="1">
      <c r="C818" s="33"/>
      <c r="D818" s="33"/>
      <c r="E818" s="33"/>
      <c r="F818" s="33"/>
    </row>
    <row r="819" ht="15.75" customHeight="1">
      <c r="C819" s="33"/>
      <c r="D819" s="33"/>
      <c r="E819" s="33"/>
      <c r="F819" s="33"/>
    </row>
    <row r="820" ht="15.75" customHeight="1">
      <c r="C820" s="33"/>
      <c r="D820" s="33"/>
      <c r="E820" s="33"/>
      <c r="F820" s="33"/>
    </row>
    <row r="821" ht="15.75" customHeight="1">
      <c r="C821" s="33"/>
      <c r="D821" s="33"/>
      <c r="E821" s="33"/>
      <c r="F821" s="33"/>
    </row>
    <row r="822" ht="15.75" customHeight="1">
      <c r="C822" s="33"/>
      <c r="D822" s="33"/>
      <c r="E822" s="33"/>
      <c r="F822" s="33"/>
    </row>
    <row r="823" ht="15.75" customHeight="1">
      <c r="C823" s="33"/>
      <c r="D823" s="33"/>
      <c r="E823" s="33"/>
      <c r="F823" s="33"/>
    </row>
    <row r="824" ht="15.75" customHeight="1">
      <c r="C824" s="33"/>
      <c r="D824" s="33"/>
      <c r="E824" s="33"/>
      <c r="F824" s="33"/>
    </row>
    <row r="825" ht="15.75" customHeight="1">
      <c r="C825" s="33"/>
      <c r="D825" s="33"/>
      <c r="E825" s="33"/>
      <c r="F825" s="33"/>
    </row>
    <row r="826" ht="15.75" customHeight="1">
      <c r="C826" s="33"/>
      <c r="D826" s="33"/>
      <c r="E826" s="33"/>
      <c r="F826" s="33"/>
    </row>
    <row r="827" ht="15.75" customHeight="1">
      <c r="C827" s="33"/>
      <c r="D827" s="33"/>
      <c r="E827" s="33"/>
      <c r="F827" s="33"/>
    </row>
    <row r="828" ht="15.75" customHeight="1">
      <c r="C828" s="33"/>
      <c r="D828" s="33"/>
      <c r="E828" s="33"/>
      <c r="F828" s="33"/>
    </row>
    <row r="829" ht="15.75" customHeight="1">
      <c r="C829" s="33"/>
      <c r="D829" s="33"/>
      <c r="E829" s="33"/>
      <c r="F829" s="33"/>
    </row>
    <row r="830" ht="15.75" customHeight="1">
      <c r="C830" s="33"/>
      <c r="D830" s="33"/>
      <c r="E830" s="33"/>
      <c r="F830" s="33"/>
    </row>
    <row r="831" ht="15.75" customHeight="1">
      <c r="C831" s="33"/>
      <c r="D831" s="33"/>
      <c r="E831" s="33"/>
      <c r="F831" s="33"/>
    </row>
    <row r="832" ht="15.75" customHeight="1">
      <c r="C832" s="33"/>
      <c r="D832" s="33"/>
      <c r="E832" s="33"/>
      <c r="F832" s="33"/>
    </row>
    <row r="833" ht="15.75" customHeight="1">
      <c r="C833" s="33"/>
      <c r="D833" s="33"/>
      <c r="E833" s="33"/>
      <c r="F833" s="33"/>
    </row>
    <row r="834" ht="15.75" customHeight="1">
      <c r="C834" s="33"/>
      <c r="D834" s="33"/>
      <c r="E834" s="33"/>
      <c r="F834" s="33"/>
    </row>
    <row r="835" ht="15.75" customHeight="1">
      <c r="C835" s="33"/>
      <c r="D835" s="33"/>
      <c r="E835" s="33"/>
      <c r="F835" s="33"/>
    </row>
    <row r="836" ht="15.75" customHeight="1">
      <c r="C836" s="33"/>
      <c r="D836" s="33"/>
      <c r="E836" s="33"/>
      <c r="F836" s="33"/>
    </row>
    <row r="837" ht="15.75" customHeight="1">
      <c r="C837" s="33"/>
      <c r="D837" s="33"/>
      <c r="E837" s="33"/>
      <c r="F837" s="33"/>
    </row>
    <row r="838" ht="15.75" customHeight="1">
      <c r="C838" s="33"/>
      <c r="D838" s="33"/>
      <c r="E838" s="33"/>
      <c r="F838" s="33"/>
    </row>
    <row r="839" ht="15.75" customHeight="1">
      <c r="C839" s="33"/>
      <c r="D839" s="33"/>
      <c r="E839" s="33"/>
      <c r="F839" s="33"/>
    </row>
    <row r="840" ht="15.75" customHeight="1">
      <c r="C840" s="33"/>
      <c r="D840" s="33"/>
      <c r="E840" s="33"/>
      <c r="F840" s="33"/>
    </row>
    <row r="841" ht="15.75" customHeight="1">
      <c r="C841" s="33"/>
      <c r="D841" s="33"/>
      <c r="E841" s="33"/>
      <c r="F841" s="33"/>
    </row>
    <row r="842" ht="15.75" customHeight="1">
      <c r="C842" s="33"/>
      <c r="D842" s="33"/>
      <c r="E842" s="33"/>
      <c r="F842" s="33"/>
    </row>
    <row r="843" ht="15.75" customHeight="1">
      <c r="C843" s="33"/>
      <c r="D843" s="33"/>
      <c r="E843" s="33"/>
      <c r="F843" s="33"/>
    </row>
    <row r="844" ht="15.75" customHeight="1">
      <c r="C844" s="33"/>
      <c r="D844" s="33"/>
      <c r="E844" s="33"/>
      <c r="F844" s="33"/>
    </row>
    <row r="845" ht="15.75" customHeight="1">
      <c r="C845" s="33"/>
      <c r="D845" s="33"/>
      <c r="E845" s="33"/>
      <c r="F845" s="33"/>
    </row>
    <row r="846" ht="15.75" customHeight="1">
      <c r="C846" s="33"/>
      <c r="D846" s="33"/>
      <c r="E846" s="33"/>
      <c r="F846" s="33"/>
    </row>
    <row r="847" ht="15.75" customHeight="1">
      <c r="C847" s="33"/>
      <c r="D847" s="33"/>
      <c r="E847" s="33"/>
      <c r="F847" s="33"/>
    </row>
    <row r="848" ht="15.75" customHeight="1">
      <c r="C848" s="33"/>
      <c r="D848" s="33"/>
      <c r="E848" s="33"/>
      <c r="F848" s="33"/>
    </row>
    <row r="849" ht="15.75" customHeight="1">
      <c r="C849" s="33"/>
      <c r="D849" s="33"/>
      <c r="E849" s="33"/>
      <c r="F849" s="33"/>
    </row>
    <row r="850" ht="15.75" customHeight="1">
      <c r="C850" s="33"/>
      <c r="D850" s="33"/>
      <c r="E850" s="33"/>
      <c r="F850" s="33"/>
    </row>
    <row r="851" ht="15.75" customHeight="1">
      <c r="C851" s="33"/>
      <c r="D851" s="33"/>
      <c r="E851" s="33"/>
      <c r="F851" s="33"/>
    </row>
    <row r="852" ht="15.75" customHeight="1">
      <c r="C852" s="33"/>
      <c r="D852" s="33"/>
      <c r="E852" s="33"/>
      <c r="F852" s="33"/>
    </row>
    <row r="853" ht="15.75" customHeight="1">
      <c r="C853" s="33"/>
      <c r="D853" s="33"/>
      <c r="E853" s="33"/>
      <c r="F853" s="33"/>
    </row>
    <row r="854" ht="15.75" customHeight="1">
      <c r="C854" s="33"/>
      <c r="D854" s="33"/>
      <c r="E854" s="33"/>
      <c r="F854" s="33"/>
    </row>
    <row r="855" ht="15.75" customHeight="1">
      <c r="C855" s="33"/>
      <c r="D855" s="33"/>
      <c r="E855" s="33"/>
      <c r="F855" s="33"/>
    </row>
    <row r="856" ht="15.75" customHeight="1">
      <c r="C856" s="33"/>
      <c r="D856" s="33"/>
      <c r="E856" s="33"/>
      <c r="F856" s="33"/>
    </row>
    <row r="857" ht="15.75" customHeight="1">
      <c r="C857" s="33"/>
      <c r="D857" s="33"/>
      <c r="E857" s="33"/>
      <c r="F857" s="33"/>
    </row>
    <row r="858" ht="15.75" customHeight="1">
      <c r="C858" s="33"/>
      <c r="D858" s="33"/>
      <c r="E858" s="33"/>
      <c r="F858" s="33"/>
    </row>
    <row r="859" ht="15.75" customHeight="1">
      <c r="C859" s="33"/>
      <c r="D859" s="33"/>
      <c r="E859" s="33"/>
      <c r="F859" s="33"/>
    </row>
    <row r="860" ht="15.75" customHeight="1">
      <c r="C860" s="33"/>
      <c r="D860" s="33"/>
      <c r="E860" s="33"/>
      <c r="F860" s="33"/>
    </row>
    <row r="861" ht="15.75" customHeight="1">
      <c r="C861" s="33"/>
      <c r="D861" s="33"/>
      <c r="E861" s="33"/>
      <c r="F861" s="33"/>
    </row>
    <row r="862" ht="15.75" customHeight="1">
      <c r="C862" s="33"/>
      <c r="D862" s="33"/>
      <c r="E862" s="33"/>
      <c r="F862" s="33"/>
    </row>
    <row r="863" ht="15.75" customHeight="1">
      <c r="C863" s="33"/>
      <c r="D863" s="33"/>
      <c r="E863" s="33"/>
      <c r="F863" s="33"/>
    </row>
    <row r="864" ht="15.75" customHeight="1">
      <c r="C864" s="33"/>
      <c r="D864" s="33"/>
      <c r="E864" s="33"/>
      <c r="F864" s="33"/>
    </row>
    <row r="865" ht="15.75" customHeight="1">
      <c r="C865" s="33"/>
      <c r="D865" s="33"/>
      <c r="E865" s="33"/>
      <c r="F865" s="33"/>
    </row>
    <row r="866" ht="15.75" customHeight="1">
      <c r="C866" s="33"/>
      <c r="D866" s="33"/>
      <c r="E866" s="33"/>
      <c r="F866" s="33"/>
    </row>
    <row r="867" ht="15.75" customHeight="1">
      <c r="C867" s="33"/>
      <c r="D867" s="33"/>
      <c r="E867" s="33"/>
      <c r="F867" s="33"/>
    </row>
    <row r="868" ht="15.75" customHeight="1">
      <c r="C868" s="33"/>
      <c r="D868" s="33"/>
      <c r="E868" s="33"/>
      <c r="F868" s="33"/>
    </row>
    <row r="869" ht="15.75" customHeight="1">
      <c r="C869" s="33"/>
      <c r="D869" s="33"/>
      <c r="E869" s="33"/>
      <c r="F869" s="33"/>
    </row>
    <row r="870" ht="15.75" customHeight="1">
      <c r="C870" s="33"/>
      <c r="D870" s="33"/>
      <c r="E870" s="33"/>
      <c r="F870" s="33"/>
    </row>
    <row r="871" ht="15.75" customHeight="1">
      <c r="C871" s="33"/>
      <c r="D871" s="33"/>
      <c r="E871" s="33"/>
      <c r="F871" s="33"/>
    </row>
    <row r="872" ht="15.75" customHeight="1">
      <c r="C872" s="33"/>
      <c r="D872" s="33"/>
      <c r="E872" s="33"/>
      <c r="F872" s="33"/>
    </row>
    <row r="873" ht="15.75" customHeight="1">
      <c r="C873" s="33"/>
      <c r="D873" s="33"/>
      <c r="E873" s="33"/>
      <c r="F873" s="33"/>
    </row>
    <row r="874" ht="15.75" customHeight="1">
      <c r="C874" s="33"/>
      <c r="D874" s="33"/>
      <c r="E874" s="33"/>
      <c r="F874" s="33"/>
    </row>
    <row r="875" ht="15.75" customHeight="1">
      <c r="C875" s="33"/>
      <c r="D875" s="33"/>
      <c r="E875" s="33"/>
      <c r="F875" s="33"/>
    </row>
    <row r="876" ht="15.75" customHeight="1">
      <c r="C876" s="33"/>
      <c r="D876" s="33"/>
      <c r="E876" s="33"/>
      <c r="F876" s="33"/>
    </row>
    <row r="877" ht="15.75" customHeight="1">
      <c r="C877" s="33"/>
      <c r="D877" s="33"/>
      <c r="E877" s="33"/>
      <c r="F877" s="33"/>
    </row>
    <row r="878" ht="15.75" customHeight="1">
      <c r="C878" s="33"/>
      <c r="D878" s="33"/>
      <c r="E878" s="33"/>
      <c r="F878" s="33"/>
    </row>
    <row r="879" ht="15.75" customHeight="1">
      <c r="C879" s="33"/>
      <c r="D879" s="33"/>
      <c r="E879" s="33"/>
      <c r="F879" s="33"/>
    </row>
    <row r="880" ht="15.75" customHeight="1">
      <c r="C880" s="33"/>
      <c r="D880" s="33"/>
      <c r="E880" s="33"/>
      <c r="F880" s="33"/>
    </row>
    <row r="881" ht="15.75" customHeight="1">
      <c r="C881" s="33"/>
      <c r="D881" s="33"/>
      <c r="E881" s="33"/>
      <c r="F881" s="33"/>
    </row>
    <row r="882" ht="15.75" customHeight="1">
      <c r="C882" s="33"/>
      <c r="D882" s="33"/>
      <c r="E882" s="33"/>
      <c r="F882" s="33"/>
    </row>
    <row r="883" ht="15.75" customHeight="1">
      <c r="C883" s="33"/>
      <c r="D883" s="33"/>
      <c r="E883" s="33"/>
      <c r="F883" s="33"/>
    </row>
    <row r="884" ht="15.75" customHeight="1">
      <c r="C884" s="33"/>
      <c r="D884" s="33"/>
      <c r="E884" s="33"/>
      <c r="F884" s="33"/>
    </row>
    <row r="885" ht="15.75" customHeight="1">
      <c r="C885" s="33"/>
      <c r="D885" s="33"/>
      <c r="E885" s="33"/>
      <c r="F885" s="33"/>
    </row>
    <row r="886" ht="15.75" customHeight="1">
      <c r="C886" s="33"/>
      <c r="D886" s="33"/>
      <c r="E886" s="33"/>
      <c r="F886" s="33"/>
    </row>
    <row r="887" ht="15.75" customHeight="1">
      <c r="C887" s="33"/>
      <c r="D887" s="33"/>
      <c r="E887" s="33"/>
      <c r="F887" s="33"/>
    </row>
    <row r="888" ht="15.75" customHeight="1">
      <c r="C888" s="33"/>
      <c r="D888" s="33"/>
      <c r="E888" s="33"/>
      <c r="F888" s="33"/>
    </row>
    <row r="889" ht="15.75" customHeight="1">
      <c r="C889" s="33"/>
      <c r="D889" s="33"/>
      <c r="E889" s="33"/>
      <c r="F889" s="33"/>
    </row>
    <row r="890" ht="15.75" customHeight="1">
      <c r="C890" s="33"/>
      <c r="D890" s="33"/>
      <c r="E890" s="33"/>
      <c r="F890" s="33"/>
    </row>
    <row r="891" ht="15.75" customHeight="1">
      <c r="C891" s="33"/>
      <c r="D891" s="33"/>
      <c r="E891" s="33"/>
      <c r="F891" s="33"/>
    </row>
    <row r="892" ht="15.75" customHeight="1">
      <c r="C892" s="33"/>
      <c r="D892" s="33"/>
      <c r="E892" s="33"/>
      <c r="F892" s="33"/>
    </row>
    <row r="893" ht="15.75" customHeight="1">
      <c r="C893" s="33"/>
      <c r="D893" s="33"/>
      <c r="E893" s="33"/>
      <c r="F893" s="33"/>
    </row>
    <row r="894" ht="15.75" customHeight="1">
      <c r="C894" s="33"/>
      <c r="D894" s="33"/>
      <c r="E894" s="33"/>
      <c r="F894" s="33"/>
    </row>
    <row r="895" ht="15.75" customHeight="1">
      <c r="C895" s="33"/>
      <c r="D895" s="33"/>
      <c r="E895" s="33"/>
      <c r="F895" s="33"/>
    </row>
    <row r="896" ht="15.75" customHeight="1">
      <c r="C896" s="33"/>
      <c r="D896" s="33"/>
      <c r="E896" s="33"/>
      <c r="F896" s="33"/>
    </row>
    <row r="897" ht="15.75" customHeight="1">
      <c r="C897" s="33"/>
      <c r="D897" s="33"/>
      <c r="E897" s="33"/>
      <c r="F897" s="33"/>
    </row>
    <row r="898" ht="15.75" customHeight="1">
      <c r="C898" s="33"/>
      <c r="D898" s="33"/>
      <c r="E898" s="33"/>
      <c r="F898" s="33"/>
    </row>
    <row r="899" ht="15.75" customHeight="1">
      <c r="C899" s="33"/>
      <c r="D899" s="33"/>
      <c r="E899" s="33"/>
      <c r="F899" s="33"/>
    </row>
    <row r="900" ht="15.75" customHeight="1">
      <c r="C900" s="33"/>
      <c r="D900" s="33"/>
      <c r="E900" s="33"/>
      <c r="F900" s="33"/>
    </row>
    <row r="901" ht="15.75" customHeight="1">
      <c r="C901" s="33"/>
      <c r="D901" s="33"/>
      <c r="E901" s="33"/>
      <c r="F901" s="33"/>
    </row>
    <row r="902" ht="15.75" customHeight="1">
      <c r="C902" s="33"/>
      <c r="D902" s="33"/>
      <c r="E902" s="33"/>
      <c r="F902" s="33"/>
    </row>
    <row r="903" ht="15.75" customHeight="1">
      <c r="C903" s="33"/>
      <c r="D903" s="33"/>
      <c r="E903" s="33"/>
      <c r="F903" s="33"/>
    </row>
    <row r="904" ht="15.75" customHeight="1">
      <c r="C904" s="33"/>
      <c r="D904" s="33"/>
      <c r="E904" s="33"/>
      <c r="F904" s="33"/>
    </row>
    <row r="905" ht="15.75" customHeight="1">
      <c r="C905" s="33"/>
      <c r="D905" s="33"/>
      <c r="E905" s="33"/>
      <c r="F905" s="33"/>
    </row>
    <row r="906" ht="15.75" customHeight="1">
      <c r="C906" s="33"/>
      <c r="D906" s="33"/>
      <c r="E906" s="33"/>
      <c r="F906" s="33"/>
    </row>
    <row r="907" ht="15.75" customHeight="1">
      <c r="C907" s="33"/>
      <c r="D907" s="33"/>
      <c r="E907" s="33"/>
      <c r="F907" s="33"/>
    </row>
    <row r="908" ht="15.75" customHeight="1">
      <c r="C908" s="33"/>
      <c r="D908" s="33"/>
      <c r="E908" s="33"/>
      <c r="F908" s="33"/>
    </row>
    <row r="909" ht="15.75" customHeight="1">
      <c r="C909" s="33"/>
      <c r="D909" s="33"/>
      <c r="E909" s="33"/>
      <c r="F909" s="33"/>
    </row>
    <row r="910" ht="15.75" customHeight="1">
      <c r="C910" s="33"/>
      <c r="D910" s="33"/>
      <c r="E910" s="33"/>
      <c r="F910" s="33"/>
    </row>
    <row r="911" ht="15.75" customHeight="1">
      <c r="C911" s="33"/>
      <c r="D911" s="33"/>
      <c r="E911" s="33"/>
      <c r="F911" s="33"/>
    </row>
    <row r="912" ht="15.75" customHeight="1">
      <c r="C912" s="33"/>
      <c r="D912" s="33"/>
      <c r="E912" s="33"/>
      <c r="F912" s="33"/>
    </row>
    <row r="913" ht="15.75" customHeight="1">
      <c r="C913" s="33"/>
      <c r="D913" s="33"/>
      <c r="E913" s="33"/>
      <c r="F913" s="33"/>
    </row>
    <row r="914" ht="15.75" customHeight="1">
      <c r="C914" s="33"/>
      <c r="D914" s="33"/>
      <c r="E914" s="33"/>
      <c r="F914" s="33"/>
    </row>
    <row r="915" ht="15.75" customHeight="1">
      <c r="C915" s="33"/>
      <c r="D915" s="33"/>
      <c r="E915" s="33"/>
      <c r="F915" s="33"/>
    </row>
    <row r="916" ht="15.75" customHeight="1">
      <c r="C916" s="33"/>
      <c r="D916" s="33"/>
      <c r="E916" s="33"/>
      <c r="F916" s="33"/>
    </row>
    <row r="917" ht="15.75" customHeight="1">
      <c r="C917" s="33"/>
      <c r="D917" s="33"/>
      <c r="E917" s="33"/>
      <c r="F917" s="33"/>
    </row>
    <row r="918" ht="15.75" customHeight="1">
      <c r="C918" s="33"/>
      <c r="D918" s="33"/>
      <c r="E918" s="33"/>
      <c r="F918" s="33"/>
    </row>
    <row r="919" ht="15.75" customHeight="1">
      <c r="C919" s="33"/>
      <c r="D919" s="33"/>
      <c r="E919" s="33"/>
      <c r="F919" s="33"/>
    </row>
    <row r="920" ht="15.75" customHeight="1">
      <c r="C920" s="33"/>
      <c r="D920" s="33"/>
      <c r="E920" s="33"/>
      <c r="F920" s="33"/>
    </row>
    <row r="921" ht="15.75" customHeight="1">
      <c r="C921" s="33"/>
      <c r="D921" s="33"/>
      <c r="E921" s="33"/>
      <c r="F921" s="33"/>
    </row>
    <row r="922" ht="15.75" customHeight="1">
      <c r="C922" s="33"/>
      <c r="D922" s="33"/>
      <c r="E922" s="33"/>
      <c r="F922" s="33"/>
    </row>
    <row r="923" ht="15.75" customHeight="1">
      <c r="C923" s="33"/>
      <c r="D923" s="33"/>
      <c r="E923" s="33"/>
      <c r="F923" s="33"/>
    </row>
    <row r="924" ht="15.75" customHeight="1">
      <c r="C924" s="33"/>
      <c r="D924" s="33"/>
      <c r="E924" s="33"/>
      <c r="F924" s="33"/>
    </row>
    <row r="925" ht="15.75" customHeight="1">
      <c r="C925" s="33"/>
      <c r="D925" s="33"/>
      <c r="E925" s="33"/>
      <c r="F925" s="33"/>
    </row>
    <row r="926" ht="15.75" customHeight="1">
      <c r="C926" s="33"/>
      <c r="D926" s="33"/>
      <c r="E926" s="33"/>
      <c r="F926" s="33"/>
    </row>
    <row r="927" ht="15.75" customHeight="1">
      <c r="C927" s="33"/>
      <c r="D927" s="33"/>
      <c r="E927" s="33"/>
      <c r="F927" s="33"/>
    </row>
    <row r="928" ht="15.75" customHeight="1">
      <c r="C928" s="33"/>
      <c r="D928" s="33"/>
      <c r="E928" s="33"/>
      <c r="F928" s="33"/>
    </row>
    <row r="929" ht="15.75" customHeight="1">
      <c r="C929" s="33"/>
      <c r="D929" s="33"/>
      <c r="E929" s="33"/>
      <c r="F929" s="33"/>
    </row>
    <row r="930" ht="15.75" customHeight="1">
      <c r="C930" s="33"/>
      <c r="D930" s="33"/>
      <c r="E930" s="33"/>
      <c r="F930" s="33"/>
    </row>
    <row r="931" ht="15.75" customHeight="1">
      <c r="C931" s="33"/>
      <c r="D931" s="33"/>
      <c r="E931" s="33"/>
      <c r="F931" s="33"/>
    </row>
    <row r="932" ht="15.75" customHeight="1">
      <c r="C932" s="33"/>
      <c r="D932" s="33"/>
      <c r="E932" s="33"/>
      <c r="F932" s="33"/>
    </row>
    <row r="933" ht="15.75" customHeight="1">
      <c r="C933" s="33"/>
      <c r="D933" s="33"/>
      <c r="E933" s="33"/>
      <c r="F933" s="33"/>
    </row>
    <row r="934" ht="15.75" customHeight="1">
      <c r="C934" s="33"/>
      <c r="D934" s="33"/>
      <c r="E934" s="33"/>
      <c r="F934" s="33"/>
    </row>
    <row r="935" ht="15.75" customHeight="1">
      <c r="C935" s="33"/>
      <c r="D935" s="33"/>
      <c r="E935" s="33"/>
      <c r="F935" s="33"/>
    </row>
    <row r="936" ht="15.75" customHeight="1">
      <c r="C936" s="33"/>
      <c r="D936" s="33"/>
      <c r="E936" s="33"/>
      <c r="F936" s="33"/>
    </row>
    <row r="937" ht="15.75" customHeight="1">
      <c r="C937" s="33"/>
      <c r="D937" s="33"/>
      <c r="E937" s="33"/>
      <c r="F937" s="33"/>
    </row>
    <row r="938" ht="15.75" customHeight="1">
      <c r="C938" s="33"/>
      <c r="D938" s="33"/>
      <c r="E938" s="33"/>
      <c r="F938" s="33"/>
    </row>
    <row r="939" ht="15.75" customHeight="1">
      <c r="C939" s="33"/>
      <c r="D939" s="33"/>
      <c r="E939" s="33"/>
      <c r="F939" s="33"/>
    </row>
    <row r="940" ht="15.75" customHeight="1">
      <c r="C940" s="33"/>
      <c r="D940" s="33"/>
      <c r="E940" s="33"/>
      <c r="F940" s="33"/>
    </row>
    <row r="941" ht="15.75" customHeight="1">
      <c r="C941" s="33"/>
      <c r="D941" s="33"/>
      <c r="E941" s="33"/>
      <c r="F941" s="33"/>
    </row>
    <row r="942" ht="15.75" customHeight="1">
      <c r="C942" s="33"/>
      <c r="D942" s="33"/>
      <c r="E942" s="33"/>
      <c r="F942" s="33"/>
    </row>
    <row r="943" ht="15.75" customHeight="1">
      <c r="C943" s="33"/>
      <c r="D943" s="33"/>
      <c r="E943" s="33"/>
      <c r="F943" s="33"/>
    </row>
    <row r="944" ht="15.75" customHeight="1">
      <c r="C944" s="33"/>
      <c r="D944" s="33"/>
      <c r="E944" s="33"/>
      <c r="F944" s="33"/>
    </row>
    <row r="945" ht="15.75" customHeight="1">
      <c r="C945" s="33"/>
      <c r="D945" s="33"/>
      <c r="E945" s="33"/>
      <c r="F945" s="33"/>
    </row>
    <row r="946" ht="15.75" customHeight="1">
      <c r="C946" s="33"/>
      <c r="D946" s="33"/>
      <c r="E946" s="33"/>
      <c r="F946" s="33"/>
    </row>
    <row r="947" ht="15.75" customHeight="1">
      <c r="C947" s="33"/>
      <c r="D947" s="33"/>
      <c r="E947" s="33"/>
      <c r="F947" s="33"/>
    </row>
    <row r="948" ht="15.75" customHeight="1">
      <c r="C948" s="33"/>
      <c r="D948" s="33"/>
      <c r="E948" s="33"/>
      <c r="F948" s="33"/>
    </row>
    <row r="949" ht="15.75" customHeight="1">
      <c r="C949" s="33"/>
      <c r="D949" s="33"/>
      <c r="E949" s="33"/>
      <c r="F949" s="33"/>
    </row>
    <row r="950" ht="15.75" customHeight="1">
      <c r="C950" s="33"/>
      <c r="D950" s="33"/>
      <c r="E950" s="33"/>
      <c r="F950" s="33"/>
    </row>
    <row r="951" ht="15.75" customHeight="1">
      <c r="C951" s="33"/>
      <c r="D951" s="33"/>
      <c r="E951" s="33"/>
      <c r="F951" s="33"/>
    </row>
    <row r="952" ht="15.75" customHeight="1">
      <c r="C952" s="33"/>
      <c r="D952" s="33"/>
      <c r="E952" s="33"/>
      <c r="F952" s="33"/>
    </row>
    <row r="953" ht="15.75" customHeight="1">
      <c r="C953" s="33"/>
      <c r="D953" s="33"/>
      <c r="E953" s="33"/>
      <c r="F953" s="33"/>
    </row>
    <row r="954" ht="15.75" customHeight="1">
      <c r="C954" s="33"/>
      <c r="D954" s="33"/>
      <c r="E954" s="33"/>
      <c r="F954" s="33"/>
    </row>
    <row r="955" ht="15.75" customHeight="1">
      <c r="C955" s="33"/>
      <c r="D955" s="33"/>
      <c r="E955" s="33"/>
      <c r="F955" s="33"/>
    </row>
    <row r="956" ht="15.75" customHeight="1">
      <c r="C956" s="33"/>
      <c r="D956" s="33"/>
      <c r="E956" s="33"/>
      <c r="F956" s="33"/>
    </row>
    <row r="957" ht="15.75" customHeight="1">
      <c r="C957" s="33"/>
      <c r="D957" s="33"/>
      <c r="E957" s="33"/>
      <c r="F957" s="33"/>
    </row>
    <row r="958" ht="15.75" customHeight="1">
      <c r="C958" s="33"/>
      <c r="D958" s="33"/>
      <c r="E958" s="33"/>
      <c r="F958" s="33"/>
    </row>
    <row r="959" ht="15.75" customHeight="1">
      <c r="C959" s="33"/>
      <c r="D959" s="33"/>
      <c r="E959" s="33"/>
      <c r="F959" s="33"/>
    </row>
    <row r="960" ht="15.75" customHeight="1">
      <c r="C960" s="33"/>
      <c r="D960" s="33"/>
      <c r="E960" s="33"/>
      <c r="F960" s="33"/>
    </row>
    <row r="961" ht="15.75" customHeight="1">
      <c r="C961" s="33"/>
      <c r="D961" s="33"/>
      <c r="E961" s="33"/>
      <c r="F961" s="33"/>
    </row>
    <row r="962" ht="15.75" customHeight="1">
      <c r="C962" s="33"/>
      <c r="D962" s="33"/>
      <c r="E962" s="33"/>
      <c r="F962" s="33"/>
    </row>
    <row r="963" ht="15.75" customHeight="1">
      <c r="C963" s="33"/>
      <c r="D963" s="33"/>
      <c r="E963" s="33"/>
      <c r="F963" s="33"/>
    </row>
    <row r="964" ht="15.75" customHeight="1">
      <c r="C964" s="33"/>
      <c r="D964" s="33"/>
      <c r="E964" s="33"/>
      <c r="F964" s="33"/>
    </row>
    <row r="965" ht="15.75" customHeight="1">
      <c r="C965" s="33"/>
      <c r="D965" s="33"/>
      <c r="E965" s="33"/>
      <c r="F965" s="33"/>
    </row>
    <row r="966" ht="15.75" customHeight="1">
      <c r="C966" s="33"/>
      <c r="D966" s="33"/>
      <c r="E966" s="33"/>
      <c r="F966" s="33"/>
    </row>
    <row r="967" ht="15.75" customHeight="1">
      <c r="C967" s="33"/>
      <c r="D967" s="33"/>
      <c r="E967" s="33"/>
      <c r="F967" s="33"/>
    </row>
    <row r="968" ht="15.75" customHeight="1">
      <c r="C968" s="33"/>
      <c r="D968" s="33"/>
      <c r="E968" s="33"/>
      <c r="F968" s="33"/>
    </row>
    <row r="969" ht="15.75" customHeight="1">
      <c r="C969" s="33"/>
      <c r="D969" s="33"/>
      <c r="E969" s="33"/>
      <c r="F969" s="33"/>
    </row>
    <row r="970" ht="15.75" customHeight="1">
      <c r="C970" s="33"/>
      <c r="D970" s="33"/>
      <c r="E970" s="33"/>
      <c r="F970" s="33"/>
    </row>
    <row r="971" ht="15.75" customHeight="1">
      <c r="C971" s="33"/>
      <c r="D971" s="33"/>
      <c r="E971" s="33"/>
      <c r="F971" s="33"/>
    </row>
    <row r="972" ht="15.75" customHeight="1">
      <c r="C972" s="33"/>
      <c r="D972" s="33"/>
      <c r="E972" s="33"/>
      <c r="F972" s="33"/>
    </row>
    <row r="973" ht="15.75" customHeight="1">
      <c r="C973" s="33"/>
      <c r="D973" s="33"/>
      <c r="E973" s="33"/>
      <c r="F973" s="33"/>
    </row>
    <row r="974" ht="15.75" customHeight="1">
      <c r="C974" s="33"/>
      <c r="D974" s="33"/>
      <c r="E974" s="33"/>
      <c r="F974" s="33"/>
    </row>
    <row r="975" ht="15.75" customHeight="1">
      <c r="C975" s="33"/>
      <c r="D975" s="33"/>
      <c r="E975" s="33"/>
      <c r="F975" s="33"/>
    </row>
    <row r="976" ht="15.75" customHeight="1">
      <c r="C976" s="33"/>
      <c r="D976" s="33"/>
      <c r="E976" s="33"/>
      <c r="F976" s="33"/>
    </row>
    <row r="977" ht="15.75" customHeight="1">
      <c r="C977" s="33"/>
      <c r="D977" s="33"/>
      <c r="E977" s="33"/>
      <c r="F977" s="33"/>
    </row>
    <row r="978" ht="15.75" customHeight="1">
      <c r="C978" s="33"/>
      <c r="D978" s="33"/>
      <c r="E978" s="33"/>
      <c r="F978" s="33"/>
    </row>
    <row r="979" ht="15.75" customHeight="1">
      <c r="C979" s="33"/>
      <c r="D979" s="33"/>
      <c r="E979" s="33"/>
      <c r="F979" s="33"/>
    </row>
    <row r="980" ht="15.75" customHeight="1">
      <c r="C980" s="33"/>
      <c r="D980" s="33"/>
      <c r="E980" s="33"/>
      <c r="F980" s="33"/>
    </row>
    <row r="981" ht="15.75" customHeight="1">
      <c r="C981" s="33"/>
      <c r="D981" s="33"/>
      <c r="E981" s="33"/>
      <c r="F981" s="33"/>
    </row>
    <row r="982" ht="15.75" customHeight="1">
      <c r="C982" s="33"/>
      <c r="D982" s="33"/>
      <c r="E982" s="33"/>
      <c r="F982" s="33"/>
    </row>
    <row r="983" ht="15.75" customHeight="1">
      <c r="C983" s="33"/>
      <c r="D983" s="33"/>
      <c r="E983" s="33"/>
      <c r="F983" s="33"/>
    </row>
    <row r="984" ht="15.75" customHeight="1">
      <c r="C984" s="33"/>
      <c r="D984" s="33"/>
      <c r="E984" s="33"/>
      <c r="F984" s="33"/>
    </row>
    <row r="985" ht="15.75" customHeight="1">
      <c r="C985" s="33"/>
      <c r="D985" s="33"/>
      <c r="E985" s="33"/>
      <c r="F985" s="33"/>
    </row>
    <row r="986" ht="15.75" customHeight="1">
      <c r="C986" s="33"/>
      <c r="D986" s="33"/>
      <c r="E986" s="33"/>
      <c r="F986" s="33"/>
    </row>
    <row r="987" ht="15.75" customHeight="1">
      <c r="C987" s="33"/>
      <c r="D987" s="33"/>
      <c r="E987" s="33"/>
      <c r="F987" s="33"/>
    </row>
    <row r="988" ht="15.75" customHeight="1">
      <c r="C988" s="33"/>
      <c r="D988" s="33"/>
      <c r="E988" s="33"/>
      <c r="F988" s="33"/>
    </row>
    <row r="989" ht="15.75" customHeight="1">
      <c r="C989" s="33"/>
      <c r="D989" s="33"/>
      <c r="E989" s="33"/>
      <c r="F989" s="33"/>
    </row>
    <row r="990" ht="15.75" customHeight="1">
      <c r="C990" s="33"/>
      <c r="D990" s="33"/>
      <c r="E990" s="33"/>
      <c r="F990" s="33"/>
    </row>
    <row r="991" ht="15.75" customHeight="1">
      <c r="C991" s="33"/>
      <c r="D991" s="33"/>
      <c r="E991" s="33"/>
      <c r="F991" s="33"/>
    </row>
    <row r="992" ht="15.75" customHeight="1">
      <c r="C992" s="33"/>
      <c r="D992" s="33"/>
      <c r="E992" s="33"/>
      <c r="F992" s="33"/>
    </row>
    <row r="993" ht="15.75" customHeight="1">
      <c r="C993" s="33"/>
      <c r="D993" s="33"/>
      <c r="E993" s="33"/>
      <c r="F993" s="33"/>
    </row>
    <row r="994" ht="15.75" customHeight="1">
      <c r="C994" s="33"/>
      <c r="D994" s="33"/>
      <c r="E994" s="33"/>
      <c r="F994" s="33"/>
    </row>
    <row r="995" ht="15.75" customHeight="1">
      <c r="C995" s="33"/>
      <c r="D995" s="33"/>
      <c r="E995" s="33"/>
      <c r="F995" s="33"/>
    </row>
    <row r="996" ht="15.75" customHeight="1">
      <c r="C996" s="33"/>
      <c r="D996" s="33"/>
      <c r="E996" s="33"/>
      <c r="F996" s="33"/>
    </row>
    <row r="997" ht="15.75" customHeight="1">
      <c r="C997" s="33"/>
      <c r="D997" s="33"/>
      <c r="E997" s="33"/>
      <c r="F997" s="33"/>
    </row>
    <row r="998" ht="15.75" customHeight="1">
      <c r="C998" s="33"/>
      <c r="D998" s="33"/>
      <c r="E998" s="33"/>
      <c r="F998" s="33"/>
    </row>
    <row r="999" ht="15.75" customHeight="1">
      <c r="C999" s="33"/>
      <c r="D999" s="33"/>
      <c r="E999" s="33"/>
      <c r="F999" s="33"/>
    </row>
    <row r="1000" ht="15.75" customHeight="1">
      <c r="C1000" s="33"/>
      <c r="D1000" s="33"/>
      <c r="E1000" s="33"/>
      <c r="F1000" s="33"/>
    </row>
    <row r="1001" ht="15.75" customHeight="1">
      <c r="C1001" s="33"/>
      <c r="D1001" s="33"/>
      <c r="E1001" s="33"/>
      <c r="F1001" s="33"/>
    </row>
    <row r="1002" ht="15.75" customHeight="1">
      <c r="C1002" s="33"/>
      <c r="D1002" s="33"/>
      <c r="E1002" s="33"/>
      <c r="F1002" s="33"/>
    </row>
    <row r="1003" ht="15.75" customHeight="1">
      <c r="C1003" s="33"/>
      <c r="D1003" s="33"/>
      <c r="E1003" s="33"/>
      <c r="F1003" s="33"/>
    </row>
    <row r="1004" ht="15.75" customHeight="1">
      <c r="C1004" s="33"/>
      <c r="D1004" s="33"/>
      <c r="E1004" s="33"/>
      <c r="F1004" s="33"/>
    </row>
    <row r="1005" ht="15.75" customHeight="1">
      <c r="C1005" s="33"/>
      <c r="D1005" s="33"/>
      <c r="E1005" s="33"/>
      <c r="F1005" s="33"/>
    </row>
    <row r="1006" ht="15.75" customHeight="1">
      <c r="C1006" s="33"/>
      <c r="D1006" s="33"/>
      <c r="E1006" s="33"/>
      <c r="F1006" s="33"/>
    </row>
    <row r="1007" ht="15.75" customHeight="1">
      <c r="C1007" s="33"/>
      <c r="D1007" s="33"/>
      <c r="E1007" s="33"/>
      <c r="F1007" s="33"/>
    </row>
    <row r="1008" ht="15.75" customHeight="1">
      <c r="C1008" s="33"/>
      <c r="D1008" s="33"/>
      <c r="E1008" s="33"/>
      <c r="F1008" s="33"/>
    </row>
    <row r="1009" ht="15.75" customHeight="1">
      <c r="C1009" s="33"/>
      <c r="D1009" s="33"/>
      <c r="E1009" s="33"/>
      <c r="F1009" s="33"/>
    </row>
    <row r="1010" ht="15.75" customHeight="1">
      <c r="C1010" s="33"/>
      <c r="D1010" s="33"/>
      <c r="E1010" s="33"/>
      <c r="F1010" s="33"/>
    </row>
    <row r="1011" ht="15.75" customHeight="1">
      <c r="C1011" s="33"/>
      <c r="D1011" s="33"/>
      <c r="E1011" s="33"/>
      <c r="F1011" s="33"/>
    </row>
    <row r="1012" ht="15.75" customHeight="1">
      <c r="C1012" s="33"/>
      <c r="D1012" s="33"/>
      <c r="E1012" s="33"/>
      <c r="F1012" s="33"/>
    </row>
    <row r="1013" ht="15.75" customHeight="1">
      <c r="C1013" s="33"/>
      <c r="D1013" s="33"/>
      <c r="E1013" s="33"/>
      <c r="F1013" s="33"/>
    </row>
    <row r="1014" ht="15.75" customHeight="1">
      <c r="C1014" s="33"/>
      <c r="D1014" s="33"/>
      <c r="E1014" s="33"/>
      <c r="F1014" s="33"/>
    </row>
    <row r="1015" ht="15.75" customHeight="1">
      <c r="C1015" s="33"/>
      <c r="D1015" s="33"/>
      <c r="E1015" s="33"/>
      <c r="F1015" s="33"/>
    </row>
    <row r="1016" ht="15.75" customHeight="1">
      <c r="C1016" s="33"/>
      <c r="D1016" s="33"/>
      <c r="E1016" s="33"/>
      <c r="F1016" s="33"/>
    </row>
    <row r="1017" ht="15.75" customHeight="1">
      <c r="C1017" s="33"/>
      <c r="D1017" s="33"/>
      <c r="E1017" s="33"/>
      <c r="F1017" s="33"/>
    </row>
    <row r="1018" ht="15.75" customHeight="1">
      <c r="C1018" s="33"/>
      <c r="D1018" s="33"/>
      <c r="E1018" s="33"/>
      <c r="F1018" s="33"/>
    </row>
    <row r="1019" ht="15.75" customHeight="1">
      <c r="C1019" s="33"/>
      <c r="D1019" s="33"/>
      <c r="E1019" s="33"/>
      <c r="F1019" s="33"/>
    </row>
    <row r="1020" ht="15.75" customHeight="1">
      <c r="C1020" s="33"/>
      <c r="D1020" s="33"/>
      <c r="E1020" s="33"/>
      <c r="F1020" s="33"/>
    </row>
    <row r="1021" ht="15.75" customHeight="1">
      <c r="C1021" s="33"/>
      <c r="D1021" s="33"/>
      <c r="E1021" s="33"/>
      <c r="F1021" s="33"/>
    </row>
    <row r="1022" ht="15.75" customHeight="1">
      <c r="C1022" s="33"/>
      <c r="D1022" s="33"/>
      <c r="E1022" s="33"/>
      <c r="F1022" s="3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6.13"/>
    <col customWidth="1" min="3" max="4" width="13.38"/>
    <col customWidth="1" min="5" max="5" width="12.63"/>
  </cols>
  <sheetData>
    <row r="1" ht="15.75" customHeight="1">
      <c r="A1" s="5" t="s">
        <v>3</v>
      </c>
      <c r="B1" s="5" t="s">
        <v>4</v>
      </c>
      <c r="C1" s="4" t="s">
        <v>5</v>
      </c>
      <c r="D1" s="28" t="s">
        <v>102</v>
      </c>
      <c r="E1" s="29"/>
      <c r="F1" s="29"/>
      <c r="G1" s="30"/>
    </row>
    <row r="2" ht="15.75" customHeight="1">
      <c r="A2" s="14" t="s">
        <v>11</v>
      </c>
      <c r="B2" s="14" t="s">
        <v>25</v>
      </c>
      <c r="C2" s="15" t="s">
        <v>26</v>
      </c>
      <c r="D2" s="31">
        <v>0.1</v>
      </c>
      <c r="E2" s="32"/>
      <c r="F2" s="32"/>
    </row>
    <row r="3" ht="15.75" customHeight="1">
      <c r="A3" s="14" t="s">
        <v>11</v>
      </c>
      <c r="B3" s="14" t="s">
        <v>27</v>
      </c>
      <c r="C3" s="15" t="s">
        <v>28</v>
      </c>
      <c r="D3" s="35">
        <v>0.5</v>
      </c>
      <c r="E3" s="32"/>
      <c r="F3" s="32"/>
    </row>
    <row r="4" ht="15.75" customHeight="1">
      <c r="A4" s="14" t="s">
        <v>11</v>
      </c>
      <c r="B4" s="14" t="s">
        <v>29</v>
      </c>
      <c r="C4" s="15" t="s">
        <v>30</v>
      </c>
      <c r="D4" s="31">
        <v>0.3</v>
      </c>
      <c r="E4" s="32"/>
      <c r="F4" s="32"/>
    </row>
    <row r="5" ht="15.75" customHeight="1">
      <c r="A5" s="14" t="s">
        <v>11</v>
      </c>
      <c r="B5" s="14" t="s">
        <v>31</v>
      </c>
      <c r="C5" s="15" t="s">
        <v>32</v>
      </c>
      <c r="D5" s="31">
        <v>0.9</v>
      </c>
      <c r="E5" s="32"/>
      <c r="F5" s="32"/>
    </row>
    <row r="6" ht="15.75" customHeight="1">
      <c r="A6" s="14" t="s">
        <v>18</v>
      </c>
      <c r="B6" s="14" t="s">
        <v>33</v>
      </c>
      <c r="C6" s="15" t="s">
        <v>30</v>
      </c>
      <c r="D6" s="31">
        <v>0.3</v>
      </c>
      <c r="E6" s="32"/>
      <c r="F6" s="32"/>
    </row>
    <row r="7" ht="15.75" customHeight="1">
      <c r="A7" s="14" t="s">
        <v>18</v>
      </c>
      <c r="B7" s="14" t="s">
        <v>34</v>
      </c>
      <c r="C7" s="15" t="s">
        <v>26</v>
      </c>
      <c r="D7" s="31">
        <v>0.1</v>
      </c>
      <c r="E7" s="32"/>
      <c r="F7" s="32"/>
    </row>
    <row r="8" ht="15.75" customHeight="1">
      <c r="A8" s="14" t="s">
        <v>18</v>
      </c>
      <c r="B8" s="14" t="s">
        <v>35</v>
      </c>
      <c r="C8" s="15" t="s">
        <v>26</v>
      </c>
      <c r="D8" s="31">
        <v>0.1</v>
      </c>
      <c r="E8" s="32"/>
      <c r="F8" s="32"/>
    </row>
    <row r="9" ht="15.75" customHeight="1">
      <c r="A9" s="14" t="s">
        <v>18</v>
      </c>
      <c r="B9" s="14" t="s">
        <v>36</v>
      </c>
      <c r="C9" s="15" t="s">
        <v>37</v>
      </c>
      <c r="D9" s="31">
        <v>0.3</v>
      </c>
      <c r="E9" s="32"/>
      <c r="F9" s="32"/>
    </row>
    <row r="10" ht="15.75" customHeight="1">
      <c r="A10" s="14" t="s">
        <v>18</v>
      </c>
      <c r="B10" s="14" t="s">
        <v>38</v>
      </c>
      <c r="C10" s="15" t="s">
        <v>39</v>
      </c>
      <c r="D10" s="31">
        <v>0.5</v>
      </c>
      <c r="E10" s="32"/>
      <c r="F10" s="32"/>
    </row>
    <row r="11" ht="15.75" customHeight="1">
      <c r="A11" s="14" t="s">
        <v>8</v>
      </c>
      <c r="B11" s="14" t="s">
        <v>40</v>
      </c>
      <c r="C11" s="15" t="s">
        <v>39</v>
      </c>
      <c r="D11" s="31">
        <v>0.3</v>
      </c>
      <c r="E11" s="32"/>
      <c r="F11" s="32"/>
    </row>
    <row r="12" ht="15.75" customHeight="1">
      <c r="A12" s="14" t="s">
        <v>8</v>
      </c>
      <c r="B12" s="14" t="s">
        <v>41</v>
      </c>
      <c r="C12" s="15" t="s">
        <v>42</v>
      </c>
      <c r="D12" s="31">
        <v>0.5</v>
      </c>
      <c r="E12" s="32"/>
      <c r="F12" s="32"/>
    </row>
    <row r="13" ht="15.75" customHeight="1">
      <c r="A13" s="14" t="s">
        <v>8</v>
      </c>
      <c r="B13" s="14" t="s">
        <v>43</v>
      </c>
      <c r="C13" s="15" t="s">
        <v>28</v>
      </c>
      <c r="D13" s="31">
        <v>0.1</v>
      </c>
      <c r="E13" s="32"/>
      <c r="F13" s="32"/>
    </row>
    <row r="14" ht="15.75" customHeight="1">
      <c r="A14" s="14" t="s">
        <v>8</v>
      </c>
      <c r="B14" s="14" t="s">
        <v>44</v>
      </c>
      <c r="C14" s="15" t="s">
        <v>45</v>
      </c>
      <c r="D14" s="31">
        <v>0.1</v>
      </c>
      <c r="E14" s="32"/>
      <c r="F14" s="32"/>
    </row>
    <row r="15" ht="15.75" customHeight="1">
      <c r="A15" s="14" t="s">
        <v>8</v>
      </c>
      <c r="B15" s="14" t="s">
        <v>46</v>
      </c>
      <c r="C15" s="15" t="s">
        <v>45</v>
      </c>
      <c r="D15" s="31">
        <v>0.1</v>
      </c>
      <c r="E15" s="32"/>
      <c r="F15" s="32"/>
    </row>
    <row r="16" ht="15.75" customHeight="1">
      <c r="A16" s="14" t="s">
        <v>16</v>
      </c>
      <c r="B16" s="14" t="s">
        <v>47</v>
      </c>
      <c r="C16" s="15" t="s">
        <v>30</v>
      </c>
      <c r="D16" s="31">
        <v>0.5</v>
      </c>
      <c r="E16" s="32"/>
      <c r="F16" s="32"/>
    </row>
    <row r="17" ht="15.75" customHeight="1">
      <c r="A17" s="14" t="s">
        <v>16</v>
      </c>
      <c r="B17" s="14" t="s">
        <v>48</v>
      </c>
      <c r="C17" s="15" t="s">
        <v>30</v>
      </c>
      <c r="D17" s="31">
        <v>0.9</v>
      </c>
      <c r="E17" s="32"/>
      <c r="F17" s="32"/>
    </row>
    <row r="18" ht="15.75" customHeight="1">
      <c r="A18" s="14" t="s">
        <v>16</v>
      </c>
      <c r="B18" s="14" t="s">
        <v>49</v>
      </c>
      <c r="C18" s="15" t="s">
        <v>50</v>
      </c>
      <c r="D18" s="31">
        <v>0.7</v>
      </c>
      <c r="E18" s="32"/>
      <c r="F18" s="32"/>
    </row>
    <row r="19" ht="15.75" customHeight="1">
      <c r="A19" s="14" t="s">
        <v>16</v>
      </c>
      <c r="B19" s="14" t="s">
        <v>51</v>
      </c>
      <c r="C19" s="15" t="s">
        <v>30</v>
      </c>
      <c r="D19" s="31">
        <v>0.7</v>
      </c>
      <c r="E19" s="32"/>
      <c r="F19" s="32"/>
    </row>
    <row r="20" ht="15.75" customHeight="1">
      <c r="A20" s="14" t="s">
        <v>16</v>
      </c>
      <c r="B20" s="14" t="s">
        <v>52</v>
      </c>
      <c r="C20" s="15" t="s">
        <v>42</v>
      </c>
      <c r="D20" s="31">
        <v>0.7</v>
      </c>
      <c r="E20" s="32"/>
      <c r="F20" s="32"/>
    </row>
    <row r="21" ht="15.75" customHeight="1">
      <c r="A21" s="14" t="s">
        <v>14</v>
      </c>
      <c r="B21" s="14" t="s">
        <v>53</v>
      </c>
      <c r="C21" s="15" t="s">
        <v>28</v>
      </c>
      <c r="D21" s="31">
        <v>0.7</v>
      </c>
      <c r="E21" s="32"/>
      <c r="F21" s="32"/>
    </row>
    <row r="22" ht="15.75" customHeight="1">
      <c r="A22" s="14" t="s">
        <v>14</v>
      </c>
      <c r="B22" s="14" t="s">
        <v>54</v>
      </c>
      <c r="C22" s="15" t="s">
        <v>39</v>
      </c>
      <c r="D22" s="31">
        <v>0.5</v>
      </c>
      <c r="E22" s="32"/>
      <c r="F22" s="32"/>
    </row>
    <row r="23" ht="15.75" customHeight="1">
      <c r="A23" s="14" t="s">
        <v>14</v>
      </c>
      <c r="B23" s="14" t="s">
        <v>55</v>
      </c>
      <c r="C23" s="15" t="s">
        <v>32</v>
      </c>
      <c r="D23" s="31">
        <v>0.9</v>
      </c>
      <c r="E23" s="32"/>
      <c r="F23" s="32"/>
    </row>
    <row r="24" ht="15.75" customHeight="1">
      <c r="A24" s="14" t="s">
        <v>14</v>
      </c>
      <c r="B24" s="14" t="s">
        <v>57</v>
      </c>
      <c r="C24" s="15" t="s">
        <v>32</v>
      </c>
      <c r="D24" s="31">
        <v>0.5</v>
      </c>
      <c r="E24" s="32"/>
      <c r="F24" s="32"/>
    </row>
    <row r="25" ht="15.75" customHeight="1">
      <c r="A25" s="14" t="s">
        <v>14</v>
      </c>
      <c r="B25" s="14" t="s">
        <v>58</v>
      </c>
      <c r="C25" s="15" t="s">
        <v>37</v>
      </c>
      <c r="D25" s="31">
        <v>0.5</v>
      </c>
      <c r="E25" s="32"/>
      <c r="F25" s="32"/>
    </row>
    <row r="26" ht="15.75" customHeight="1">
      <c r="A26" s="14" t="s">
        <v>9</v>
      </c>
      <c r="B26" s="14" t="s">
        <v>59</v>
      </c>
      <c r="C26" s="15" t="s">
        <v>30</v>
      </c>
      <c r="D26" s="31">
        <v>0.7</v>
      </c>
      <c r="E26" s="32"/>
      <c r="F26" s="32"/>
    </row>
    <row r="27" ht="15.75" customHeight="1">
      <c r="A27" s="14" t="s">
        <v>9</v>
      </c>
      <c r="B27" s="14" t="s">
        <v>60</v>
      </c>
      <c r="C27" s="15" t="s">
        <v>32</v>
      </c>
      <c r="D27" s="31">
        <v>0.7</v>
      </c>
      <c r="E27" s="32"/>
      <c r="F27" s="32"/>
    </row>
    <row r="28" ht="15.75" customHeight="1">
      <c r="A28" s="14" t="s">
        <v>9</v>
      </c>
      <c r="B28" s="14" t="s">
        <v>61</v>
      </c>
      <c r="C28" s="15" t="s">
        <v>28</v>
      </c>
      <c r="D28" s="31">
        <v>0.7</v>
      </c>
      <c r="E28" s="32"/>
      <c r="F28" s="32"/>
    </row>
    <row r="29" ht="15.75" customHeight="1">
      <c r="A29" s="14" t="s">
        <v>9</v>
      </c>
      <c r="B29" s="14" t="s">
        <v>62</v>
      </c>
      <c r="C29" s="15" t="s">
        <v>28</v>
      </c>
      <c r="D29" s="31">
        <v>0.7</v>
      </c>
      <c r="E29" s="32"/>
      <c r="F29" s="32"/>
    </row>
    <row r="30" ht="15.75" customHeight="1">
      <c r="A30" s="14" t="s">
        <v>9</v>
      </c>
      <c r="B30" s="14" t="s">
        <v>63</v>
      </c>
      <c r="C30" s="15" t="s">
        <v>28</v>
      </c>
      <c r="D30" s="31">
        <v>0.7</v>
      </c>
      <c r="E30" s="32"/>
      <c r="F30" s="32"/>
    </row>
    <row r="31" ht="15.75" customHeight="1">
      <c r="A31" s="14" t="s">
        <v>64</v>
      </c>
      <c r="B31" s="14" t="s">
        <v>65</v>
      </c>
      <c r="C31" s="15" t="s">
        <v>32</v>
      </c>
      <c r="D31" s="31">
        <v>0.7</v>
      </c>
      <c r="E31" s="32"/>
      <c r="F31" s="32"/>
    </row>
    <row r="32" ht="15.75" customHeight="1">
      <c r="A32" s="14" t="s">
        <v>64</v>
      </c>
      <c r="B32" s="14" t="s">
        <v>66</v>
      </c>
      <c r="C32" s="15" t="s">
        <v>26</v>
      </c>
      <c r="D32" s="31">
        <v>0.5</v>
      </c>
      <c r="E32" s="32"/>
      <c r="F32" s="32"/>
    </row>
    <row r="33" ht="15.75" customHeight="1">
      <c r="A33" s="14" t="s">
        <v>64</v>
      </c>
      <c r="B33" s="14" t="s">
        <v>67</v>
      </c>
      <c r="C33" s="15" t="s">
        <v>32</v>
      </c>
      <c r="D33" s="31">
        <v>0.1</v>
      </c>
      <c r="E33" s="32"/>
      <c r="F33" s="32"/>
    </row>
    <row r="34" ht="15.75" customHeight="1">
      <c r="A34" s="14" t="s">
        <v>64</v>
      </c>
      <c r="B34" s="14" t="s">
        <v>68</v>
      </c>
      <c r="C34" s="15" t="s">
        <v>39</v>
      </c>
      <c r="D34" s="31">
        <v>0.1</v>
      </c>
      <c r="E34" s="32"/>
      <c r="F34" s="32"/>
    </row>
    <row r="35" ht="15.75" customHeight="1">
      <c r="A35" s="14" t="s">
        <v>64</v>
      </c>
      <c r="B35" s="14" t="s">
        <v>69</v>
      </c>
      <c r="C35" s="15" t="s">
        <v>28</v>
      </c>
      <c r="D35" s="31">
        <v>0.3</v>
      </c>
      <c r="E35" s="32"/>
      <c r="F35" s="32"/>
    </row>
    <row r="36" ht="15.75" customHeight="1">
      <c r="A36" s="14" t="s">
        <v>7</v>
      </c>
      <c r="B36" s="14" t="s">
        <v>70</v>
      </c>
      <c r="C36" s="15" t="s">
        <v>32</v>
      </c>
      <c r="D36" s="31">
        <v>0.5</v>
      </c>
      <c r="E36" s="32"/>
      <c r="F36" s="32"/>
    </row>
    <row r="37" ht="15.75" customHeight="1">
      <c r="A37" s="14" t="s">
        <v>7</v>
      </c>
      <c r="B37" s="14" t="s">
        <v>71</v>
      </c>
      <c r="C37" s="15" t="s">
        <v>28</v>
      </c>
      <c r="D37" s="31">
        <v>0.7</v>
      </c>
      <c r="E37" s="32"/>
      <c r="F37" s="32"/>
    </row>
    <row r="38" ht="15.75" customHeight="1">
      <c r="A38" s="14" t="s">
        <v>7</v>
      </c>
      <c r="B38" s="14" t="s">
        <v>72</v>
      </c>
      <c r="C38" s="15" t="s">
        <v>42</v>
      </c>
      <c r="D38" s="31">
        <v>0.5</v>
      </c>
      <c r="E38" s="32"/>
      <c r="F38" s="32"/>
    </row>
    <row r="39" ht="15.75" customHeight="1">
      <c r="A39" s="14" t="s">
        <v>7</v>
      </c>
      <c r="B39" s="14" t="s">
        <v>73</v>
      </c>
      <c r="C39" s="15" t="s">
        <v>45</v>
      </c>
      <c r="D39" s="31">
        <v>0.3</v>
      </c>
      <c r="E39" s="32"/>
      <c r="F39" s="32"/>
    </row>
    <row r="40" ht="15.75" customHeight="1">
      <c r="A40" s="14" t="s">
        <v>7</v>
      </c>
      <c r="B40" s="14" t="s">
        <v>74</v>
      </c>
      <c r="C40" s="15" t="s">
        <v>30</v>
      </c>
      <c r="D40" s="31">
        <v>0.9</v>
      </c>
      <c r="E40" s="32"/>
      <c r="F40" s="32"/>
    </row>
    <row r="41" ht="15.75" customHeight="1">
      <c r="A41" s="14" t="s">
        <v>75</v>
      </c>
      <c r="B41" s="14" t="s">
        <v>76</v>
      </c>
      <c r="C41" s="15" t="s">
        <v>28</v>
      </c>
      <c r="D41" s="31">
        <v>0.3</v>
      </c>
      <c r="E41" s="32"/>
      <c r="F41" s="32"/>
    </row>
    <row r="42" ht="15.75" customHeight="1">
      <c r="A42" s="14" t="s">
        <v>75</v>
      </c>
      <c r="B42" s="14" t="s">
        <v>77</v>
      </c>
      <c r="C42" s="15" t="s">
        <v>32</v>
      </c>
      <c r="D42" s="31">
        <v>0.8</v>
      </c>
      <c r="E42" s="32"/>
      <c r="F42" s="32"/>
    </row>
    <row r="43" ht="15.75" customHeight="1">
      <c r="A43" s="14" t="s">
        <v>75</v>
      </c>
      <c r="B43" s="14" t="s">
        <v>78</v>
      </c>
      <c r="C43" s="15" t="s">
        <v>32</v>
      </c>
      <c r="D43" s="31">
        <v>0.5</v>
      </c>
      <c r="E43" s="32"/>
      <c r="F43" s="32"/>
    </row>
    <row r="44" ht="15.75" customHeight="1">
      <c r="A44" s="14" t="s">
        <v>75</v>
      </c>
      <c r="B44" s="14" t="s">
        <v>79</v>
      </c>
      <c r="C44" s="15" t="s">
        <v>28</v>
      </c>
      <c r="D44" s="31">
        <v>0.3</v>
      </c>
      <c r="E44" s="32"/>
      <c r="F44" s="32"/>
    </row>
    <row r="45" ht="15.75" customHeight="1">
      <c r="A45" s="14" t="s">
        <v>75</v>
      </c>
      <c r="B45" s="14" t="s">
        <v>80</v>
      </c>
      <c r="C45" s="15" t="s">
        <v>45</v>
      </c>
      <c r="D45" s="31">
        <v>0.7</v>
      </c>
      <c r="E45" s="32"/>
      <c r="F45" s="32"/>
    </row>
    <row r="46" ht="15.75" customHeight="1">
      <c r="A46" s="14" t="s">
        <v>13</v>
      </c>
      <c r="B46" s="14" t="s">
        <v>82</v>
      </c>
      <c r="C46" s="15" t="s">
        <v>32</v>
      </c>
      <c r="D46" s="31">
        <v>0.7</v>
      </c>
      <c r="E46" s="32"/>
      <c r="F46" s="32"/>
    </row>
    <row r="47" ht="15.75" customHeight="1">
      <c r="A47" s="14" t="s">
        <v>13</v>
      </c>
      <c r="B47" s="14" t="s">
        <v>83</v>
      </c>
      <c r="C47" s="15" t="s">
        <v>39</v>
      </c>
      <c r="D47" s="31">
        <v>0.7</v>
      </c>
      <c r="E47" s="32"/>
      <c r="F47" s="32"/>
    </row>
    <row r="48" ht="15.75" customHeight="1">
      <c r="A48" s="14" t="s">
        <v>13</v>
      </c>
      <c r="B48" s="14" t="s">
        <v>84</v>
      </c>
      <c r="C48" s="15" t="s">
        <v>30</v>
      </c>
      <c r="D48" s="31">
        <v>0.5</v>
      </c>
      <c r="E48" s="32"/>
      <c r="F48" s="32"/>
    </row>
    <row r="49" ht="15.75" customHeight="1">
      <c r="A49" s="14" t="s">
        <v>13</v>
      </c>
      <c r="B49" s="14" t="s">
        <v>85</v>
      </c>
      <c r="C49" s="15" t="s">
        <v>30</v>
      </c>
      <c r="D49" s="31">
        <v>0.5</v>
      </c>
      <c r="E49" s="32"/>
      <c r="F49" s="32"/>
    </row>
    <row r="50" ht="15.75" customHeight="1">
      <c r="A50" s="14" t="s">
        <v>13</v>
      </c>
      <c r="B50" s="14" t="s">
        <v>86</v>
      </c>
      <c r="C50" s="15" t="s">
        <v>32</v>
      </c>
      <c r="D50" s="31">
        <v>0.5</v>
      </c>
      <c r="E50" s="32"/>
      <c r="F50" s="32"/>
    </row>
    <row r="51" ht="15.75" customHeight="1">
      <c r="A51" s="14" t="s">
        <v>10</v>
      </c>
      <c r="B51" s="14" t="s">
        <v>87</v>
      </c>
      <c r="C51" s="15" t="s">
        <v>30</v>
      </c>
      <c r="D51" s="31">
        <v>0.5</v>
      </c>
      <c r="E51" s="32"/>
      <c r="F51" s="32"/>
    </row>
    <row r="52" ht="15.75" customHeight="1">
      <c r="A52" s="14" t="s">
        <v>10</v>
      </c>
      <c r="B52" s="14" t="s">
        <v>88</v>
      </c>
      <c r="C52" s="15" t="s">
        <v>30</v>
      </c>
      <c r="D52" s="31">
        <v>0.9</v>
      </c>
      <c r="E52" s="32"/>
      <c r="F52" s="32"/>
    </row>
    <row r="53" ht="15.75" customHeight="1">
      <c r="A53" s="14" t="s">
        <v>10</v>
      </c>
      <c r="B53" s="14" t="s">
        <v>89</v>
      </c>
      <c r="C53" s="15" t="s">
        <v>26</v>
      </c>
      <c r="D53" s="31">
        <v>0.7</v>
      </c>
      <c r="E53" s="32"/>
      <c r="F53" s="32"/>
    </row>
    <row r="54" ht="15.75" customHeight="1">
      <c r="A54" s="14" t="s">
        <v>10</v>
      </c>
      <c r="B54" s="14" t="s">
        <v>90</v>
      </c>
      <c r="C54" s="15" t="s">
        <v>32</v>
      </c>
      <c r="D54" s="31">
        <v>0.3</v>
      </c>
      <c r="E54" s="32"/>
      <c r="F54" s="32"/>
    </row>
    <row r="55" ht="15.75" customHeight="1">
      <c r="A55" s="14" t="s">
        <v>10</v>
      </c>
      <c r="B55" s="20" t="s">
        <v>91</v>
      </c>
      <c r="C55" s="15" t="s">
        <v>50</v>
      </c>
      <c r="D55" s="36">
        <v>0.7</v>
      </c>
      <c r="E55" s="32"/>
      <c r="F55" s="32"/>
    </row>
    <row r="56" ht="15.75" customHeight="1">
      <c r="A56" s="14" t="s">
        <v>17</v>
      </c>
      <c r="B56" s="14" t="s">
        <v>92</v>
      </c>
      <c r="C56" s="15" t="s">
        <v>32</v>
      </c>
      <c r="D56" s="31">
        <v>0.7</v>
      </c>
      <c r="E56" s="32"/>
      <c r="F56" s="32"/>
    </row>
    <row r="57" ht="15.75" customHeight="1">
      <c r="A57" s="14" t="s">
        <v>17</v>
      </c>
      <c r="B57" s="14" t="s">
        <v>93</v>
      </c>
      <c r="C57" s="15" t="s">
        <v>32</v>
      </c>
      <c r="D57" s="31">
        <v>0.5</v>
      </c>
      <c r="E57" s="32"/>
      <c r="F57" s="32"/>
    </row>
    <row r="58" ht="15.75" customHeight="1">
      <c r="A58" s="14" t="s">
        <v>17</v>
      </c>
      <c r="B58" s="14" t="s">
        <v>94</v>
      </c>
      <c r="C58" s="15" t="s">
        <v>30</v>
      </c>
      <c r="D58" s="31">
        <v>0.5</v>
      </c>
      <c r="E58" s="32"/>
      <c r="F58" s="32"/>
    </row>
    <row r="59" ht="15.75" customHeight="1">
      <c r="A59" s="14" t="s">
        <v>17</v>
      </c>
      <c r="B59" s="14" t="s">
        <v>95</v>
      </c>
      <c r="C59" s="15" t="s">
        <v>32</v>
      </c>
      <c r="D59" s="31">
        <v>0.4</v>
      </c>
      <c r="E59" s="32"/>
      <c r="F59" s="32"/>
    </row>
    <row r="60" ht="15.75" customHeight="1">
      <c r="A60" s="14" t="s">
        <v>17</v>
      </c>
      <c r="B60" s="14" t="s">
        <v>96</v>
      </c>
      <c r="C60" s="15" t="s">
        <v>32</v>
      </c>
      <c r="D60" s="31">
        <v>0.75</v>
      </c>
      <c r="E60" s="32"/>
      <c r="F60" s="32"/>
    </row>
    <row r="61">
      <c r="C61" s="33"/>
      <c r="D61" s="33"/>
      <c r="E61" s="33"/>
      <c r="F61" s="33"/>
    </row>
    <row r="62">
      <c r="C62" s="33"/>
      <c r="D62" s="33"/>
      <c r="E62" s="33"/>
      <c r="F62" s="33"/>
    </row>
    <row r="63">
      <c r="C63" s="33"/>
      <c r="D63" s="33"/>
      <c r="E63" s="33"/>
      <c r="F63" s="33"/>
    </row>
    <row r="64">
      <c r="C64" s="33"/>
      <c r="D64" s="33"/>
      <c r="E64" s="33"/>
      <c r="F64" s="33"/>
    </row>
    <row r="65">
      <c r="C65" s="33"/>
      <c r="D65" s="33"/>
      <c r="E65" s="33"/>
      <c r="F65" s="33"/>
    </row>
    <row r="66">
      <c r="C66" s="33"/>
      <c r="D66" s="33"/>
      <c r="E66" s="33"/>
      <c r="F66" s="33"/>
    </row>
    <row r="67">
      <c r="C67" s="33"/>
      <c r="D67" s="33"/>
      <c r="E67" s="33"/>
      <c r="F67" s="33"/>
    </row>
    <row r="68">
      <c r="C68" s="33"/>
      <c r="D68" s="33"/>
      <c r="E68" s="33"/>
      <c r="F68" s="33"/>
    </row>
    <row r="69">
      <c r="C69" s="33"/>
      <c r="D69" s="33"/>
      <c r="E69" s="33"/>
      <c r="F69" s="33"/>
    </row>
    <row r="70">
      <c r="C70" s="33"/>
      <c r="D70" s="33"/>
      <c r="E70" s="33"/>
      <c r="F70" s="33"/>
    </row>
    <row r="71">
      <c r="C71" s="33"/>
      <c r="D71" s="33"/>
      <c r="E71" s="33"/>
      <c r="F71" s="33"/>
    </row>
    <row r="72">
      <c r="C72" s="33"/>
      <c r="D72" s="33"/>
      <c r="E72" s="33"/>
      <c r="F72" s="33"/>
    </row>
    <row r="73">
      <c r="C73" s="33"/>
      <c r="D73" s="33"/>
      <c r="E73" s="33"/>
      <c r="F73" s="33"/>
    </row>
    <row r="74">
      <c r="C74" s="33"/>
      <c r="D74" s="33"/>
      <c r="E74" s="33"/>
      <c r="F74" s="33"/>
    </row>
    <row r="75">
      <c r="C75" s="33"/>
      <c r="D75" s="33"/>
      <c r="E75" s="33"/>
      <c r="F75" s="33"/>
    </row>
    <row r="76">
      <c r="C76" s="33"/>
      <c r="D76" s="33"/>
      <c r="E76" s="33"/>
      <c r="F76" s="33"/>
    </row>
    <row r="77">
      <c r="C77" s="33"/>
      <c r="D77" s="33"/>
      <c r="E77" s="33"/>
      <c r="F77" s="33"/>
    </row>
    <row r="78">
      <c r="C78" s="33"/>
      <c r="D78" s="33"/>
      <c r="E78" s="33"/>
      <c r="F78" s="33"/>
    </row>
    <row r="79">
      <c r="C79" s="33"/>
      <c r="D79" s="33"/>
      <c r="E79" s="33"/>
      <c r="F79" s="33"/>
    </row>
    <row r="80">
      <c r="C80" s="33"/>
      <c r="D80" s="33"/>
      <c r="E80" s="33"/>
      <c r="F80" s="33"/>
    </row>
    <row r="81">
      <c r="C81" s="33"/>
      <c r="D81" s="33"/>
      <c r="E81" s="33"/>
      <c r="F81" s="33"/>
    </row>
    <row r="82" ht="15.75" customHeight="1">
      <c r="C82" s="33"/>
      <c r="D82" s="33"/>
      <c r="E82" s="33"/>
      <c r="F82" s="33"/>
    </row>
    <row r="83" ht="15.75" customHeight="1">
      <c r="C83" s="33"/>
      <c r="D83" s="33"/>
      <c r="E83" s="33"/>
      <c r="F83" s="33"/>
    </row>
    <row r="84" ht="15.75" customHeight="1">
      <c r="C84" s="33"/>
      <c r="D84" s="33"/>
      <c r="E84" s="33"/>
      <c r="F84" s="33"/>
    </row>
    <row r="85" ht="15.75" customHeight="1">
      <c r="C85" s="33"/>
      <c r="D85" s="33"/>
      <c r="E85" s="33"/>
      <c r="F85" s="33"/>
    </row>
    <row r="86" ht="15.75" customHeight="1">
      <c r="C86" s="33"/>
      <c r="D86" s="33"/>
      <c r="E86" s="33"/>
      <c r="F86" s="33"/>
    </row>
    <row r="87" ht="15.75" customHeight="1">
      <c r="C87" s="33"/>
      <c r="D87" s="33"/>
      <c r="E87" s="33"/>
      <c r="F87" s="33"/>
    </row>
    <row r="88" ht="15.75" customHeight="1">
      <c r="C88" s="33"/>
      <c r="D88" s="33"/>
      <c r="E88" s="33"/>
      <c r="F88" s="33"/>
    </row>
    <row r="89" ht="15.75" customHeight="1">
      <c r="C89" s="33"/>
      <c r="D89" s="33"/>
      <c r="E89" s="33"/>
      <c r="F89" s="33"/>
    </row>
    <row r="90" ht="15.75" customHeight="1">
      <c r="C90" s="33"/>
      <c r="D90" s="33"/>
      <c r="E90" s="33"/>
      <c r="F90" s="33"/>
    </row>
    <row r="91" ht="15.75" customHeight="1">
      <c r="C91" s="33"/>
      <c r="D91" s="33"/>
      <c r="E91" s="33"/>
      <c r="F91" s="33"/>
    </row>
    <row r="92" ht="15.75" customHeight="1">
      <c r="C92" s="33"/>
      <c r="D92" s="33"/>
      <c r="E92" s="33"/>
      <c r="F92" s="33"/>
    </row>
    <row r="93" ht="15.75" customHeight="1">
      <c r="C93" s="33"/>
      <c r="D93" s="33"/>
      <c r="E93" s="33"/>
      <c r="F93" s="33"/>
    </row>
    <row r="94" ht="15.75" customHeight="1">
      <c r="C94" s="33"/>
      <c r="D94" s="33"/>
      <c r="E94" s="33"/>
      <c r="F94" s="33"/>
    </row>
    <row r="95" ht="15.75" customHeight="1">
      <c r="C95" s="33"/>
      <c r="D95" s="33"/>
      <c r="E95" s="33"/>
      <c r="F95" s="33"/>
    </row>
    <row r="96" ht="15.75" customHeight="1">
      <c r="C96" s="33"/>
      <c r="D96" s="33"/>
      <c r="E96" s="33"/>
      <c r="F96" s="33"/>
    </row>
    <row r="97" ht="15.75" customHeight="1">
      <c r="C97" s="33"/>
      <c r="D97" s="33"/>
      <c r="E97" s="33"/>
      <c r="F97" s="33"/>
    </row>
    <row r="98" ht="15.75" customHeight="1">
      <c r="C98" s="33"/>
      <c r="D98" s="33"/>
      <c r="E98" s="33"/>
      <c r="F98" s="33"/>
    </row>
    <row r="99" ht="15.75" customHeight="1">
      <c r="C99" s="33"/>
      <c r="D99" s="33"/>
      <c r="E99" s="33"/>
      <c r="F99" s="33"/>
    </row>
    <row r="100" ht="15.75" customHeight="1">
      <c r="C100" s="33"/>
      <c r="D100" s="33"/>
      <c r="E100" s="33"/>
      <c r="F100" s="33"/>
    </row>
    <row r="101" ht="15.75" customHeight="1">
      <c r="C101" s="33"/>
      <c r="D101" s="33"/>
      <c r="E101" s="33"/>
      <c r="F101" s="33"/>
    </row>
    <row r="102" ht="15.75" customHeight="1">
      <c r="C102" s="33"/>
      <c r="D102" s="33"/>
      <c r="E102" s="33"/>
      <c r="F102" s="33"/>
    </row>
    <row r="103" ht="15.75" customHeight="1">
      <c r="C103" s="33"/>
      <c r="D103" s="33"/>
      <c r="E103" s="33"/>
      <c r="F103" s="33"/>
    </row>
    <row r="104" ht="15.75" customHeight="1">
      <c r="C104" s="33"/>
      <c r="D104" s="33"/>
      <c r="E104" s="33"/>
      <c r="F104" s="33"/>
    </row>
    <row r="105" ht="15.75" customHeight="1">
      <c r="C105" s="33"/>
      <c r="D105" s="33"/>
      <c r="E105" s="33"/>
      <c r="F105" s="33"/>
    </row>
    <row r="106" ht="15.75" customHeight="1">
      <c r="C106" s="33"/>
      <c r="D106" s="33"/>
      <c r="E106" s="33"/>
      <c r="F106" s="33"/>
    </row>
    <row r="107" ht="15.75" customHeight="1">
      <c r="C107" s="33"/>
      <c r="D107" s="33"/>
      <c r="E107" s="33"/>
      <c r="F107" s="33"/>
    </row>
    <row r="108" ht="15.75" customHeight="1">
      <c r="C108" s="33"/>
      <c r="D108" s="33"/>
      <c r="E108" s="33"/>
      <c r="F108" s="33"/>
    </row>
    <row r="109" ht="15.75" customHeight="1">
      <c r="C109" s="33"/>
      <c r="D109" s="33"/>
      <c r="E109" s="33"/>
      <c r="F109" s="33"/>
    </row>
    <row r="110" ht="15.75" customHeight="1">
      <c r="C110" s="33"/>
      <c r="D110" s="33"/>
      <c r="E110" s="33"/>
      <c r="F110" s="33"/>
    </row>
    <row r="111" ht="15.75" customHeight="1">
      <c r="C111" s="33"/>
      <c r="D111" s="33"/>
      <c r="E111" s="33"/>
      <c r="F111" s="33"/>
    </row>
    <row r="112" ht="15.75" customHeight="1">
      <c r="C112" s="33"/>
      <c r="D112" s="33"/>
      <c r="E112" s="33"/>
      <c r="F112" s="33"/>
    </row>
    <row r="113" ht="15.75" customHeight="1">
      <c r="C113" s="33"/>
      <c r="D113" s="33"/>
      <c r="E113" s="33"/>
      <c r="F113" s="33"/>
    </row>
    <row r="114" ht="15.75" customHeight="1">
      <c r="C114" s="33"/>
      <c r="D114" s="33"/>
      <c r="E114" s="33"/>
      <c r="F114" s="33"/>
    </row>
    <row r="115" ht="15.75" customHeight="1">
      <c r="C115" s="33"/>
      <c r="D115" s="33"/>
      <c r="E115" s="33"/>
      <c r="F115" s="33"/>
    </row>
    <row r="116" ht="15.75" customHeight="1">
      <c r="C116" s="33"/>
      <c r="D116" s="33"/>
      <c r="E116" s="33"/>
      <c r="F116" s="33"/>
    </row>
    <row r="117" ht="15.75" customHeight="1">
      <c r="C117" s="33"/>
      <c r="D117" s="33"/>
      <c r="E117" s="33"/>
      <c r="F117" s="33"/>
    </row>
    <row r="118" ht="15.75" customHeight="1">
      <c r="C118" s="33"/>
      <c r="D118" s="33"/>
      <c r="E118" s="33"/>
      <c r="F118" s="33"/>
    </row>
    <row r="119" ht="15.75" customHeight="1">
      <c r="C119" s="33"/>
      <c r="D119" s="33"/>
      <c r="E119" s="33"/>
      <c r="F119" s="33"/>
    </row>
    <row r="120" ht="15.75" customHeight="1">
      <c r="C120" s="33"/>
      <c r="D120" s="33"/>
      <c r="E120" s="33"/>
      <c r="F120" s="33"/>
    </row>
    <row r="121" ht="15.75" customHeight="1">
      <c r="C121" s="33"/>
      <c r="D121" s="33"/>
      <c r="E121" s="33"/>
      <c r="F121" s="33"/>
    </row>
    <row r="122" ht="15.75" customHeight="1">
      <c r="C122" s="33"/>
      <c r="D122" s="33"/>
      <c r="E122" s="33"/>
      <c r="F122" s="33"/>
    </row>
    <row r="123" ht="15.75" customHeight="1">
      <c r="C123" s="33"/>
      <c r="D123" s="33"/>
      <c r="E123" s="33"/>
      <c r="F123" s="33"/>
    </row>
    <row r="124" ht="15.75" customHeight="1">
      <c r="C124" s="33"/>
      <c r="D124" s="33"/>
      <c r="E124" s="33"/>
      <c r="F124" s="33"/>
    </row>
    <row r="125" ht="15.75" customHeight="1">
      <c r="C125" s="33"/>
      <c r="D125" s="33"/>
      <c r="E125" s="33"/>
      <c r="F125" s="33"/>
    </row>
    <row r="126" ht="15.75" customHeight="1">
      <c r="C126" s="33"/>
      <c r="D126" s="33"/>
      <c r="E126" s="33"/>
      <c r="F126" s="33"/>
    </row>
    <row r="127" ht="15.75" customHeight="1">
      <c r="C127" s="33"/>
      <c r="D127" s="33"/>
      <c r="E127" s="33"/>
      <c r="F127" s="33"/>
    </row>
    <row r="128" ht="15.75" customHeight="1">
      <c r="C128" s="33"/>
      <c r="D128" s="33"/>
      <c r="E128" s="33"/>
      <c r="F128" s="33"/>
    </row>
    <row r="129" ht="15.75" customHeight="1">
      <c r="C129" s="33"/>
      <c r="D129" s="33"/>
      <c r="E129" s="33"/>
      <c r="F129" s="33"/>
    </row>
    <row r="130" ht="15.75" customHeight="1">
      <c r="C130" s="33"/>
      <c r="D130" s="33"/>
      <c r="E130" s="33"/>
      <c r="F130" s="33"/>
    </row>
    <row r="131" ht="15.75" customHeight="1">
      <c r="C131" s="33"/>
      <c r="D131" s="33"/>
      <c r="E131" s="33"/>
      <c r="F131" s="33"/>
    </row>
    <row r="132" ht="15.75" customHeight="1">
      <c r="C132" s="33"/>
      <c r="D132" s="33"/>
      <c r="E132" s="33"/>
      <c r="F132" s="33"/>
    </row>
    <row r="133" ht="15.75" customHeight="1">
      <c r="C133" s="33"/>
      <c r="D133" s="33"/>
      <c r="E133" s="33"/>
      <c r="F133" s="33"/>
    </row>
    <row r="134" ht="15.75" customHeight="1">
      <c r="C134" s="33"/>
      <c r="D134" s="33"/>
      <c r="E134" s="33"/>
      <c r="F134" s="33"/>
    </row>
    <row r="135" ht="15.75" customHeight="1">
      <c r="C135" s="33"/>
      <c r="D135" s="33"/>
      <c r="E135" s="33"/>
      <c r="F135" s="33"/>
    </row>
    <row r="136" ht="15.75" customHeight="1">
      <c r="C136" s="33"/>
      <c r="D136" s="33"/>
      <c r="E136" s="33"/>
      <c r="F136" s="33"/>
    </row>
    <row r="137" ht="15.75" customHeight="1">
      <c r="C137" s="33"/>
      <c r="D137" s="33"/>
      <c r="E137" s="33"/>
      <c r="F137" s="33"/>
    </row>
    <row r="138" ht="15.75" customHeight="1">
      <c r="C138" s="33"/>
      <c r="D138" s="33"/>
      <c r="E138" s="33"/>
      <c r="F138" s="33"/>
    </row>
    <row r="139" ht="15.75" customHeight="1">
      <c r="C139" s="33"/>
      <c r="D139" s="33"/>
      <c r="E139" s="33"/>
      <c r="F139" s="33"/>
    </row>
    <row r="140" ht="15.75" customHeight="1">
      <c r="C140" s="33"/>
      <c r="D140" s="33"/>
      <c r="E140" s="33"/>
      <c r="F140" s="33"/>
    </row>
    <row r="141" ht="15.75" customHeight="1">
      <c r="C141" s="33"/>
      <c r="D141" s="33"/>
      <c r="E141" s="33"/>
      <c r="F141" s="33"/>
    </row>
    <row r="142" ht="15.75" customHeight="1">
      <c r="C142" s="33"/>
      <c r="D142" s="33"/>
      <c r="E142" s="33"/>
      <c r="F142" s="33"/>
    </row>
    <row r="143" ht="15.75" customHeight="1">
      <c r="C143" s="33"/>
      <c r="D143" s="33"/>
      <c r="E143" s="33"/>
      <c r="F143" s="33"/>
    </row>
    <row r="144" ht="15.75" customHeight="1">
      <c r="C144" s="33"/>
      <c r="D144" s="33"/>
      <c r="E144" s="33"/>
      <c r="F144" s="33"/>
    </row>
    <row r="145" ht="15.75" customHeight="1">
      <c r="C145" s="33"/>
      <c r="D145" s="33"/>
      <c r="E145" s="33"/>
      <c r="F145" s="33"/>
    </row>
    <row r="146" ht="15.75" customHeight="1">
      <c r="C146" s="33"/>
      <c r="D146" s="33"/>
      <c r="E146" s="33"/>
      <c r="F146" s="33"/>
    </row>
    <row r="147" ht="15.75" customHeight="1">
      <c r="C147" s="33"/>
      <c r="D147" s="33"/>
      <c r="E147" s="33"/>
      <c r="F147" s="33"/>
    </row>
    <row r="148" ht="15.75" customHeight="1">
      <c r="C148" s="33"/>
      <c r="D148" s="33"/>
      <c r="E148" s="33"/>
      <c r="F148" s="33"/>
    </row>
    <row r="149" ht="15.75" customHeight="1">
      <c r="C149" s="33"/>
      <c r="D149" s="33"/>
      <c r="E149" s="33"/>
      <c r="F149" s="33"/>
    </row>
    <row r="150" ht="15.75" customHeight="1">
      <c r="C150" s="33"/>
      <c r="D150" s="33"/>
      <c r="E150" s="33"/>
      <c r="F150" s="33"/>
    </row>
    <row r="151" ht="15.75" customHeight="1">
      <c r="C151" s="33"/>
      <c r="D151" s="33"/>
      <c r="E151" s="33"/>
      <c r="F151" s="33"/>
    </row>
    <row r="152" ht="15.75" customHeight="1">
      <c r="C152" s="33"/>
      <c r="D152" s="33"/>
      <c r="E152" s="33"/>
      <c r="F152" s="33"/>
    </row>
    <row r="153" ht="15.75" customHeight="1">
      <c r="C153" s="33"/>
      <c r="D153" s="33"/>
      <c r="E153" s="33"/>
      <c r="F153" s="33"/>
    </row>
    <row r="154" ht="15.75" customHeight="1">
      <c r="C154" s="33"/>
      <c r="D154" s="33"/>
      <c r="E154" s="33"/>
      <c r="F154" s="33"/>
    </row>
    <row r="155" ht="15.75" customHeight="1">
      <c r="C155" s="33"/>
      <c r="D155" s="33"/>
      <c r="E155" s="33"/>
      <c r="F155" s="33"/>
    </row>
    <row r="156" ht="15.75" customHeight="1">
      <c r="C156" s="33"/>
      <c r="D156" s="33"/>
      <c r="E156" s="33"/>
      <c r="F156" s="33"/>
    </row>
    <row r="157" ht="15.75" customHeight="1">
      <c r="C157" s="33"/>
      <c r="D157" s="33"/>
      <c r="E157" s="33"/>
      <c r="F157" s="33"/>
    </row>
    <row r="158" ht="15.75" customHeight="1">
      <c r="C158" s="33"/>
      <c r="D158" s="33"/>
      <c r="E158" s="33"/>
      <c r="F158" s="33"/>
    </row>
    <row r="159" ht="15.75" customHeight="1">
      <c r="C159" s="33"/>
      <c r="D159" s="33"/>
      <c r="E159" s="33"/>
      <c r="F159" s="33"/>
    </row>
    <row r="160" ht="15.75" customHeight="1">
      <c r="C160" s="33"/>
      <c r="D160" s="33"/>
      <c r="E160" s="33"/>
      <c r="F160" s="33"/>
    </row>
    <row r="161" ht="15.75" customHeight="1">
      <c r="C161" s="33"/>
      <c r="D161" s="33"/>
      <c r="E161" s="33"/>
      <c r="F161" s="33"/>
    </row>
    <row r="162" ht="15.75" customHeight="1">
      <c r="C162" s="33"/>
      <c r="D162" s="33"/>
      <c r="E162" s="33"/>
      <c r="F162" s="33"/>
    </row>
    <row r="163" ht="15.75" customHeight="1">
      <c r="C163" s="33"/>
      <c r="D163" s="33"/>
      <c r="E163" s="33"/>
      <c r="F163" s="33"/>
    </row>
    <row r="164" ht="15.75" customHeight="1">
      <c r="C164" s="33"/>
      <c r="D164" s="33"/>
      <c r="E164" s="33"/>
      <c r="F164" s="33"/>
    </row>
    <row r="165" ht="15.75" customHeight="1">
      <c r="C165" s="33"/>
      <c r="D165" s="33"/>
      <c r="E165" s="33"/>
      <c r="F165" s="33"/>
    </row>
    <row r="166" ht="15.75" customHeight="1">
      <c r="C166" s="33"/>
      <c r="D166" s="33"/>
      <c r="E166" s="33"/>
      <c r="F166" s="33"/>
    </row>
    <row r="167" ht="15.75" customHeight="1">
      <c r="C167" s="33"/>
      <c r="D167" s="33"/>
      <c r="E167" s="33"/>
      <c r="F167" s="33"/>
    </row>
    <row r="168" ht="15.75" customHeight="1">
      <c r="C168" s="33"/>
      <c r="D168" s="33"/>
      <c r="E168" s="33"/>
      <c r="F168" s="33"/>
    </row>
    <row r="169" ht="15.75" customHeight="1">
      <c r="C169" s="33"/>
      <c r="D169" s="33"/>
      <c r="E169" s="33"/>
      <c r="F169" s="33"/>
    </row>
    <row r="170" ht="15.75" customHeight="1">
      <c r="C170" s="33"/>
      <c r="D170" s="33"/>
      <c r="E170" s="33"/>
      <c r="F170" s="33"/>
    </row>
    <row r="171" ht="15.75" customHeight="1">
      <c r="C171" s="33"/>
      <c r="D171" s="33"/>
      <c r="E171" s="33"/>
      <c r="F171" s="33"/>
    </row>
    <row r="172" ht="15.75" customHeight="1">
      <c r="C172" s="33"/>
      <c r="D172" s="33"/>
      <c r="E172" s="33"/>
      <c r="F172" s="33"/>
    </row>
    <row r="173" ht="15.75" customHeight="1">
      <c r="C173" s="33"/>
      <c r="D173" s="33"/>
      <c r="E173" s="33"/>
      <c r="F173" s="33"/>
    </row>
    <row r="174" ht="15.75" customHeight="1">
      <c r="C174" s="33"/>
      <c r="D174" s="33"/>
      <c r="E174" s="33"/>
      <c r="F174" s="33"/>
    </row>
    <row r="175" ht="15.75" customHeight="1">
      <c r="C175" s="33"/>
      <c r="D175" s="33"/>
      <c r="E175" s="33"/>
      <c r="F175" s="33"/>
    </row>
    <row r="176" ht="15.75" customHeight="1">
      <c r="C176" s="33"/>
      <c r="D176" s="33"/>
      <c r="E176" s="33"/>
      <c r="F176" s="33"/>
    </row>
    <row r="177" ht="15.75" customHeight="1">
      <c r="C177" s="33"/>
      <c r="D177" s="33"/>
      <c r="E177" s="33"/>
      <c r="F177" s="33"/>
    </row>
    <row r="178" ht="15.75" customHeight="1">
      <c r="C178" s="33"/>
      <c r="D178" s="33"/>
      <c r="E178" s="33"/>
      <c r="F178" s="33"/>
    </row>
    <row r="179" ht="15.75" customHeight="1">
      <c r="C179" s="33"/>
      <c r="D179" s="33"/>
      <c r="E179" s="33"/>
      <c r="F179" s="33"/>
    </row>
    <row r="180" ht="15.75" customHeight="1">
      <c r="C180" s="33"/>
      <c r="D180" s="33"/>
      <c r="E180" s="33"/>
      <c r="F180" s="33"/>
    </row>
    <row r="181" ht="15.75" customHeight="1">
      <c r="C181" s="33"/>
      <c r="D181" s="33"/>
      <c r="E181" s="33"/>
      <c r="F181" s="33"/>
    </row>
    <row r="182" ht="15.75" customHeight="1">
      <c r="C182" s="33"/>
      <c r="D182" s="33"/>
      <c r="E182" s="33"/>
      <c r="F182" s="33"/>
    </row>
    <row r="183" ht="15.75" customHeight="1">
      <c r="C183" s="33"/>
      <c r="D183" s="33"/>
      <c r="E183" s="33"/>
      <c r="F183" s="33"/>
    </row>
    <row r="184" ht="15.75" customHeight="1">
      <c r="C184" s="33"/>
      <c r="D184" s="33"/>
      <c r="E184" s="33"/>
      <c r="F184" s="33"/>
    </row>
    <row r="185" ht="15.75" customHeight="1">
      <c r="C185" s="33"/>
      <c r="D185" s="33"/>
      <c r="E185" s="33"/>
      <c r="F185" s="33"/>
    </row>
    <row r="186" ht="15.75" customHeight="1">
      <c r="C186" s="33"/>
      <c r="D186" s="33"/>
      <c r="E186" s="33"/>
      <c r="F186" s="33"/>
    </row>
    <row r="187" ht="15.75" customHeight="1">
      <c r="C187" s="33"/>
      <c r="D187" s="33"/>
      <c r="E187" s="33"/>
      <c r="F187" s="33"/>
    </row>
    <row r="188" ht="15.75" customHeight="1">
      <c r="C188" s="33"/>
      <c r="D188" s="33"/>
      <c r="E188" s="33"/>
      <c r="F188" s="33"/>
    </row>
    <row r="189" ht="15.75" customHeight="1">
      <c r="C189" s="33"/>
      <c r="D189" s="33"/>
      <c r="E189" s="33"/>
      <c r="F189" s="33"/>
    </row>
    <row r="190" ht="15.75" customHeight="1">
      <c r="C190" s="33"/>
      <c r="D190" s="33"/>
      <c r="E190" s="33"/>
      <c r="F190" s="33"/>
    </row>
    <row r="191" ht="15.75" customHeight="1">
      <c r="C191" s="33"/>
      <c r="D191" s="33"/>
      <c r="E191" s="33"/>
      <c r="F191" s="33"/>
    </row>
    <row r="192" ht="15.75" customHeight="1">
      <c r="C192" s="33"/>
      <c r="D192" s="33"/>
      <c r="E192" s="33"/>
      <c r="F192" s="33"/>
    </row>
    <row r="193" ht="15.75" customHeight="1">
      <c r="C193" s="33"/>
      <c r="D193" s="33"/>
      <c r="E193" s="33"/>
      <c r="F193" s="33"/>
    </row>
    <row r="194" ht="15.75" customHeight="1">
      <c r="C194" s="33"/>
      <c r="D194" s="33"/>
      <c r="E194" s="33"/>
      <c r="F194" s="33"/>
    </row>
    <row r="195" ht="15.75" customHeight="1">
      <c r="C195" s="33"/>
      <c r="D195" s="33"/>
      <c r="E195" s="33"/>
      <c r="F195" s="33"/>
    </row>
    <row r="196" ht="15.75" customHeight="1">
      <c r="C196" s="33"/>
      <c r="D196" s="33"/>
      <c r="E196" s="33"/>
      <c r="F196" s="33"/>
    </row>
    <row r="197" ht="15.75" customHeight="1">
      <c r="C197" s="33"/>
      <c r="D197" s="33"/>
      <c r="E197" s="33"/>
      <c r="F197" s="33"/>
    </row>
    <row r="198" ht="15.75" customHeight="1">
      <c r="C198" s="33"/>
      <c r="D198" s="33"/>
      <c r="E198" s="33"/>
      <c r="F198" s="33"/>
    </row>
    <row r="199" ht="15.75" customHeight="1">
      <c r="C199" s="33"/>
      <c r="D199" s="33"/>
      <c r="E199" s="33"/>
      <c r="F199" s="33"/>
    </row>
    <row r="200" ht="15.75" customHeight="1">
      <c r="C200" s="33"/>
      <c r="D200" s="33"/>
      <c r="E200" s="33"/>
      <c r="F200" s="33"/>
    </row>
    <row r="201" ht="15.75" customHeight="1">
      <c r="C201" s="33"/>
      <c r="D201" s="33"/>
      <c r="E201" s="33"/>
      <c r="F201" s="33"/>
    </row>
    <row r="202" ht="15.75" customHeight="1">
      <c r="C202" s="33"/>
      <c r="D202" s="33"/>
      <c r="E202" s="33"/>
      <c r="F202" s="33"/>
    </row>
    <row r="203" ht="15.75" customHeight="1">
      <c r="C203" s="33"/>
      <c r="D203" s="33"/>
      <c r="E203" s="33"/>
      <c r="F203" s="33"/>
    </row>
    <row r="204" ht="15.75" customHeight="1">
      <c r="C204" s="33"/>
      <c r="D204" s="33"/>
      <c r="E204" s="33"/>
      <c r="F204" s="33"/>
    </row>
    <row r="205" ht="15.75" customHeight="1">
      <c r="C205" s="33"/>
      <c r="D205" s="33"/>
      <c r="E205" s="33"/>
      <c r="F205" s="33"/>
    </row>
    <row r="206" ht="15.75" customHeight="1">
      <c r="C206" s="33"/>
      <c r="D206" s="33"/>
      <c r="E206" s="33"/>
      <c r="F206" s="33"/>
    </row>
    <row r="207" ht="15.75" customHeight="1">
      <c r="C207" s="33"/>
      <c r="D207" s="33"/>
      <c r="E207" s="33"/>
      <c r="F207" s="33"/>
    </row>
    <row r="208" ht="15.75" customHeight="1">
      <c r="C208" s="33"/>
      <c r="D208" s="33"/>
      <c r="E208" s="33"/>
      <c r="F208" s="33"/>
    </row>
    <row r="209" ht="15.75" customHeight="1">
      <c r="C209" s="33"/>
      <c r="D209" s="33"/>
      <c r="E209" s="33"/>
      <c r="F209" s="33"/>
    </row>
    <row r="210" ht="15.75" customHeight="1">
      <c r="C210" s="33"/>
      <c r="D210" s="33"/>
      <c r="E210" s="33"/>
      <c r="F210" s="33"/>
    </row>
    <row r="211" ht="15.75" customHeight="1">
      <c r="C211" s="33"/>
      <c r="D211" s="33"/>
      <c r="E211" s="33"/>
      <c r="F211" s="33"/>
    </row>
    <row r="212" ht="15.75" customHeight="1">
      <c r="C212" s="33"/>
      <c r="D212" s="33"/>
      <c r="E212" s="33"/>
      <c r="F212" s="33"/>
    </row>
    <row r="213" ht="15.75" customHeight="1">
      <c r="C213" s="33"/>
      <c r="D213" s="33"/>
      <c r="E213" s="33"/>
      <c r="F213" s="33"/>
    </row>
    <row r="214" ht="15.75" customHeight="1">
      <c r="C214" s="33"/>
      <c r="D214" s="33"/>
      <c r="E214" s="33"/>
      <c r="F214" s="33"/>
    </row>
    <row r="215" ht="15.75" customHeight="1">
      <c r="C215" s="33"/>
      <c r="D215" s="33"/>
      <c r="E215" s="33"/>
      <c r="F215" s="33"/>
    </row>
    <row r="216" ht="15.75" customHeight="1">
      <c r="C216" s="33"/>
      <c r="D216" s="33"/>
      <c r="E216" s="33"/>
      <c r="F216" s="33"/>
    </row>
    <row r="217" ht="15.75" customHeight="1">
      <c r="C217" s="33"/>
      <c r="D217" s="33"/>
      <c r="E217" s="33"/>
      <c r="F217" s="33"/>
    </row>
    <row r="218" ht="15.75" customHeight="1">
      <c r="C218" s="33"/>
      <c r="D218" s="33"/>
      <c r="E218" s="33"/>
      <c r="F218" s="33"/>
    </row>
    <row r="219" ht="15.75" customHeight="1">
      <c r="C219" s="33"/>
      <c r="D219" s="33"/>
      <c r="E219" s="33"/>
      <c r="F219" s="33"/>
    </row>
    <row r="220" ht="15.75" customHeight="1">
      <c r="C220" s="33"/>
      <c r="D220" s="33"/>
      <c r="E220" s="33"/>
      <c r="F220" s="33"/>
    </row>
    <row r="221" ht="15.75" customHeight="1">
      <c r="C221" s="33"/>
      <c r="D221" s="33"/>
      <c r="E221" s="33"/>
      <c r="F221" s="33"/>
    </row>
    <row r="222" ht="15.75" customHeight="1">
      <c r="C222" s="33"/>
      <c r="D222" s="33"/>
      <c r="E222" s="33"/>
      <c r="F222" s="33"/>
    </row>
    <row r="223" ht="15.75" customHeight="1">
      <c r="C223" s="33"/>
      <c r="D223" s="33"/>
      <c r="E223" s="33"/>
      <c r="F223" s="33"/>
    </row>
    <row r="224" ht="15.75" customHeight="1">
      <c r="C224" s="33"/>
      <c r="D224" s="33"/>
      <c r="E224" s="33"/>
      <c r="F224" s="33"/>
    </row>
    <row r="225" ht="15.75" customHeight="1">
      <c r="C225" s="33"/>
      <c r="D225" s="33"/>
      <c r="E225" s="33"/>
      <c r="F225" s="33"/>
    </row>
    <row r="226" ht="15.75" customHeight="1">
      <c r="C226" s="33"/>
      <c r="D226" s="33"/>
      <c r="E226" s="33"/>
      <c r="F226" s="33"/>
    </row>
    <row r="227" ht="15.75" customHeight="1">
      <c r="C227" s="33"/>
      <c r="D227" s="33"/>
      <c r="E227" s="33"/>
      <c r="F227" s="33"/>
    </row>
    <row r="228" ht="15.75" customHeight="1">
      <c r="C228" s="33"/>
      <c r="D228" s="33"/>
      <c r="E228" s="33"/>
      <c r="F228" s="33"/>
    </row>
    <row r="229" ht="15.75" customHeight="1">
      <c r="C229" s="33"/>
      <c r="D229" s="33"/>
      <c r="E229" s="33"/>
      <c r="F229" s="33"/>
    </row>
    <row r="230" ht="15.75" customHeight="1">
      <c r="C230" s="33"/>
      <c r="D230" s="33"/>
      <c r="E230" s="33"/>
      <c r="F230" s="33"/>
    </row>
    <row r="231" ht="15.75" customHeight="1">
      <c r="C231" s="33"/>
      <c r="D231" s="33"/>
      <c r="E231" s="33"/>
      <c r="F231" s="33"/>
    </row>
    <row r="232" ht="15.75" customHeight="1">
      <c r="C232" s="33"/>
      <c r="D232" s="33"/>
      <c r="E232" s="33"/>
      <c r="F232" s="33"/>
    </row>
    <row r="233" ht="15.75" customHeight="1">
      <c r="C233" s="33"/>
      <c r="D233" s="33"/>
      <c r="E233" s="33"/>
      <c r="F233" s="33"/>
    </row>
    <row r="234" ht="15.75" customHeight="1">
      <c r="C234" s="33"/>
      <c r="D234" s="33"/>
      <c r="E234" s="33"/>
      <c r="F234" s="33"/>
    </row>
    <row r="235" ht="15.75" customHeight="1">
      <c r="C235" s="33"/>
      <c r="D235" s="33"/>
      <c r="E235" s="33"/>
      <c r="F235" s="33"/>
    </row>
    <row r="236" ht="15.75" customHeight="1">
      <c r="C236" s="33"/>
      <c r="D236" s="33"/>
      <c r="E236" s="33"/>
      <c r="F236" s="33"/>
    </row>
    <row r="237" ht="15.75" customHeight="1">
      <c r="C237" s="33"/>
      <c r="D237" s="33"/>
      <c r="E237" s="33"/>
      <c r="F237" s="33"/>
    </row>
    <row r="238" ht="15.75" customHeight="1">
      <c r="C238" s="33"/>
      <c r="D238" s="33"/>
      <c r="E238" s="33"/>
      <c r="F238" s="33"/>
    </row>
    <row r="239" ht="15.75" customHeight="1">
      <c r="C239" s="33"/>
      <c r="D239" s="33"/>
      <c r="E239" s="33"/>
      <c r="F239" s="33"/>
    </row>
    <row r="240" ht="15.75" customHeight="1">
      <c r="C240" s="33"/>
      <c r="D240" s="33"/>
      <c r="E240" s="33"/>
      <c r="F240" s="33"/>
    </row>
    <row r="241" ht="15.75" customHeight="1">
      <c r="C241" s="33"/>
      <c r="D241" s="33"/>
      <c r="E241" s="33"/>
      <c r="F241" s="33"/>
    </row>
    <row r="242" ht="15.75" customHeight="1">
      <c r="C242" s="33"/>
      <c r="D242" s="33"/>
      <c r="E242" s="33"/>
      <c r="F242" s="33"/>
    </row>
    <row r="243" ht="15.75" customHeight="1">
      <c r="C243" s="33"/>
      <c r="D243" s="33"/>
      <c r="E243" s="33"/>
      <c r="F243" s="33"/>
    </row>
    <row r="244" ht="15.75" customHeight="1">
      <c r="C244" s="33"/>
      <c r="D244" s="33"/>
      <c r="E244" s="33"/>
      <c r="F244" s="33"/>
    </row>
    <row r="245" ht="15.75" customHeight="1">
      <c r="C245" s="33"/>
      <c r="D245" s="33"/>
      <c r="E245" s="33"/>
      <c r="F245" s="33"/>
    </row>
    <row r="246" ht="15.75" customHeight="1">
      <c r="C246" s="33"/>
      <c r="D246" s="33"/>
      <c r="E246" s="33"/>
      <c r="F246" s="33"/>
    </row>
    <row r="247" ht="15.75" customHeight="1">
      <c r="C247" s="33"/>
      <c r="D247" s="33"/>
      <c r="E247" s="33"/>
      <c r="F247" s="33"/>
    </row>
    <row r="248" ht="15.75" customHeight="1">
      <c r="C248" s="33"/>
      <c r="D248" s="33"/>
      <c r="E248" s="33"/>
      <c r="F248" s="33"/>
    </row>
    <row r="249" ht="15.75" customHeight="1">
      <c r="C249" s="33"/>
      <c r="D249" s="33"/>
      <c r="E249" s="33"/>
      <c r="F249" s="33"/>
    </row>
    <row r="250" ht="15.75" customHeight="1">
      <c r="C250" s="33"/>
      <c r="D250" s="33"/>
      <c r="E250" s="33"/>
      <c r="F250" s="33"/>
    </row>
    <row r="251" ht="15.75" customHeight="1">
      <c r="C251" s="33"/>
      <c r="D251" s="33"/>
      <c r="E251" s="33"/>
      <c r="F251" s="33"/>
    </row>
    <row r="252" ht="15.75" customHeight="1">
      <c r="C252" s="33"/>
      <c r="D252" s="33"/>
      <c r="E252" s="33"/>
      <c r="F252" s="33"/>
    </row>
    <row r="253" ht="15.75" customHeight="1">
      <c r="C253" s="33"/>
      <c r="D253" s="33"/>
      <c r="E253" s="33"/>
      <c r="F253" s="33"/>
    </row>
    <row r="254" ht="15.75" customHeight="1">
      <c r="C254" s="33"/>
      <c r="D254" s="33"/>
      <c r="E254" s="33"/>
      <c r="F254" s="33"/>
    </row>
    <row r="255" ht="15.75" customHeight="1">
      <c r="C255" s="33"/>
      <c r="D255" s="33"/>
      <c r="E255" s="33"/>
      <c r="F255" s="33"/>
    </row>
    <row r="256" ht="15.75" customHeight="1">
      <c r="C256" s="33"/>
      <c r="D256" s="33"/>
      <c r="E256" s="33"/>
      <c r="F256" s="33"/>
    </row>
    <row r="257" ht="15.75" customHeight="1">
      <c r="C257" s="33"/>
      <c r="D257" s="33"/>
      <c r="E257" s="33"/>
      <c r="F257" s="33"/>
    </row>
    <row r="258" ht="15.75" customHeight="1">
      <c r="C258" s="33"/>
      <c r="D258" s="33"/>
      <c r="E258" s="33"/>
      <c r="F258" s="33"/>
    </row>
    <row r="259" ht="15.75" customHeight="1">
      <c r="C259" s="33"/>
      <c r="D259" s="33"/>
      <c r="E259" s="33"/>
      <c r="F259" s="33"/>
    </row>
    <row r="260" ht="15.75" customHeight="1">
      <c r="C260" s="33"/>
      <c r="D260" s="33"/>
      <c r="E260" s="33"/>
      <c r="F260" s="33"/>
    </row>
    <row r="261" ht="15.75" customHeight="1">
      <c r="C261" s="33"/>
      <c r="D261" s="33"/>
      <c r="E261" s="33"/>
      <c r="F261" s="33"/>
    </row>
    <row r="262" ht="15.75" customHeight="1">
      <c r="C262" s="33"/>
      <c r="D262" s="33"/>
      <c r="E262" s="33"/>
      <c r="F262" s="33"/>
    </row>
    <row r="263" ht="15.75" customHeight="1">
      <c r="C263" s="33"/>
      <c r="D263" s="33"/>
      <c r="E263" s="33"/>
      <c r="F263" s="33"/>
    </row>
    <row r="264" ht="15.75" customHeight="1">
      <c r="C264" s="33"/>
      <c r="D264" s="33"/>
      <c r="E264" s="33"/>
      <c r="F264" s="33"/>
    </row>
    <row r="265" ht="15.75" customHeight="1">
      <c r="C265" s="33"/>
      <c r="D265" s="33"/>
      <c r="E265" s="33"/>
      <c r="F265" s="33"/>
    </row>
    <row r="266" ht="15.75" customHeight="1">
      <c r="C266" s="33"/>
      <c r="D266" s="33"/>
      <c r="E266" s="33"/>
      <c r="F266" s="33"/>
    </row>
    <row r="267" ht="15.75" customHeight="1">
      <c r="C267" s="33"/>
      <c r="D267" s="33"/>
      <c r="E267" s="33"/>
      <c r="F267" s="33"/>
    </row>
    <row r="268" ht="15.75" customHeight="1">
      <c r="C268" s="33"/>
      <c r="D268" s="33"/>
      <c r="E268" s="33"/>
      <c r="F268" s="33"/>
    </row>
    <row r="269" ht="15.75" customHeight="1">
      <c r="C269" s="33"/>
      <c r="D269" s="33"/>
      <c r="E269" s="33"/>
      <c r="F269" s="33"/>
    </row>
    <row r="270" ht="15.75" customHeight="1">
      <c r="C270" s="33"/>
      <c r="D270" s="33"/>
      <c r="E270" s="33"/>
      <c r="F270" s="33"/>
    </row>
    <row r="271" ht="15.75" customHeight="1">
      <c r="C271" s="33"/>
      <c r="D271" s="33"/>
      <c r="E271" s="33"/>
      <c r="F271" s="33"/>
    </row>
    <row r="272" ht="15.75" customHeight="1">
      <c r="C272" s="33"/>
      <c r="D272" s="33"/>
      <c r="E272" s="33"/>
      <c r="F272" s="33"/>
    </row>
    <row r="273" ht="15.75" customHeight="1">
      <c r="C273" s="33"/>
      <c r="D273" s="33"/>
      <c r="E273" s="33"/>
      <c r="F273" s="33"/>
    </row>
    <row r="274" ht="15.75" customHeight="1">
      <c r="C274" s="33"/>
      <c r="D274" s="33"/>
      <c r="E274" s="33"/>
      <c r="F274" s="33"/>
    </row>
    <row r="275" ht="15.75" customHeight="1">
      <c r="C275" s="33"/>
      <c r="D275" s="33"/>
      <c r="E275" s="33"/>
      <c r="F275" s="33"/>
    </row>
    <row r="276" ht="15.75" customHeight="1">
      <c r="C276" s="33"/>
      <c r="D276" s="33"/>
      <c r="E276" s="33"/>
      <c r="F276" s="33"/>
    </row>
    <row r="277" ht="15.75" customHeight="1">
      <c r="C277" s="33"/>
      <c r="D277" s="33"/>
      <c r="E277" s="33"/>
      <c r="F277" s="33"/>
    </row>
    <row r="278" ht="15.75" customHeight="1">
      <c r="C278" s="33"/>
      <c r="D278" s="33"/>
      <c r="E278" s="33"/>
      <c r="F278" s="33"/>
    </row>
    <row r="279" ht="15.75" customHeight="1">
      <c r="C279" s="33"/>
      <c r="D279" s="33"/>
      <c r="E279" s="33"/>
      <c r="F279" s="33"/>
    </row>
    <row r="280" ht="15.75" customHeight="1">
      <c r="C280" s="33"/>
      <c r="D280" s="33"/>
      <c r="E280" s="33"/>
      <c r="F280" s="33"/>
    </row>
    <row r="281" ht="15.75" customHeight="1">
      <c r="C281" s="33"/>
      <c r="D281" s="33"/>
      <c r="E281" s="33"/>
      <c r="F281" s="33"/>
    </row>
    <row r="282" ht="15.75" customHeight="1">
      <c r="C282" s="33"/>
      <c r="D282" s="33"/>
      <c r="E282" s="33"/>
      <c r="F282" s="33"/>
    </row>
    <row r="283" ht="15.75" customHeight="1">
      <c r="C283" s="33"/>
      <c r="D283" s="33"/>
      <c r="E283" s="33"/>
      <c r="F283" s="33"/>
    </row>
    <row r="284" ht="15.75" customHeight="1">
      <c r="C284" s="33"/>
      <c r="D284" s="33"/>
      <c r="E284" s="33"/>
      <c r="F284" s="33"/>
    </row>
    <row r="285" ht="15.75" customHeight="1">
      <c r="C285" s="33"/>
      <c r="D285" s="33"/>
      <c r="E285" s="33"/>
      <c r="F285" s="33"/>
    </row>
    <row r="286" ht="15.75" customHeight="1">
      <c r="C286" s="33"/>
      <c r="D286" s="33"/>
      <c r="E286" s="33"/>
      <c r="F286" s="33"/>
    </row>
    <row r="287" ht="15.75" customHeight="1">
      <c r="C287" s="33"/>
      <c r="D287" s="33"/>
      <c r="E287" s="33"/>
      <c r="F287" s="33"/>
    </row>
    <row r="288" ht="15.75" customHeight="1">
      <c r="C288" s="33"/>
      <c r="D288" s="33"/>
      <c r="E288" s="33"/>
      <c r="F288" s="33"/>
    </row>
    <row r="289" ht="15.75" customHeight="1">
      <c r="C289" s="33"/>
      <c r="D289" s="33"/>
      <c r="E289" s="33"/>
      <c r="F289" s="33"/>
    </row>
    <row r="290" ht="15.75" customHeight="1">
      <c r="C290" s="33"/>
      <c r="D290" s="33"/>
      <c r="E290" s="33"/>
      <c r="F290" s="33"/>
    </row>
    <row r="291" ht="15.75" customHeight="1">
      <c r="C291" s="33"/>
      <c r="D291" s="33"/>
      <c r="E291" s="33"/>
      <c r="F291" s="33"/>
    </row>
    <row r="292" ht="15.75" customHeight="1">
      <c r="C292" s="33"/>
      <c r="D292" s="33"/>
      <c r="E292" s="33"/>
      <c r="F292" s="33"/>
    </row>
    <row r="293" ht="15.75" customHeight="1">
      <c r="C293" s="33"/>
      <c r="D293" s="33"/>
      <c r="E293" s="33"/>
      <c r="F293" s="33"/>
    </row>
    <row r="294" ht="15.75" customHeight="1">
      <c r="C294" s="33"/>
      <c r="D294" s="33"/>
      <c r="E294" s="33"/>
      <c r="F294" s="33"/>
    </row>
    <row r="295" ht="15.75" customHeight="1">
      <c r="C295" s="33"/>
      <c r="D295" s="33"/>
      <c r="E295" s="33"/>
      <c r="F295" s="33"/>
    </row>
    <row r="296" ht="15.75" customHeight="1">
      <c r="C296" s="33"/>
      <c r="D296" s="33"/>
      <c r="E296" s="33"/>
      <c r="F296" s="33"/>
    </row>
    <row r="297" ht="15.75" customHeight="1">
      <c r="C297" s="33"/>
      <c r="D297" s="33"/>
      <c r="E297" s="33"/>
      <c r="F297" s="33"/>
    </row>
    <row r="298" ht="15.75" customHeight="1">
      <c r="C298" s="33"/>
      <c r="D298" s="33"/>
      <c r="E298" s="33"/>
      <c r="F298" s="33"/>
    </row>
    <row r="299" ht="15.75" customHeight="1">
      <c r="C299" s="33"/>
      <c r="D299" s="33"/>
      <c r="E299" s="33"/>
      <c r="F299" s="33"/>
    </row>
    <row r="300" ht="15.75" customHeight="1">
      <c r="C300" s="33"/>
      <c r="D300" s="33"/>
      <c r="E300" s="33"/>
      <c r="F300" s="33"/>
    </row>
    <row r="301" ht="15.75" customHeight="1">
      <c r="C301" s="33"/>
      <c r="D301" s="33"/>
      <c r="E301" s="33"/>
      <c r="F301" s="33"/>
    </row>
    <row r="302" ht="15.75" customHeight="1">
      <c r="C302" s="33"/>
      <c r="D302" s="33"/>
      <c r="E302" s="33"/>
      <c r="F302" s="33"/>
    </row>
    <row r="303" ht="15.75" customHeight="1">
      <c r="C303" s="33"/>
      <c r="D303" s="33"/>
      <c r="E303" s="33"/>
      <c r="F303" s="33"/>
    </row>
    <row r="304" ht="15.75" customHeight="1">
      <c r="C304" s="33"/>
      <c r="D304" s="33"/>
      <c r="E304" s="33"/>
      <c r="F304" s="33"/>
    </row>
    <row r="305" ht="15.75" customHeight="1">
      <c r="C305" s="33"/>
      <c r="D305" s="33"/>
      <c r="E305" s="33"/>
      <c r="F305" s="33"/>
    </row>
    <row r="306" ht="15.75" customHeight="1">
      <c r="C306" s="33"/>
      <c r="D306" s="33"/>
      <c r="E306" s="33"/>
      <c r="F306" s="33"/>
    </row>
    <row r="307" ht="15.75" customHeight="1">
      <c r="C307" s="33"/>
      <c r="D307" s="33"/>
      <c r="E307" s="33"/>
      <c r="F307" s="33"/>
    </row>
    <row r="308" ht="15.75" customHeight="1">
      <c r="C308" s="33"/>
      <c r="D308" s="33"/>
      <c r="E308" s="33"/>
      <c r="F308" s="33"/>
    </row>
    <row r="309" ht="15.75" customHeight="1">
      <c r="C309" s="33"/>
      <c r="D309" s="33"/>
      <c r="E309" s="33"/>
      <c r="F309" s="33"/>
    </row>
    <row r="310" ht="15.75" customHeight="1">
      <c r="C310" s="33"/>
      <c r="D310" s="33"/>
      <c r="E310" s="33"/>
      <c r="F310" s="33"/>
    </row>
    <row r="311" ht="15.75" customHeight="1">
      <c r="C311" s="33"/>
      <c r="D311" s="33"/>
      <c r="E311" s="33"/>
      <c r="F311" s="33"/>
    </row>
    <row r="312" ht="15.75" customHeight="1">
      <c r="C312" s="33"/>
      <c r="D312" s="33"/>
      <c r="E312" s="33"/>
      <c r="F312" s="33"/>
    </row>
    <row r="313" ht="15.75" customHeight="1">
      <c r="C313" s="33"/>
      <c r="D313" s="33"/>
      <c r="E313" s="33"/>
      <c r="F313" s="33"/>
    </row>
    <row r="314" ht="15.75" customHeight="1">
      <c r="C314" s="33"/>
      <c r="D314" s="33"/>
      <c r="E314" s="33"/>
      <c r="F314" s="33"/>
    </row>
    <row r="315" ht="15.75" customHeight="1">
      <c r="C315" s="33"/>
      <c r="D315" s="33"/>
      <c r="E315" s="33"/>
      <c r="F315" s="33"/>
    </row>
    <row r="316" ht="15.75" customHeight="1">
      <c r="C316" s="33"/>
      <c r="D316" s="33"/>
      <c r="E316" s="33"/>
      <c r="F316" s="33"/>
    </row>
    <row r="317" ht="15.75" customHeight="1">
      <c r="C317" s="33"/>
      <c r="D317" s="33"/>
      <c r="E317" s="33"/>
      <c r="F317" s="33"/>
    </row>
    <row r="318" ht="15.75" customHeight="1">
      <c r="C318" s="33"/>
      <c r="D318" s="33"/>
      <c r="E318" s="33"/>
      <c r="F318" s="33"/>
    </row>
    <row r="319" ht="15.75" customHeight="1">
      <c r="C319" s="33"/>
      <c r="D319" s="33"/>
      <c r="E319" s="33"/>
      <c r="F319" s="33"/>
    </row>
    <row r="320" ht="15.75" customHeight="1">
      <c r="C320" s="33"/>
      <c r="D320" s="33"/>
      <c r="E320" s="33"/>
      <c r="F320" s="33"/>
    </row>
    <row r="321" ht="15.75" customHeight="1">
      <c r="C321" s="33"/>
      <c r="D321" s="33"/>
      <c r="E321" s="33"/>
      <c r="F321" s="33"/>
    </row>
    <row r="322" ht="15.75" customHeight="1">
      <c r="C322" s="33"/>
      <c r="D322" s="33"/>
      <c r="E322" s="33"/>
      <c r="F322" s="33"/>
    </row>
    <row r="323" ht="15.75" customHeight="1">
      <c r="C323" s="33"/>
      <c r="D323" s="33"/>
      <c r="E323" s="33"/>
      <c r="F323" s="33"/>
    </row>
    <row r="324" ht="15.75" customHeight="1">
      <c r="C324" s="33"/>
      <c r="D324" s="33"/>
      <c r="E324" s="33"/>
      <c r="F324" s="33"/>
    </row>
    <row r="325" ht="15.75" customHeight="1">
      <c r="C325" s="33"/>
      <c r="D325" s="33"/>
      <c r="E325" s="33"/>
      <c r="F325" s="33"/>
    </row>
    <row r="326" ht="15.75" customHeight="1">
      <c r="C326" s="33"/>
      <c r="D326" s="33"/>
      <c r="E326" s="33"/>
      <c r="F326" s="33"/>
    </row>
    <row r="327" ht="15.75" customHeight="1">
      <c r="C327" s="33"/>
      <c r="D327" s="33"/>
      <c r="E327" s="33"/>
      <c r="F327" s="33"/>
    </row>
    <row r="328" ht="15.75" customHeight="1">
      <c r="C328" s="33"/>
      <c r="D328" s="33"/>
      <c r="E328" s="33"/>
      <c r="F328" s="33"/>
    </row>
    <row r="329" ht="15.75" customHeight="1">
      <c r="C329" s="33"/>
      <c r="D329" s="33"/>
      <c r="E329" s="33"/>
      <c r="F329" s="33"/>
    </row>
    <row r="330" ht="15.75" customHeight="1">
      <c r="C330" s="33"/>
      <c r="D330" s="33"/>
      <c r="E330" s="33"/>
      <c r="F330" s="33"/>
    </row>
    <row r="331" ht="15.75" customHeight="1">
      <c r="C331" s="33"/>
      <c r="D331" s="33"/>
      <c r="E331" s="33"/>
      <c r="F331" s="33"/>
    </row>
    <row r="332" ht="15.75" customHeight="1">
      <c r="C332" s="33"/>
      <c r="D332" s="33"/>
      <c r="E332" s="33"/>
      <c r="F332" s="33"/>
    </row>
    <row r="333" ht="15.75" customHeight="1">
      <c r="C333" s="33"/>
      <c r="D333" s="33"/>
      <c r="E333" s="33"/>
      <c r="F333" s="33"/>
    </row>
    <row r="334" ht="15.75" customHeight="1">
      <c r="C334" s="33"/>
      <c r="D334" s="33"/>
      <c r="E334" s="33"/>
      <c r="F334" s="33"/>
    </row>
    <row r="335" ht="15.75" customHeight="1">
      <c r="C335" s="33"/>
      <c r="D335" s="33"/>
      <c r="E335" s="33"/>
      <c r="F335" s="33"/>
    </row>
    <row r="336" ht="15.75" customHeight="1">
      <c r="C336" s="33"/>
      <c r="D336" s="33"/>
      <c r="E336" s="33"/>
      <c r="F336" s="33"/>
    </row>
    <row r="337" ht="15.75" customHeight="1">
      <c r="C337" s="33"/>
      <c r="D337" s="33"/>
      <c r="E337" s="33"/>
      <c r="F337" s="33"/>
    </row>
    <row r="338" ht="15.75" customHeight="1">
      <c r="C338" s="33"/>
      <c r="D338" s="33"/>
      <c r="E338" s="33"/>
      <c r="F338" s="33"/>
    </row>
    <row r="339" ht="15.75" customHeight="1">
      <c r="C339" s="33"/>
      <c r="D339" s="33"/>
      <c r="E339" s="33"/>
      <c r="F339" s="33"/>
    </row>
    <row r="340" ht="15.75" customHeight="1">
      <c r="C340" s="33"/>
      <c r="D340" s="33"/>
      <c r="E340" s="33"/>
      <c r="F340" s="33"/>
    </row>
    <row r="341" ht="15.75" customHeight="1">
      <c r="C341" s="33"/>
      <c r="D341" s="33"/>
      <c r="E341" s="33"/>
      <c r="F341" s="33"/>
    </row>
    <row r="342" ht="15.75" customHeight="1">
      <c r="C342" s="33"/>
      <c r="D342" s="33"/>
      <c r="E342" s="33"/>
      <c r="F342" s="33"/>
    </row>
    <row r="343" ht="15.75" customHeight="1">
      <c r="C343" s="33"/>
      <c r="D343" s="33"/>
      <c r="E343" s="33"/>
      <c r="F343" s="33"/>
    </row>
    <row r="344" ht="15.75" customHeight="1">
      <c r="C344" s="33"/>
      <c r="D344" s="33"/>
      <c r="E344" s="33"/>
      <c r="F344" s="33"/>
    </row>
    <row r="345" ht="15.75" customHeight="1">
      <c r="C345" s="33"/>
      <c r="D345" s="33"/>
      <c r="E345" s="33"/>
      <c r="F345" s="33"/>
    </row>
    <row r="346" ht="15.75" customHeight="1">
      <c r="C346" s="33"/>
      <c r="D346" s="33"/>
      <c r="E346" s="33"/>
      <c r="F346" s="33"/>
    </row>
    <row r="347" ht="15.75" customHeight="1">
      <c r="C347" s="33"/>
      <c r="D347" s="33"/>
      <c r="E347" s="33"/>
      <c r="F347" s="33"/>
    </row>
    <row r="348" ht="15.75" customHeight="1">
      <c r="C348" s="33"/>
      <c r="D348" s="33"/>
      <c r="E348" s="33"/>
      <c r="F348" s="33"/>
    </row>
    <row r="349" ht="15.75" customHeight="1">
      <c r="C349" s="33"/>
      <c r="D349" s="33"/>
      <c r="E349" s="33"/>
      <c r="F349" s="33"/>
    </row>
    <row r="350" ht="15.75" customHeight="1">
      <c r="C350" s="33"/>
      <c r="D350" s="33"/>
      <c r="E350" s="33"/>
      <c r="F350" s="33"/>
    </row>
    <row r="351" ht="15.75" customHeight="1">
      <c r="C351" s="33"/>
      <c r="D351" s="33"/>
      <c r="E351" s="33"/>
      <c r="F351" s="33"/>
    </row>
    <row r="352" ht="15.75" customHeight="1">
      <c r="C352" s="33"/>
      <c r="D352" s="33"/>
      <c r="E352" s="33"/>
      <c r="F352" s="33"/>
    </row>
    <row r="353" ht="15.75" customHeight="1">
      <c r="C353" s="33"/>
      <c r="D353" s="33"/>
      <c r="E353" s="33"/>
      <c r="F353" s="33"/>
    </row>
    <row r="354" ht="15.75" customHeight="1">
      <c r="C354" s="33"/>
      <c r="D354" s="33"/>
      <c r="E354" s="33"/>
      <c r="F354" s="33"/>
    </row>
    <row r="355" ht="15.75" customHeight="1">
      <c r="C355" s="33"/>
      <c r="D355" s="33"/>
      <c r="E355" s="33"/>
      <c r="F355" s="33"/>
    </row>
    <row r="356" ht="15.75" customHeight="1">
      <c r="C356" s="33"/>
      <c r="D356" s="33"/>
      <c r="E356" s="33"/>
      <c r="F356" s="33"/>
    </row>
    <row r="357" ht="15.75" customHeight="1">
      <c r="C357" s="33"/>
      <c r="D357" s="33"/>
      <c r="E357" s="33"/>
      <c r="F357" s="33"/>
    </row>
    <row r="358" ht="15.75" customHeight="1">
      <c r="C358" s="33"/>
      <c r="D358" s="33"/>
      <c r="E358" s="33"/>
      <c r="F358" s="33"/>
    </row>
    <row r="359" ht="15.75" customHeight="1">
      <c r="C359" s="33"/>
      <c r="D359" s="33"/>
      <c r="E359" s="33"/>
      <c r="F359" s="33"/>
    </row>
    <row r="360" ht="15.75" customHeight="1">
      <c r="C360" s="33"/>
      <c r="D360" s="33"/>
      <c r="E360" s="33"/>
      <c r="F360" s="33"/>
    </row>
    <row r="361" ht="15.75" customHeight="1">
      <c r="C361" s="33"/>
      <c r="D361" s="33"/>
      <c r="E361" s="33"/>
      <c r="F361" s="33"/>
    </row>
    <row r="362" ht="15.75" customHeight="1">
      <c r="C362" s="33"/>
      <c r="D362" s="33"/>
      <c r="E362" s="33"/>
      <c r="F362" s="33"/>
    </row>
    <row r="363" ht="15.75" customHeight="1">
      <c r="C363" s="33"/>
      <c r="D363" s="33"/>
      <c r="E363" s="33"/>
      <c r="F363" s="33"/>
    </row>
    <row r="364" ht="15.75" customHeight="1">
      <c r="C364" s="33"/>
      <c r="D364" s="33"/>
      <c r="E364" s="33"/>
      <c r="F364" s="33"/>
    </row>
    <row r="365" ht="15.75" customHeight="1">
      <c r="C365" s="33"/>
      <c r="D365" s="33"/>
      <c r="E365" s="33"/>
      <c r="F365" s="33"/>
    </row>
    <row r="366" ht="15.75" customHeight="1">
      <c r="C366" s="33"/>
      <c r="D366" s="33"/>
      <c r="E366" s="33"/>
      <c r="F366" s="33"/>
    </row>
    <row r="367" ht="15.75" customHeight="1">
      <c r="C367" s="33"/>
      <c r="D367" s="33"/>
      <c r="E367" s="33"/>
      <c r="F367" s="33"/>
    </row>
    <row r="368" ht="15.75" customHeight="1">
      <c r="C368" s="33"/>
      <c r="D368" s="33"/>
      <c r="E368" s="33"/>
      <c r="F368" s="33"/>
    </row>
    <row r="369" ht="15.75" customHeight="1">
      <c r="C369" s="33"/>
      <c r="D369" s="33"/>
      <c r="E369" s="33"/>
      <c r="F369" s="33"/>
    </row>
    <row r="370" ht="15.75" customHeight="1">
      <c r="C370" s="33"/>
      <c r="D370" s="33"/>
      <c r="E370" s="33"/>
      <c r="F370" s="33"/>
    </row>
    <row r="371" ht="15.75" customHeight="1">
      <c r="C371" s="33"/>
      <c r="D371" s="33"/>
      <c r="E371" s="33"/>
      <c r="F371" s="33"/>
    </row>
    <row r="372" ht="15.75" customHeight="1">
      <c r="C372" s="33"/>
      <c r="D372" s="33"/>
      <c r="E372" s="33"/>
      <c r="F372" s="33"/>
    </row>
    <row r="373" ht="15.75" customHeight="1">
      <c r="C373" s="33"/>
      <c r="D373" s="33"/>
      <c r="E373" s="33"/>
      <c r="F373" s="33"/>
    </row>
    <row r="374" ht="15.75" customHeight="1">
      <c r="C374" s="33"/>
      <c r="D374" s="33"/>
      <c r="E374" s="33"/>
      <c r="F374" s="33"/>
    </row>
    <row r="375" ht="15.75" customHeight="1">
      <c r="C375" s="33"/>
      <c r="D375" s="33"/>
      <c r="E375" s="33"/>
      <c r="F375" s="33"/>
    </row>
    <row r="376" ht="15.75" customHeight="1">
      <c r="C376" s="33"/>
      <c r="D376" s="33"/>
      <c r="E376" s="33"/>
      <c r="F376" s="33"/>
    </row>
    <row r="377" ht="15.75" customHeight="1">
      <c r="C377" s="33"/>
      <c r="D377" s="33"/>
      <c r="E377" s="33"/>
      <c r="F377" s="33"/>
    </row>
    <row r="378" ht="15.75" customHeight="1">
      <c r="C378" s="33"/>
      <c r="D378" s="33"/>
      <c r="E378" s="33"/>
      <c r="F378" s="33"/>
    </row>
    <row r="379" ht="15.75" customHeight="1">
      <c r="C379" s="33"/>
      <c r="D379" s="33"/>
      <c r="E379" s="33"/>
      <c r="F379" s="33"/>
    </row>
    <row r="380" ht="15.75" customHeight="1">
      <c r="C380" s="33"/>
      <c r="D380" s="33"/>
      <c r="E380" s="33"/>
      <c r="F380" s="33"/>
    </row>
    <row r="381" ht="15.75" customHeight="1">
      <c r="C381" s="33"/>
      <c r="D381" s="33"/>
      <c r="E381" s="33"/>
      <c r="F381" s="33"/>
    </row>
    <row r="382" ht="15.75" customHeight="1">
      <c r="C382" s="33"/>
      <c r="D382" s="33"/>
      <c r="E382" s="33"/>
      <c r="F382" s="33"/>
    </row>
    <row r="383" ht="15.75" customHeight="1">
      <c r="C383" s="33"/>
      <c r="D383" s="33"/>
      <c r="E383" s="33"/>
      <c r="F383" s="33"/>
    </row>
    <row r="384" ht="15.75" customHeight="1">
      <c r="C384" s="33"/>
      <c r="D384" s="33"/>
      <c r="E384" s="33"/>
      <c r="F384" s="33"/>
    </row>
    <row r="385" ht="15.75" customHeight="1">
      <c r="C385" s="33"/>
      <c r="D385" s="33"/>
      <c r="E385" s="33"/>
      <c r="F385" s="33"/>
    </row>
    <row r="386" ht="15.75" customHeight="1">
      <c r="C386" s="33"/>
      <c r="D386" s="33"/>
      <c r="E386" s="33"/>
      <c r="F386" s="33"/>
    </row>
    <row r="387" ht="15.75" customHeight="1">
      <c r="C387" s="33"/>
      <c r="D387" s="33"/>
      <c r="E387" s="33"/>
      <c r="F387" s="33"/>
    </row>
    <row r="388" ht="15.75" customHeight="1">
      <c r="C388" s="33"/>
      <c r="D388" s="33"/>
      <c r="E388" s="33"/>
      <c r="F388" s="33"/>
    </row>
    <row r="389" ht="15.75" customHeight="1">
      <c r="C389" s="33"/>
      <c r="D389" s="33"/>
      <c r="E389" s="33"/>
      <c r="F389" s="33"/>
    </row>
    <row r="390" ht="15.75" customHeight="1">
      <c r="C390" s="33"/>
      <c r="D390" s="33"/>
      <c r="E390" s="33"/>
      <c r="F390" s="33"/>
    </row>
    <row r="391" ht="15.75" customHeight="1">
      <c r="C391" s="33"/>
      <c r="D391" s="33"/>
      <c r="E391" s="33"/>
      <c r="F391" s="33"/>
    </row>
    <row r="392" ht="15.75" customHeight="1">
      <c r="C392" s="33"/>
      <c r="D392" s="33"/>
      <c r="E392" s="33"/>
      <c r="F392" s="33"/>
    </row>
    <row r="393" ht="15.75" customHeight="1">
      <c r="C393" s="33"/>
      <c r="D393" s="33"/>
      <c r="E393" s="33"/>
      <c r="F393" s="33"/>
    </row>
    <row r="394" ht="15.75" customHeight="1">
      <c r="C394" s="33"/>
      <c r="D394" s="33"/>
      <c r="E394" s="33"/>
      <c r="F394" s="33"/>
    </row>
    <row r="395" ht="15.75" customHeight="1">
      <c r="C395" s="33"/>
      <c r="D395" s="33"/>
      <c r="E395" s="33"/>
      <c r="F395" s="33"/>
    </row>
    <row r="396" ht="15.75" customHeight="1">
      <c r="C396" s="33"/>
      <c r="D396" s="33"/>
      <c r="E396" s="33"/>
      <c r="F396" s="33"/>
    </row>
    <row r="397" ht="15.75" customHeight="1">
      <c r="C397" s="33"/>
      <c r="D397" s="33"/>
      <c r="E397" s="33"/>
      <c r="F397" s="33"/>
    </row>
    <row r="398" ht="15.75" customHeight="1">
      <c r="C398" s="33"/>
      <c r="D398" s="33"/>
      <c r="E398" s="33"/>
      <c r="F398" s="33"/>
    </row>
    <row r="399" ht="15.75" customHeight="1">
      <c r="C399" s="33"/>
      <c r="D399" s="33"/>
      <c r="E399" s="33"/>
      <c r="F399" s="33"/>
    </row>
    <row r="400" ht="15.75" customHeight="1">
      <c r="C400" s="33"/>
      <c r="D400" s="33"/>
      <c r="E400" s="33"/>
      <c r="F400" s="33"/>
    </row>
    <row r="401" ht="15.75" customHeight="1">
      <c r="C401" s="33"/>
      <c r="D401" s="33"/>
      <c r="E401" s="33"/>
      <c r="F401" s="33"/>
    </row>
    <row r="402" ht="15.75" customHeight="1">
      <c r="C402" s="33"/>
      <c r="D402" s="33"/>
      <c r="E402" s="33"/>
      <c r="F402" s="33"/>
    </row>
    <row r="403" ht="15.75" customHeight="1">
      <c r="C403" s="33"/>
      <c r="D403" s="33"/>
      <c r="E403" s="33"/>
      <c r="F403" s="33"/>
    </row>
    <row r="404" ht="15.75" customHeight="1">
      <c r="C404" s="33"/>
      <c r="D404" s="33"/>
      <c r="E404" s="33"/>
      <c r="F404" s="33"/>
    </row>
    <row r="405" ht="15.75" customHeight="1">
      <c r="C405" s="33"/>
      <c r="D405" s="33"/>
      <c r="E405" s="33"/>
      <c r="F405" s="33"/>
    </row>
    <row r="406" ht="15.75" customHeight="1">
      <c r="C406" s="33"/>
      <c r="D406" s="33"/>
      <c r="E406" s="33"/>
      <c r="F406" s="33"/>
    </row>
    <row r="407" ht="15.75" customHeight="1">
      <c r="C407" s="33"/>
      <c r="D407" s="33"/>
      <c r="E407" s="33"/>
      <c r="F407" s="33"/>
    </row>
    <row r="408" ht="15.75" customHeight="1">
      <c r="C408" s="33"/>
      <c r="D408" s="33"/>
      <c r="E408" s="33"/>
      <c r="F408" s="33"/>
    </row>
    <row r="409" ht="15.75" customHeight="1">
      <c r="C409" s="33"/>
      <c r="D409" s="33"/>
      <c r="E409" s="33"/>
      <c r="F409" s="33"/>
    </row>
    <row r="410" ht="15.75" customHeight="1">
      <c r="C410" s="33"/>
      <c r="D410" s="33"/>
      <c r="E410" s="33"/>
      <c r="F410" s="33"/>
    </row>
    <row r="411" ht="15.75" customHeight="1">
      <c r="C411" s="33"/>
      <c r="D411" s="33"/>
      <c r="E411" s="33"/>
      <c r="F411" s="33"/>
    </row>
    <row r="412" ht="15.75" customHeight="1">
      <c r="C412" s="33"/>
      <c r="D412" s="33"/>
      <c r="E412" s="33"/>
      <c r="F412" s="33"/>
    </row>
    <row r="413" ht="15.75" customHeight="1">
      <c r="C413" s="33"/>
      <c r="D413" s="33"/>
      <c r="E413" s="33"/>
      <c r="F413" s="33"/>
    </row>
    <row r="414" ht="15.75" customHeight="1">
      <c r="C414" s="33"/>
      <c r="D414" s="33"/>
      <c r="E414" s="33"/>
      <c r="F414" s="33"/>
    </row>
    <row r="415" ht="15.75" customHeight="1">
      <c r="C415" s="33"/>
      <c r="D415" s="33"/>
      <c r="E415" s="33"/>
      <c r="F415" s="33"/>
    </row>
    <row r="416" ht="15.75" customHeight="1">
      <c r="C416" s="33"/>
      <c r="D416" s="33"/>
      <c r="E416" s="33"/>
      <c r="F416" s="33"/>
    </row>
    <row r="417" ht="15.75" customHeight="1">
      <c r="C417" s="33"/>
      <c r="D417" s="33"/>
      <c r="E417" s="33"/>
      <c r="F417" s="33"/>
    </row>
    <row r="418" ht="15.75" customHeight="1">
      <c r="C418" s="33"/>
      <c r="D418" s="33"/>
      <c r="E418" s="33"/>
      <c r="F418" s="33"/>
    </row>
    <row r="419" ht="15.75" customHeight="1">
      <c r="C419" s="33"/>
      <c r="D419" s="33"/>
      <c r="E419" s="33"/>
      <c r="F419" s="33"/>
    </row>
    <row r="420" ht="15.75" customHeight="1">
      <c r="C420" s="33"/>
      <c r="D420" s="33"/>
      <c r="E420" s="33"/>
      <c r="F420" s="33"/>
    </row>
    <row r="421" ht="15.75" customHeight="1">
      <c r="C421" s="33"/>
      <c r="D421" s="33"/>
      <c r="E421" s="33"/>
      <c r="F421" s="33"/>
    </row>
    <row r="422" ht="15.75" customHeight="1">
      <c r="C422" s="33"/>
      <c r="D422" s="33"/>
      <c r="E422" s="33"/>
      <c r="F422" s="33"/>
    </row>
    <row r="423" ht="15.75" customHeight="1">
      <c r="C423" s="33"/>
      <c r="D423" s="33"/>
      <c r="E423" s="33"/>
      <c r="F423" s="33"/>
    </row>
    <row r="424" ht="15.75" customHeight="1">
      <c r="C424" s="33"/>
      <c r="D424" s="33"/>
      <c r="E424" s="33"/>
      <c r="F424" s="33"/>
    </row>
    <row r="425" ht="15.75" customHeight="1">
      <c r="C425" s="33"/>
      <c r="D425" s="33"/>
      <c r="E425" s="33"/>
      <c r="F425" s="33"/>
    </row>
    <row r="426" ht="15.75" customHeight="1">
      <c r="C426" s="33"/>
      <c r="D426" s="33"/>
      <c r="E426" s="33"/>
      <c r="F426" s="33"/>
    </row>
    <row r="427" ht="15.75" customHeight="1">
      <c r="C427" s="33"/>
      <c r="D427" s="33"/>
      <c r="E427" s="33"/>
      <c r="F427" s="33"/>
    </row>
    <row r="428" ht="15.75" customHeight="1">
      <c r="C428" s="33"/>
      <c r="D428" s="33"/>
      <c r="E428" s="33"/>
      <c r="F428" s="33"/>
    </row>
    <row r="429" ht="15.75" customHeight="1">
      <c r="C429" s="33"/>
      <c r="D429" s="33"/>
      <c r="E429" s="33"/>
      <c r="F429" s="33"/>
    </row>
    <row r="430" ht="15.75" customHeight="1">
      <c r="C430" s="33"/>
      <c r="D430" s="33"/>
      <c r="E430" s="33"/>
      <c r="F430" s="33"/>
    </row>
    <row r="431" ht="15.75" customHeight="1">
      <c r="C431" s="33"/>
      <c r="D431" s="33"/>
      <c r="E431" s="33"/>
      <c r="F431" s="33"/>
    </row>
    <row r="432" ht="15.75" customHeight="1">
      <c r="C432" s="33"/>
      <c r="D432" s="33"/>
      <c r="E432" s="33"/>
      <c r="F432" s="33"/>
    </row>
    <row r="433" ht="15.75" customHeight="1">
      <c r="C433" s="33"/>
      <c r="D433" s="33"/>
      <c r="E433" s="33"/>
      <c r="F433" s="33"/>
    </row>
    <row r="434" ht="15.75" customHeight="1">
      <c r="C434" s="33"/>
      <c r="D434" s="33"/>
      <c r="E434" s="33"/>
      <c r="F434" s="33"/>
    </row>
    <row r="435" ht="15.75" customHeight="1">
      <c r="C435" s="33"/>
      <c r="D435" s="33"/>
      <c r="E435" s="33"/>
      <c r="F435" s="33"/>
    </row>
    <row r="436" ht="15.75" customHeight="1">
      <c r="C436" s="33"/>
      <c r="D436" s="33"/>
      <c r="E436" s="33"/>
      <c r="F436" s="33"/>
    </row>
    <row r="437" ht="15.75" customHeight="1">
      <c r="C437" s="33"/>
      <c r="D437" s="33"/>
      <c r="E437" s="33"/>
      <c r="F437" s="33"/>
    </row>
    <row r="438" ht="15.75" customHeight="1">
      <c r="C438" s="33"/>
      <c r="D438" s="33"/>
      <c r="E438" s="33"/>
      <c r="F438" s="33"/>
    </row>
    <row r="439" ht="15.75" customHeight="1">
      <c r="C439" s="33"/>
      <c r="D439" s="33"/>
      <c r="E439" s="33"/>
      <c r="F439" s="33"/>
    </row>
    <row r="440" ht="15.75" customHeight="1">
      <c r="C440" s="33"/>
      <c r="D440" s="33"/>
      <c r="E440" s="33"/>
      <c r="F440" s="33"/>
    </row>
    <row r="441" ht="15.75" customHeight="1">
      <c r="C441" s="33"/>
      <c r="D441" s="33"/>
      <c r="E441" s="33"/>
      <c r="F441" s="33"/>
    </row>
    <row r="442" ht="15.75" customHeight="1">
      <c r="C442" s="33"/>
      <c r="D442" s="33"/>
      <c r="E442" s="33"/>
      <c r="F442" s="33"/>
    </row>
    <row r="443" ht="15.75" customHeight="1">
      <c r="C443" s="33"/>
      <c r="D443" s="33"/>
      <c r="E443" s="33"/>
      <c r="F443" s="33"/>
    </row>
    <row r="444" ht="15.75" customHeight="1">
      <c r="C444" s="33"/>
      <c r="D444" s="33"/>
      <c r="E444" s="33"/>
      <c r="F444" s="33"/>
    </row>
    <row r="445" ht="15.75" customHeight="1">
      <c r="C445" s="33"/>
      <c r="D445" s="33"/>
      <c r="E445" s="33"/>
      <c r="F445" s="33"/>
    </row>
    <row r="446" ht="15.75" customHeight="1">
      <c r="C446" s="33"/>
      <c r="D446" s="33"/>
      <c r="E446" s="33"/>
      <c r="F446" s="33"/>
    </row>
    <row r="447" ht="15.75" customHeight="1">
      <c r="C447" s="33"/>
      <c r="D447" s="33"/>
      <c r="E447" s="33"/>
      <c r="F447" s="33"/>
    </row>
    <row r="448" ht="15.75" customHeight="1">
      <c r="C448" s="33"/>
      <c r="D448" s="33"/>
      <c r="E448" s="33"/>
      <c r="F448" s="33"/>
    </row>
    <row r="449" ht="15.75" customHeight="1">
      <c r="C449" s="33"/>
      <c r="D449" s="33"/>
      <c r="E449" s="33"/>
      <c r="F449" s="33"/>
    </row>
    <row r="450" ht="15.75" customHeight="1">
      <c r="C450" s="33"/>
      <c r="D450" s="33"/>
      <c r="E450" s="33"/>
      <c r="F450" s="33"/>
    </row>
    <row r="451" ht="15.75" customHeight="1">
      <c r="C451" s="33"/>
      <c r="D451" s="33"/>
      <c r="E451" s="33"/>
      <c r="F451" s="33"/>
    </row>
    <row r="452" ht="15.75" customHeight="1">
      <c r="C452" s="33"/>
      <c r="D452" s="33"/>
      <c r="E452" s="33"/>
      <c r="F452" s="33"/>
    </row>
    <row r="453" ht="15.75" customHeight="1">
      <c r="C453" s="33"/>
      <c r="D453" s="33"/>
      <c r="E453" s="33"/>
      <c r="F453" s="33"/>
    </row>
    <row r="454" ht="15.75" customHeight="1">
      <c r="C454" s="33"/>
      <c r="D454" s="33"/>
      <c r="E454" s="33"/>
      <c r="F454" s="33"/>
    </row>
    <row r="455" ht="15.75" customHeight="1">
      <c r="C455" s="33"/>
      <c r="D455" s="33"/>
      <c r="E455" s="33"/>
      <c r="F455" s="33"/>
    </row>
    <row r="456" ht="15.75" customHeight="1">
      <c r="C456" s="33"/>
      <c r="D456" s="33"/>
      <c r="E456" s="33"/>
      <c r="F456" s="33"/>
    </row>
    <row r="457" ht="15.75" customHeight="1">
      <c r="C457" s="33"/>
      <c r="D457" s="33"/>
      <c r="E457" s="33"/>
      <c r="F457" s="33"/>
    </row>
    <row r="458" ht="15.75" customHeight="1">
      <c r="C458" s="33"/>
      <c r="D458" s="33"/>
      <c r="E458" s="33"/>
      <c r="F458" s="33"/>
    </row>
    <row r="459" ht="15.75" customHeight="1">
      <c r="C459" s="33"/>
      <c r="D459" s="33"/>
      <c r="E459" s="33"/>
      <c r="F459" s="33"/>
    </row>
    <row r="460" ht="15.75" customHeight="1">
      <c r="C460" s="33"/>
      <c r="D460" s="33"/>
      <c r="E460" s="33"/>
      <c r="F460" s="33"/>
    </row>
    <row r="461" ht="15.75" customHeight="1">
      <c r="C461" s="33"/>
      <c r="D461" s="33"/>
      <c r="E461" s="33"/>
      <c r="F461" s="33"/>
    </row>
    <row r="462" ht="15.75" customHeight="1">
      <c r="C462" s="33"/>
      <c r="D462" s="33"/>
      <c r="E462" s="33"/>
      <c r="F462" s="33"/>
    </row>
    <row r="463" ht="15.75" customHeight="1">
      <c r="C463" s="33"/>
      <c r="D463" s="33"/>
      <c r="E463" s="33"/>
      <c r="F463" s="33"/>
    </row>
    <row r="464" ht="15.75" customHeight="1">
      <c r="C464" s="33"/>
      <c r="D464" s="33"/>
      <c r="E464" s="33"/>
      <c r="F464" s="33"/>
    </row>
    <row r="465" ht="15.75" customHeight="1">
      <c r="C465" s="33"/>
      <c r="D465" s="33"/>
      <c r="E465" s="33"/>
      <c r="F465" s="33"/>
    </row>
    <row r="466" ht="15.75" customHeight="1">
      <c r="C466" s="33"/>
      <c r="D466" s="33"/>
      <c r="E466" s="33"/>
      <c r="F466" s="33"/>
    </row>
    <row r="467" ht="15.75" customHeight="1">
      <c r="C467" s="33"/>
      <c r="D467" s="33"/>
      <c r="E467" s="33"/>
      <c r="F467" s="33"/>
    </row>
    <row r="468" ht="15.75" customHeight="1">
      <c r="C468" s="33"/>
      <c r="D468" s="33"/>
      <c r="E468" s="33"/>
      <c r="F468" s="33"/>
    </row>
    <row r="469" ht="15.75" customHeight="1">
      <c r="C469" s="33"/>
      <c r="D469" s="33"/>
      <c r="E469" s="33"/>
      <c r="F469" s="33"/>
    </row>
    <row r="470" ht="15.75" customHeight="1">
      <c r="C470" s="33"/>
      <c r="D470" s="33"/>
      <c r="E470" s="33"/>
      <c r="F470" s="33"/>
    </row>
    <row r="471" ht="15.75" customHeight="1">
      <c r="C471" s="33"/>
      <c r="D471" s="33"/>
      <c r="E471" s="33"/>
      <c r="F471" s="33"/>
    </row>
    <row r="472" ht="15.75" customHeight="1">
      <c r="C472" s="33"/>
      <c r="D472" s="33"/>
      <c r="E472" s="33"/>
      <c r="F472" s="33"/>
    </row>
    <row r="473" ht="15.75" customHeight="1">
      <c r="C473" s="33"/>
      <c r="D473" s="33"/>
      <c r="E473" s="33"/>
      <c r="F473" s="33"/>
    </row>
    <row r="474" ht="15.75" customHeight="1">
      <c r="C474" s="33"/>
      <c r="D474" s="33"/>
      <c r="E474" s="33"/>
      <c r="F474" s="33"/>
    </row>
    <row r="475" ht="15.75" customHeight="1">
      <c r="C475" s="33"/>
      <c r="D475" s="33"/>
      <c r="E475" s="33"/>
      <c r="F475" s="33"/>
    </row>
    <row r="476" ht="15.75" customHeight="1">
      <c r="C476" s="33"/>
      <c r="D476" s="33"/>
      <c r="E476" s="33"/>
      <c r="F476" s="33"/>
    </row>
    <row r="477" ht="15.75" customHeight="1">
      <c r="C477" s="33"/>
      <c r="D477" s="33"/>
      <c r="E477" s="33"/>
      <c r="F477" s="33"/>
    </row>
    <row r="478" ht="15.75" customHeight="1">
      <c r="C478" s="33"/>
      <c r="D478" s="33"/>
      <c r="E478" s="33"/>
      <c r="F478" s="33"/>
    </row>
    <row r="479" ht="15.75" customHeight="1">
      <c r="C479" s="33"/>
      <c r="D479" s="33"/>
      <c r="E479" s="33"/>
      <c r="F479" s="33"/>
    </row>
    <row r="480" ht="15.75" customHeight="1">
      <c r="C480" s="33"/>
      <c r="D480" s="33"/>
      <c r="E480" s="33"/>
      <c r="F480" s="33"/>
    </row>
    <row r="481" ht="15.75" customHeight="1">
      <c r="C481" s="33"/>
      <c r="D481" s="33"/>
      <c r="E481" s="33"/>
      <c r="F481" s="33"/>
    </row>
    <row r="482" ht="15.75" customHeight="1">
      <c r="C482" s="33"/>
      <c r="D482" s="33"/>
      <c r="E482" s="33"/>
      <c r="F482" s="33"/>
    </row>
    <row r="483" ht="15.75" customHeight="1">
      <c r="C483" s="33"/>
      <c r="D483" s="33"/>
      <c r="E483" s="33"/>
      <c r="F483" s="33"/>
    </row>
    <row r="484" ht="15.75" customHeight="1">
      <c r="C484" s="33"/>
      <c r="D484" s="33"/>
      <c r="E484" s="33"/>
      <c r="F484" s="33"/>
    </row>
    <row r="485" ht="15.75" customHeight="1">
      <c r="C485" s="33"/>
      <c r="D485" s="33"/>
      <c r="E485" s="33"/>
      <c r="F485" s="33"/>
    </row>
    <row r="486" ht="15.75" customHeight="1">
      <c r="C486" s="33"/>
      <c r="D486" s="33"/>
      <c r="E486" s="33"/>
      <c r="F486" s="33"/>
    </row>
    <row r="487" ht="15.75" customHeight="1">
      <c r="C487" s="33"/>
      <c r="D487" s="33"/>
      <c r="E487" s="33"/>
      <c r="F487" s="33"/>
    </row>
    <row r="488" ht="15.75" customHeight="1">
      <c r="C488" s="33"/>
      <c r="D488" s="33"/>
      <c r="E488" s="33"/>
      <c r="F488" s="33"/>
    </row>
    <row r="489" ht="15.75" customHeight="1">
      <c r="C489" s="33"/>
      <c r="D489" s="33"/>
      <c r="E489" s="33"/>
      <c r="F489" s="33"/>
    </row>
    <row r="490" ht="15.75" customHeight="1">
      <c r="C490" s="33"/>
      <c r="D490" s="33"/>
      <c r="E490" s="33"/>
      <c r="F490" s="33"/>
    </row>
    <row r="491" ht="15.75" customHeight="1">
      <c r="C491" s="33"/>
      <c r="D491" s="33"/>
      <c r="E491" s="33"/>
      <c r="F491" s="33"/>
    </row>
    <row r="492" ht="15.75" customHeight="1">
      <c r="C492" s="33"/>
      <c r="D492" s="33"/>
      <c r="E492" s="33"/>
      <c r="F492" s="33"/>
    </row>
    <row r="493" ht="15.75" customHeight="1">
      <c r="C493" s="33"/>
      <c r="D493" s="33"/>
      <c r="E493" s="33"/>
      <c r="F493" s="33"/>
    </row>
    <row r="494" ht="15.75" customHeight="1">
      <c r="C494" s="33"/>
      <c r="D494" s="33"/>
      <c r="E494" s="33"/>
      <c r="F494" s="33"/>
    </row>
    <row r="495" ht="15.75" customHeight="1">
      <c r="C495" s="33"/>
      <c r="D495" s="33"/>
      <c r="E495" s="33"/>
      <c r="F495" s="33"/>
    </row>
    <row r="496" ht="15.75" customHeight="1">
      <c r="C496" s="33"/>
      <c r="D496" s="33"/>
      <c r="E496" s="33"/>
      <c r="F496" s="33"/>
    </row>
    <row r="497" ht="15.75" customHeight="1">
      <c r="C497" s="33"/>
      <c r="D497" s="33"/>
      <c r="E497" s="33"/>
      <c r="F497" s="33"/>
    </row>
    <row r="498" ht="15.75" customHeight="1">
      <c r="C498" s="33"/>
      <c r="D498" s="33"/>
      <c r="E498" s="33"/>
      <c r="F498" s="33"/>
    </row>
    <row r="499" ht="15.75" customHeight="1">
      <c r="C499" s="33"/>
      <c r="D499" s="33"/>
      <c r="E499" s="33"/>
      <c r="F499" s="33"/>
    </row>
    <row r="500" ht="15.75" customHeight="1">
      <c r="C500" s="33"/>
      <c r="D500" s="33"/>
      <c r="E500" s="33"/>
      <c r="F500" s="33"/>
    </row>
    <row r="501" ht="15.75" customHeight="1">
      <c r="C501" s="33"/>
      <c r="D501" s="33"/>
      <c r="E501" s="33"/>
      <c r="F501" s="33"/>
    </row>
    <row r="502" ht="15.75" customHeight="1">
      <c r="C502" s="33"/>
      <c r="D502" s="33"/>
      <c r="E502" s="33"/>
      <c r="F502" s="33"/>
    </row>
    <row r="503" ht="15.75" customHeight="1">
      <c r="C503" s="33"/>
      <c r="D503" s="33"/>
      <c r="E503" s="33"/>
      <c r="F503" s="33"/>
    </row>
    <row r="504" ht="15.75" customHeight="1">
      <c r="C504" s="33"/>
      <c r="D504" s="33"/>
      <c r="E504" s="33"/>
      <c r="F504" s="33"/>
    </row>
    <row r="505" ht="15.75" customHeight="1">
      <c r="C505" s="33"/>
      <c r="D505" s="33"/>
      <c r="E505" s="33"/>
      <c r="F505" s="33"/>
    </row>
    <row r="506" ht="15.75" customHeight="1">
      <c r="C506" s="33"/>
      <c r="D506" s="33"/>
      <c r="E506" s="33"/>
      <c r="F506" s="33"/>
    </row>
    <row r="507" ht="15.75" customHeight="1">
      <c r="C507" s="33"/>
      <c r="D507" s="33"/>
      <c r="E507" s="33"/>
      <c r="F507" s="33"/>
    </row>
    <row r="508" ht="15.75" customHeight="1">
      <c r="C508" s="33"/>
      <c r="D508" s="33"/>
      <c r="E508" s="33"/>
      <c r="F508" s="33"/>
    </row>
    <row r="509" ht="15.75" customHeight="1">
      <c r="C509" s="33"/>
      <c r="D509" s="33"/>
      <c r="E509" s="33"/>
      <c r="F509" s="33"/>
    </row>
    <row r="510" ht="15.75" customHeight="1">
      <c r="C510" s="33"/>
      <c r="D510" s="33"/>
      <c r="E510" s="33"/>
      <c r="F510" s="33"/>
    </row>
    <row r="511" ht="15.75" customHeight="1">
      <c r="C511" s="33"/>
      <c r="D511" s="33"/>
      <c r="E511" s="33"/>
      <c r="F511" s="33"/>
    </row>
    <row r="512" ht="15.75" customHeight="1">
      <c r="C512" s="33"/>
      <c r="D512" s="33"/>
      <c r="E512" s="33"/>
      <c r="F512" s="33"/>
    </row>
    <row r="513" ht="15.75" customHeight="1">
      <c r="C513" s="33"/>
      <c r="D513" s="33"/>
      <c r="E513" s="33"/>
      <c r="F513" s="33"/>
    </row>
    <row r="514" ht="15.75" customHeight="1">
      <c r="C514" s="33"/>
      <c r="D514" s="33"/>
      <c r="E514" s="33"/>
      <c r="F514" s="33"/>
    </row>
    <row r="515" ht="15.75" customHeight="1">
      <c r="C515" s="33"/>
      <c r="D515" s="33"/>
      <c r="E515" s="33"/>
      <c r="F515" s="33"/>
    </row>
    <row r="516" ht="15.75" customHeight="1">
      <c r="C516" s="33"/>
      <c r="D516" s="33"/>
      <c r="E516" s="33"/>
      <c r="F516" s="33"/>
    </row>
    <row r="517" ht="15.75" customHeight="1">
      <c r="C517" s="33"/>
      <c r="D517" s="33"/>
      <c r="E517" s="33"/>
      <c r="F517" s="33"/>
    </row>
    <row r="518" ht="15.75" customHeight="1">
      <c r="C518" s="33"/>
      <c r="D518" s="33"/>
      <c r="E518" s="33"/>
      <c r="F518" s="33"/>
    </row>
    <row r="519" ht="15.75" customHeight="1">
      <c r="C519" s="33"/>
      <c r="D519" s="33"/>
      <c r="E519" s="33"/>
      <c r="F519" s="33"/>
    </row>
    <row r="520" ht="15.75" customHeight="1">
      <c r="C520" s="33"/>
      <c r="D520" s="33"/>
      <c r="E520" s="33"/>
      <c r="F520" s="33"/>
    </row>
    <row r="521" ht="15.75" customHeight="1">
      <c r="C521" s="33"/>
      <c r="D521" s="33"/>
      <c r="E521" s="33"/>
      <c r="F521" s="33"/>
    </row>
    <row r="522" ht="15.75" customHeight="1">
      <c r="C522" s="33"/>
      <c r="D522" s="33"/>
      <c r="E522" s="33"/>
      <c r="F522" s="33"/>
    </row>
    <row r="523" ht="15.75" customHeight="1">
      <c r="C523" s="33"/>
      <c r="D523" s="33"/>
      <c r="E523" s="33"/>
      <c r="F523" s="33"/>
    </row>
    <row r="524" ht="15.75" customHeight="1">
      <c r="C524" s="33"/>
      <c r="D524" s="33"/>
      <c r="E524" s="33"/>
      <c r="F524" s="33"/>
    </row>
    <row r="525" ht="15.75" customHeight="1">
      <c r="C525" s="33"/>
      <c r="D525" s="33"/>
      <c r="E525" s="33"/>
      <c r="F525" s="33"/>
    </row>
    <row r="526" ht="15.75" customHeight="1">
      <c r="C526" s="33"/>
      <c r="D526" s="33"/>
      <c r="E526" s="33"/>
      <c r="F526" s="33"/>
    </row>
    <row r="527" ht="15.75" customHeight="1">
      <c r="C527" s="33"/>
      <c r="D527" s="33"/>
      <c r="E527" s="33"/>
      <c r="F527" s="33"/>
    </row>
    <row r="528" ht="15.75" customHeight="1">
      <c r="C528" s="33"/>
      <c r="D528" s="33"/>
      <c r="E528" s="33"/>
      <c r="F528" s="33"/>
    </row>
    <row r="529" ht="15.75" customHeight="1">
      <c r="C529" s="33"/>
      <c r="D529" s="33"/>
      <c r="E529" s="33"/>
      <c r="F529" s="33"/>
    </row>
    <row r="530" ht="15.75" customHeight="1">
      <c r="C530" s="33"/>
      <c r="D530" s="33"/>
      <c r="E530" s="33"/>
      <c r="F530" s="33"/>
    </row>
    <row r="531" ht="15.75" customHeight="1">
      <c r="C531" s="33"/>
      <c r="D531" s="33"/>
      <c r="E531" s="33"/>
      <c r="F531" s="33"/>
    </row>
    <row r="532" ht="15.75" customHeight="1">
      <c r="C532" s="33"/>
      <c r="D532" s="33"/>
      <c r="E532" s="33"/>
      <c r="F532" s="33"/>
    </row>
    <row r="533" ht="15.75" customHeight="1">
      <c r="C533" s="33"/>
      <c r="D533" s="33"/>
      <c r="E533" s="33"/>
      <c r="F533" s="33"/>
    </row>
    <row r="534" ht="15.75" customHeight="1">
      <c r="C534" s="33"/>
      <c r="D534" s="33"/>
      <c r="E534" s="33"/>
      <c r="F534" s="33"/>
    </row>
    <row r="535" ht="15.75" customHeight="1">
      <c r="C535" s="33"/>
      <c r="D535" s="33"/>
      <c r="E535" s="33"/>
      <c r="F535" s="33"/>
    </row>
    <row r="536" ht="15.75" customHeight="1">
      <c r="C536" s="33"/>
      <c r="D536" s="33"/>
      <c r="E536" s="33"/>
      <c r="F536" s="33"/>
    </row>
    <row r="537" ht="15.75" customHeight="1">
      <c r="C537" s="33"/>
      <c r="D537" s="33"/>
      <c r="E537" s="33"/>
      <c r="F537" s="33"/>
    </row>
    <row r="538" ht="15.75" customHeight="1">
      <c r="C538" s="33"/>
      <c r="D538" s="33"/>
      <c r="E538" s="33"/>
      <c r="F538" s="33"/>
    </row>
    <row r="539" ht="15.75" customHeight="1">
      <c r="C539" s="33"/>
      <c r="D539" s="33"/>
      <c r="E539" s="33"/>
      <c r="F539" s="33"/>
    </row>
    <row r="540" ht="15.75" customHeight="1">
      <c r="C540" s="33"/>
      <c r="D540" s="33"/>
      <c r="E540" s="33"/>
      <c r="F540" s="33"/>
    </row>
    <row r="541" ht="15.75" customHeight="1">
      <c r="C541" s="33"/>
      <c r="D541" s="33"/>
      <c r="E541" s="33"/>
      <c r="F541" s="33"/>
    </row>
    <row r="542" ht="15.75" customHeight="1">
      <c r="C542" s="33"/>
      <c r="D542" s="33"/>
      <c r="E542" s="33"/>
      <c r="F542" s="33"/>
    </row>
    <row r="543" ht="15.75" customHeight="1">
      <c r="C543" s="33"/>
      <c r="D543" s="33"/>
      <c r="E543" s="33"/>
      <c r="F543" s="33"/>
    </row>
    <row r="544" ht="15.75" customHeight="1">
      <c r="C544" s="33"/>
      <c r="D544" s="33"/>
      <c r="E544" s="33"/>
      <c r="F544" s="33"/>
    </row>
    <row r="545" ht="15.75" customHeight="1">
      <c r="C545" s="33"/>
      <c r="D545" s="33"/>
      <c r="E545" s="33"/>
      <c r="F545" s="33"/>
    </row>
    <row r="546" ht="15.75" customHeight="1">
      <c r="C546" s="33"/>
      <c r="D546" s="33"/>
      <c r="E546" s="33"/>
      <c r="F546" s="33"/>
    </row>
    <row r="547" ht="15.75" customHeight="1">
      <c r="C547" s="33"/>
      <c r="D547" s="33"/>
      <c r="E547" s="33"/>
      <c r="F547" s="33"/>
    </row>
    <row r="548" ht="15.75" customHeight="1">
      <c r="C548" s="33"/>
      <c r="D548" s="33"/>
      <c r="E548" s="33"/>
      <c r="F548" s="33"/>
    </row>
    <row r="549" ht="15.75" customHeight="1">
      <c r="C549" s="33"/>
      <c r="D549" s="33"/>
      <c r="E549" s="33"/>
      <c r="F549" s="33"/>
    </row>
    <row r="550" ht="15.75" customHeight="1">
      <c r="C550" s="33"/>
      <c r="D550" s="33"/>
      <c r="E550" s="33"/>
      <c r="F550" s="33"/>
    </row>
    <row r="551" ht="15.75" customHeight="1">
      <c r="C551" s="33"/>
      <c r="D551" s="33"/>
      <c r="E551" s="33"/>
      <c r="F551" s="33"/>
    </row>
    <row r="552" ht="15.75" customHeight="1">
      <c r="C552" s="33"/>
      <c r="D552" s="33"/>
      <c r="E552" s="33"/>
      <c r="F552" s="33"/>
    </row>
    <row r="553" ht="15.75" customHeight="1">
      <c r="C553" s="33"/>
      <c r="D553" s="33"/>
      <c r="E553" s="33"/>
      <c r="F553" s="33"/>
    </row>
    <row r="554" ht="15.75" customHeight="1">
      <c r="C554" s="33"/>
      <c r="D554" s="33"/>
      <c r="E554" s="33"/>
      <c r="F554" s="33"/>
    </row>
    <row r="555" ht="15.75" customHeight="1">
      <c r="C555" s="33"/>
      <c r="D555" s="33"/>
      <c r="E555" s="33"/>
      <c r="F555" s="33"/>
    </row>
    <row r="556" ht="15.75" customHeight="1">
      <c r="C556" s="33"/>
      <c r="D556" s="33"/>
      <c r="E556" s="33"/>
      <c r="F556" s="33"/>
    </row>
    <row r="557" ht="15.75" customHeight="1">
      <c r="C557" s="33"/>
      <c r="D557" s="33"/>
      <c r="E557" s="33"/>
      <c r="F557" s="33"/>
    </row>
    <row r="558" ht="15.75" customHeight="1">
      <c r="C558" s="33"/>
      <c r="D558" s="33"/>
      <c r="E558" s="33"/>
      <c r="F558" s="33"/>
    </row>
    <row r="559" ht="15.75" customHeight="1">
      <c r="C559" s="33"/>
      <c r="D559" s="33"/>
      <c r="E559" s="33"/>
      <c r="F559" s="33"/>
    </row>
    <row r="560" ht="15.75" customHeight="1">
      <c r="C560" s="33"/>
      <c r="D560" s="33"/>
      <c r="E560" s="33"/>
      <c r="F560" s="33"/>
    </row>
    <row r="561" ht="15.75" customHeight="1">
      <c r="C561" s="33"/>
      <c r="D561" s="33"/>
      <c r="E561" s="33"/>
      <c r="F561" s="33"/>
    </row>
    <row r="562" ht="15.75" customHeight="1">
      <c r="C562" s="33"/>
      <c r="D562" s="33"/>
      <c r="E562" s="33"/>
      <c r="F562" s="33"/>
    </row>
    <row r="563" ht="15.75" customHeight="1">
      <c r="C563" s="33"/>
      <c r="D563" s="33"/>
      <c r="E563" s="33"/>
      <c r="F563" s="33"/>
    </row>
    <row r="564" ht="15.75" customHeight="1">
      <c r="C564" s="33"/>
      <c r="D564" s="33"/>
      <c r="E564" s="33"/>
      <c r="F564" s="33"/>
    </row>
    <row r="565" ht="15.75" customHeight="1">
      <c r="C565" s="33"/>
      <c r="D565" s="33"/>
      <c r="E565" s="33"/>
      <c r="F565" s="33"/>
    </row>
    <row r="566" ht="15.75" customHeight="1">
      <c r="C566" s="33"/>
      <c r="D566" s="33"/>
      <c r="E566" s="33"/>
      <c r="F566" s="33"/>
    </row>
    <row r="567" ht="15.75" customHeight="1">
      <c r="C567" s="33"/>
      <c r="D567" s="33"/>
      <c r="E567" s="33"/>
      <c r="F567" s="33"/>
    </row>
    <row r="568" ht="15.75" customHeight="1">
      <c r="C568" s="33"/>
      <c r="D568" s="33"/>
      <c r="E568" s="33"/>
      <c r="F568" s="33"/>
    </row>
    <row r="569" ht="15.75" customHeight="1">
      <c r="C569" s="33"/>
      <c r="D569" s="33"/>
      <c r="E569" s="33"/>
      <c r="F569" s="33"/>
    </row>
    <row r="570" ht="15.75" customHeight="1">
      <c r="C570" s="33"/>
      <c r="D570" s="33"/>
      <c r="E570" s="33"/>
      <c r="F570" s="33"/>
    </row>
    <row r="571" ht="15.75" customHeight="1">
      <c r="C571" s="33"/>
      <c r="D571" s="33"/>
      <c r="E571" s="33"/>
      <c r="F571" s="33"/>
    </row>
    <row r="572" ht="15.75" customHeight="1">
      <c r="C572" s="33"/>
      <c r="D572" s="33"/>
      <c r="E572" s="33"/>
      <c r="F572" s="33"/>
    </row>
    <row r="573" ht="15.75" customHeight="1">
      <c r="C573" s="33"/>
      <c r="D573" s="33"/>
      <c r="E573" s="33"/>
      <c r="F573" s="33"/>
    </row>
    <row r="574" ht="15.75" customHeight="1">
      <c r="C574" s="33"/>
      <c r="D574" s="33"/>
      <c r="E574" s="33"/>
      <c r="F574" s="33"/>
    </row>
    <row r="575" ht="15.75" customHeight="1">
      <c r="C575" s="33"/>
      <c r="D575" s="33"/>
      <c r="E575" s="33"/>
      <c r="F575" s="33"/>
    </row>
    <row r="576" ht="15.75" customHeight="1">
      <c r="C576" s="33"/>
      <c r="D576" s="33"/>
      <c r="E576" s="33"/>
      <c r="F576" s="33"/>
    </row>
    <row r="577" ht="15.75" customHeight="1">
      <c r="C577" s="33"/>
      <c r="D577" s="33"/>
      <c r="E577" s="33"/>
      <c r="F577" s="33"/>
    </row>
    <row r="578" ht="15.75" customHeight="1">
      <c r="C578" s="33"/>
      <c r="D578" s="33"/>
      <c r="E578" s="33"/>
      <c r="F578" s="33"/>
    </row>
    <row r="579" ht="15.75" customHeight="1">
      <c r="C579" s="33"/>
      <c r="D579" s="33"/>
      <c r="E579" s="33"/>
      <c r="F579" s="33"/>
    </row>
    <row r="580" ht="15.75" customHeight="1">
      <c r="C580" s="33"/>
      <c r="D580" s="33"/>
      <c r="E580" s="33"/>
      <c r="F580" s="33"/>
    </row>
    <row r="581" ht="15.75" customHeight="1">
      <c r="C581" s="33"/>
      <c r="D581" s="33"/>
      <c r="E581" s="33"/>
      <c r="F581" s="33"/>
    </row>
    <row r="582" ht="15.75" customHeight="1">
      <c r="C582" s="33"/>
      <c r="D582" s="33"/>
      <c r="E582" s="33"/>
      <c r="F582" s="33"/>
    </row>
    <row r="583" ht="15.75" customHeight="1">
      <c r="C583" s="33"/>
      <c r="D583" s="33"/>
      <c r="E583" s="33"/>
      <c r="F583" s="33"/>
    </row>
    <row r="584" ht="15.75" customHeight="1">
      <c r="C584" s="33"/>
      <c r="D584" s="33"/>
      <c r="E584" s="33"/>
      <c r="F584" s="33"/>
    </row>
    <row r="585" ht="15.75" customHeight="1">
      <c r="C585" s="33"/>
      <c r="D585" s="33"/>
      <c r="E585" s="33"/>
      <c r="F585" s="33"/>
    </row>
    <row r="586" ht="15.75" customHeight="1">
      <c r="C586" s="33"/>
      <c r="D586" s="33"/>
      <c r="E586" s="33"/>
      <c r="F586" s="33"/>
    </row>
    <row r="587" ht="15.75" customHeight="1">
      <c r="C587" s="33"/>
      <c r="D587" s="33"/>
      <c r="E587" s="33"/>
      <c r="F587" s="33"/>
    </row>
    <row r="588" ht="15.75" customHeight="1">
      <c r="C588" s="33"/>
      <c r="D588" s="33"/>
      <c r="E588" s="33"/>
      <c r="F588" s="33"/>
    </row>
    <row r="589" ht="15.75" customHeight="1">
      <c r="C589" s="33"/>
      <c r="D589" s="33"/>
      <c r="E589" s="33"/>
      <c r="F589" s="33"/>
    </row>
    <row r="590" ht="15.75" customHeight="1">
      <c r="C590" s="33"/>
      <c r="D590" s="33"/>
      <c r="E590" s="33"/>
      <c r="F590" s="33"/>
    </row>
    <row r="591" ht="15.75" customHeight="1">
      <c r="C591" s="33"/>
      <c r="D591" s="33"/>
      <c r="E591" s="33"/>
      <c r="F591" s="33"/>
    </row>
    <row r="592" ht="15.75" customHeight="1">
      <c r="C592" s="33"/>
      <c r="D592" s="33"/>
      <c r="E592" s="33"/>
      <c r="F592" s="33"/>
    </row>
    <row r="593" ht="15.75" customHeight="1">
      <c r="C593" s="33"/>
      <c r="D593" s="33"/>
      <c r="E593" s="33"/>
      <c r="F593" s="33"/>
    </row>
    <row r="594" ht="15.75" customHeight="1">
      <c r="C594" s="33"/>
      <c r="D594" s="33"/>
      <c r="E594" s="33"/>
      <c r="F594" s="33"/>
    </row>
    <row r="595" ht="15.75" customHeight="1">
      <c r="C595" s="33"/>
      <c r="D595" s="33"/>
      <c r="E595" s="33"/>
      <c r="F595" s="33"/>
    </row>
    <row r="596" ht="15.75" customHeight="1">
      <c r="C596" s="33"/>
      <c r="D596" s="33"/>
      <c r="E596" s="33"/>
      <c r="F596" s="33"/>
    </row>
    <row r="597" ht="15.75" customHeight="1">
      <c r="C597" s="33"/>
      <c r="D597" s="33"/>
      <c r="E597" s="33"/>
      <c r="F597" s="33"/>
    </row>
    <row r="598" ht="15.75" customHeight="1">
      <c r="C598" s="33"/>
      <c r="D598" s="33"/>
      <c r="E598" s="33"/>
      <c r="F598" s="33"/>
    </row>
    <row r="599" ht="15.75" customHeight="1">
      <c r="C599" s="33"/>
      <c r="D599" s="33"/>
      <c r="E599" s="33"/>
      <c r="F599" s="33"/>
    </row>
    <row r="600" ht="15.75" customHeight="1">
      <c r="C600" s="33"/>
      <c r="D600" s="33"/>
      <c r="E600" s="33"/>
      <c r="F600" s="33"/>
    </row>
    <row r="601" ht="15.75" customHeight="1">
      <c r="C601" s="33"/>
      <c r="D601" s="33"/>
      <c r="E601" s="33"/>
      <c r="F601" s="33"/>
    </row>
    <row r="602" ht="15.75" customHeight="1">
      <c r="C602" s="33"/>
      <c r="D602" s="33"/>
      <c r="E602" s="33"/>
      <c r="F602" s="33"/>
    </row>
    <row r="603" ht="15.75" customHeight="1">
      <c r="C603" s="33"/>
      <c r="D603" s="33"/>
      <c r="E603" s="33"/>
      <c r="F603" s="33"/>
    </row>
    <row r="604" ht="15.75" customHeight="1">
      <c r="C604" s="33"/>
      <c r="D604" s="33"/>
      <c r="E604" s="33"/>
      <c r="F604" s="33"/>
    </row>
    <row r="605" ht="15.75" customHeight="1">
      <c r="C605" s="33"/>
      <c r="D605" s="33"/>
      <c r="E605" s="33"/>
      <c r="F605" s="33"/>
    </row>
    <row r="606" ht="15.75" customHeight="1">
      <c r="C606" s="33"/>
      <c r="D606" s="33"/>
      <c r="E606" s="33"/>
      <c r="F606" s="33"/>
    </row>
    <row r="607" ht="15.75" customHeight="1">
      <c r="C607" s="33"/>
      <c r="D607" s="33"/>
      <c r="E607" s="33"/>
      <c r="F607" s="33"/>
    </row>
    <row r="608" ht="15.75" customHeight="1">
      <c r="C608" s="33"/>
      <c r="D608" s="33"/>
      <c r="E608" s="33"/>
      <c r="F608" s="33"/>
    </row>
    <row r="609" ht="15.75" customHeight="1">
      <c r="C609" s="33"/>
      <c r="D609" s="33"/>
      <c r="E609" s="33"/>
      <c r="F609" s="33"/>
    </row>
    <row r="610" ht="15.75" customHeight="1">
      <c r="C610" s="33"/>
      <c r="D610" s="33"/>
      <c r="E610" s="33"/>
      <c r="F610" s="33"/>
    </row>
    <row r="611" ht="15.75" customHeight="1">
      <c r="C611" s="33"/>
      <c r="D611" s="33"/>
      <c r="E611" s="33"/>
      <c r="F611" s="33"/>
    </row>
    <row r="612" ht="15.75" customHeight="1">
      <c r="C612" s="33"/>
      <c r="D612" s="33"/>
      <c r="E612" s="33"/>
      <c r="F612" s="33"/>
    </row>
    <row r="613" ht="15.75" customHeight="1">
      <c r="C613" s="33"/>
      <c r="D613" s="33"/>
      <c r="E613" s="33"/>
      <c r="F613" s="33"/>
    </row>
    <row r="614" ht="15.75" customHeight="1">
      <c r="C614" s="33"/>
      <c r="D614" s="33"/>
      <c r="E614" s="33"/>
      <c r="F614" s="33"/>
    </row>
    <row r="615" ht="15.75" customHeight="1">
      <c r="C615" s="33"/>
      <c r="D615" s="33"/>
      <c r="E615" s="33"/>
      <c r="F615" s="33"/>
    </row>
    <row r="616" ht="15.75" customHeight="1">
      <c r="C616" s="33"/>
      <c r="D616" s="33"/>
      <c r="E616" s="33"/>
      <c r="F616" s="33"/>
    </row>
    <row r="617" ht="15.75" customHeight="1">
      <c r="C617" s="33"/>
      <c r="D617" s="33"/>
      <c r="E617" s="33"/>
      <c r="F617" s="33"/>
    </row>
    <row r="618" ht="15.75" customHeight="1">
      <c r="C618" s="33"/>
      <c r="D618" s="33"/>
      <c r="E618" s="33"/>
      <c r="F618" s="33"/>
    </row>
    <row r="619" ht="15.75" customHeight="1">
      <c r="C619" s="33"/>
      <c r="D619" s="33"/>
      <c r="E619" s="33"/>
      <c r="F619" s="33"/>
    </row>
    <row r="620" ht="15.75" customHeight="1">
      <c r="C620" s="33"/>
      <c r="D620" s="33"/>
      <c r="E620" s="33"/>
      <c r="F620" s="33"/>
    </row>
    <row r="621" ht="15.75" customHeight="1">
      <c r="C621" s="33"/>
      <c r="D621" s="33"/>
      <c r="E621" s="33"/>
      <c r="F621" s="33"/>
    </row>
    <row r="622" ht="15.75" customHeight="1">
      <c r="C622" s="33"/>
      <c r="D622" s="33"/>
      <c r="E622" s="33"/>
      <c r="F622" s="33"/>
    </row>
    <row r="623" ht="15.75" customHeight="1">
      <c r="C623" s="33"/>
      <c r="D623" s="33"/>
      <c r="E623" s="33"/>
      <c r="F623" s="33"/>
    </row>
    <row r="624" ht="15.75" customHeight="1">
      <c r="C624" s="33"/>
      <c r="D624" s="33"/>
      <c r="E624" s="33"/>
      <c r="F624" s="33"/>
    </row>
    <row r="625" ht="15.75" customHeight="1">
      <c r="C625" s="33"/>
      <c r="D625" s="33"/>
      <c r="E625" s="33"/>
      <c r="F625" s="33"/>
    </row>
    <row r="626" ht="15.75" customHeight="1">
      <c r="C626" s="33"/>
      <c r="D626" s="33"/>
      <c r="E626" s="33"/>
      <c r="F626" s="33"/>
    </row>
    <row r="627" ht="15.75" customHeight="1">
      <c r="C627" s="33"/>
      <c r="D627" s="33"/>
      <c r="E627" s="33"/>
      <c r="F627" s="33"/>
    </row>
    <row r="628" ht="15.75" customHeight="1">
      <c r="C628" s="33"/>
      <c r="D628" s="33"/>
      <c r="E628" s="33"/>
      <c r="F628" s="33"/>
    </row>
    <row r="629" ht="15.75" customHeight="1">
      <c r="C629" s="33"/>
      <c r="D629" s="33"/>
      <c r="E629" s="33"/>
      <c r="F629" s="33"/>
    </row>
    <row r="630" ht="15.75" customHeight="1">
      <c r="C630" s="33"/>
      <c r="D630" s="33"/>
      <c r="E630" s="33"/>
      <c r="F630" s="33"/>
    </row>
    <row r="631" ht="15.75" customHeight="1">
      <c r="C631" s="33"/>
      <c r="D631" s="33"/>
      <c r="E631" s="33"/>
      <c r="F631" s="33"/>
    </row>
    <row r="632" ht="15.75" customHeight="1">
      <c r="C632" s="33"/>
      <c r="D632" s="33"/>
      <c r="E632" s="33"/>
      <c r="F632" s="33"/>
    </row>
    <row r="633" ht="15.75" customHeight="1">
      <c r="C633" s="33"/>
      <c r="D633" s="33"/>
      <c r="E633" s="33"/>
      <c r="F633" s="33"/>
    </row>
    <row r="634" ht="15.75" customHeight="1">
      <c r="C634" s="33"/>
      <c r="D634" s="33"/>
      <c r="E634" s="33"/>
      <c r="F634" s="33"/>
    </row>
    <row r="635" ht="15.75" customHeight="1">
      <c r="C635" s="33"/>
      <c r="D635" s="33"/>
      <c r="E635" s="33"/>
      <c r="F635" s="33"/>
    </row>
    <row r="636" ht="15.75" customHeight="1">
      <c r="C636" s="33"/>
      <c r="D636" s="33"/>
      <c r="E636" s="33"/>
      <c r="F636" s="33"/>
    </row>
    <row r="637" ht="15.75" customHeight="1">
      <c r="C637" s="33"/>
      <c r="D637" s="33"/>
      <c r="E637" s="33"/>
      <c r="F637" s="33"/>
    </row>
    <row r="638" ht="15.75" customHeight="1">
      <c r="C638" s="33"/>
      <c r="D638" s="33"/>
      <c r="E638" s="33"/>
      <c r="F638" s="33"/>
    </row>
    <row r="639" ht="15.75" customHeight="1">
      <c r="C639" s="33"/>
      <c r="D639" s="33"/>
      <c r="E639" s="33"/>
      <c r="F639" s="33"/>
    </row>
    <row r="640" ht="15.75" customHeight="1">
      <c r="C640" s="33"/>
      <c r="D640" s="33"/>
      <c r="E640" s="33"/>
      <c r="F640" s="33"/>
    </row>
    <row r="641" ht="15.75" customHeight="1">
      <c r="C641" s="33"/>
      <c r="D641" s="33"/>
      <c r="E641" s="33"/>
      <c r="F641" s="33"/>
    </row>
    <row r="642" ht="15.75" customHeight="1">
      <c r="C642" s="33"/>
      <c r="D642" s="33"/>
      <c r="E642" s="33"/>
      <c r="F642" s="33"/>
    </row>
    <row r="643" ht="15.75" customHeight="1">
      <c r="C643" s="33"/>
      <c r="D643" s="33"/>
      <c r="E643" s="33"/>
      <c r="F643" s="33"/>
    </row>
    <row r="644" ht="15.75" customHeight="1">
      <c r="C644" s="33"/>
      <c r="D644" s="33"/>
      <c r="E644" s="33"/>
      <c r="F644" s="33"/>
    </row>
    <row r="645" ht="15.75" customHeight="1">
      <c r="C645" s="33"/>
      <c r="D645" s="33"/>
      <c r="E645" s="33"/>
      <c r="F645" s="33"/>
    </row>
    <row r="646" ht="15.75" customHeight="1">
      <c r="C646" s="33"/>
      <c r="D646" s="33"/>
      <c r="E646" s="33"/>
      <c r="F646" s="33"/>
    </row>
    <row r="647" ht="15.75" customHeight="1">
      <c r="C647" s="33"/>
      <c r="D647" s="33"/>
      <c r="E647" s="33"/>
      <c r="F647" s="33"/>
    </row>
    <row r="648" ht="15.75" customHeight="1">
      <c r="C648" s="33"/>
      <c r="D648" s="33"/>
      <c r="E648" s="33"/>
      <c r="F648" s="33"/>
    </row>
    <row r="649" ht="15.75" customHeight="1">
      <c r="C649" s="33"/>
      <c r="D649" s="33"/>
      <c r="E649" s="33"/>
      <c r="F649" s="33"/>
    </row>
    <row r="650" ht="15.75" customHeight="1">
      <c r="C650" s="33"/>
      <c r="D650" s="33"/>
      <c r="E650" s="33"/>
      <c r="F650" s="33"/>
    </row>
    <row r="651" ht="15.75" customHeight="1">
      <c r="C651" s="33"/>
      <c r="D651" s="33"/>
      <c r="E651" s="33"/>
      <c r="F651" s="33"/>
    </row>
    <row r="652" ht="15.75" customHeight="1">
      <c r="C652" s="33"/>
      <c r="D652" s="33"/>
      <c r="E652" s="33"/>
      <c r="F652" s="33"/>
    </row>
    <row r="653" ht="15.75" customHeight="1">
      <c r="C653" s="33"/>
      <c r="D653" s="33"/>
      <c r="E653" s="33"/>
      <c r="F653" s="33"/>
    </row>
    <row r="654" ht="15.75" customHeight="1">
      <c r="C654" s="33"/>
      <c r="D654" s="33"/>
      <c r="E654" s="33"/>
      <c r="F654" s="33"/>
    </row>
    <row r="655" ht="15.75" customHeight="1">
      <c r="C655" s="33"/>
      <c r="D655" s="33"/>
      <c r="E655" s="33"/>
      <c r="F655" s="33"/>
    </row>
    <row r="656" ht="15.75" customHeight="1">
      <c r="C656" s="33"/>
      <c r="D656" s="33"/>
      <c r="E656" s="33"/>
      <c r="F656" s="33"/>
    </row>
    <row r="657" ht="15.75" customHeight="1">
      <c r="C657" s="33"/>
      <c r="D657" s="33"/>
      <c r="E657" s="33"/>
      <c r="F657" s="33"/>
    </row>
    <row r="658" ht="15.75" customHeight="1">
      <c r="C658" s="33"/>
      <c r="D658" s="33"/>
      <c r="E658" s="33"/>
      <c r="F658" s="33"/>
    </row>
    <row r="659" ht="15.75" customHeight="1">
      <c r="C659" s="33"/>
      <c r="D659" s="33"/>
      <c r="E659" s="33"/>
      <c r="F659" s="33"/>
    </row>
    <row r="660" ht="15.75" customHeight="1">
      <c r="C660" s="33"/>
      <c r="D660" s="33"/>
      <c r="E660" s="33"/>
      <c r="F660" s="33"/>
    </row>
    <row r="661" ht="15.75" customHeight="1">
      <c r="C661" s="33"/>
      <c r="D661" s="33"/>
      <c r="E661" s="33"/>
      <c r="F661" s="33"/>
    </row>
    <row r="662" ht="15.75" customHeight="1">
      <c r="C662" s="33"/>
      <c r="D662" s="33"/>
      <c r="E662" s="33"/>
      <c r="F662" s="33"/>
    </row>
    <row r="663" ht="15.75" customHeight="1">
      <c r="C663" s="33"/>
      <c r="D663" s="33"/>
      <c r="E663" s="33"/>
      <c r="F663" s="33"/>
    </row>
    <row r="664" ht="15.75" customHeight="1">
      <c r="C664" s="33"/>
      <c r="D664" s="33"/>
      <c r="E664" s="33"/>
      <c r="F664" s="33"/>
    </row>
    <row r="665" ht="15.75" customHeight="1">
      <c r="C665" s="33"/>
      <c r="D665" s="33"/>
      <c r="E665" s="33"/>
      <c r="F665" s="33"/>
    </row>
    <row r="666" ht="15.75" customHeight="1">
      <c r="C666" s="33"/>
      <c r="D666" s="33"/>
      <c r="E666" s="33"/>
      <c r="F666" s="33"/>
    </row>
    <row r="667" ht="15.75" customHeight="1">
      <c r="C667" s="33"/>
      <c r="D667" s="33"/>
      <c r="E667" s="33"/>
      <c r="F667" s="33"/>
    </row>
    <row r="668" ht="15.75" customHeight="1">
      <c r="C668" s="33"/>
      <c r="D668" s="33"/>
      <c r="E668" s="33"/>
      <c r="F668" s="33"/>
    </row>
    <row r="669" ht="15.75" customHeight="1">
      <c r="C669" s="33"/>
      <c r="D669" s="33"/>
      <c r="E669" s="33"/>
      <c r="F669" s="33"/>
    </row>
    <row r="670" ht="15.75" customHeight="1">
      <c r="C670" s="33"/>
      <c r="D670" s="33"/>
      <c r="E670" s="33"/>
      <c r="F670" s="33"/>
    </row>
    <row r="671" ht="15.75" customHeight="1">
      <c r="C671" s="33"/>
      <c r="D671" s="33"/>
      <c r="E671" s="33"/>
      <c r="F671" s="33"/>
    </row>
    <row r="672" ht="15.75" customHeight="1">
      <c r="C672" s="33"/>
      <c r="D672" s="33"/>
      <c r="E672" s="33"/>
      <c r="F672" s="33"/>
    </row>
    <row r="673" ht="15.75" customHeight="1">
      <c r="C673" s="33"/>
      <c r="D673" s="33"/>
      <c r="E673" s="33"/>
      <c r="F673" s="33"/>
    </row>
    <row r="674" ht="15.75" customHeight="1">
      <c r="C674" s="33"/>
      <c r="D674" s="33"/>
      <c r="E674" s="33"/>
      <c r="F674" s="33"/>
    </row>
    <row r="675" ht="15.75" customHeight="1">
      <c r="C675" s="33"/>
      <c r="D675" s="33"/>
      <c r="E675" s="33"/>
      <c r="F675" s="33"/>
    </row>
    <row r="676" ht="15.75" customHeight="1">
      <c r="C676" s="33"/>
      <c r="D676" s="33"/>
      <c r="E676" s="33"/>
      <c r="F676" s="33"/>
    </row>
    <row r="677" ht="15.75" customHeight="1">
      <c r="C677" s="33"/>
      <c r="D677" s="33"/>
      <c r="E677" s="33"/>
      <c r="F677" s="33"/>
    </row>
    <row r="678" ht="15.75" customHeight="1">
      <c r="C678" s="33"/>
      <c r="D678" s="33"/>
      <c r="E678" s="33"/>
      <c r="F678" s="33"/>
    </row>
    <row r="679" ht="15.75" customHeight="1">
      <c r="C679" s="33"/>
      <c r="D679" s="33"/>
      <c r="E679" s="33"/>
      <c r="F679" s="33"/>
    </row>
    <row r="680" ht="15.75" customHeight="1">
      <c r="C680" s="33"/>
      <c r="D680" s="33"/>
      <c r="E680" s="33"/>
      <c r="F680" s="33"/>
    </row>
    <row r="681" ht="15.75" customHeight="1">
      <c r="C681" s="33"/>
      <c r="D681" s="33"/>
      <c r="E681" s="33"/>
      <c r="F681" s="33"/>
    </row>
    <row r="682" ht="15.75" customHeight="1">
      <c r="C682" s="33"/>
      <c r="D682" s="33"/>
      <c r="E682" s="33"/>
      <c r="F682" s="33"/>
    </row>
    <row r="683" ht="15.75" customHeight="1">
      <c r="C683" s="33"/>
      <c r="D683" s="33"/>
      <c r="E683" s="33"/>
      <c r="F683" s="33"/>
    </row>
    <row r="684" ht="15.75" customHeight="1">
      <c r="C684" s="33"/>
      <c r="D684" s="33"/>
      <c r="E684" s="33"/>
      <c r="F684" s="33"/>
    </row>
    <row r="685" ht="15.75" customHeight="1">
      <c r="C685" s="33"/>
      <c r="D685" s="33"/>
      <c r="E685" s="33"/>
      <c r="F685" s="33"/>
    </row>
    <row r="686" ht="15.75" customHeight="1">
      <c r="C686" s="33"/>
      <c r="D686" s="33"/>
      <c r="E686" s="33"/>
      <c r="F686" s="33"/>
    </row>
    <row r="687" ht="15.75" customHeight="1">
      <c r="C687" s="33"/>
      <c r="D687" s="33"/>
      <c r="E687" s="33"/>
      <c r="F687" s="33"/>
    </row>
    <row r="688" ht="15.75" customHeight="1">
      <c r="C688" s="33"/>
      <c r="D688" s="33"/>
      <c r="E688" s="33"/>
      <c r="F688" s="33"/>
    </row>
    <row r="689" ht="15.75" customHeight="1">
      <c r="C689" s="33"/>
      <c r="D689" s="33"/>
      <c r="E689" s="33"/>
      <c r="F689" s="33"/>
    </row>
    <row r="690" ht="15.75" customHeight="1">
      <c r="C690" s="33"/>
      <c r="D690" s="33"/>
      <c r="E690" s="33"/>
      <c r="F690" s="33"/>
    </row>
    <row r="691" ht="15.75" customHeight="1">
      <c r="C691" s="33"/>
      <c r="D691" s="33"/>
      <c r="E691" s="33"/>
      <c r="F691" s="33"/>
    </row>
    <row r="692" ht="15.75" customHeight="1">
      <c r="C692" s="33"/>
      <c r="D692" s="33"/>
      <c r="E692" s="33"/>
      <c r="F692" s="33"/>
    </row>
    <row r="693" ht="15.75" customHeight="1">
      <c r="C693" s="33"/>
      <c r="D693" s="33"/>
      <c r="E693" s="33"/>
      <c r="F693" s="33"/>
    </row>
    <row r="694" ht="15.75" customHeight="1">
      <c r="C694" s="33"/>
      <c r="D694" s="33"/>
      <c r="E694" s="33"/>
      <c r="F694" s="33"/>
    </row>
    <row r="695" ht="15.75" customHeight="1">
      <c r="C695" s="33"/>
      <c r="D695" s="33"/>
      <c r="E695" s="33"/>
      <c r="F695" s="33"/>
    </row>
    <row r="696" ht="15.75" customHeight="1">
      <c r="C696" s="33"/>
      <c r="D696" s="33"/>
      <c r="E696" s="33"/>
      <c r="F696" s="33"/>
    </row>
    <row r="697" ht="15.75" customHeight="1">
      <c r="C697" s="33"/>
      <c r="D697" s="33"/>
      <c r="E697" s="33"/>
      <c r="F697" s="33"/>
    </row>
    <row r="698" ht="15.75" customHeight="1">
      <c r="C698" s="33"/>
      <c r="D698" s="33"/>
      <c r="E698" s="33"/>
      <c r="F698" s="33"/>
    </row>
    <row r="699" ht="15.75" customHeight="1">
      <c r="C699" s="33"/>
      <c r="D699" s="33"/>
      <c r="E699" s="33"/>
      <c r="F699" s="33"/>
    </row>
    <row r="700" ht="15.75" customHeight="1">
      <c r="C700" s="33"/>
      <c r="D700" s="33"/>
      <c r="E700" s="33"/>
      <c r="F700" s="33"/>
    </row>
    <row r="701" ht="15.75" customHeight="1">
      <c r="C701" s="33"/>
      <c r="D701" s="33"/>
      <c r="E701" s="33"/>
      <c r="F701" s="33"/>
    </row>
    <row r="702" ht="15.75" customHeight="1">
      <c r="C702" s="33"/>
      <c r="D702" s="33"/>
      <c r="E702" s="33"/>
      <c r="F702" s="33"/>
    </row>
    <row r="703" ht="15.75" customHeight="1">
      <c r="C703" s="33"/>
      <c r="D703" s="33"/>
      <c r="E703" s="33"/>
      <c r="F703" s="33"/>
    </row>
    <row r="704" ht="15.75" customHeight="1">
      <c r="C704" s="33"/>
      <c r="D704" s="33"/>
      <c r="E704" s="33"/>
      <c r="F704" s="33"/>
    </row>
    <row r="705" ht="15.75" customHeight="1">
      <c r="C705" s="33"/>
      <c r="D705" s="33"/>
      <c r="E705" s="33"/>
      <c r="F705" s="33"/>
    </row>
    <row r="706" ht="15.75" customHeight="1">
      <c r="C706" s="33"/>
      <c r="D706" s="33"/>
      <c r="E706" s="33"/>
      <c r="F706" s="33"/>
    </row>
    <row r="707" ht="15.75" customHeight="1">
      <c r="C707" s="33"/>
      <c r="D707" s="33"/>
      <c r="E707" s="33"/>
      <c r="F707" s="33"/>
    </row>
    <row r="708" ht="15.75" customHeight="1">
      <c r="C708" s="33"/>
      <c r="D708" s="33"/>
      <c r="E708" s="33"/>
      <c r="F708" s="33"/>
    </row>
    <row r="709" ht="15.75" customHeight="1">
      <c r="C709" s="33"/>
      <c r="D709" s="33"/>
      <c r="E709" s="33"/>
      <c r="F709" s="33"/>
    </row>
    <row r="710" ht="15.75" customHeight="1">
      <c r="C710" s="33"/>
      <c r="D710" s="33"/>
      <c r="E710" s="33"/>
      <c r="F710" s="33"/>
    </row>
    <row r="711" ht="15.75" customHeight="1">
      <c r="C711" s="33"/>
      <c r="D711" s="33"/>
      <c r="E711" s="33"/>
      <c r="F711" s="33"/>
    </row>
    <row r="712" ht="15.75" customHeight="1">
      <c r="C712" s="33"/>
      <c r="D712" s="33"/>
      <c r="E712" s="33"/>
      <c r="F712" s="33"/>
    </row>
    <row r="713" ht="15.75" customHeight="1">
      <c r="C713" s="33"/>
      <c r="D713" s="33"/>
      <c r="E713" s="33"/>
      <c r="F713" s="33"/>
    </row>
    <row r="714" ht="15.75" customHeight="1">
      <c r="C714" s="33"/>
      <c r="D714" s="33"/>
      <c r="E714" s="33"/>
      <c r="F714" s="33"/>
    </row>
    <row r="715" ht="15.75" customHeight="1">
      <c r="C715" s="33"/>
      <c r="D715" s="33"/>
      <c r="E715" s="33"/>
      <c r="F715" s="33"/>
    </row>
    <row r="716" ht="15.75" customHeight="1">
      <c r="C716" s="33"/>
      <c r="D716" s="33"/>
      <c r="E716" s="33"/>
      <c r="F716" s="33"/>
    </row>
    <row r="717" ht="15.75" customHeight="1">
      <c r="C717" s="33"/>
      <c r="D717" s="33"/>
      <c r="E717" s="33"/>
      <c r="F717" s="33"/>
    </row>
    <row r="718" ht="15.75" customHeight="1">
      <c r="C718" s="33"/>
      <c r="D718" s="33"/>
      <c r="E718" s="33"/>
      <c r="F718" s="33"/>
    </row>
    <row r="719" ht="15.75" customHeight="1">
      <c r="C719" s="33"/>
      <c r="D719" s="33"/>
      <c r="E719" s="33"/>
      <c r="F719" s="33"/>
    </row>
    <row r="720" ht="15.75" customHeight="1">
      <c r="C720" s="33"/>
      <c r="D720" s="33"/>
      <c r="E720" s="33"/>
      <c r="F720" s="33"/>
    </row>
    <row r="721" ht="15.75" customHeight="1">
      <c r="C721" s="33"/>
      <c r="D721" s="33"/>
      <c r="E721" s="33"/>
      <c r="F721" s="33"/>
    </row>
    <row r="722" ht="15.75" customHeight="1">
      <c r="C722" s="33"/>
      <c r="D722" s="33"/>
      <c r="E722" s="33"/>
      <c r="F722" s="33"/>
    </row>
    <row r="723" ht="15.75" customHeight="1">
      <c r="C723" s="33"/>
      <c r="D723" s="33"/>
      <c r="E723" s="33"/>
      <c r="F723" s="33"/>
    </row>
    <row r="724" ht="15.75" customHeight="1">
      <c r="C724" s="33"/>
      <c r="D724" s="33"/>
      <c r="E724" s="33"/>
      <c r="F724" s="33"/>
    </row>
    <row r="725" ht="15.75" customHeight="1">
      <c r="C725" s="33"/>
      <c r="D725" s="33"/>
      <c r="E725" s="33"/>
      <c r="F725" s="33"/>
    </row>
    <row r="726" ht="15.75" customHeight="1">
      <c r="C726" s="33"/>
      <c r="D726" s="33"/>
      <c r="E726" s="33"/>
      <c r="F726" s="33"/>
    </row>
    <row r="727" ht="15.75" customHeight="1">
      <c r="C727" s="33"/>
      <c r="D727" s="33"/>
      <c r="E727" s="33"/>
      <c r="F727" s="33"/>
    </row>
    <row r="728" ht="15.75" customHeight="1">
      <c r="C728" s="33"/>
      <c r="D728" s="33"/>
      <c r="E728" s="33"/>
      <c r="F728" s="33"/>
    </row>
    <row r="729" ht="15.75" customHeight="1">
      <c r="C729" s="33"/>
      <c r="D729" s="33"/>
      <c r="E729" s="33"/>
      <c r="F729" s="33"/>
    </row>
    <row r="730" ht="15.75" customHeight="1">
      <c r="C730" s="33"/>
      <c r="D730" s="33"/>
      <c r="E730" s="33"/>
      <c r="F730" s="33"/>
    </row>
    <row r="731" ht="15.75" customHeight="1">
      <c r="C731" s="33"/>
      <c r="D731" s="33"/>
      <c r="E731" s="33"/>
      <c r="F731" s="33"/>
    </row>
    <row r="732" ht="15.75" customHeight="1">
      <c r="C732" s="33"/>
      <c r="D732" s="33"/>
      <c r="E732" s="33"/>
      <c r="F732" s="33"/>
    </row>
    <row r="733" ht="15.75" customHeight="1">
      <c r="C733" s="33"/>
      <c r="D733" s="33"/>
      <c r="E733" s="33"/>
      <c r="F733" s="33"/>
    </row>
    <row r="734" ht="15.75" customHeight="1">
      <c r="C734" s="33"/>
      <c r="D734" s="33"/>
      <c r="E734" s="33"/>
      <c r="F734" s="33"/>
    </row>
    <row r="735" ht="15.75" customHeight="1">
      <c r="C735" s="33"/>
      <c r="D735" s="33"/>
      <c r="E735" s="33"/>
      <c r="F735" s="33"/>
    </row>
    <row r="736" ht="15.75" customHeight="1">
      <c r="C736" s="33"/>
      <c r="D736" s="33"/>
      <c r="E736" s="33"/>
      <c r="F736" s="33"/>
    </row>
    <row r="737" ht="15.75" customHeight="1">
      <c r="C737" s="33"/>
      <c r="D737" s="33"/>
      <c r="E737" s="33"/>
      <c r="F737" s="33"/>
    </row>
    <row r="738" ht="15.75" customHeight="1">
      <c r="C738" s="33"/>
      <c r="D738" s="33"/>
      <c r="E738" s="33"/>
      <c r="F738" s="33"/>
    </row>
    <row r="739" ht="15.75" customHeight="1">
      <c r="C739" s="33"/>
      <c r="D739" s="33"/>
      <c r="E739" s="33"/>
      <c r="F739" s="33"/>
    </row>
    <row r="740" ht="15.75" customHeight="1">
      <c r="C740" s="33"/>
      <c r="D740" s="33"/>
      <c r="E740" s="33"/>
      <c r="F740" s="33"/>
    </row>
    <row r="741" ht="15.75" customHeight="1">
      <c r="C741" s="33"/>
      <c r="D741" s="33"/>
      <c r="E741" s="33"/>
      <c r="F741" s="33"/>
    </row>
    <row r="742" ht="15.75" customHeight="1">
      <c r="C742" s="33"/>
      <c r="D742" s="33"/>
      <c r="E742" s="33"/>
      <c r="F742" s="33"/>
    </row>
    <row r="743" ht="15.75" customHeight="1">
      <c r="C743" s="33"/>
      <c r="D743" s="33"/>
      <c r="E743" s="33"/>
      <c r="F743" s="33"/>
    </row>
    <row r="744" ht="15.75" customHeight="1">
      <c r="C744" s="33"/>
      <c r="D744" s="33"/>
      <c r="E744" s="33"/>
      <c r="F744" s="33"/>
    </row>
    <row r="745" ht="15.75" customHeight="1">
      <c r="C745" s="33"/>
      <c r="D745" s="33"/>
      <c r="E745" s="33"/>
      <c r="F745" s="33"/>
    </row>
    <row r="746" ht="15.75" customHeight="1">
      <c r="C746" s="33"/>
      <c r="D746" s="33"/>
      <c r="E746" s="33"/>
      <c r="F746" s="33"/>
    </row>
    <row r="747" ht="15.75" customHeight="1">
      <c r="C747" s="33"/>
      <c r="D747" s="33"/>
      <c r="E747" s="33"/>
      <c r="F747" s="33"/>
    </row>
    <row r="748" ht="15.75" customHeight="1">
      <c r="C748" s="33"/>
      <c r="D748" s="33"/>
      <c r="E748" s="33"/>
      <c r="F748" s="33"/>
    </row>
    <row r="749" ht="15.75" customHeight="1">
      <c r="C749" s="33"/>
      <c r="D749" s="33"/>
      <c r="E749" s="33"/>
      <c r="F749" s="33"/>
    </row>
    <row r="750" ht="15.75" customHeight="1">
      <c r="C750" s="33"/>
      <c r="D750" s="33"/>
      <c r="E750" s="33"/>
      <c r="F750" s="33"/>
    </row>
    <row r="751" ht="15.75" customHeight="1">
      <c r="C751" s="33"/>
      <c r="D751" s="33"/>
      <c r="E751" s="33"/>
      <c r="F751" s="33"/>
    </row>
    <row r="752" ht="15.75" customHeight="1">
      <c r="C752" s="33"/>
      <c r="D752" s="33"/>
      <c r="E752" s="33"/>
      <c r="F752" s="33"/>
    </row>
    <row r="753" ht="15.75" customHeight="1">
      <c r="C753" s="33"/>
      <c r="D753" s="33"/>
      <c r="E753" s="33"/>
      <c r="F753" s="33"/>
    </row>
    <row r="754" ht="15.75" customHeight="1">
      <c r="C754" s="33"/>
      <c r="D754" s="33"/>
      <c r="E754" s="33"/>
      <c r="F754" s="33"/>
    </row>
    <row r="755" ht="15.75" customHeight="1">
      <c r="C755" s="33"/>
      <c r="D755" s="33"/>
      <c r="E755" s="33"/>
      <c r="F755" s="33"/>
    </row>
    <row r="756" ht="15.75" customHeight="1">
      <c r="C756" s="33"/>
      <c r="D756" s="33"/>
      <c r="E756" s="33"/>
      <c r="F756" s="33"/>
    </row>
    <row r="757" ht="15.75" customHeight="1">
      <c r="C757" s="33"/>
      <c r="D757" s="33"/>
      <c r="E757" s="33"/>
      <c r="F757" s="33"/>
    </row>
    <row r="758" ht="15.75" customHeight="1">
      <c r="C758" s="33"/>
      <c r="D758" s="33"/>
      <c r="E758" s="33"/>
      <c r="F758" s="33"/>
    </row>
    <row r="759" ht="15.75" customHeight="1">
      <c r="C759" s="33"/>
      <c r="D759" s="33"/>
      <c r="E759" s="33"/>
      <c r="F759" s="33"/>
    </row>
    <row r="760" ht="15.75" customHeight="1">
      <c r="C760" s="33"/>
      <c r="D760" s="33"/>
      <c r="E760" s="33"/>
      <c r="F760" s="33"/>
    </row>
    <row r="761" ht="15.75" customHeight="1">
      <c r="C761" s="33"/>
      <c r="D761" s="33"/>
      <c r="E761" s="33"/>
      <c r="F761" s="33"/>
    </row>
    <row r="762" ht="15.75" customHeight="1">
      <c r="C762" s="33"/>
      <c r="D762" s="33"/>
      <c r="E762" s="33"/>
      <c r="F762" s="33"/>
    </row>
    <row r="763" ht="15.75" customHeight="1">
      <c r="C763" s="33"/>
      <c r="D763" s="33"/>
      <c r="E763" s="33"/>
      <c r="F763" s="33"/>
    </row>
    <row r="764" ht="15.75" customHeight="1">
      <c r="C764" s="33"/>
      <c r="D764" s="33"/>
      <c r="E764" s="33"/>
      <c r="F764" s="33"/>
    </row>
    <row r="765" ht="15.75" customHeight="1">
      <c r="C765" s="33"/>
      <c r="D765" s="33"/>
      <c r="E765" s="33"/>
      <c r="F765" s="33"/>
    </row>
    <row r="766" ht="15.75" customHeight="1">
      <c r="C766" s="33"/>
      <c r="D766" s="33"/>
      <c r="E766" s="33"/>
      <c r="F766" s="33"/>
    </row>
    <row r="767" ht="15.75" customHeight="1">
      <c r="C767" s="33"/>
      <c r="D767" s="33"/>
      <c r="E767" s="33"/>
      <c r="F767" s="33"/>
    </row>
    <row r="768" ht="15.75" customHeight="1">
      <c r="C768" s="33"/>
      <c r="D768" s="33"/>
      <c r="E768" s="33"/>
      <c r="F768" s="33"/>
    </row>
    <row r="769" ht="15.75" customHeight="1">
      <c r="C769" s="33"/>
      <c r="D769" s="33"/>
      <c r="E769" s="33"/>
      <c r="F769" s="33"/>
    </row>
    <row r="770" ht="15.75" customHeight="1">
      <c r="C770" s="33"/>
      <c r="D770" s="33"/>
      <c r="E770" s="33"/>
      <c r="F770" s="33"/>
    </row>
    <row r="771" ht="15.75" customHeight="1">
      <c r="C771" s="33"/>
      <c r="D771" s="33"/>
      <c r="E771" s="33"/>
      <c r="F771" s="33"/>
    </row>
    <row r="772" ht="15.75" customHeight="1">
      <c r="C772" s="33"/>
      <c r="D772" s="33"/>
      <c r="E772" s="33"/>
      <c r="F772" s="33"/>
    </row>
    <row r="773" ht="15.75" customHeight="1">
      <c r="C773" s="33"/>
      <c r="D773" s="33"/>
      <c r="E773" s="33"/>
      <c r="F773" s="33"/>
    </row>
    <row r="774" ht="15.75" customHeight="1">
      <c r="C774" s="33"/>
      <c r="D774" s="33"/>
      <c r="E774" s="33"/>
      <c r="F774" s="33"/>
    </row>
    <row r="775" ht="15.75" customHeight="1">
      <c r="C775" s="33"/>
      <c r="D775" s="33"/>
      <c r="E775" s="33"/>
      <c r="F775" s="33"/>
    </row>
    <row r="776" ht="15.75" customHeight="1">
      <c r="C776" s="33"/>
      <c r="D776" s="33"/>
      <c r="E776" s="33"/>
      <c r="F776" s="33"/>
    </row>
    <row r="777" ht="15.75" customHeight="1">
      <c r="C777" s="33"/>
      <c r="D777" s="33"/>
      <c r="E777" s="33"/>
      <c r="F777" s="33"/>
    </row>
    <row r="778" ht="15.75" customHeight="1">
      <c r="C778" s="33"/>
      <c r="D778" s="33"/>
      <c r="E778" s="33"/>
      <c r="F778" s="33"/>
    </row>
    <row r="779" ht="15.75" customHeight="1">
      <c r="C779" s="33"/>
      <c r="D779" s="33"/>
      <c r="E779" s="33"/>
      <c r="F779" s="33"/>
    </row>
    <row r="780" ht="15.75" customHeight="1">
      <c r="C780" s="33"/>
      <c r="D780" s="33"/>
      <c r="E780" s="33"/>
      <c r="F780" s="33"/>
    </row>
    <row r="781" ht="15.75" customHeight="1">
      <c r="C781" s="33"/>
      <c r="D781" s="33"/>
      <c r="E781" s="33"/>
      <c r="F781" s="33"/>
    </row>
    <row r="782" ht="15.75" customHeight="1">
      <c r="C782" s="33"/>
      <c r="D782" s="33"/>
      <c r="E782" s="33"/>
      <c r="F782" s="33"/>
    </row>
    <row r="783" ht="15.75" customHeight="1">
      <c r="C783" s="33"/>
      <c r="D783" s="33"/>
      <c r="E783" s="33"/>
      <c r="F783" s="33"/>
    </row>
    <row r="784" ht="15.75" customHeight="1">
      <c r="C784" s="33"/>
      <c r="D784" s="33"/>
      <c r="E784" s="33"/>
      <c r="F784" s="33"/>
    </row>
    <row r="785" ht="15.75" customHeight="1">
      <c r="C785" s="33"/>
      <c r="D785" s="33"/>
      <c r="E785" s="33"/>
      <c r="F785" s="33"/>
    </row>
    <row r="786" ht="15.75" customHeight="1">
      <c r="C786" s="33"/>
      <c r="D786" s="33"/>
      <c r="E786" s="33"/>
      <c r="F786" s="33"/>
    </row>
    <row r="787" ht="15.75" customHeight="1">
      <c r="C787" s="33"/>
      <c r="D787" s="33"/>
      <c r="E787" s="33"/>
      <c r="F787" s="33"/>
    </row>
    <row r="788" ht="15.75" customHeight="1">
      <c r="C788" s="33"/>
      <c r="D788" s="33"/>
      <c r="E788" s="33"/>
      <c r="F788" s="33"/>
    </row>
    <row r="789" ht="15.75" customHeight="1">
      <c r="C789" s="33"/>
      <c r="D789" s="33"/>
      <c r="E789" s="33"/>
      <c r="F789" s="33"/>
    </row>
    <row r="790" ht="15.75" customHeight="1">
      <c r="C790" s="33"/>
      <c r="D790" s="33"/>
      <c r="E790" s="33"/>
      <c r="F790" s="33"/>
    </row>
    <row r="791" ht="15.75" customHeight="1">
      <c r="C791" s="33"/>
      <c r="D791" s="33"/>
      <c r="E791" s="33"/>
      <c r="F791" s="33"/>
    </row>
    <row r="792" ht="15.75" customHeight="1">
      <c r="C792" s="33"/>
      <c r="D792" s="33"/>
      <c r="E792" s="33"/>
      <c r="F792" s="33"/>
    </row>
    <row r="793" ht="15.75" customHeight="1">
      <c r="C793" s="33"/>
      <c r="D793" s="33"/>
      <c r="E793" s="33"/>
      <c r="F793" s="33"/>
    </row>
    <row r="794" ht="15.75" customHeight="1">
      <c r="C794" s="33"/>
      <c r="D794" s="33"/>
      <c r="E794" s="33"/>
      <c r="F794" s="33"/>
    </row>
    <row r="795" ht="15.75" customHeight="1">
      <c r="C795" s="33"/>
      <c r="D795" s="33"/>
      <c r="E795" s="33"/>
      <c r="F795" s="33"/>
    </row>
    <row r="796" ht="15.75" customHeight="1">
      <c r="C796" s="33"/>
      <c r="D796" s="33"/>
      <c r="E796" s="33"/>
      <c r="F796" s="33"/>
    </row>
    <row r="797" ht="15.75" customHeight="1">
      <c r="C797" s="33"/>
      <c r="D797" s="33"/>
      <c r="E797" s="33"/>
      <c r="F797" s="33"/>
    </row>
    <row r="798" ht="15.75" customHeight="1">
      <c r="C798" s="33"/>
      <c r="D798" s="33"/>
      <c r="E798" s="33"/>
      <c r="F798" s="33"/>
    </row>
    <row r="799" ht="15.75" customHeight="1">
      <c r="C799" s="33"/>
      <c r="D799" s="33"/>
      <c r="E799" s="33"/>
      <c r="F799" s="33"/>
    </row>
    <row r="800" ht="15.75" customHeight="1">
      <c r="C800" s="33"/>
      <c r="D800" s="33"/>
      <c r="E800" s="33"/>
      <c r="F800" s="33"/>
    </row>
    <row r="801" ht="15.75" customHeight="1">
      <c r="C801" s="33"/>
      <c r="D801" s="33"/>
      <c r="E801" s="33"/>
      <c r="F801" s="33"/>
    </row>
    <row r="802" ht="15.75" customHeight="1">
      <c r="C802" s="33"/>
      <c r="D802" s="33"/>
      <c r="E802" s="33"/>
      <c r="F802" s="33"/>
    </row>
    <row r="803" ht="15.75" customHeight="1">
      <c r="C803" s="33"/>
      <c r="D803" s="33"/>
      <c r="E803" s="33"/>
      <c r="F803" s="33"/>
    </row>
    <row r="804" ht="15.75" customHeight="1">
      <c r="C804" s="33"/>
      <c r="D804" s="33"/>
      <c r="E804" s="33"/>
      <c r="F804" s="33"/>
    </row>
    <row r="805" ht="15.75" customHeight="1">
      <c r="C805" s="33"/>
      <c r="D805" s="33"/>
      <c r="E805" s="33"/>
      <c r="F805" s="33"/>
    </row>
    <row r="806" ht="15.75" customHeight="1">
      <c r="C806" s="33"/>
      <c r="D806" s="33"/>
      <c r="E806" s="33"/>
      <c r="F806" s="33"/>
    </row>
    <row r="807" ht="15.75" customHeight="1">
      <c r="C807" s="33"/>
      <c r="D807" s="33"/>
      <c r="E807" s="33"/>
      <c r="F807" s="33"/>
    </row>
    <row r="808" ht="15.75" customHeight="1">
      <c r="C808" s="33"/>
      <c r="D808" s="33"/>
      <c r="E808" s="33"/>
      <c r="F808" s="33"/>
    </row>
    <row r="809" ht="15.75" customHeight="1">
      <c r="C809" s="33"/>
      <c r="D809" s="33"/>
      <c r="E809" s="33"/>
      <c r="F809" s="33"/>
    </row>
    <row r="810" ht="15.75" customHeight="1">
      <c r="C810" s="33"/>
      <c r="D810" s="33"/>
      <c r="E810" s="33"/>
      <c r="F810" s="33"/>
    </row>
    <row r="811" ht="15.75" customHeight="1">
      <c r="C811" s="33"/>
      <c r="D811" s="33"/>
      <c r="E811" s="33"/>
      <c r="F811" s="33"/>
    </row>
    <row r="812" ht="15.75" customHeight="1">
      <c r="C812" s="33"/>
      <c r="D812" s="33"/>
      <c r="E812" s="33"/>
      <c r="F812" s="33"/>
    </row>
    <row r="813" ht="15.75" customHeight="1">
      <c r="C813" s="33"/>
      <c r="D813" s="33"/>
      <c r="E813" s="33"/>
      <c r="F813" s="33"/>
    </row>
    <row r="814" ht="15.75" customHeight="1">
      <c r="C814" s="33"/>
      <c r="D814" s="33"/>
      <c r="E814" s="33"/>
      <c r="F814" s="33"/>
    </row>
    <row r="815" ht="15.75" customHeight="1">
      <c r="C815" s="33"/>
      <c r="D815" s="33"/>
      <c r="E815" s="33"/>
      <c r="F815" s="33"/>
    </row>
    <row r="816" ht="15.75" customHeight="1">
      <c r="C816" s="33"/>
      <c r="D816" s="33"/>
      <c r="E816" s="33"/>
      <c r="F816" s="33"/>
    </row>
    <row r="817" ht="15.75" customHeight="1">
      <c r="C817" s="33"/>
      <c r="D817" s="33"/>
      <c r="E817" s="33"/>
      <c r="F817" s="33"/>
    </row>
    <row r="818" ht="15.75" customHeight="1">
      <c r="C818" s="33"/>
      <c r="D818" s="33"/>
      <c r="E818" s="33"/>
      <c r="F818" s="33"/>
    </row>
    <row r="819" ht="15.75" customHeight="1">
      <c r="C819" s="33"/>
      <c r="D819" s="33"/>
      <c r="E819" s="33"/>
      <c r="F819" s="33"/>
    </row>
    <row r="820" ht="15.75" customHeight="1">
      <c r="C820" s="33"/>
      <c r="D820" s="33"/>
      <c r="E820" s="33"/>
      <c r="F820" s="33"/>
    </row>
    <row r="821" ht="15.75" customHeight="1">
      <c r="C821" s="33"/>
      <c r="D821" s="33"/>
      <c r="E821" s="33"/>
      <c r="F821" s="33"/>
    </row>
    <row r="822" ht="15.75" customHeight="1">
      <c r="C822" s="33"/>
      <c r="D822" s="33"/>
      <c r="E822" s="33"/>
      <c r="F822" s="33"/>
    </row>
    <row r="823" ht="15.75" customHeight="1">
      <c r="C823" s="33"/>
      <c r="D823" s="33"/>
      <c r="E823" s="33"/>
      <c r="F823" s="33"/>
    </row>
    <row r="824" ht="15.75" customHeight="1">
      <c r="C824" s="33"/>
      <c r="D824" s="33"/>
      <c r="E824" s="33"/>
      <c r="F824" s="33"/>
    </row>
    <row r="825" ht="15.75" customHeight="1">
      <c r="C825" s="33"/>
      <c r="D825" s="33"/>
      <c r="E825" s="33"/>
      <c r="F825" s="33"/>
    </row>
    <row r="826" ht="15.75" customHeight="1">
      <c r="C826" s="33"/>
      <c r="D826" s="33"/>
      <c r="E826" s="33"/>
      <c r="F826" s="33"/>
    </row>
    <row r="827" ht="15.75" customHeight="1">
      <c r="C827" s="33"/>
      <c r="D827" s="33"/>
      <c r="E827" s="33"/>
      <c r="F827" s="33"/>
    </row>
    <row r="828" ht="15.75" customHeight="1">
      <c r="C828" s="33"/>
      <c r="D828" s="33"/>
      <c r="E828" s="33"/>
      <c r="F828" s="33"/>
    </row>
    <row r="829" ht="15.75" customHeight="1">
      <c r="C829" s="33"/>
      <c r="D829" s="33"/>
      <c r="E829" s="33"/>
      <c r="F829" s="33"/>
    </row>
    <row r="830" ht="15.75" customHeight="1">
      <c r="C830" s="33"/>
      <c r="D830" s="33"/>
      <c r="E830" s="33"/>
      <c r="F830" s="33"/>
    </row>
    <row r="831" ht="15.75" customHeight="1">
      <c r="C831" s="33"/>
      <c r="D831" s="33"/>
      <c r="E831" s="33"/>
      <c r="F831" s="33"/>
    </row>
    <row r="832" ht="15.75" customHeight="1">
      <c r="C832" s="33"/>
      <c r="D832" s="33"/>
      <c r="E832" s="33"/>
      <c r="F832" s="33"/>
    </row>
    <row r="833" ht="15.75" customHeight="1">
      <c r="C833" s="33"/>
      <c r="D833" s="33"/>
      <c r="E833" s="33"/>
      <c r="F833" s="33"/>
    </row>
    <row r="834" ht="15.75" customHeight="1">
      <c r="C834" s="33"/>
      <c r="D834" s="33"/>
      <c r="E834" s="33"/>
      <c r="F834" s="33"/>
    </row>
    <row r="835" ht="15.75" customHeight="1">
      <c r="C835" s="33"/>
      <c r="D835" s="33"/>
      <c r="E835" s="33"/>
      <c r="F835" s="33"/>
    </row>
    <row r="836" ht="15.75" customHeight="1">
      <c r="C836" s="33"/>
      <c r="D836" s="33"/>
      <c r="E836" s="33"/>
      <c r="F836" s="33"/>
    </row>
    <row r="837" ht="15.75" customHeight="1">
      <c r="C837" s="33"/>
      <c r="D837" s="33"/>
      <c r="E837" s="33"/>
      <c r="F837" s="33"/>
    </row>
    <row r="838" ht="15.75" customHeight="1">
      <c r="C838" s="33"/>
      <c r="D838" s="33"/>
      <c r="E838" s="33"/>
      <c r="F838" s="33"/>
    </row>
    <row r="839" ht="15.75" customHeight="1">
      <c r="C839" s="33"/>
      <c r="D839" s="33"/>
      <c r="E839" s="33"/>
      <c r="F839" s="33"/>
    </row>
    <row r="840" ht="15.75" customHeight="1">
      <c r="C840" s="33"/>
      <c r="D840" s="33"/>
      <c r="E840" s="33"/>
      <c r="F840" s="33"/>
    </row>
    <row r="841" ht="15.75" customHeight="1">
      <c r="C841" s="33"/>
      <c r="D841" s="33"/>
      <c r="E841" s="33"/>
      <c r="F841" s="33"/>
    </row>
    <row r="842" ht="15.75" customHeight="1">
      <c r="C842" s="33"/>
      <c r="D842" s="33"/>
      <c r="E842" s="33"/>
      <c r="F842" s="33"/>
    </row>
    <row r="843" ht="15.75" customHeight="1">
      <c r="C843" s="33"/>
      <c r="D843" s="33"/>
      <c r="E843" s="33"/>
      <c r="F843" s="33"/>
    </row>
    <row r="844" ht="15.75" customHeight="1">
      <c r="C844" s="33"/>
      <c r="D844" s="33"/>
      <c r="E844" s="33"/>
      <c r="F844" s="33"/>
    </row>
    <row r="845" ht="15.75" customHeight="1">
      <c r="C845" s="33"/>
      <c r="D845" s="33"/>
      <c r="E845" s="33"/>
      <c r="F845" s="33"/>
    </row>
    <row r="846" ht="15.75" customHeight="1">
      <c r="C846" s="33"/>
      <c r="D846" s="33"/>
      <c r="E846" s="33"/>
      <c r="F846" s="33"/>
    </row>
    <row r="847" ht="15.75" customHeight="1">
      <c r="C847" s="33"/>
      <c r="D847" s="33"/>
      <c r="E847" s="33"/>
      <c r="F847" s="33"/>
    </row>
    <row r="848" ht="15.75" customHeight="1">
      <c r="C848" s="33"/>
      <c r="D848" s="33"/>
      <c r="E848" s="33"/>
      <c r="F848" s="33"/>
    </row>
    <row r="849" ht="15.75" customHeight="1">
      <c r="C849" s="33"/>
      <c r="D849" s="33"/>
      <c r="E849" s="33"/>
      <c r="F849" s="33"/>
    </row>
    <row r="850" ht="15.75" customHeight="1">
      <c r="C850" s="33"/>
      <c r="D850" s="33"/>
      <c r="E850" s="33"/>
      <c r="F850" s="33"/>
    </row>
    <row r="851" ht="15.75" customHeight="1">
      <c r="C851" s="33"/>
      <c r="D851" s="33"/>
      <c r="E851" s="33"/>
      <c r="F851" s="33"/>
    </row>
    <row r="852" ht="15.75" customHeight="1">
      <c r="C852" s="33"/>
      <c r="D852" s="33"/>
      <c r="E852" s="33"/>
      <c r="F852" s="33"/>
    </row>
    <row r="853" ht="15.75" customHeight="1">
      <c r="C853" s="33"/>
      <c r="D853" s="33"/>
      <c r="E853" s="33"/>
      <c r="F853" s="33"/>
    </row>
    <row r="854" ht="15.75" customHeight="1">
      <c r="C854" s="33"/>
      <c r="D854" s="33"/>
      <c r="E854" s="33"/>
      <c r="F854" s="33"/>
    </row>
    <row r="855" ht="15.75" customHeight="1">
      <c r="C855" s="33"/>
      <c r="D855" s="33"/>
      <c r="E855" s="33"/>
      <c r="F855" s="33"/>
    </row>
    <row r="856" ht="15.75" customHeight="1">
      <c r="C856" s="33"/>
      <c r="D856" s="33"/>
      <c r="E856" s="33"/>
      <c r="F856" s="33"/>
    </row>
    <row r="857" ht="15.75" customHeight="1">
      <c r="C857" s="33"/>
      <c r="D857" s="33"/>
      <c r="E857" s="33"/>
      <c r="F857" s="33"/>
    </row>
    <row r="858" ht="15.75" customHeight="1">
      <c r="C858" s="33"/>
      <c r="D858" s="33"/>
      <c r="E858" s="33"/>
      <c r="F858" s="33"/>
    </row>
    <row r="859" ht="15.75" customHeight="1">
      <c r="C859" s="33"/>
      <c r="D859" s="33"/>
      <c r="E859" s="33"/>
      <c r="F859" s="33"/>
    </row>
    <row r="860" ht="15.75" customHeight="1">
      <c r="C860" s="33"/>
      <c r="D860" s="33"/>
      <c r="E860" s="33"/>
      <c r="F860" s="33"/>
    </row>
    <row r="861" ht="15.75" customHeight="1">
      <c r="C861" s="33"/>
      <c r="D861" s="33"/>
      <c r="E861" s="33"/>
      <c r="F861" s="33"/>
    </row>
    <row r="862" ht="15.75" customHeight="1">
      <c r="C862" s="33"/>
      <c r="D862" s="33"/>
      <c r="E862" s="33"/>
      <c r="F862" s="33"/>
    </row>
    <row r="863" ht="15.75" customHeight="1">
      <c r="C863" s="33"/>
      <c r="D863" s="33"/>
      <c r="E863" s="33"/>
      <c r="F863" s="33"/>
    </row>
    <row r="864" ht="15.75" customHeight="1">
      <c r="C864" s="33"/>
      <c r="D864" s="33"/>
      <c r="E864" s="33"/>
      <c r="F864" s="33"/>
    </row>
    <row r="865" ht="15.75" customHeight="1">
      <c r="C865" s="33"/>
      <c r="D865" s="33"/>
      <c r="E865" s="33"/>
      <c r="F865" s="33"/>
    </row>
    <row r="866" ht="15.75" customHeight="1">
      <c r="C866" s="33"/>
      <c r="D866" s="33"/>
      <c r="E866" s="33"/>
      <c r="F866" s="33"/>
    </row>
    <row r="867" ht="15.75" customHeight="1">
      <c r="C867" s="33"/>
      <c r="D867" s="33"/>
      <c r="E867" s="33"/>
      <c r="F867" s="33"/>
    </row>
    <row r="868" ht="15.75" customHeight="1">
      <c r="C868" s="33"/>
      <c r="D868" s="33"/>
      <c r="E868" s="33"/>
      <c r="F868" s="33"/>
    </row>
    <row r="869" ht="15.75" customHeight="1">
      <c r="C869" s="33"/>
      <c r="D869" s="33"/>
      <c r="E869" s="33"/>
      <c r="F869" s="33"/>
    </row>
    <row r="870" ht="15.75" customHeight="1">
      <c r="C870" s="33"/>
      <c r="D870" s="33"/>
      <c r="E870" s="33"/>
      <c r="F870" s="33"/>
    </row>
    <row r="871" ht="15.75" customHeight="1">
      <c r="C871" s="33"/>
      <c r="D871" s="33"/>
      <c r="E871" s="33"/>
      <c r="F871" s="33"/>
    </row>
    <row r="872" ht="15.75" customHeight="1">
      <c r="C872" s="33"/>
      <c r="D872" s="33"/>
      <c r="E872" s="33"/>
      <c r="F872" s="33"/>
    </row>
    <row r="873" ht="15.75" customHeight="1">
      <c r="C873" s="33"/>
      <c r="D873" s="33"/>
      <c r="E873" s="33"/>
      <c r="F873" s="33"/>
    </row>
    <row r="874" ht="15.75" customHeight="1">
      <c r="C874" s="33"/>
      <c r="D874" s="33"/>
      <c r="E874" s="33"/>
      <c r="F874" s="33"/>
    </row>
    <row r="875" ht="15.75" customHeight="1">
      <c r="C875" s="33"/>
      <c r="D875" s="33"/>
      <c r="E875" s="33"/>
      <c r="F875" s="33"/>
    </row>
    <row r="876" ht="15.75" customHeight="1">
      <c r="C876" s="33"/>
      <c r="D876" s="33"/>
      <c r="E876" s="33"/>
      <c r="F876" s="33"/>
    </row>
    <row r="877" ht="15.75" customHeight="1">
      <c r="C877" s="33"/>
      <c r="D877" s="33"/>
      <c r="E877" s="33"/>
      <c r="F877" s="33"/>
    </row>
    <row r="878" ht="15.75" customHeight="1">
      <c r="C878" s="33"/>
      <c r="D878" s="33"/>
      <c r="E878" s="33"/>
      <c r="F878" s="33"/>
    </row>
    <row r="879" ht="15.75" customHeight="1">
      <c r="C879" s="33"/>
      <c r="D879" s="33"/>
      <c r="E879" s="33"/>
      <c r="F879" s="33"/>
    </row>
    <row r="880" ht="15.75" customHeight="1">
      <c r="C880" s="33"/>
      <c r="D880" s="33"/>
      <c r="E880" s="33"/>
      <c r="F880" s="33"/>
    </row>
    <row r="881" ht="15.75" customHeight="1">
      <c r="C881" s="33"/>
      <c r="D881" s="33"/>
      <c r="E881" s="33"/>
      <c r="F881" s="33"/>
    </row>
    <row r="882" ht="15.75" customHeight="1">
      <c r="C882" s="33"/>
      <c r="D882" s="33"/>
      <c r="E882" s="33"/>
      <c r="F882" s="33"/>
    </row>
    <row r="883" ht="15.75" customHeight="1">
      <c r="C883" s="33"/>
      <c r="D883" s="33"/>
      <c r="E883" s="33"/>
      <c r="F883" s="33"/>
    </row>
    <row r="884" ht="15.75" customHeight="1">
      <c r="C884" s="33"/>
      <c r="D884" s="33"/>
      <c r="E884" s="33"/>
      <c r="F884" s="33"/>
    </row>
    <row r="885" ht="15.75" customHeight="1">
      <c r="C885" s="33"/>
      <c r="D885" s="33"/>
      <c r="E885" s="33"/>
      <c r="F885" s="33"/>
    </row>
    <row r="886" ht="15.75" customHeight="1">
      <c r="C886" s="33"/>
      <c r="D886" s="33"/>
      <c r="E886" s="33"/>
      <c r="F886" s="33"/>
    </row>
    <row r="887" ht="15.75" customHeight="1">
      <c r="C887" s="33"/>
      <c r="D887" s="33"/>
      <c r="E887" s="33"/>
      <c r="F887" s="33"/>
    </row>
    <row r="888" ht="15.75" customHeight="1">
      <c r="C888" s="33"/>
      <c r="D888" s="33"/>
      <c r="E888" s="33"/>
      <c r="F888" s="33"/>
    </row>
    <row r="889" ht="15.75" customHeight="1">
      <c r="C889" s="33"/>
      <c r="D889" s="33"/>
      <c r="E889" s="33"/>
      <c r="F889" s="33"/>
    </row>
    <row r="890" ht="15.75" customHeight="1">
      <c r="C890" s="33"/>
      <c r="D890" s="33"/>
      <c r="E890" s="33"/>
      <c r="F890" s="33"/>
    </row>
    <row r="891" ht="15.75" customHeight="1">
      <c r="C891" s="33"/>
      <c r="D891" s="33"/>
      <c r="E891" s="33"/>
      <c r="F891" s="33"/>
    </row>
    <row r="892" ht="15.75" customHeight="1">
      <c r="C892" s="33"/>
      <c r="D892" s="33"/>
      <c r="E892" s="33"/>
      <c r="F892" s="33"/>
    </row>
    <row r="893" ht="15.75" customHeight="1">
      <c r="C893" s="33"/>
      <c r="D893" s="33"/>
      <c r="E893" s="33"/>
      <c r="F893" s="33"/>
    </row>
    <row r="894" ht="15.75" customHeight="1">
      <c r="C894" s="33"/>
      <c r="D894" s="33"/>
      <c r="E894" s="33"/>
      <c r="F894" s="33"/>
    </row>
    <row r="895" ht="15.75" customHeight="1">
      <c r="C895" s="33"/>
      <c r="D895" s="33"/>
      <c r="E895" s="33"/>
      <c r="F895" s="33"/>
    </row>
    <row r="896" ht="15.75" customHeight="1">
      <c r="C896" s="33"/>
      <c r="D896" s="33"/>
      <c r="E896" s="33"/>
      <c r="F896" s="33"/>
    </row>
    <row r="897" ht="15.75" customHeight="1">
      <c r="C897" s="33"/>
      <c r="D897" s="33"/>
      <c r="E897" s="33"/>
      <c r="F897" s="33"/>
    </row>
    <row r="898" ht="15.75" customHeight="1">
      <c r="C898" s="33"/>
      <c r="D898" s="33"/>
      <c r="E898" s="33"/>
      <c r="F898" s="33"/>
    </row>
    <row r="899" ht="15.75" customHeight="1">
      <c r="C899" s="33"/>
      <c r="D899" s="33"/>
      <c r="E899" s="33"/>
      <c r="F899" s="33"/>
    </row>
    <row r="900" ht="15.75" customHeight="1">
      <c r="C900" s="33"/>
      <c r="D900" s="33"/>
      <c r="E900" s="33"/>
      <c r="F900" s="33"/>
    </row>
    <row r="901" ht="15.75" customHeight="1">
      <c r="C901" s="33"/>
      <c r="D901" s="33"/>
      <c r="E901" s="33"/>
      <c r="F901" s="33"/>
    </row>
    <row r="902" ht="15.75" customHeight="1">
      <c r="C902" s="33"/>
      <c r="D902" s="33"/>
      <c r="E902" s="33"/>
      <c r="F902" s="33"/>
    </row>
    <row r="903" ht="15.75" customHeight="1">
      <c r="C903" s="33"/>
      <c r="D903" s="33"/>
      <c r="E903" s="33"/>
      <c r="F903" s="33"/>
    </row>
    <row r="904" ht="15.75" customHeight="1">
      <c r="C904" s="33"/>
      <c r="D904" s="33"/>
      <c r="E904" s="33"/>
      <c r="F904" s="33"/>
    </row>
    <row r="905" ht="15.75" customHeight="1">
      <c r="C905" s="33"/>
      <c r="D905" s="33"/>
      <c r="E905" s="33"/>
      <c r="F905" s="33"/>
    </row>
    <row r="906" ht="15.75" customHeight="1">
      <c r="C906" s="33"/>
      <c r="D906" s="33"/>
      <c r="E906" s="33"/>
      <c r="F906" s="33"/>
    </row>
    <row r="907" ht="15.75" customHeight="1">
      <c r="C907" s="33"/>
      <c r="D907" s="33"/>
      <c r="E907" s="33"/>
      <c r="F907" s="33"/>
    </row>
    <row r="908" ht="15.75" customHeight="1">
      <c r="C908" s="33"/>
      <c r="D908" s="33"/>
      <c r="E908" s="33"/>
      <c r="F908" s="33"/>
    </row>
    <row r="909" ht="15.75" customHeight="1">
      <c r="C909" s="33"/>
      <c r="D909" s="33"/>
      <c r="E909" s="33"/>
      <c r="F909" s="33"/>
    </row>
    <row r="910" ht="15.75" customHeight="1">
      <c r="C910" s="33"/>
      <c r="D910" s="33"/>
      <c r="E910" s="33"/>
      <c r="F910" s="33"/>
    </row>
    <row r="911" ht="15.75" customHeight="1">
      <c r="C911" s="33"/>
      <c r="D911" s="33"/>
      <c r="E911" s="33"/>
      <c r="F911" s="33"/>
    </row>
    <row r="912" ht="15.75" customHeight="1">
      <c r="C912" s="33"/>
      <c r="D912" s="33"/>
      <c r="E912" s="33"/>
      <c r="F912" s="33"/>
    </row>
    <row r="913" ht="15.75" customHeight="1">
      <c r="C913" s="33"/>
      <c r="D913" s="33"/>
      <c r="E913" s="33"/>
      <c r="F913" s="33"/>
    </row>
    <row r="914" ht="15.75" customHeight="1">
      <c r="C914" s="33"/>
      <c r="D914" s="33"/>
      <c r="E914" s="33"/>
      <c r="F914" s="33"/>
    </row>
    <row r="915" ht="15.75" customHeight="1">
      <c r="C915" s="33"/>
      <c r="D915" s="33"/>
      <c r="E915" s="33"/>
      <c r="F915" s="33"/>
    </row>
    <row r="916" ht="15.75" customHeight="1">
      <c r="C916" s="33"/>
      <c r="D916" s="33"/>
      <c r="E916" s="33"/>
      <c r="F916" s="33"/>
    </row>
    <row r="917" ht="15.75" customHeight="1">
      <c r="C917" s="33"/>
      <c r="D917" s="33"/>
      <c r="E917" s="33"/>
      <c r="F917" s="33"/>
    </row>
    <row r="918" ht="15.75" customHeight="1">
      <c r="C918" s="33"/>
      <c r="D918" s="33"/>
      <c r="E918" s="33"/>
      <c r="F918" s="33"/>
    </row>
    <row r="919" ht="15.75" customHeight="1">
      <c r="C919" s="33"/>
      <c r="D919" s="33"/>
      <c r="E919" s="33"/>
      <c r="F919" s="33"/>
    </row>
    <row r="920" ht="15.75" customHeight="1">
      <c r="C920" s="33"/>
      <c r="D920" s="33"/>
      <c r="E920" s="33"/>
      <c r="F920" s="33"/>
    </row>
    <row r="921" ht="15.75" customHeight="1">
      <c r="C921" s="33"/>
      <c r="D921" s="33"/>
      <c r="E921" s="33"/>
      <c r="F921" s="33"/>
    </row>
    <row r="922" ht="15.75" customHeight="1">
      <c r="C922" s="33"/>
      <c r="D922" s="33"/>
      <c r="E922" s="33"/>
      <c r="F922" s="33"/>
    </row>
    <row r="923" ht="15.75" customHeight="1">
      <c r="C923" s="33"/>
      <c r="D923" s="33"/>
      <c r="E923" s="33"/>
      <c r="F923" s="33"/>
    </row>
    <row r="924" ht="15.75" customHeight="1">
      <c r="C924" s="33"/>
      <c r="D924" s="33"/>
      <c r="E924" s="33"/>
      <c r="F924" s="33"/>
    </row>
    <row r="925" ht="15.75" customHeight="1">
      <c r="C925" s="33"/>
      <c r="D925" s="33"/>
      <c r="E925" s="33"/>
      <c r="F925" s="33"/>
    </row>
    <row r="926" ht="15.75" customHeight="1">
      <c r="C926" s="33"/>
      <c r="D926" s="33"/>
      <c r="E926" s="33"/>
      <c r="F926" s="33"/>
    </row>
    <row r="927" ht="15.75" customHeight="1">
      <c r="C927" s="33"/>
      <c r="D927" s="33"/>
      <c r="E927" s="33"/>
      <c r="F927" s="33"/>
    </row>
    <row r="928" ht="15.75" customHeight="1">
      <c r="C928" s="33"/>
      <c r="D928" s="33"/>
      <c r="E928" s="33"/>
      <c r="F928" s="33"/>
    </row>
    <row r="929" ht="15.75" customHeight="1">
      <c r="C929" s="33"/>
      <c r="D929" s="33"/>
      <c r="E929" s="33"/>
      <c r="F929" s="33"/>
    </row>
    <row r="930" ht="15.75" customHeight="1">
      <c r="C930" s="33"/>
      <c r="D930" s="33"/>
      <c r="E930" s="33"/>
      <c r="F930" s="33"/>
    </row>
    <row r="931" ht="15.75" customHeight="1">
      <c r="C931" s="33"/>
      <c r="D931" s="33"/>
      <c r="E931" s="33"/>
      <c r="F931" s="33"/>
    </row>
    <row r="932" ht="15.75" customHeight="1">
      <c r="C932" s="33"/>
      <c r="D932" s="33"/>
      <c r="E932" s="33"/>
      <c r="F932" s="33"/>
    </row>
    <row r="933" ht="15.75" customHeight="1">
      <c r="C933" s="33"/>
      <c r="D933" s="33"/>
      <c r="E933" s="33"/>
      <c r="F933" s="33"/>
    </row>
    <row r="934" ht="15.75" customHeight="1">
      <c r="C934" s="33"/>
      <c r="D934" s="33"/>
      <c r="E934" s="33"/>
      <c r="F934" s="33"/>
    </row>
    <row r="935" ht="15.75" customHeight="1">
      <c r="C935" s="33"/>
      <c r="D935" s="33"/>
      <c r="E935" s="33"/>
      <c r="F935" s="33"/>
    </row>
    <row r="936" ht="15.75" customHeight="1">
      <c r="C936" s="33"/>
      <c r="D936" s="33"/>
      <c r="E936" s="33"/>
      <c r="F936" s="33"/>
    </row>
    <row r="937" ht="15.75" customHeight="1">
      <c r="C937" s="33"/>
      <c r="D937" s="33"/>
      <c r="E937" s="33"/>
      <c r="F937" s="33"/>
    </row>
    <row r="938" ht="15.75" customHeight="1">
      <c r="C938" s="33"/>
      <c r="D938" s="33"/>
      <c r="E938" s="33"/>
      <c r="F938" s="33"/>
    </row>
    <row r="939" ht="15.75" customHeight="1">
      <c r="C939" s="33"/>
      <c r="D939" s="33"/>
      <c r="E939" s="33"/>
      <c r="F939" s="33"/>
    </row>
    <row r="940" ht="15.75" customHeight="1">
      <c r="C940" s="33"/>
      <c r="D940" s="33"/>
      <c r="E940" s="33"/>
      <c r="F940" s="33"/>
    </row>
    <row r="941" ht="15.75" customHeight="1">
      <c r="C941" s="33"/>
      <c r="D941" s="33"/>
      <c r="E941" s="33"/>
      <c r="F941" s="33"/>
    </row>
    <row r="942" ht="15.75" customHeight="1">
      <c r="C942" s="33"/>
      <c r="D942" s="33"/>
      <c r="E942" s="33"/>
      <c r="F942" s="33"/>
    </row>
    <row r="943" ht="15.75" customHeight="1">
      <c r="C943" s="33"/>
      <c r="D943" s="33"/>
      <c r="E943" s="33"/>
      <c r="F943" s="33"/>
    </row>
    <row r="944" ht="15.75" customHeight="1">
      <c r="C944" s="33"/>
      <c r="D944" s="33"/>
      <c r="E944" s="33"/>
      <c r="F944" s="33"/>
    </row>
    <row r="945" ht="15.75" customHeight="1">
      <c r="C945" s="33"/>
      <c r="D945" s="33"/>
      <c r="E945" s="33"/>
      <c r="F945" s="33"/>
    </row>
    <row r="946" ht="15.75" customHeight="1">
      <c r="C946" s="33"/>
      <c r="D946" s="33"/>
      <c r="E946" s="33"/>
      <c r="F946" s="33"/>
    </row>
    <row r="947" ht="15.75" customHeight="1">
      <c r="C947" s="33"/>
      <c r="D947" s="33"/>
      <c r="E947" s="33"/>
      <c r="F947" s="33"/>
    </row>
    <row r="948" ht="15.75" customHeight="1">
      <c r="C948" s="33"/>
      <c r="D948" s="33"/>
      <c r="E948" s="33"/>
      <c r="F948" s="33"/>
    </row>
    <row r="949" ht="15.75" customHeight="1">
      <c r="C949" s="33"/>
      <c r="D949" s="33"/>
      <c r="E949" s="33"/>
      <c r="F949" s="33"/>
    </row>
    <row r="950" ht="15.75" customHeight="1">
      <c r="C950" s="33"/>
      <c r="D950" s="33"/>
      <c r="E950" s="33"/>
      <c r="F950" s="33"/>
    </row>
    <row r="951" ht="15.75" customHeight="1">
      <c r="C951" s="33"/>
      <c r="D951" s="33"/>
      <c r="E951" s="33"/>
      <c r="F951" s="33"/>
    </row>
    <row r="952" ht="15.75" customHeight="1">
      <c r="C952" s="33"/>
      <c r="D952" s="33"/>
      <c r="E952" s="33"/>
      <c r="F952" s="33"/>
    </row>
    <row r="953" ht="15.75" customHeight="1">
      <c r="C953" s="33"/>
      <c r="D953" s="33"/>
      <c r="E953" s="33"/>
      <c r="F953" s="33"/>
    </row>
    <row r="954" ht="15.75" customHeight="1">
      <c r="C954" s="33"/>
      <c r="D954" s="33"/>
      <c r="E954" s="33"/>
      <c r="F954" s="33"/>
    </row>
    <row r="955" ht="15.75" customHeight="1">
      <c r="C955" s="33"/>
      <c r="D955" s="33"/>
      <c r="E955" s="33"/>
      <c r="F955" s="33"/>
    </row>
    <row r="956" ht="15.75" customHeight="1">
      <c r="C956" s="33"/>
      <c r="D956" s="33"/>
      <c r="E956" s="33"/>
      <c r="F956" s="33"/>
    </row>
    <row r="957" ht="15.75" customHeight="1">
      <c r="C957" s="33"/>
      <c r="D957" s="33"/>
      <c r="E957" s="33"/>
      <c r="F957" s="33"/>
    </row>
    <row r="958" ht="15.75" customHeight="1">
      <c r="C958" s="33"/>
      <c r="D958" s="33"/>
      <c r="E958" s="33"/>
      <c r="F958" s="33"/>
    </row>
    <row r="959" ht="15.75" customHeight="1">
      <c r="C959" s="33"/>
      <c r="D959" s="33"/>
      <c r="E959" s="33"/>
      <c r="F959" s="33"/>
    </row>
    <row r="960" ht="15.75" customHeight="1">
      <c r="C960" s="33"/>
      <c r="D960" s="33"/>
      <c r="E960" s="33"/>
      <c r="F960" s="33"/>
    </row>
    <row r="961" ht="15.75" customHeight="1">
      <c r="C961" s="33"/>
      <c r="D961" s="33"/>
      <c r="E961" s="33"/>
      <c r="F961" s="33"/>
    </row>
    <row r="962" ht="15.75" customHeight="1">
      <c r="C962" s="33"/>
      <c r="D962" s="33"/>
      <c r="E962" s="33"/>
      <c r="F962" s="33"/>
    </row>
    <row r="963" ht="15.75" customHeight="1">
      <c r="C963" s="33"/>
      <c r="D963" s="33"/>
      <c r="E963" s="33"/>
      <c r="F963" s="33"/>
    </row>
    <row r="964" ht="15.75" customHeight="1">
      <c r="C964" s="33"/>
      <c r="D964" s="33"/>
      <c r="E964" s="33"/>
      <c r="F964" s="33"/>
    </row>
    <row r="965" ht="15.75" customHeight="1">
      <c r="C965" s="33"/>
      <c r="D965" s="33"/>
      <c r="E965" s="33"/>
      <c r="F965" s="33"/>
    </row>
    <row r="966" ht="15.75" customHeight="1">
      <c r="C966" s="33"/>
      <c r="D966" s="33"/>
      <c r="E966" s="33"/>
      <c r="F966" s="33"/>
    </row>
    <row r="967" ht="15.75" customHeight="1">
      <c r="C967" s="33"/>
      <c r="D967" s="33"/>
      <c r="E967" s="33"/>
      <c r="F967" s="33"/>
    </row>
    <row r="968" ht="15.75" customHeight="1">
      <c r="C968" s="33"/>
      <c r="D968" s="33"/>
      <c r="E968" s="33"/>
      <c r="F968" s="33"/>
    </row>
    <row r="969" ht="15.75" customHeight="1">
      <c r="C969" s="33"/>
      <c r="D969" s="33"/>
      <c r="E969" s="33"/>
      <c r="F969" s="33"/>
    </row>
    <row r="970" ht="15.75" customHeight="1">
      <c r="C970" s="33"/>
      <c r="D970" s="33"/>
      <c r="E970" s="33"/>
      <c r="F970" s="33"/>
    </row>
    <row r="971" ht="15.75" customHeight="1">
      <c r="C971" s="33"/>
      <c r="D971" s="33"/>
      <c r="E971" s="33"/>
      <c r="F971" s="33"/>
    </row>
    <row r="972" ht="15.75" customHeight="1">
      <c r="C972" s="33"/>
      <c r="D972" s="33"/>
      <c r="E972" s="33"/>
      <c r="F972" s="33"/>
    </row>
    <row r="973" ht="15.75" customHeight="1">
      <c r="C973" s="33"/>
      <c r="D973" s="33"/>
      <c r="E973" s="33"/>
      <c r="F973" s="33"/>
    </row>
    <row r="974" ht="15.75" customHeight="1">
      <c r="C974" s="33"/>
      <c r="D974" s="33"/>
      <c r="E974" s="33"/>
      <c r="F974" s="33"/>
    </row>
    <row r="975" ht="15.75" customHeight="1">
      <c r="C975" s="33"/>
      <c r="D975" s="33"/>
      <c r="E975" s="33"/>
      <c r="F975" s="33"/>
    </row>
    <row r="976" ht="15.75" customHeight="1">
      <c r="C976" s="33"/>
      <c r="D976" s="33"/>
      <c r="E976" s="33"/>
      <c r="F976" s="33"/>
    </row>
    <row r="977" ht="15.75" customHeight="1">
      <c r="C977" s="33"/>
      <c r="D977" s="33"/>
      <c r="E977" s="33"/>
      <c r="F977" s="33"/>
    </row>
    <row r="978" ht="15.75" customHeight="1">
      <c r="C978" s="33"/>
      <c r="D978" s="33"/>
      <c r="E978" s="33"/>
      <c r="F978" s="33"/>
    </row>
    <row r="979" ht="15.75" customHeight="1">
      <c r="C979" s="33"/>
      <c r="D979" s="33"/>
      <c r="E979" s="33"/>
      <c r="F979" s="33"/>
    </row>
    <row r="980" ht="15.75" customHeight="1">
      <c r="C980" s="33"/>
      <c r="D980" s="33"/>
      <c r="E980" s="33"/>
      <c r="F980" s="33"/>
    </row>
    <row r="981" ht="15.75" customHeight="1">
      <c r="C981" s="33"/>
      <c r="D981" s="33"/>
      <c r="E981" s="33"/>
      <c r="F981" s="33"/>
    </row>
    <row r="982" ht="15.75" customHeight="1">
      <c r="C982" s="33"/>
      <c r="D982" s="33"/>
      <c r="E982" s="33"/>
      <c r="F982" s="33"/>
    </row>
    <row r="983" ht="15.75" customHeight="1">
      <c r="C983" s="33"/>
      <c r="D983" s="33"/>
      <c r="E983" s="33"/>
      <c r="F983" s="33"/>
    </row>
    <row r="984" ht="15.75" customHeight="1">
      <c r="C984" s="33"/>
      <c r="D984" s="33"/>
      <c r="E984" s="33"/>
      <c r="F984" s="33"/>
    </row>
    <row r="985" ht="15.75" customHeight="1">
      <c r="C985" s="33"/>
      <c r="D985" s="33"/>
      <c r="E985" s="33"/>
      <c r="F985" s="33"/>
    </row>
    <row r="986" ht="15.75" customHeight="1">
      <c r="C986" s="33"/>
      <c r="D986" s="33"/>
      <c r="E986" s="33"/>
      <c r="F986" s="33"/>
    </row>
    <row r="987" ht="15.75" customHeight="1">
      <c r="C987" s="33"/>
      <c r="D987" s="33"/>
      <c r="E987" s="33"/>
      <c r="F987" s="33"/>
    </row>
    <row r="988" ht="15.75" customHeight="1">
      <c r="C988" s="33"/>
      <c r="D988" s="33"/>
      <c r="E988" s="33"/>
      <c r="F988" s="33"/>
    </row>
    <row r="989" ht="15.75" customHeight="1">
      <c r="C989" s="33"/>
      <c r="D989" s="33"/>
      <c r="E989" s="33"/>
      <c r="F989" s="33"/>
    </row>
    <row r="990" ht="15.75" customHeight="1">
      <c r="C990" s="33"/>
      <c r="D990" s="33"/>
      <c r="E990" s="33"/>
      <c r="F990" s="33"/>
    </row>
    <row r="991" ht="15.75" customHeight="1">
      <c r="C991" s="33"/>
      <c r="D991" s="33"/>
      <c r="E991" s="33"/>
      <c r="F991" s="33"/>
    </row>
    <row r="992" ht="15.75" customHeight="1">
      <c r="C992" s="33"/>
      <c r="D992" s="33"/>
      <c r="E992" s="33"/>
      <c r="F992" s="33"/>
    </row>
    <row r="993" ht="15.75" customHeight="1">
      <c r="C993" s="33"/>
      <c r="D993" s="33"/>
      <c r="E993" s="33"/>
      <c r="F993" s="33"/>
    </row>
    <row r="994" ht="15.75" customHeight="1">
      <c r="C994" s="33"/>
      <c r="D994" s="33"/>
      <c r="E994" s="33"/>
      <c r="F994" s="33"/>
    </row>
    <row r="995" ht="15.75" customHeight="1">
      <c r="C995" s="33"/>
      <c r="D995" s="33"/>
      <c r="E995" s="33"/>
      <c r="F995" s="33"/>
    </row>
    <row r="996" ht="15.75" customHeight="1">
      <c r="C996" s="33"/>
      <c r="D996" s="33"/>
      <c r="E996" s="33"/>
      <c r="F996" s="33"/>
    </row>
    <row r="997" ht="15.75" customHeight="1">
      <c r="C997" s="33"/>
      <c r="D997" s="33"/>
      <c r="E997" s="33"/>
      <c r="F997" s="33"/>
    </row>
    <row r="998" ht="15.75" customHeight="1">
      <c r="C998" s="33"/>
      <c r="D998" s="33"/>
      <c r="E998" s="33"/>
      <c r="F998" s="33"/>
    </row>
    <row r="999" ht="15.75" customHeight="1">
      <c r="C999" s="33"/>
      <c r="D999" s="33"/>
      <c r="E999" s="33"/>
      <c r="F999" s="33"/>
    </row>
    <row r="1000" ht="15.75" customHeight="1">
      <c r="C1000" s="33"/>
      <c r="D1000" s="33"/>
      <c r="E1000" s="33"/>
      <c r="F1000" s="33"/>
    </row>
    <row r="1001" ht="15.75" customHeight="1">
      <c r="C1001" s="33"/>
      <c r="D1001" s="33"/>
      <c r="E1001" s="33"/>
      <c r="F1001" s="33"/>
    </row>
    <row r="1002" ht="15.75" customHeight="1">
      <c r="C1002" s="33"/>
      <c r="D1002" s="33"/>
      <c r="E1002" s="33"/>
      <c r="F1002" s="33"/>
    </row>
    <row r="1003" ht="15.75" customHeight="1">
      <c r="C1003" s="33"/>
      <c r="D1003" s="33"/>
      <c r="E1003" s="33"/>
      <c r="F1003" s="33"/>
    </row>
    <row r="1004" ht="15.75" customHeight="1">
      <c r="C1004" s="33"/>
      <c r="D1004" s="33"/>
      <c r="E1004" s="33"/>
      <c r="F1004" s="33"/>
    </row>
    <row r="1005" ht="15.75" customHeight="1">
      <c r="C1005" s="33"/>
      <c r="D1005" s="33"/>
      <c r="E1005" s="33"/>
      <c r="F1005" s="33"/>
    </row>
    <row r="1006" ht="15.75" customHeight="1">
      <c r="C1006" s="33"/>
      <c r="D1006" s="33"/>
      <c r="E1006" s="33"/>
      <c r="F1006" s="33"/>
    </row>
    <row r="1007" ht="15.75" customHeight="1">
      <c r="C1007" s="33"/>
      <c r="D1007" s="33"/>
      <c r="E1007" s="33"/>
      <c r="F1007" s="33"/>
    </row>
    <row r="1008" ht="15.75" customHeight="1">
      <c r="C1008" s="33"/>
      <c r="D1008" s="33"/>
      <c r="E1008" s="33"/>
      <c r="F1008" s="33"/>
    </row>
    <row r="1009" ht="15.75" customHeight="1">
      <c r="C1009" s="33"/>
      <c r="D1009" s="33"/>
      <c r="E1009" s="33"/>
      <c r="F1009" s="33"/>
    </row>
    <row r="1010" ht="15.75" customHeight="1">
      <c r="C1010" s="33"/>
      <c r="D1010" s="33"/>
      <c r="E1010" s="33"/>
      <c r="F1010" s="33"/>
    </row>
    <row r="1011" ht="15.75" customHeight="1">
      <c r="C1011" s="33"/>
      <c r="D1011" s="33"/>
      <c r="E1011" s="33"/>
      <c r="F1011" s="33"/>
    </row>
    <row r="1012" ht="15.75" customHeight="1">
      <c r="C1012" s="33"/>
      <c r="D1012" s="33"/>
      <c r="E1012" s="33"/>
      <c r="F1012" s="33"/>
    </row>
    <row r="1013" ht="15.75" customHeight="1">
      <c r="C1013" s="33"/>
      <c r="D1013" s="33"/>
      <c r="E1013" s="33"/>
      <c r="F1013" s="33"/>
    </row>
    <row r="1014" ht="15.75" customHeight="1">
      <c r="C1014" s="33"/>
      <c r="D1014" s="33"/>
      <c r="E1014" s="33"/>
      <c r="F1014" s="33"/>
    </row>
    <row r="1015" ht="15.75" customHeight="1">
      <c r="C1015" s="33"/>
      <c r="D1015" s="33"/>
      <c r="E1015" s="33"/>
      <c r="F1015" s="33"/>
    </row>
    <row r="1016" ht="15.75" customHeight="1">
      <c r="C1016" s="33"/>
      <c r="D1016" s="33"/>
      <c r="E1016" s="33"/>
      <c r="F1016" s="33"/>
    </row>
    <row r="1017" ht="15.75" customHeight="1">
      <c r="C1017" s="33"/>
      <c r="D1017" s="33"/>
      <c r="E1017" s="33"/>
      <c r="F1017" s="33"/>
    </row>
    <row r="1018" ht="15.75" customHeight="1">
      <c r="C1018" s="33"/>
      <c r="D1018" s="33"/>
      <c r="E1018" s="33"/>
      <c r="F1018" s="33"/>
    </row>
    <row r="1019" ht="15.75" customHeight="1">
      <c r="C1019" s="33"/>
      <c r="D1019" s="33"/>
      <c r="E1019" s="33"/>
      <c r="F1019" s="33"/>
    </row>
    <row r="1020" ht="15.75" customHeight="1">
      <c r="C1020" s="33"/>
      <c r="D1020" s="33"/>
      <c r="E1020" s="33"/>
      <c r="F1020" s="33"/>
    </row>
    <row r="1021" ht="15.75" customHeight="1">
      <c r="C1021" s="33"/>
      <c r="D1021" s="33"/>
      <c r="E1021" s="33"/>
      <c r="F1021" s="33"/>
    </row>
    <row r="1022" ht="15.75" customHeight="1">
      <c r="C1022" s="33"/>
      <c r="D1022" s="33"/>
      <c r="E1022" s="33"/>
      <c r="F1022" s="33"/>
    </row>
  </sheetData>
  <hyperlinks>
    <hyperlink r:id="rId1" location="amp-readmore-target" ref="D55"/>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6.13"/>
    <col customWidth="1" min="3" max="4" width="13.38"/>
    <col customWidth="1" min="5" max="5" width="12.63"/>
  </cols>
  <sheetData>
    <row r="1" ht="15.75" customHeight="1">
      <c r="A1" s="5" t="s">
        <v>3</v>
      </c>
      <c r="B1" s="5" t="s">
        <v>4</v>
      </c>
      <c r="C1" s="4" t="s">
        <v>5</v>
      </c>
      <c r="D1" s="5" t="s">
        <v>102</v>
      </c>
      <c r="E1" s="30" t="s">
        <v>103</v>
      </c>
      <c r="F1" s="30" t="s">
        <v>104</v>
      </c>
      <c r="G1" s="30" t="s">
        <v>105</v>
      </c>
    </row>
    <row r="2" ht="15.75" customHeight="1">
      <c r="A2" s="14" t="s">
        <v>11</v>
      </c>
      <c r="B2" s="14" t="s">
        <v>25</v>
      </c>
      <c r="C2" s="15" t="s">
        <v>26</v>
      </c>
      <c r="D2" s="15">
        <v>0.5</v>
      </c>
      <c r="E2" s="15">
        <v>0.4</v>
      </c>
      <c r="F2" s="15">
        <v>0.4</v>
      </c>
      <c r="G2" s="15">
        <v>0.5</v>
      </c>
    </row>
    <row r="3" ht="15.75" customHeight="1">
      <c r="A3" s="14" t="s">
        <v>11</v>
      </c>
      <c r="B3" s="14" t="s">
        <v>27</v>
      </c>
      <c r="C3" s="15" t="s">
        <v>28</v>
      </c>
      <c r="D3" s="15">
        <v>0.5</v>
      </c>
      <c r="E3" s="15">
        <v>0.4</v>
      </c>
      <c r="F3" s="15">
        <v>0.4</v>
      </c>
      <c r="G3" s="15">
        <v>0.5</v>
      </c>
    </row>
    <row r="4" ht="15.75" customHeight="1">
      <c r="A4" s="14" t="s">
        <v>11</v>
      </c>
      <c r="B4" s="14" t="s">
        <v>29</v>
      </c>
      <c r="C4" s="15" t="s">
        <v>30</v>
      </c>
      <c r="D4" s="15">
        <v>0.3</v>
      </c>
      <c r="E4" s="15">
        <v>0.3</v>
      </c>
      <c r="F4" s="15">
        <v>0.3</v>
      </c>
      <c r="G4" s="15">
        <v>0.4</v>
      </c>
    </row>
    <row r="5" ht="15.75" customHeight="1">
      <c r="A5" s="14" t="s">
        <v>11</v>
      </c>
      <c r="B5" s="14" t="s">
        <v>31</v>
      </c>
      <c r="C5" s="15" t="s">
        <v>32</v>
      </c>
      <c r="D5" s="15">
        <v>0.2</v>
      </c>
      <c r="E5" s="15">
        <v>0.2</v>
      </c>
      <c r="F5" s="15">
        <v>0.2</v>
      </c>
      <c r="G5" s="15">
        <v>0.3</v>
      </c>
    </row>
    <row r="6" ht="15.75" customHeight="1">
      <c r="A6" s="14" t="s">
        <v>18</v>
      </c>
      <c r="B6" s="14" t="s">
        <v>33</v>
      </c>
      <c r="C6" s="15" t="s">
        <v>30</v>
      </c>
      <c r="D6" s="15">
        <v>0.6</v>
      </c>
      <c r="E6" s="15">
        <v>0.6</v>
      </c>
      <c r="F6" s="15">
        <v>0.6</v>
      </c>
      <c r="G6" s="15">
        <v>0.5</v>
      </c>
    </row>
    <row r="7" ht="15.75" customHeight="1">
      <c r="A7" s="14" t="s">
        <v>18</v>
      </c>
      <c r="B7" s="14" t="s">
        <v>34</v>
      </c>
      <c r="C7" s="15" t="s">
        <v>26</v>
      </c>
      <c r="D7" s="15">
        <v>0.45</v>
      </c>
      <c r="E7" s="15">
        <v>0.45</v>
      </c>
      <c r="F7" s="15">
        <v>0.4</v>
      </c>
      <c r="G7" s="15">
        <v>0.5</v>
      </c>
    </row>
    <row r="8" ht="15.75" customHeight="1">
      <c r="A8" s="14" t="s">
        <v>18</v>
      </c>
      <c r="B8" s="14" t="s">
        <v>35</v>
      </c>
      <c r="C8" s="15" t="s">
        <v>26</v>
      </c>
      <c r="D8" s="15">
        <v>0.55</v>
      </c>
      <c r="E8" s="15">
        <v>0.5</v>
      </c>
      <c r="F8" s="15">
        <v>0.6</v>
      </c>
      <c r="G8" s="15">
        <v>0.5</v>
      </c>
    </row>
    <row r="9" ht="15.75" customHeight="1">
      <c r="A9" s="14" t="s">
        <v>18</v>
      </c>
      <c r="B9" s="14" t="s">
        <v>36</v>
      </c>
      <c r="C9" s="15" t="s">
        <v>37</v>
      </c>
      <c r="D9" s="15">
        <v>0.1</v>
      </c>
      <c r="E9" s="15">
        <v>0.1</v>
      </c>
      <c r="F9" s="15">
        <v>0.01</v>
      </c>
      <c r="G9" s="15">
        <v>0.2</v>
      </c>
    </row>
    <row r="10" ht="15.75" customHeight="1">
      <c r="A10" s="14" t="s">
        <v>18</v>
      </c>
      <c r="B10" s="14" t="s">
        <v>38</v>
      </c>
      <c r="C10" s="15" t="s">
        <v>39</v>
      </c>
      <c r="D10" s="15">
        <v>0.7</v>
      </c>
      <c r="E10" s="15">
        <v>0.4</v>
      </c>
      <c r="F10" s="15">
        <v>0.8</v>
      </c>
      <c r="G10" s="15">
        <v>0.6</v>
      </c>
    </row>
    <row r="11" ht="15.75" customHeight="1">
      <c r="A11" s="14" t="s">
        <v>8</v>
      </c>
      <c r="B11" s="14" t="s">
        <v>40</v>
      </c>
      <c r="C11" s="15" t="s">
        <v>39</v>
      </c>
      <c r="D11" s="15">
        <v>0.7</v>
      </c>
      <c r="E11" s="15">
        <v>0.6</v>
      </c>
      <c r="F11" s="15">
        <v>0.8</v>
      </c>
      <c r="G11" s="15">
        <v>0.6</v>
      </c>
    </row>
    <row r="12" ht="15.75" customHeight="1">
      <c r="A12" s="14" t="s">
        <v>8</v>
      </c>
      <c r="B12" s="14" t="s">
        <v>41</v>
      </c>
      <c r="C12" s="15" t="s">
        <v>42</v>
      </c>
      <c r="D12" s="15">
        <v>0.2</v>
      </c>
      <c r="E12" s="15">
        <v>0.2</v>
      </c>
      <c r="F12" s="15">
        <v>0.2</v>
      </c>
      <c r="G12" s="15">
        <v>0.3</v>
      </c>
    </row>
    <row r="13" ht="15.75" customHeight="1">
      <c r="A13" s="14" t="s">
        <v>8</v>
      </c>
      <c r="B13" s="14" t="s">
        <v>43</v>
      </c>
      <c r="C13" s="15" t="s">
        <v>28</v>
      </c>
      <c r="D13" s="15">
        <v>0.2</v>
      </c>
      <c r="E13" s="15">
        <v>0.2</v>
      </c>
      <c r="F13" s="15">
        <v>0.2</v>
      </c>
      <c r="G13" s="15">
        <v>0.3</v>
      </c>
    </row>
    <row r="14" ht="15.75" customHeight="1">
      <c r="A14" s="14" t="s">
        <v>8</v>
      </c>
      <c r="B14" s="14" t="s">
        <v>44</v>
      </c>
      <c r="C14" s="15" t="s">
        <v>45</v>
      </c>
      <c r="D14" s="15">
        <v>0.05</v>
      </c>
      <c r="E14" s="15">
        <v>0.05</v>
      </c>
      <c r="F14" s="15">
        <v>0.01</v>
      </c>
      <c r="G14" s="15">
        <v>0.1</v>
      </c>
    </row>
    <row r="15" ht="15.75" customHeight="1">
      <c r="A15" s="14" t="s">
        <v>8</v>
      </c>
      <c r="B15" s="14" t="s">
        <v>46</v>
      </c>
      <c r="C15" s="15" t="s">
        <v>45</v>
      </c>
      <c r="D15" s="15">
        <v>0.3</v>
      </c>
      <c r="E15" s="15">
        <v>0.3</v>
      </c>
      <c r="F15" s="15">
        <v>0.3</v>
      </c>
      <c r="G15" s="15">
        <v>0.4</v>
      </c>
    </row>
    <row r="16" ht="15.75" customHeight="1">
      <c r="A16" s="14" t="s">
        <v>16</v>
      </c>
      <c r="B16" s="14" t="s">
        <v>47</v>
      </c>
      <c r="C16" s="15" t="s">
        <v>30</v>
      </c>
      <c r="D16" s="15">
        <v>0.1</v>
      </c>
      <c r="E16" s="15">
        <v>0.1</v>
      </c>
      <c r="F16" s="15">
        <v>0.01</v>
      </c>
      <c r="G16" s="15">
        <v>0.2</v>
      </c>
    </row>
    <row r="17" ht="15.75" customHeight="1">
      <c r="A17" s="14" t="s">
        <v>16</v>
      </c>
      <c r="B17" s="14" t="s">
        <v>48</v>
      </c>
      <c r="C17" s="15" t="s">
        <v>30</v>
      </c>
      <c r="D17" s="15">
        <v>0.5</v>
      </c>
      <c r="E17" s="15">
        <v>0.4</v>
      </c>
      <c r="F17" s="15">
        <v>0.4</v>
      </c>
      <c r="G17" s="15">
        <v>0.5</v>
      </c>
    </row>
    <row r="18" ht="15.75" customHeight="1">
      <c r="A18" s="14" t="s">
        <v>16</v>
      </c>
      <c r="B18" s="14" t="s">
        <v>49</v>
      </c>
      <c r="C18" s="15" t="s">
        <v>50</v>
      </c>
      <c r="D18" s="15">
        <v>0.4</v>
      </c>
      <c r="E18" s="15">
        <v>0.4</v>
      </c>
      <c r="F18" s="15">
        <v>0.3</v>
      </c>
      <c r="G18" s="15">
        <v>0.5</v>
      </c>
    </row>
    <row r="19" ht="15.75" customHeight="1">
      <c r="A19" s="14" t="s">
        <v>16</v>
      </c>
      <c r="B19" s="14" t="s">
        <v>51</v>
      </c>
      <c r="C19" s="15" t="s">
        <v>30</v>
      </c>
      <c r="D19" s="15">
        <v>0.5</v>
      </c>
      <c r="E19" s="15">
        <v>0.4</v>
      </c>
      <c r="F19" s="15">
        <v>0.4</v>
      </c>
      <c r="G19" s="15">
        <v>0.5</v>
      </c>
    </row>
    <row r="20" ht="15.75" customHeight="1">
      <c r="A20" s="14" t="s">
        <v>16</v>
      </c>
      <c r="B20" s="14" t="s">
        <v>52</v>
      </c>
      <c r="C20" s="15" t="s">
        <v>42</v>
      </c>
      <c r="D20" s="15">
        <v>0.2</v>
      </c>
      <c r="E20" s="15">
        <v>0.2</v>
      </c>
      <c r="F20" s="15">
        <v>0.1</v>
      </c>
      <c r="G20" s="15">
        <v>0.2</v>
      </c>
    </row>
    <row r="21" ht="15.75" customHeight="1">
      <c r="A21" s="14" t="s">
        <v>14</v>
      </c>
      <c r="B21" s="14" t="s">
        <v>53</v>
      </c>
      <c r="C21" s="15" t="s">
        <v>28</v>
      </c>
      <c r="D21" s="15">
        <v>0.4</v>
      </c>
      <c r="E21" s="15">
        <v>0.4</v>
      </c>
      <c r="F21" s="15">
        <v>0.2</v>
      </c>
      <c r="G21" s="15">
        <v>0.3</v>
      </c>
    </row>
    <row r="22" ht="15.75" customHeight="1">
      <c r="A22" s="14" t="s">
        <v>14</v>
      </c>
      <c r="B22" s="14" t="s">
        <v>54</v>
      </c>
      <c r="C22" s="15" t="s">
        <v>39</v>
      </c>
      <c r="D22" s="15">
        <v>0.2</v>
      </c>
      <c r="E22" s="15">
        <v>0.2</v>
      </c>
      <c r="F22" s="15">
        <v>0.2</v>
      </c>
      <c r="G22" s="15">
        <v>0.3</v>
      </c>
    </row>
    <row r="23" ht="15.75" customHeight="1">
      <c r="A23" s="14" t="s">
        <v>14</v>
      </c>
      <c r="B23" s="14" t="s">
        <v>55</v>
      </c>
      <c r="C23" s="15" t="s">
        <v>32</v>
      </c>
      <c r="D23" s="15">
        <v>0.2</v>
      </c>
      <c r="E23" s="15">
        <v>0.2</v>
      </c>
      <c r="F23" s="15">
        <v>0.2</v>
      </c>
      <c r="G23" s="15">
        <v>0.3</v>
      </c>
    </row>
    <row r="24" ht="15.75" customHeight="1">
      <c r="A24" s="14" t="s">
        <v>14</v>
      </c>
      <c r="B24" s="14" t="s">
        <v>57</v>
      </c>
      <c r="C24" s="15" t="s">
        <v>32</v>
      </c>
      <c r="D24" s="15">
        <v>0.3</v>
      </c>
      <c r="E24" s="15">
        <v>0.3</v>
      </c>
      <c r="F24" s="15">
        <v>0.3</v>
      </c>
      <c r="G24" s="15">
        <v>0.4</v>
      </c>
    </row>
    <row r="25" ht="15.75" customHeight="1">
      <c r="A25" s="14" t="s">
        <v>14</v>
      </c>
      <c r="B25" s="14" t="s">
        <v>58</v>
      </c>
      <c r="C25" s="15" t="s">
        <v>37</v>
      </c>
      <c r="D25" s="15">
        <v>0.05</v>
      </c>
      <c r="E25" s="15">
        <v>0.05</v>
      </c>
      <c r="F25" s="15">
        <v>0.01</v>
      </c>
      <c r="G25" s="15">
        <v>0.2</v>
      </c>
    </row>
    <row r="26" ht="15.75" customHeight="1">
      <c r="A26" s="14" t="s">
        <v>9</v>
      </c>
      <c r="B26" s="14" t="s">
        <v>59</v>
      </c>
      <c r="C26" s="15" t="s">
        <v>30</v>
      </c>
      <c r="D26" s="15">
        <v>0.4</v>
      </c>
      <c r="E26" s="15">
        <v>0.4</v>
      </c>
      <c r="F26" s="15">
        <v>0.3</v>
      </c>
      <c r="G26" s="15">
        <v>0.5</v>
      </c>
    </row>
    <row r="27" ht="15.75" customHeight="1">
      <c r="A27" s="14" t="s">
        <v>9</v>
      </c>
      <c r="B27" s="14" t="s">
        <v>60</v>
      </c>
      <c r="C27" s="15" t="s">
        <v>32</v>
      </c>
      <c r="D27" s="15">
        <v>0.4</v>
      </c>
      <c r="E27" s="15">
        <v>0.4</v>
      </c>
      <c r="F27" s="15">
        <v>0.3</v>
      </c>
      <c r="G27" s="15">
        <v>0.5</v>
      </c>
    </row>
    <row r="28" ht="15.75" customHeight="1">
      <c r="A28" s="14" t="s">
        <v>9</v>
      </c>
      <c r="B28" s="14" t="s">
        <v>61</v>
      </c>
      <c r="C28" s="15" t="s">
        <v>28</v>
      </c>
      <c r="D28" s="15">
        <v>0.6</v>
      </c>
      <c r="E28" s="15">
        <v>0.4</v>
      </c>
      <c r="F28" s="15">
        <v>0.6</v>
      </c>
      <c r="G28" s="15">
        <v>0.5</v>
      </c>
    </row>
    <row r="29" ht="15.75" customHeight="1">
      <c r="A29" s="14" t="s">
        <v>9</v>
      </c>
      <c r="B29" s="14" t="s">
        <v>62</v>
      </c>
      <c r="C29" s="15" t="s">
        <v>28</v>
      </c>
      <c r="D29" s="15">
        <v>0.6</v>
      </c>
      <c r="E29" s="15">
        <v>0.6</v>
      </c>
      <c r="F29" s="15">
        <v>0.6</v>
      </c>
      <c r="G29" s="15">
        <v>0.5</v>
      </c>
    </row>
    <row r="30" ht="15.75" customHeight="1">
      <c r="A30" s="14" t="s">
        <v>9</v>
      </c>
      <c r="B30" s="14" t="s">
        <v>63</v>
      </c>
      <c r="C30" s="15" t="s">
        <v>28</v>
      </c>
      <c r="D30" s="15">
        <v>0.9</v>
      </c>
      <c r="E30" s="15">
        <v>0.9</v>
      </c>
      <c r="F30" s="15">
        <v>0.9</v>
      </c>
      <c r="G30" s="15">
        <v>0.8</v>
      </c>
    </row>
    <row r="31" ht="15.75" customHeight="1">
      <c r="A31" s="14" t="s">
        <v>64</v>
      </c>
      <c r="B31" s="14" t="s">
        <v>65</v>
      </c>
      <c r="C31" s="15" t="s">
        <v>32</v>
      </c>
      <c r="D31" s="15">
        <v>0.5</v>
      </c>
      <c r="E31" s="15">
        <v>0.4</v>
      </c>
      <c r="F31" s="15">
        <v>0.3</v>
      </c>
      <c r="G31" s="15">
        <v>0.5</v>
      </c>
    </row>
    <row r="32" ht="15.75" customHeight="1">
      <c r="A32" s="14" t="s">
        <v>64</v>
      </c>
      <c r="B32" s="14" t="s">
        <v>66</v>
      </c>
      <c r="C32" s="15" t="s">
        <v>26</v>
      </c>
      <c r="D32" s="15">
        <v>0.6</v>
      </c>
      <c r="E32" s="15">
        <v>0.3</v>
      </c>
      <c r="F32" s="15">
        <v>0.7</v>
      </c>
      <c r="G32" s="15">
        <v>0.4</v>
      </c>
    </row>
    <row r="33" ht="15.75" customHeight="1">
      <c r="A33" s="14" t="s">
        <v>64</v>
      </c>
      <c r="B33" s="14" t="s">
        <v>67</v>
      </c>
      <c r="C33" s="15" t="s">
        <v>32</v>
      </c>
      <c r="D33" s="15">
        <v>0.2</v>
      </c>
      <c r="E33" s="15">
        <v>0.2</v>
      </c>
      <c r="F33" s="15">
        <v>0.2</v>
      </c>
      <c r="G33" s="15">
        <v>0.3</v>
      </c>
    </row>
    <row r="34" ht="15.75" customHeight="1">
      <c r="A34" s="14" t="s">
        <v>64</v>
      </c>
      <c r="B34" s="14" t="s">
        <v>68</v>
      </c>
      <c r="C34" s="15" t="s">
        <v>39</v>
      </c>
      <c r="D34" s="15">
        <v>0.4</v>
      </c>
      <c r="E34" s="15">
        <v>0.4</v>
      </c>
      <c r="F34" s="15">
        <v>0.3</v>
      </c>
      <c r="G34" s="15">
        <v>0.5</v>
      </c>
    </row>
    <row r="35" ht="15.75" customHeight="1">
      <c r="A35" s="14" t="s">
        <v>64</v>
      </c>
      <c r="B35" s="14" t="s">
        <v>69</v>
      </c>
      <c r="C35" s="15" t="s">
        <v>28</v>
      </c>
      <c r="D35" s="15">
        <v>0.6</v>
      </c>
      <c r="E35" s="15">
        <v>0.6</v>
      </c>
      <c r="F35" s="15">
        <v>0.8</v>
      </c>
      <c r="G35" s="15">
        <v>0.5</v>
      </c>
    </row>
    <row r="36" ht="15.75" customHeight="1">
      <c r="A36" s="14" t="s">
        <v>7</v>
      </c>
      <c r="B36" s="14" t="s">
        <v>70</v>
      </c>
      <c r="C36" s="15" t="s">
        <v>32</v>
      </c>
      <c r="D36" s="15">
        <v>0.4</v>
      </c>
      <c r="E36" s="15">
        <v>0.4</v>
      </c>
      <c r="F36" s="15">
        <v>0.3</v>
      </c>
      <c r="G36" s="15">
        <v>0.5</v>
      </c>
    </row>
    <row r="37" ht="15.75" customHeight="1">
      <c r="A37" s="14" t="s">
        <v>7</v>
      </c>
      <c r="B37" s="14" t="s">
        <v>71</v>
      </c>
      <c r="C37" s="15" t="s">
        <v>28</v>
      </c>
      <c r="D37" s="15">
        <v>0.4</v>
      </c>
      <c r="E37" s="15">
        <v>0.4</v>
      </c>
      <c r="F37" s="15">
        <v>0.3</v>
      </c>
      <c r="G37" s="15">
        <v>0.5</v>
      </c>
    </row>
    <row r="38" ht="15.75" customHeight="1">
      <c r="A38" s="14" t="s">
        <v>7</v>
      </c>
      <c r="B38" s="14" t="s">
        <v>72</v>
      </c>
      <c r="C38" s="15" t="s">
        <v>42</v>
      </c>
      <c r="D38" s="15">
        <v>0.3</v>
      </c>
      <c r="E38" s="15">
        <v>0.3</v>
      </c>
      <c r="F38" s="15">
        <v>0.3</v>
      </c>
      <c r="G38" s="15">
        <v>0.4</v>
      </c>
    </row>
    <row r="39" ht="15.75" customHeight="1">
      <c r="A39" s="14" t="s">
        <v>7</v>
      </c>
      <c r="B39" s="14" t="s">
        <v>73</v>
      </c>
      <c r="C39" s="15" t="s">
        <v>45</v>
      </c>
      <c r="D39" s="15">
        <v>0.2</v>
      </c>
      <c r="E39" s="15">
        <v>0.2</v>
      </c>
      <c r="F39" s="15">
        <v>0.05</v>
      </c>
      <c r="G39" s="15">
        <v>0.1</v>
      </c>
    </row>
    <row r="40" ht="15.75" customHeight="1">
      <c r="A40" s="14" t="s">
        <v>7</v>
      </c>
      <c r="B40" s="14" t="s">
        <v>74</v>
      </c>
      <c r="C40" s="15" t="s">
        <v>30</v>
      </c>
      <c r="D40" s="15">
        <v>0.1</v>
      </c>
      <c r="E40" s="15">
        <v>0.1</v>
      </c>
      <c r="F40" s="15">
        <v>0.1</v>
      </c>
      <c r="G40" s="15">
        <v>0.2</v>
      </c>
    </row>
    <row r="41" ht="15.75" customHeight="1">
      <c r="A41" s="14" t="s">
        <v>75</v>
      </c>
      <c r="B41" s="14" t="s">
        <v>76</v>
      </c>
      <c r="C41" s="15" t="s">
        <v>28</v>
      </c>
      <c r="D41" s="15">
        <v>0.5</v>
      </c>
      <c r="E41" s="15">
        <v>0.5</v>
      </c>
      <c r="F41" s="15">
        <v>0.4</v>
      </c>
      <c r="G41" s="15">
        <v>0.5</v>
      </c>
    </row>
    <row r="42" ht="15.75" customHeight="1">
      <c r="A42" s="14" t="s">
        <v>75</v>
      </c>
      <c r="B42" s="14" t="s">
        <v>77</v>
      </c>
      <c r="C42" s="15" t="s">
        <v>32</v>
      </c>
      <c r="D42" s="15">
        <v>0.8</v>
      </c>
      <c r="E42" s="15">
        <v>0.7</v>
      </c>
      <c r="F42" s="15">
        <v>0.8</v>
      </c>
      <c r="G42" s="15">
        <v>0.7</v>
      </c>
    </row>
    <row r="43" ht="15.75" customHeight="1">
      <c r="A43" s="14" t="s">
        <v>75</v>
      </c>
      <c r="B43" s="14" t="s">
        <v>78</v>
      </c>
      <c r="C43" s="15" t="s">
        <v>32</v>
      </c>
      <c r="D43" s="15">
        <v>0.4</v>
      </c>
      <c r="E43" s="15">
        <v>0.4</v>
      </c>
      <c r="F43" s="15">
        <v>0.3</v>
      </c>
      <c r="G43" s="15">
        <v>0.5</v>
      </c>
    </row>
    <row r="44" ht="15.75" customHeight="1">
      <c r="A44" s="14" t="s">
        <v>75</v>
      </c>
      <c r="B44" s="14" t="s">
        <v>79</v>
      </c>
      <c r="C44" s="15" t="s">
        <v>28</v>
      </c>
      <c r="D44" s="15">
        <v>0.1</v>
      </c>
      <c r="E44" s="15">
        <v>0.1</v>
      </c>
      <c r="F44" s="15">
        <v>0.1</v>
      </c>
      <c r="G44" s="15">
        <v>0.2</v>
      </c>
    </row>
    <row r="45" ht="15.75" customHeight="1">
      <c r="A45" s="14" t="s">
        <v>75</v>
      </c>
      <c r="B45" s="14" t="s">
        <v>80</v>
      </c>
      <c r="C45" s="15" t="s">
        <v>45</v>
      </c>
      <c r="D45" s="15">
        <v>0.4</v>
      </c>
      <c r="E45" s="15">
        <v>0.4</v>
      </c>
      <c r="F45" s="15">
        <v>0.3</v>
      </c>
      <c r="G45" s="15">
        <v>0.5</v>
      </c>
    </row>
    <row r="46" ht="15.75" customHeight="1">
      <c r="A46" s="14" t="s">
        <v>13</v>
      </c>
      <c r="B46" s="14" t="s">
        <v>82</v>
      </c>
      <c r="C46" s="15" t="s">
        <v>32</v>
      </c>
      <c r="D46" s="15">
        <v>0.3</v>
      </c>
      <c r="E46" s="15">
        <v>0.3</v>
      </c>
      <c r="F46" s="15">
        <v>0.2</v>
      </c>
      <c r="G46" s="15">
        <v>0.3</v>
      </c>
    </row>
    <row r="47" ht="15.75" customHeight="1">
      <c r="A47" s="14" t="s">
        <v>13</v>
      </c>
      <c r="B47" s="14" t="s">
        <v>83</v>
      </c>
      <c r="C47" s="15" t="s">
        <v>39</v>
      </c>
      <c r="D47" s="15">
        <v>0.6</v>
      </c>
      <c r="E47" s="15">
        <v>0.5</v>
      </c>
      <c r="F47" s="15">
        <v>0.6</v>
      </c>
      <c r="G47" s="15">
        <v>0.5</v>
      </c>
    </row>
    <row r="48" ht="15.75" customHeight="1">
      <c r="A48" s="14" t="s">
        <v>13</v>
      </c>
      <c r="B48" s="14" t="s">
        <v>84</v>
      </c>
      <c r="C48" s="15" t="s">
        <v>30</v>
      </c>
      <c r="D48" s="15">
        <v>0.4</v>
      </c>
      <c r="E48" s="15">
        <v>0.4</v>
      </c>
      <c r="F48" s="15">
        <v>0.3</v>
      </c>
      <c r="G48" s="15">
        <v>0.5</v>
      </c>
    </row>
    <row r="49" ht="15.75" customHeight="1">
      <c r="A49" s="14" t="s">
        <v>13</v>
      </c>
      <c r="B49" s="14" t="s">
        <v>85</v>
      </c>
      <c r="C49" s="15" t="s">
        <v>30</v>
      </c>
      <c r="D49" s="15">
        <v>0.6</v>
      </c>
      <c r="E49" s="15">
        <v>0.4</v>
      </c>
      <c r="F49" s="15">
        <v>0.6</v>
      </c>
      <c r="G49" s="15">
        <v>0.5</v>
      </c>
    </row>
    <row r="50" ht="15.75" customHeight="1">
      <c r="A50" s="14" t="s">
        <v>13</v>
      </c>
      <c r="B50" s="14" t="s">
        <v>86</v>
      </c>
      <c r="C50" s="15" t="s">
        <v>32</v>
      </c>
      <c r="D50" s="15">
        <v>0.4</v>
      </c>
      <c r="E50" s="15">
        <v>0.4</v>
      </c>
      <c r="F50" s="15">
        <v>0.6</v>
      </c>
      <c r="G50" s="15">
        <v>0.5</v>
      </c>
    </row>
    <row r="51" ht="15.75" customHeight="1">
      <c r="A51" s="14" t="s">
        <v>10</v>
      </c>
      <c r="B51" s="14" t="s">
        <v>87</v>
      </c>
      <c r="C51" s="15" t="s">
        <v>30</v>
      </c>
      <c r="D51" s="15">
        <v>0.9</v>
      </c>
      <c r="E51" s="15">
        <v>0.9</v>
      </c>
      <c r="F51" s="15">
        <v>0.9</v>
      </c>
      <c r="G51" s="15">
        <v>0.8</v>
      </c>
    </row>
    <row r="52" ht="15.75" customHeight="1">
      <c r="A52" s="14" t="s">
        <v>10</v>
      </c>
      <c r="B52" s="14" t="s">
        <v>88</v>
      </c>
      <c r="C52" s="15" t="s">
        <v>30</v>
      </c>
      <c r="D52" s="15">
        <v>0.99</v>
      </c>
      <c r="E52" s="15">
        <v>0.9</v>
      </c>
      <c r="F52" s="15">
        <v>0.99</v>
      </c>
      <c r="G52" s="15">
        <v>0.9</v>
      </c>
    </row>
    <row r="53" ht="15.75" customHeight="1">
      <c r="A53" s="14" t="s">
        <v>10</v>
      </c>
      <c r="B53" s="14" t="s">
        <v>89</v>
      </c>
      <c r="C53" s="15" t="s">
        <v>26</v>
      </c>
      <c r="D53" s="15">
        <v>0.8</v>
      </c>
      <c r="E53" s="15">
        <v>0.8</v>
      </c>
      <c r="F53" s="15">
        <v>0.8</v>
      </c>
      <c r="G53" s="15">
        <v>0.7</v>
      </c>
    </row>
    <row r="54" ht="15.75" customHeight="1">
      <c r="A54" s="14" t="s">
        <v>10</v>
      </c>
      <c r="B54" s="14" t="s">
        <v>90</v>
      </c>
      <c r="C54" s="15" t="s">
        <v>32</v>
      </c>
      <c r="D54" s="15">
        <v>0.5</v>
      </c>
      <c r="E54" s="15">
        <v>0.4</v>
      </c>
      <c r="F54" s="15">
        <v>0.4</v>
      </c>
      <c r="G54" s="15">
        <v>0.5</v>
      </c>
    </row>
    <row r="55" ht="15.75" customHeight="1">
      <c r="A55" s="14" t="s">
        <v>10</v>
      </c>
      <c r="B55" s="20" t="s">
        <v>91</v>
      </c>
      <c r="C55" s="15" t="s">
        <v>50</v>
      </c>
      <c r="D55" s="15">
        <v>0.8</v>
      </c>
      <c r="E55" s="15">
        <v>0.8</v>
      </c>
      <c r="F55" s="15">
        <v>0.9</v>
      </c>
      <c r="G55" s="15">
        <v>0.7</v>
      </c>
    </row>
    <row r="56" ht="15.75" customHeight="1">
      <c r="A56" s="14" t="s">
        <v>17</v>
      </c>
      <c r="B56" s="14" t="s">
        <v>92</v>
      </c>
      <c r="C56" s="15" t="s">
        <v>32</v>
      </c>
      <c r="D56" s="15">
        <v>0.9</v>
      </c>
      <c r="E56" s="15">
        <v>0.6</v>
      </c>
      <c r="F56" s="15">
        <v>0.9</v>
      </c>
      <c r="G56" s="15">
        <v>0.8</v>
      </c>
    </row>
    <row r="57" ht="15.75" customHeight="1">
      <c r="A57" s="14" t="s">
        <v>17</v>
      </c>
      <c r="B57" s="14" t="s">
        <v>93</v>
      </c>
      <c r="C57" s="15" t="s">
        <v>32</v>
      </c>
      <c r="D57" s="15">
        <v>0.4</v>
      </c>
      <c r="E57" s="15">
        <v>0.4</v>
      </c>
      <c r="F57" s="15">
        <v>0.3</v>
      </c>
      <c r="G57" s="15">
        <v>0.5</v>
      </c>
    </row>
    <row r="58" ht="15.75" customHeight="1">
      <c r="A58" s="14" t="s">
        <v>17</v>
      </c>
      <c r="B58" s="14" t="s">
        <v>94</v>
      </c>
      <c r="C58" s="15" t="s">
        <v>30</v>
      </c>
      <c r="D58" s="15">
        <v>0.5</v>
      </c>
      <c r="E58" s="15">
        <v>0.4</v>
      </c>
      <c r="F58" s="15">
        <v>0.4</v>
      </c>
      <c r="G58" s="15">
        <v>0.5</v>
      </c>
    </row>
    <row r="59" ht="15.75" customHeight="1">
      <c r="A59" s="14" t="s">
        <v>17</v>
      </c>
      <c r="B59" s="14" t="s">
        <v>95</v>
      </c>
      <c r="C59" s="15" t="s">
        <v>32</v>
      </c>
      <c r="D59" s="15">
        <v>0.4</v>
      </c>
      <c r="E59" s="15">
        <v>0.4</v>
      </c>
      <c r="F59" s="15">
        <v>0.2</v>
      </c>
      <c r="G59" s="15">
        <v>0.4</v>
      </c>
    </row>
    <row r="60" ht="15.75" customHeight="1">
      <c r="A60" s="14" t="s">
        <v>17</v>
      </c>
      <c r="B60" s="14" t="s">
        <v>96</v>
      </c>
      <c r="C60" s="15" t="s">
        <v>32</v>
      </c>
      <c r="D60" s="15">
        <v>0.9</v>
      </c>
      <c r="E60" s="15">
        <v>0.8</v>
      </c>
      <c r="F60" s="15">
        <v>0.9</v>
      </c>
      <c r="G60" s="15">
        <v>0.8</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6.13"/>
    <col customWidth="1" min="3" max="4" width="13.38"/>
    <col customWidth="1" min="5" max="5" width="12.63"/>
  </cols>
  <sheetData>
    <row r="1" ht="15.75" customHeight="1">
      <c r="A1" s="5" t="s">
        <v>3</v>
      </c>
      <c r="B1" s="5" t="s">
        <v>4</v>
      </c>
      <c r="C1" s="4" t="s">
        <v>5</v>
      </c>
      <c r="D1" s="28" t="s">
        <v>102</v>
      </c>
      <c r="E1" s="29"/>
      <c r="F1" s="29"/>
      <c r="G1" s="30"/>
    </row>
    <row r="2" ht="15.75" customHeight="1">
      <c r="A2" s="14" t="s">
        <v>11</v>
      </c>
      <c r="B2" s="14" t="s">
        <v>25</v>
      </c>
      <c r="C2" s="15" t="s">
        <v>26</v>
      </c>
      <c r="D2" s="37">
        <v>0.32</v>
      </c>
      <c r="E2" s="32"/>
      <c r="F2" s="32"/>
    </row>
    <row r="3" ht="15.75" customHeight="1">
      <c r="A3" s="14" t="s">
        <v>11</v>
      </c>
      <c r="B3" s="14" t="s">
        <v>27</v>
      </c>
      <c r="C3" s="15" t="s">
        <v>28</v>
      </c>
      <c r="D3" s="37">
        <v>0.2</v>
      </c>
      <c r="E3" s="32"/>
      <c r="F3" s="32"/>
    </row>
    <row r="4" ht="15.75" customHeight="1">
      <c r="A4" s="14" t="s">
        <v>11</v>
      </c>
      <c r="B4" s="14" t="s">
        <v>29</v>
      </c>
      <c r="C4" s="15" t="s">
        <v>30</v>
      </c>
      <c r="D4" s="37">
        <v>0.15</v>
      </c>
      <c r="E4" s="32"/>
      <c r="F4" s="32"/>
    </row>
    <row r="5" ht="15.75" customHeight="1">
      <c r="A5" s="14" t="s">
        <v>11</v>
      </c>
      <c r="B5" s="14" t="s">
        <v>31</v>
      </c>
      <c r="C5" s="15" t="s">
        <v>32</v>
      </c>
      <c r="D5" s="37">
        <v>0.05</v>
      </c>
      <c r="E5" s="32"/>
      <c r="F5" s="32"/>
    </row>
    <row r="6" ht="15.75" customHeight="1">
      <c r="A6" s="14" t="s">
        <v>18</v>
      </c>
      <c r="B6" s="14" t="s">
        <v>33</v>
      </c>
      <c r="C6" s="15" t="s">
        <v>30</v>
      </c>
      <c r="D6" s="37">
        <v>0.42</v>
      </c>
      <c r="E6" s="32"/>
      <c r="F6" s="32"/>
    </row>
    <row r="7" ht="15.75" customHeight="1">
      <c r="A7" s="14" t="s">
        <v>18</v>
      </c>
      <c r="B7" s="14" t="s">
        <v>34</v>
      </c>
      <c r="C7" s="15" t="s">
        <v>26</v>
      </c>
      <c r="D7" s="37">
        <v>0.23</v>
      </c>
      <c r="E7" s="32"/>
      <c r="F7" s="32"/>
    </row>
    <row r="8" ht="15.75" customHeight="1">
      <c r="A8" s="14" t="s">
        <v>18</v>
      </c>
      <c r="B8" s="14" t="s">
        <v>35</v>
      </c>
      <c r="C8" s="15" t="s">
        <v>26</v>
      </c>
      <c r="D8" s="37">
        <v>0.55</v>
      </c>
      <c r="E8" s="32"/>
      <c r="F8" s="32"/>
    </row>
    <row r="9" ht="15.75" customHeight="1">
      <c r="A9" s="14" t="s">
        <v>18</v>
      </c>
      <c r="B9" s="14" t="s">
        <v>36</v>
      </c>
      <c r="C9" s="15" t="s">
        <v>37</v>
      </c>
      <c r="D9" s="37">
        <v>0.2</v>
      </c>
      <c r="E9" s="32"/>
      <c r="F9" s="32"/>
    </row>
    <row r="10" ht="15.75" customHeight="1">
      <c r="A10" s="14" t="s">
        <v>18</v>
      </c>
      <c r="B10" s="14" t="s">
        <v>38</v>
      </c>
      <c r="C10" s="15" t="s">
        <v>39</v>
      </c>
      <c r="D10" s="37">
        <v>0.7</v>
      </c>
      <c r="E10" s="32"/>
      <c r="F10" s="32"/>
    </row>
    <row r="11" ht="15.75" customHeight="1">
      <c r="A11" s="14" t="s">
        <v>8</v>
      </c>
      <c r="B11" s="14" t="s">
        <v>40</v>
      </c>
      <c r="C11" s="15" t="s">
        <v>39</v>
      </c>
      <c r="D11" s="37">
        <v>0.28</v>
      </c>
      <c r="E11" s="32"/>
      <c r="F11" s="32"/>
    </row>
    <row r="12" ht="15.75" customHeight="1">
      <c r="A12" s="14" t="s">
        <v>8</v>
      </c>
      <c r="B12" s="14" t="s">
        <v>41</v>
      </c>
      <c r="C12" s="15" t="s">
        <v>42</v>
      </c>
      <c r="D12" s="37">
        <v>0.2</v>
      </c>
      <c r="E12" s="32"/>
      <c r="F12" s="32"/>
    </row>
    <row r="13" ht="15.75" customHeight="1">
      <c r="A13" s="14" t="s">
        <v>8</v>
      </c>
      <c r="B13" s="14" t="s">
        <v>43</v>
      </c>
      <c r="C13" s="15" t="s">
        <v>28</v>
      </c>
      <c r="D13" s="37">
        <v>0.12</v>
      </c>
      <c r="E13" s="32"/>
      <c r="F13" s="32"/>
    </row>
    <row r="14" ht="15.75" customHeight="1">
      <c r="A14" s="14" t="s">
        <v>8</v>
      </c>
      <c r="B14" s="14" t="s">
        <v>44</v>
      </c>
      <c r="C14" s="15" t="s">
        <v>45</v>
      </c>
      <c r="D14" s="37">
        <v>0.3</v>
      </c>
      <c r="E14" s="32"/>
      <c r="F14" s="32"/>
    </row>
    <row r="15" ht="15.75" customHeight="1">
      <c r="A15" s="14" t="s">
        <v>8</v>
      </c>
      <c r="B15" s="14" t="s">
        <v>46</v>
      </c>
      <c r="C15" s="15" t="s">
        <v>45</v>
      </c>
      <c r="D15" s="37">
        <v>0.0</v>
      </c>
      <c r="E15" s="32"/>
      <c r="F15" s="32"/>
    </row>
    <row r="16" ht="15.75" customHeight="1">
      <c r="A16" s="14" t="s">
        <v>16</v>
      </c>
      <c r="B16" s="14" t="s">
        <v>47</v>
      </c>
      <c r="C16" s="15" t="s">
        <v>30</v>
      </c>
      <c r="D16" s="37">
        <v>0.45</v>
      </c>
      <c r="E16" s="32"/>
      <c r="F16" s="32"/>
    </row>
    <row r="17" ht="15.75" customHeight="1">
      <c r="A17" s="14" t="s">
        <v>16</v>
      </c>
      <c r="B17" s="14" t="s">
        <v>48</v>
      </c>
      <c r="C17" s="15" t="s">
        <v>30</v>
      </c>
      <c r="D17" s="37">
        <v>0.7</v>
      </c>
      <c r="E17" s="32"/>
      <c r="F17" s="32"/>
    </row>
    <row r="18" ht="15.75" customHeight="1">
      <c r="A18" s="14" t="s">
        <v>16</v>
      </c>
      <c r="B18" s="14" t="s">
        <v>49</v>
      </c>
      <c r="C18" s="15" t="s">
        <v>50</v>
      </c>
      <c r="D18" s="37">
        <v>0.7</v>
      </c>
      <c r="E18" s="32"/>
      <c r="F18" s="32"/>
    </row>
    <row r="19" ht="15.75" customHeight="1">
      <c r="A19" s="14" t="s">
        <v>16</v>
      </c>
      <c r="B19" s="14" t="s">
        <v>51</v>
      </c>
      <c r="C19" s="15" t="s">
        <v>30</v>
      </c>
      <c r="D19" s="37">
        <v>0.22</v>
      </c>
      <c r="E19" s="32"/>
      <c r="F19" s="32"/>
    </row>
    <row r="20" ht="15.75" customHeight="1">
      <c r="A20" s="14" t="s">
        <v>16</v>
      </c>
      <c r="B20" s="14" t="s">
        <v>52</v>
      </c>
      <c r="C20" s="15" t="s">
        <v>42</v>
      </c>
      <c r="D20" s="37">
        <v>0.65</v>
      </c>
      <c r="E20" s="32"/>
      <c r="F20" s="32"/>
    </row>
    <row r="21" ht="15.75" customHeight="1">
      <c r="A21" s="14" t="s">
        <v>14</v>
      </c>
      <c r="B21" s="14" t="s">
        <v>53</v>
      </c>
      <c r="C21" s="15" t="s">
        <v>28</v>
      </c>
      <c r="D21" s="37">
        <v>0.72</v>
      </c>
      <c r="E21" s="32"/>
      <c r="F21" s="32"/>
    </row>
    <row r="22" ht="15.75" customHeight="1">
      <c r="A22" s="14" t="s">
        <v>14</v>
      </c>
      <c r="B22" s="14" t="s">
        <v>54</v>
      </c>
      <c r="C22" s="15" t="s">
        <v>39</v>
      </c>
      <c r="D22" s="37">
        <v>0.28</v>
      </c>
      <c r="E22" s="32"/>
      <c r="F22" s="32"/>
    </row>
    <row r="23" ht="15.75" customHeight="1">
      <c r="A23" s="14" t="s">
        <v>14</v>
      </c>
      <c r="B23" s="14" t="s">
        <v>55</v>
      </c>
      <c r="C23" s="15" t="s">
        <v>32</v>
      </c>
      <c r="D23" s="37">
        <v>0.18</v>
      </c>
      <c r="E23" s="32"/>
      <c r="F23" s="32"/>
    </row>
    <row r="24" ht="15.75" customHeight="1">
      <c r="A24" s="14" t="s">
        <v>14</v>
      </c>
      <c r="B24" s="14" t="s">
        <v>57</v>
      </c>
      <c r="C24" s="15" t="s">
        <v>32</v>
      </c>
      <c r="D24" s="37">
        <v>0.3</v>
      </c>
      <c r="E24" s="32"/>
      <c r="F24" s="32"/>
    </row>
    <row r="25" ht="15.75" customHeight="1">
      <c r="A25" s="14" t="s">
        <v>14</v>
      </c>
      <c r="B25" s="14" t="s">
        <v>58</v>
      </c>
      <c r="C25" s="15" t="s">
        <v>37</v>
      </c>
      <c r="D25" s="37">
        <v>0.25</v>
      </c>
      <c r="E25" s="32"/>
      <c r="F25" s="32"/>
    </row>
    <row r="26" ht="15.75" customHeight="1">
      <c r="A26" s="14" t="s">
        <v>9</v>
      </c>
      <c r="B26" s="14" t="s">
        <v>59</v>
      </c>
      <c r="C26" s="15" t="s">
        <v>30</v>
      </c>
      <c r="D26" s="37">
        <v>0.4</v>
      </c>
      <c r="E26" s="32"/>
      <c r="F26" s="32"/>
    </row>
    <row r="27" ht="15.75" customHeight="1">
      <c r="A27" s="14" t="s">
        <v>9</v>
      </c>
      <c r="B27" s="14" t="s">
        <v>60</v>
      </c>
      <c r="C27" s="15" t="s">
        <v>32</v>
      </c>
      <c r="D27" s="37">
        <v>0.42</v>
      </c>
      <c r="E27" s="32"/>
      <c r="F27" s="32"/>
    </row>
    <row r="28" ht="15.75" customHeight="1">
      <c r="A28" s="14" t="s">
        <v>9</v>
      </c>
      <c r="B28" s="14" t="s">
        <v>61</v>
      </c>
      <c r="C28" s="15" t="s">
        <v>28</v>
      </c>
      <c r="D28" s="37">
        <v>0.38</v>
      </c>
      <c r="E28" s="32"/>
      <c r="F28" s="32"/>
    </row>
    <row r="29" ht="15.75" customHeight="1">
      <c r="A29" s="14" t="s">
        <v>9</v>
      </c>
      <c r="B29" s="14" t="s">
        <v>62</v>
      </c>
      <c r="C29" s="15" t="s">
        <v>28</v>
      </c>
      <c r="D29" s="37">
        <v>0.55</v>
      </c>
      <c r="E29" s="32"/>
      <c r="F29" s="32"/>
    </row>
    <row r="30" ht="15.75" customHeight="1">
      <c r="A30" s="14" t="s">
        <v>9</v>
      </c>
      <c r="B30" s="14" t="s">
        <v>63</v>
      </c>
      <c r="C30" s="15" t="s">
        <v>28</v>
      </c>
      <c r="D30" s="37">
        <v>0.68</v>
      </c>
      <c r="E30" s="32"/>
      <c r="F30" s="32"/>
    </row>
    <row r="31" ht="15.75" customHeight="1">
      <c r="A31" s="14" t="s">
        <v>64</v>
      </c>
      <c r="B31" s="14" t="s">
        <v>65</v>
      </c>
      <c r="C31" s="15" t="s">
        <v>32</v>
      </c>
      <c r="D31" s="37">
        <v>0.28</v>
      </c>
      <c r="E31" s="32"/>
      <c r="F31" s="32"/>
    </row>
    <row r="32" ht="15.75" customHeight="1">
      <c r="A32" s="14" t="s">
        <v>64</v>
      </c>
      <c r="B32" s="14" t="s">
        <v>66</v>
      </c>
      <c r="C32" s="15" t="s">
        <v>26</v>
      </c>
      <c r="D32" s="37">
        <v>0.7</v>
      </c>
      <c r="E32" s="32"/>
      <c r="F32" s="32"/>
    </row>
    <row r="33" ht="15.75" customHeight="1">
      <c r="A33" s="14" t="s">
        <v>64</v>
      </c>
      <c r="B33" s="14" t="s">
        <v>67</v>
      </c>
      <c r="C33" s="15" t="s">
        <v>32</v>
      </c>
      <c r="D33" s="37">
        <v>0.15</v>
      </c>
      <c r="E33" s="32"/>
      <c r="F33" s="32"/>
    </row>
    <row r="34" ht="15.75" customHeight="1">
      <c r="A34" s="14" t="s">
        <v>64</v>
      </c>
      <c r="B34" s="14" t="s">
        <v>68</v>
      </c>
      <c r="C34" s="15" t="s">
        <v>39</v>
      </c>
      <c r="D34" s="37">
        <v>0.32</v>
      </c>
      <c r="E34" s="32"/>
      <c r="F34" s="32"/>
    </row>
    <row r="35" ht="15.75" customHeight="1">
      <c r="A35" s="14" t="s">
        <v>64</v>
      </c>
      <c r="B35" s="14" t="s">
        <v>69</v>
      </c>
      <c r="C35" s="15" t="s">
        <v>28</v>
      </c>
      <c r="D35" s="37">
        <v>0.8</v>
      </c>
      <c r="E35" s="32"/>
      <c r="F35" s="32"/>
    </row>
    <row r="36" ht="15.75" customHeight="1">
      <c r="A36" s="14" t="s">
        <v>7</v>
      </c>
      <c r="B36" s="14" t="s">
        <v>70</v>
      </c>
      <c r="C36" s="15" t="s">
        <v>32</v>
      </c>
      <c r="D36" s="37">
        <v>0.72</v>
      </c>
      <c r="E36" s="32"/>
      <c r="F36" s="32"/>
    </row>
    <row r="37" ht="15.75" customHeight="1">
      <c r="A37" s="14" t="s">
        <v>7</v>
      </c>
      <c r="B37" s="14" t="s">
        <v>71</v>
      </c>
      <c r="C37" s="15" t="s">
        <v>28</v>
      </c>
      <c r="D37" s="37">
        <v>0.78</v>
      </c>
      <c r="E37" s="32"/>
      <c r="F37" s="32"/>
    </row>
    <row r="38" ht="15.75" customHeight="1">
      <c r="A38" s="14" t="s">
        <v>7</v>
      </c>
      <c r="B38" s="14" t="s">
        <v>72</v>
      </c>
      <c r="C38" s="15" t="s">
        <v>42</v>
      </c>
      <c r="D38" s="37">
        <v>0.45</v>
      </c>
      <c r="E38" s="32"/>
      <c r="F38" s="32"/>
    </row>
    <row r="39" ht="15.75" customHeight="1">
      <c r="A39" s="14" t="s">
        <v>7</v>
      </c>
      <c r="B39" s="14" t="s">
        <v>73</v>
      </c>
      <c r="C39" s="15" t="s">
        <v>45</v>
      </c>
      <c r="D39" s="37">
        <v>0.32</v>
      </c>
      <c r="E39" s="32"/>
      <c r="F39" s="32"/>
    </row>
    <row r="40" ht="15.75" customHeight="1">
      <c r="A40" s="14" t="s">
        <v>7</v>
      </c>
      <c r="B40" s="14" t="s">
        <v>74</v>
      </c>
      <c r="C40" s="15" t="s">
        <v>30</v>
      </c>
      <c r="D40" s="37">
        <v>0.01</v>
      </c>
      <c r="E40" s="32"/>
      <c r="F40" s="32"/>
    </row>
    <row r="41" ht="15.75" customHeight="1">
      <c r="A41" s="14" t="s">
        <v>75</v>
      </c>
      <c r="B41" s="14" t="s">
        <v>76</v>
      </c>
      <c r="C41" s="15" t="s">
        <v>28</v>
      </c>
      <c r="D41" s="37">
        <v>0.35</v>
      </c>
      <c r="E41" s="32"/>
      <c r="F41" s="32"/>
    </row>
    <row r="42" ht="15.75" customHeight="1">
      <c r="A42" s="14" t="s">
        <v>75</v>
      </c>
      <c r="B42" s="14" t="s">
        <v>77</v>
      </c>
      <c r="C42" s="15" t="s">
        <v>32</v>
      </c>
      <c r="D42" s="37">
        <v>1.0</v>
      </c>
      <c r="E42" s="32"/>
      <c r="F42" s="32"/>
    </row>
    <row r="43" ht="15.75" customHeight="1">
      <c r="A43" s="14" t="s">
        <v>75</v>
      </c>
      <c r="B43" s="14" t="s">
        <v>78</v>
      </c>
      <c r="C43" s="15" t="s">
        <v>32</v>
      </c>
      <c r="D43" s="37">
        <v>0.2</v>
      </c>
      <c r="E43" s="32"/>
      <c r="F43" s="32"/>
    </row>
    <row r="44" ht="15.75" customHeight="1">
      <c r="A44" s="14" t="s">
        <v>75</v>
      </c>
      <c r="B44" s="14" t="s">
        <v>79</v>
      </c>
      <c r="C44" s="15" t="s">
        <v>28</v>
      </c>
      <c r="D44" s="37">
        <v>0.25</v>
      </c>
      <c r="E44" s="32"/>
      <c r="F44" s="32"/>
    </row>
    <row r="45" ht="15.75" customHeight="1">
      <c r="A45" s="14" t="s">
        <v>75</v>
      </c>
      <c r="B45" s="14" t="s">
        <v>80</v>
      </c>
      <c r="C45" s="15" t="s">
        <v>45</v>
      </c>
      <c r="D45" s="37">
        <v>0.48</v>
      </c>
      <c r="E45" s="32"/>
      <c r="F45" s="32"/>
    </row>
    <row r="46" ht="15.75" customHeight="1">
      <c r="A46" s="14" t="s">
        <v>13</v>
      </c>
      <c r="B46" s="14" t="s">
        <v>82</v>
      </c>
      <c r="C46" s="15" t="s">
        <v>32</v>
      </c>
      <c r="D46" s="37">
        <v>0.42</v>
      </c>
      <c r="E46" s="32"/>
      <c r="F46" s="32"/>
    </row>
    <row r="47" ht="15.75" customHeight="1">
      <c r="A47" s="14" t="s">
        <v>13</v>
      </c>
      <c r="B47" s="14" t="s">
        <v>83</v>
      </c>
      <c r="C47" s="15" t="s">
        <v>39</v>
      </c>
      <c r="D47" s="37">
        <v>0.77</v>
      </c>
      <c r="E47" s="32"/>
      <c r="F47" s="32"/>
    </row>
    <row r="48" ht="15.75" customHeight="1">
      <c r="A48" s="14" t="s">
        <v>13</v>
      </c>
      <c r="B48" s="14" t="s">
        <v>84</v>
      </c>
      <c r="C48" s="15" t="s">
        <v>30</v>
      </c>
      <c r="D48" s="37">
        <v>0.32</v>
      </c>
      <c r="E48" s="32"/>
      <c r="F48" s="32"/>
    </row>
    <row r="49" ht="15.75" customHeight="1">
      <c r="A49" s="14" t="s">
        <v>13</v>
      </c>
      <c r="B49" s="14" t="s">
        <v>85</v>
      </c>
      <c r="C49" s="15" t="s">
        <v>30</v>
      </c>
      <c r="D49" s="37">
        <v>0.45</v>
      </c>
      <c r="E49" s="32"/>
      <c r="F49" s="32"/>
    </row>
    <row r="50" ht="15.75" customHeight="1">
      <c r="A50" s="14" t="s">
        <v>13</v>
      </c>
      <c r="B50" s="14" t="s">
        <v>86</v>
      </c>
      <c r="C50" s="15" t="s">
        <v>32</v>
      </c>
      <c r="D50" s="37">
        <v>0.38</v>
      </c>
      <c r="E50" s="32"/>
      <c r="F50" s="32"/>
    </row>
    <row r="51" ht="15.75" customHeight="1">
      <c r="A51" s="14" t="s">
        <v>10</v>
      </c>
      <c r="B51" s="14" t="s">
        <v>87</v>
      </c>
      <c r="C51" s="15" t="s">
        <v>30</v>
      </c>
      <c r="D51" s="37">
        <v>0.42</v>
      </c>
      <c r="E51" s="32"/>
      <c r="F51" s="32"/>
    </row>
    <row r="52" ht="15.75" customHeight="1">
      <c r="A52" s="14" t="s">
        <v>10</v>
      </c>
      <c r="B52" s="14" t="s">
        <v>88</v>
      </c>
      <c r="C52" s="15" t="s">
        <v>30</v>
      </c>
      <c r="D52" s="37">
        <v>0.99</v>
      </c>
      <c r="E52" s="32"/>
      <c r="F52" s="32"/>
    </row>
    <row r="53" ht="15.75" customHeight="1">
      <c r="A53" s="14" t="s">
        <v>10</v>
      </c>
      <c r="B53" s="14" t="s">
        <v>89</v>
      </c>
      <c r="C53" s="15" t="s">
        <v>26</v>
      </c>
      <c r="D53" s="37">
        <v>0.68</v>
      </c>
      <c r="E53" s="32"/>
      <c r="F53" s="32"/>
    </row>
    <row r="54" ht="15.75" customHeight="1">
      <c r="A54" s="14" t="s">
        <v>10</v>
      </c>
      <c r="B54" s="14" t="s">
        <v>90</v>
      </c>
      <c r="C54" s="15" t="s">
        <v>32</v>
      </c>
      <c r="D54" s="37">
        <v>0.68</v>
      </c>
      <c r="E54" s="32"/>
      <c r="F54" s="32"/>
    </row>
    <row r="55" ht="15.75" customHeight="1">
      <c r="A55" s="14" t="s">
        <v>10</v>
      </c>
      <c r="B55" s="20" t="s">
        <v>91</v>
      </c>
      <c r="C55" s="15" t="s">
        <v>50</v>
      </c>
      <c r="D55" s="37">
        <v>0.28</v>
      </c>
      <c r="E55" s="32"/>
      <c r="F55" s="32"/>
    </row>
    <row r="56" ht="15.75" customHeight="1">
      <c r="A56" s="14" t="s">
        <v>17</v>
      </c>
      <c r="B56" s="14" t="s">
        <v>92</v>
      </c>
      <c r="C56" s="15" t="s">
        <v>32</v>
      </c>
      <c r="D56" s="37">
        <v>0.65</v>
      </c>
      <c r="E56" s="32"/>
      <c r="F56" s="32"/>
    </row>
    <row r="57" ht="15.75" customHeight="1">
      <c r="A57" s="14" t="s">
        <v>17</v>
      </c>
      <c r="B57" s="14" t="s">
        <v>93</v>
      </c>
      <c r="C57" s="15" t="s">
        <v>32</v>
      </c>
      <c r="D57" s="37">
        <v>0.32</v>
      </c>
      <c r="E57" s="32"/>
      <c r="F57" s="32"/>
    </row>
    <row r="58" ht="15.75" customHeight="1">
      <c r="A58" s="14" t="s">
        <v>17</v>
      </c>
      <c r="B58" s="14" t="s">
        <v>94</v>
      </c>
      <c r="C58" s="15" t="s">
        <v>30</v>
      </c>
      <c r="D58" s="37">
        <v>0.5</v>
      </c>
      <c r="E58" s="32"/>
      <c r="F58" s="32"/>
    </row>
    <row r="59" ht="15.75" customHeight="1">
      <c r="A59" s="14" t="s">
        <v>17</v>
      </c>
      <c r="B59" s="14" t="s">
        <v>95</v>
      </c>
      <c r="C59" s="15" t="s">
        <v>32</v>
      </c>
      <c r="D59" s="37">
        <v>0.3</v>
      </c>
      <c r="E59" s="32"/>
      <c r="F59" s="32"/>
    </row>
    <row r="60" ht="15.75" customHeight="1">
      <c r="A60" s="14" t="s">
        <v>17</v>
      </c>
      <c r="B60" s="14" t="s">
        <v>96</v>
      </c>
      <c r="C60" s="15" t="s">
        <v>32</v>
      </c>
      <c r="D60" s="37">
        <v>0.75</v>
      </c>
      <c r="E60" s="32"/>
      <c r="F60" s="32"/>
    </row>
    <row r="61">
      <c r="C61" s="33"/>
      <c r="D61" s="33"/>
      <c r="E61" s="33"/>
      <c r="F61" s="33"/>
    </row>
    <row r="62">
      <c r="C62" s="33"/>
      <c r="D62" s="33"/>
      <c r="E62" s="33"/>
      <c r="F62" s="33"/>
    </row>
    <row r="63">
      <c r="C63" s="33"/>
      <c r="D63" s="33"/>
      <c r="E63" s="33"/>
      <c r="F63" s="33"/>
    </row>
    <row r="64">
      <c r="C64" s="33"/>
      <c r="D64" s="33"/>
      <c r="E64" s="33"/>
      <c r="F64" s="33"/>
    </row>
    <row r="65">
      <c r="C65" s="33"/>
      <c r="D65" s="33"/>
      <c r="E65" s="33"/>
      <c r="F65" s="33"/>
    </row>
    <row r="66">
      <c r="C66" s="33"/>
      <c r="D66" s="33"/>
      <c r="E66" s="33"/>
      <c r="F66" s="33"/>
    </row>
    <row r="67">
      <c r="C67" s="33"/>
      <c r="D67" s="33"/>
      <c r="E67" s="33"/>
      <c r="F67" s="33"/>
    </row>
    <row r="68">
      <c r="C68" s="33"/>
      <c r="D68" s="33"/>
      <c r="E68" s="33"/>
      <c r="F68" s="33"/>
    </row>
    <row r="69">
      <c r="C69" s="33"/>
      <c r="D69" s="33"/>
      <c r="E69" s="33"/>
      <c r="F69" s="33"/>
    </row>
    <row r="70">
      <c r="C70" s="33"/>
      <c r="D70" s="33"/>
      <c r="E70" s="33"/>
      <c r="F70" s="33"/>
    </row>
    <row r="71">
      <c r="C71" s="33"/>
      <c r="D71" s="33"/>
      <c r="E71" s="33"/>
      <c r="F71" s="33"/>
    </row>
    <row r="72">
      <c r="C72" s="33"/>
      <c r="D72" s="33"/>
      <c r="E72" s="33"/>
      <c r="F72" s="33"/>
    </row>
    <row r="73">
      <c r="C73" s="33"/>
      <c r="D73" s="33"/>
      <c r="E73" s="33"/>
      <c r="F73" s="33"/>
    </row>
    <row r="74">
      <c r="C74" s="33"/>
      <c r="D74" s="33"/>
      <c r="E74" s="33"/>
      <c r="F74" s="33"/>
    </row>
    <row r="75">
      <c r="C75" s="33"/>
      <c r="D75" s="33"/>
      <c r="E75" s="33"/>
      <c r="F75" s="33"/>
    </row>
    <row r="76">
      <c r="C76" s="33"/>
      <c r="D76" s="33"/>
      <c r="E76" s="33"/>
      <c r="F76" s="33"/>
    </row>
    <row r="77">
      <c r="C77" s="33"/>
      <c r="D77" s="33"/>
      <c r="E77" s="33"/>
      <c r="F77" s="33"/>
    </row>
    <row r="78">
      <c r="C78" s="33"/>
      <c r="D78" s="33"/>
      <c r="E78" s="33"/>
      <c r="F78" s="33"/>
    </row>
    <row r="79">
      <c r="C79" s="33"/>
      <c r="D79" s="33"/>
      <c r="E79" s="33"/>
      <c r="F79" s="33"/>
    </row>
    <row r="80">
      <c r="C80" s="33"/>
      <c r="D80" s="33"/>
      <c r="E80" s="33"/>
      <c r="F80" s="33"/>
    </row>
    <row r="81">
      <c r="C81" s="33"/>
      <c r="D81" s="33"/>
      <c r="E81" s="33"/>
      <c r="F81" s="33"/>
    </row>
    <row r="82" ht="15.75" customHeight="1">
      <c r="C82" s="33"/>
      <c r="D82" s="33"/>
      <c r="E82" s="33"/>
      <c r="F82" s="33"/>
    </row>
    <row r="83" ht="15.75" customHeight="1">
      <c r="C83" s="33"/>
      <c r="D83" s="33"/>
      <c r="E83" s="33"/>
      <c r="F83" s="33"/>
    </row>
    <row r="84" ht="15.75" customHeight="1">
      <c r="C84" s="33"/>
      <c r="D84" s="33"/>
      <c r="E84" s="33"/>
      <c r="F84" s="33"/>
    </row>
    <row r="85" ht="15.75" customHeight="1">
      <c r="C85" s="33"/>
      <c r="D85" s="33"/>
      <c r="E85" s="33"/>
      <c r="F85" s="33"/>
    </row>
    <row r="86" ht="15.75" customHeight="1">
      <c r="C86" s="33"/>
      <c r="D86" s="33"/>
      <c r="E86" s="33"/>
      <c r="F86" s="33"/>
    </row>
    <row r="87" ht="15.75" customHeight="1">
      <c r="C87" s="33"/>
      <c r="D87" s="33"/>
      <c r="E87" s="33"/>
      <c r="F87" s="33"/>
    </row>
    <row r="88" ht="15.75" customHeight="1">
      <c r="C88" s="33"/>
      <c r="D88" s="33"/>
      <c r="E88" s="33"/>
      <c r="F88" s="33"/>
    </row>
    <row r="89" ht="15.75" customHeight="1">
      <c r="C89" s="33"/>
      <c r="D89" s="33"/>
      <c r="E89" s="33"/>
      <c r="F89" s="33"/>
    </row>
    <row r="90" ht="15.75" customHeight="1">
      <c r="C90" s="33"/>
      <c r="D90" s="33"/>
      <c r="E90" s="33"/>
      <c r="F90" s="33"/>
    </row>
    <row r="91" ht="15.75" customHeight="1">
      <c r="C91" s="33"/>
      <c r="D91" s="33"/>
      <c r="E91" s="33"/>
      <c r="F91" s="33"/>
    </row>
    <row r="92" ht="15.75" customHeight="1">
      <c r="C92" s="33"/>
      <c r="D92" s="33"/>
      <c r="E92" s="33"/>
      <c r="F92" s="33"/>
    </row>
    <row r="93" ht="15.75" customHeight="1">
      <c r="C93" s="33"/>
      <c r="D93" s="33"/>
      <c r="E93" s="33"/>
      <c r="F93" s="33"/>
    </row>
    <row r="94" ht="15.75" customHeight="1">
      <c r="C94" s="33"/>
      <c r="D94" s="33"/>
      <c r="E94" s="33"/>
      <c r="F94" s="33"/>
    </row>
    <row r="95" ht="15.75" customHeight="1">
      <c r="C95" s="33"/>
      <c r="D95" s="33"/>
      <c r="E95" s="33"/>
      <c r="F95" s="33"/>
    </row>
    <row r="96" ht="15.75" customHeight="1">
      <c r="C96" s="33"/>
      <c r="D96" s="33"/>
      <c r="E96" s="33"/>
      <c r="F96" s="33"/>
    </row>
    <row r="97" ht="15.75" customHeight="1">
      <c r="C97" s="33"/>
      <c r="D97" s="33"/>
      <c r="E97" s="33"/>
      <c r="F97" s="33"/>
    </row>
    <row r="98" ht="15.75" customHeight="1">
      <c r="C98" s="33"/>
      <c r="D98" s="33"/>
      <c r="E98" s="33"/>
      <c r="F98" s="33"/>
    </row>
    <row r="99" ht="15.75" customHeight="1">
      <c r="C99" s="33"/>
      <c r="D99" s="33"/>
      <c r="E99" s="33"/>
      <c r="F99" s="33"/>
    </row>
    <row r="100" ht="15.75" customHeight="1">
      <c r="C100" s="33"/>
      <c r="D100" s="33"/>
      <c r="E100" s="33"/>
      <c r="F100" s="33"/>
    </row>
    <row r="101" ht="15.75" customHeight="1">
      <c r="C101" s="33"/>
      <c r="D101" s="33"/>
      <c r="E101" s="33"/>
      <c r="F101" s="33"/>
    </row>
    <row r="102" ht="15.75" customHeight="1">
      <c r="C102" s="33"/>
      <c r="D102" s="33"/>
      <c r="E102" s="33"/>
      <c r="F102" s="33"/>
    </row>
    <row r="103" ht="15.75" customHeight="1">
      <c r="C103" s="33"/>
      <c r="D103" s="33"/>
      <c r="E103" s="33"/>
      <c r="F103" s="33"/>
    </row>
    <row r="104" ht="15.75" customHeight="1">
      <c r="C104" s="33"/>
      <c r="D104" s="33"/>
      <c r="E104" s="33"/>
      <c r="F104" s="33"/>
    </row>
    <row r="105" ht="15.75" customHeight="1">
      <c r="C105" s="33"/>
      <c r="D105" s="33"/>
      <c r="E105" s="33"/>
      <c r="F105" s="33"/>
    </row>
    <row r="106" ht="15.75" customHeight="1">
      <c r="C106" s="33"/>
      <c r="D106" s="33"/>
      <c r="E106" s="33"/>
      <c r="F106" s="33"/>
    </row>
    <row r="107" ht="15.75" customHeight="1">
      <c r="C107" s="33"/>
      <c r="D107" s="33"/>
      <c r="E107" s="33"/>
      <c r="F107" s="33"/>
    </row>
    <row r="108" ht="15.75" customHeight="1">
      <c r="C108" s="33"/>
      <c r="D108" s="33"/>
      <c r="E108" s="33"/>
      <c r="F108" s="33"/>
    </row>
    <row r="109" ht="15.75" customHeight="1">
      <c r="C109" s="33"/>
      <c r="D109" s="33"/>
      <c r="E109" s="33"/>
      <c r="F109" s="33"/>
    </row>
    <row r="110" ht="15.75" customHeight="1">
      <c r="C110" s="33"/>
      <c r="D110" s="33"/>
      <c r="E110" s="33"/>
      <c r="F110" s="33"/>
    </row>
    <row r="111" ht="15.75" customHeight="1">
      <c r="C111" s="33"/>
      <c r="D111" s="33"/>
      <c r="E111" s="33"/>
      <c r="F111" s="33"/>
    </row>
    <row r="112" ht="15.75" customHeight="1">
      <c r="C112" s="33"/>
      <c r="D112" s="33"/>
      <c r="E112" s="33"/>
      <c r="F112" s="33"/>
    </row>
    <row r="113" ht="15.75" customHeight="1">
      <c r="C113" s="33"/>
      <c r="D113" s="33"/>
      <c r="E113" s="33"/>
      <c r="F113" s="33"/>
    </row>
    <row r="114" ht="15.75" customHeight="1">
      <c r="C114" s="33"/>
      <c r="D114" s="33"/>
      <c r="E114" s="33"/>
      <c r="F114" s="33"/>
    </row>
    <row r="115" ht="15.75" customHeight="1">
      <c r="C115" s="33"/>
      <c r="D115" s="33"/>
      <c r="E115" s="33"/>
      <c r="F115" s="33"/>
    </row>
    <row r="116" ht="15.75" customHeight="1">
      <c r="C116" s="33"/>
      <c r="D116" s="33"/>
      <c r="E116" s="33"/>
      <c r="F116" s="33"/>
    </row>
    <row r="117" ht="15.75" customHeight="1">
      <c r="C117" s="33"/>
      <c r="D117" s="33"/>
      <c r="E117" s="33"/>
      <c r="F117" s="33"/>
    </row>
    <row r="118" ht="15.75" customHeight="1">
      <c r="C118" s="33"/>
      <c r="D118" s="33"/>
      <c r="E118" s="33"/>
      <c r="F118" s="33"/>
    </row>
    <row r="119" ht="15.75" customHeight="1">
      <c r="C119" s="33"/>
      <c r="D119" s="33"/>
      <c r="E119" s="33"/>
      <c r="F119" s="33"/>
    </row>
    <row r="120" ht="15.75" customHeight="1">
      <c r="C120" s="33"/>
      <c r="D120" s="33"/>
      <c r="E120" s="33"/>
      <c r="F120" s="33"/>
    </row>
    <row r="121" ht="15.75" customHeight="1">
      <c r="C121" s="33"/>
      <c r="D121" s="33"/>
      <c r="E121" s="33"/>
      <c r="F121" s="33"/>
    </row>
    <row r="122" ht="15.75" customHeight="1">
      <c r="C122" s="33"/>
      <c r="D122" s="33"/>
      <c r="E122" s="33"/>
      <c r="F122" s="33"/>
    </row>
    <row r="123" ht="15.75" customHeight="1">
      <c r="C123" s="33"/>
      <c r="D123" s="33"/>
      <c r="E123" s="33"/>
      <c r="F123" s="33"/>
    </row>
    <row r="124" ht="15.75" customHeight="1">
      <c r="C124" s="33"/>
      <c r="D124" s="33"/>
      <c r="E124" s="33"/>
      <c r="F124" s="33"/>
    </row>
    <row r="125" ht="15.75" customHeight="1">
      <c r="C125" s="33"/>
      <c r="D125" s="33"/>
      <c r="E125" s="33"/>
      <c r="F125" s="33"/>
    </row>
    <row r="126" ht="15.75" customHeight="1">
      <c r="C126" s="33"/>
      <c r="D126" s="33"/>
      <c r="E126" s="33"/>
      <c r="F126" s="33"/>
    </row>
    <row r="127" ht="15.75" customHeight="1">
      <c r="C127" s="33"/>
      <c r="D127" s="33"/>
      <c r="E127" s="33"/>
      <c r="F127" s="33"/>
    </row>
    <row r="128" ht="15.75" customHeight="1">
      <c r="C128" s="33"/>
      <c r="D128" s="33"/>
      <c r="E128" s="33"/>
      <c r="F128" s="33"/>
    </row>
    <row r="129" ht="15.75" customHeight="1">
      <c r="C129" s="33"/>
      <c r="D129" s="33"/>
      <c r="E129" s="33"/>
      <c r="F129" s="33"/>
    </row>
    <row r="130" ht="15.75" customHeight="1">
      <c r="C130" s="33"/>
      <c r="D130" s="33"/>
      <c r="E130" s="33"/>
      <c r="F130" s="33"/>
    </row>
    <row r="131" ht="15.75" customHeight="1">
      <c r="C131" s="33"/>
      <c r="D131" s="33"/>
      <c r="E131" s="33"/>
      <c r="F131" s="33"/>
    </row>
    <row r="132" ht="15.75" customHeight="1">
      <c r="C132" s="33"/>
      <c r="D132" s="33"/>
      <c r="E132" s="33"/>
      <c r="F132" s="33"/>
    </row>
    <row r="133" ht="15.75" customHeight="1">
      <c r="C133" s="33"/>
      <c r="D133" s="33"/>
      <c r="E133" s="33"/>
      <c r="F133" s="33"/>
    </row>
    <row r="134" ht="15.75" customHeight="1">
      <c r="C134" s="33"/>
      <c r="D134" s="33"/>
      <c r="E134" s="33"/>
      <c r="F134" s="33"/>
    </row>
    <row r="135" ht="15.75" customHeight="1">
      <c r="C135" s="33"/>
      <c r="D135" s="33"/>
      <c r="E135" s="33"/>
      <c r="F135" s="33"/>
    </row>
    <row r="136" ht="15.75" customHeight="1">
      <c r="C136" s="33"/>
      <c r="D136" s="33"/>
      <c r="E136" s="33"/>
      <c r="F136" s="33"/>
    </row>
    <row r="137" ht="15.75" customHeight="1">
      <c r="C137" s="33"/>
      <c r="D137" s="33"/>
      <c r="E137" s="33"/>
      <c r="F137" s="33"/>
    </row>
    <row r="138" ht="15.75" customHeight="1">
      <c r="C138" s="33"/>
      <c r="D138" s="33"/>
      <c r="E138" s="33"/>
      <c r="F138" s="33"/>
    </row>
    <row r="139" ht="15.75" customHeight="1">
      <c r="C139" s="33"/>
      <c r="D139" s="33"/>
      <c r="E139" s="33"/>
      <c r="F139" s="33"/>
    </row>
    <row r="140" ht="15.75" customHeight="1">
      <c r="C140" s="33"/>
      <c r="D140" s="33"/>
      <c r="E140" s="33"/>
      <c r="F140" s="33"/>
    </row>
    <row r="141" ht="15.75" customHeight="1">
      <c r="C141" s="33"/>
      <c r="D141" s="33"/>
      <c r="E141" s="33"/>
      <c r="F141" s="33"/>
    </row>
    <row r="142" ht="15.75" customHeight="1">
      <c r="C142" s="33"/>
      <c r="D142" s="33"/>
      <c r="E142" s="33"/>
      <c r="F142" s="33"/>
    </row>
    <row r="143" ht="15.75" customHeight="1">
      <c r="C143" s="33"/>
      <c r="D143" s="33"/>
      <c r="E143" s="33"/>
      <c r="F143" s="33"/>
    </row>
    <row r="144" ht="15.75" customHeight="1">
      <c r="C144" s="33"/>
      <c r="D144" s="33"/>
      <c r="E144" s="33"/>
      <c r="F144" s="33"/>
    </row>
    <row r="145" ht="15.75" customHeight="1">
      <c r="C145" s="33"/>
      <c r="D145" s="33"/>
      <c r="E145" s="33"/>
      <c r="F145" s="33"/>
    </row>
    <row r="146" ht="15.75" customHeight="1">
      <c r="C146" s="33"/>
      <c r="D146" s="33"/>
      <c r="E146" s="33"/>
      <c r="F146" s="33"/>
    </row>
    <row r="147" ht="15.75" customHeight="1">
      <c r="C147" s="33"/>
      <c r="D147" s="33"/>
      <c r="E147" s="33"/>
      <c r="F147" s="33"/>
    </row>
    <row r="148" ht="15.75" customHeight="1">
      <c r="C148" s="33"/>
      <c r="D148" s="33"/>
      <c r="E148" s="33"/>
      <c r="F148" s="33"/>
    </row>
    <row r="149" ht="15.75" customHeight="1">
      <c r="C149" s="33"/>
      <c r="D149" s="33"/>
      <c r="E149" s="33"/>
      <c r="F149" s="33"/>
    </row>
    <row r="150" ht="15.75" customHeight="1">
      <c r="C150" s="33"/>
      <c r="D150" s="33"/>
      <c r="E150" s="33"/>
      <c r="F150" s="33"/>
    </row>
    <row r="151" ht="15.75" customHeight="1">
      <c r="C151" s="33"/>
      <c r="D151" s="33"/>
      <c r="E151" s="33"/>
      <c r="F151" s="33"/>
    </row>
    <row r="152" ht="15.75" customHeight="1">
      <c r="C152" s="33"/>
      <c r="D152" s="33"/>
      <c r="E152" s="33"/>
      <c r="F152" s="33"/>
    </row>
    <row r="153" ht="15.75" customHeight="1">
      <c r="C153" s="33"/>
      <c r="D153" s="33"/>
      <c r="E153" s="33"/>
      <c r="F153" s="33"/>
    </row>
    <row r="154" ht="15.75" customHeight="1">
      <c r="C154" s="33"/>
      <c r="D154" s="33"/>
      <c r="E154" s="33"/>
      <c r="F154" s="33"/>
    </row>
    <row r="155" ht="15.75" customHeight="1">
      <c r="C155" s="33"/>
      <c r="D155" s="33"/>
      <c r="E155" s="33"/>
      <c r="F155" s="33"/>
    </row>
    <row r="156" ht="15.75" customHeight="1">
      <c r="C156" s="33"/>
      <c r="D156" s="33"/>
      <c r="E156" s="33"/>
      <c r="F156" s="33"/>
    </row>
    <row r="157" ht="15.75" customHeight="1">
      <c r="C157" s="33"/>
      <c r="D157" s="33"/>
      <c r="E157" s="33"/>
      <c r="F157" s="33"/>
    </row>
    <row r="158" ht="15.75" customHeight="1">
      <c r="C158" s="33"/>
      <c r="D158" s="33"/>
      <c r="E158" s="33"/>
      <c r="F158" s="33"/>
    </row>
    <row r="159" ht="15.75" customHeight="1">
      <c r="C159" s="33"/>
      <c r="D159" s="33"/>
      <c r="E159" s="33"/>
      <c r="F159" s="33"/>
    </row>
    <row r="160" ht="15.75" customHeight="1">
      <c r="C160" s="33"/>
      <c r="D160" s="33"/>
      <c r="E160" s="33"/>
      <c r="F160" s="33"/>
    </row>
    <row r="161" ht="15.75" customHeight="1">
      <c r="C161" s="33"/>
      <c r="D161" s="33"/>
      <c r="E161" s="33"/>
      <c r="F161" s="33"/>
    </row>
    <row r="162" ht="15.75" customHeight="1">
      <c r="C162" s="33"/>
      <c r="D162" s="33"/>
      <c r="E162" s="33"/>
      <c r="F162" s="33"/>
    </row>
    <row r="163" ht="15.75" customHeight="1">
      <c r="C163" s="33"/>
      <c r="D163" s="33"/>
      <c r="E163" s="33"/>
      <c r="F163" s="33"/>
    </row>
    <row r="164" ht="15.75" customHeight="1">
      <c r="C164" s="33"/>
      <c r="D164" s="33"/>
      <c r="E164" s="33"/>
      <c r="F164" s="33"/>
    </row>
    <row r="165" ht="15.75" customHeight="1">
      <c r="C165" s="33"/>
      <c r="D165" s="33"/>
      <c r="E165" s="33"/>
      <c r="F165" s="33"/>
    </row>
    <row r="166" ht="15.75" customHeight="1">
      <c r="C166" s="33"/>
      <c r="D166" s="33"/>
      <c r="E166" s="33"/>
      <c r="F166" s="33"/>
    </row>
    <row r="167" ht="15.75" customHeight="1">
      <c r="C167" s="33"/>
      <c r="D167" s="33"/>
      <c r="E167" s="33"/>
      <c r="F167" s="33"/>
    </row>
    <row r="168" ht="15.75" customHeight="1">
      <c r="C168" s="33"/>
      <c r="D168" s="33"/>
      <c r="E168" s="33"/>
      <c r="F168" s="33"/>
    </row>
    <row r="169" ht="15.75" customHeight="1">
      <c r="C169" s="33"/>
      <c r="D169" s="33"/>
      <c r="E169" s="33"/>
      <c r="F169" s="33"/>
    </row>
    <row r="170" ht="15.75" customHeight="1">
      <c r="C170" s="33"/>
      <c r="D170" s="33"/>
      <c r="E170" s="33"/>
      <c r="F170" s="33"/>
    </row>
    <row r="171" ht="15.75" customHeight="1">
      <c r="C171" s="33"/>
      <c r="D171" s="33"/>
      <c r="E171" s="33"/>
      <c r="F171" s="33"/>
    </row>
    <row r="172" ht="15.75" customHeight="1">
      <c r="C172" s="33"/>
      <c r="D172" s="33"/>
      <c r="E172" s="33"/>
      <c r="F172" s="33"/>
    </row>
    <row r="173" ht="15.75" customHeight="1">
      <c r="C173" s="33"/>
      <c r="D173" s="33"/>
      <c r="E173" s="33"/>
      <c r="F173" s="33"/>
    </row>
    <row r="174" ht="15.75" customHeight="1">
      <c r="C174" s="33"/>
      <c r="D174" s="33"/>
      <c r="E174" s="33"/>
      <c r="F174" s="33"/>
    </row>
    <row r="175" ht="15.75" customHeight="1">
      <c r="C175" s="33"/>
      <c r="D175" s="33"/>
      <c r="E175" s="33"/>
      <c r="F175" s="33"/>
    </row>
    <row r="176" ht="15.75" customHeight="1">
      <c r="C176" s="33"/>
      <c r="D176" s="33"/>
      <c r="E176" s="33"/>
      <c r="F176" s="33"/>
    </row>
    <row r="177" ht="15.75" customHeight="1">
      <c r="C177" s="33"/>
      <c r="D177" s="33"/>
      <c r="E177" s="33"/>
      <c r="F177" s="33"/>
    </row>
    <row r="178" ht="15.75" customHeight="1">
      <c r="C178" s="33"/>
      <c r="D178" s="33"/>
      <c r="E178" s="33"/>
      <c r="F178" s="33"/>
    </row>
    <row r="179" ht="15.75" customHeight="1">
      <c r="C179" s="33"/>
      <c r="D179" s="33"/>
      <c r="E179" s="33"/>
      <c r="F179" s="33"/>
    </row>
    <row r="180" ht="15.75" customHeight="1">
      <c r="C180" s="33"/>
      <c r="D180" s="33"/>
      <c r="E180" s="33"/>
      <c r="F180" s="33"/>
    </row>
    <row r="181" ht="15.75" customHeight="1">
      <c r="C181" s="33"/>
      <c r="D181" s="33"/>
      <c r="E181" s="33"/>
      <c r="F181" s="33"/>
    </row>
    <row r="182" ht="15.75" customHeight="1">
      <c r="C182" s="33"/>
      <c r="D182" s="33"/>
      <c r="E182" s="33"/>
      <c r="F182" s="33"/>
    </row>
    <row r="183" ht="15.75" customHeight="1">
      <c r="C183" s="33"/>
      <c r="D183" s="33"/>
      <c r="E183" s="33"/>
      <c r="F183" s="33"/>
    </row>
    <row r="184" ht="15.75" customHeight="1">
      <c r="C184" s="33"/>
      <c r="D184" s="33"/>
      <c r="E184" s="33"/>
      <c r="F184" s="33"/>
    </row>
    <row r="185" ht="15.75" customHeight="1">
      <c r="C185" s="33"/>
      <c r="D185" s="33"/>
      <c r="E185" s="33"/>
      <c r="F185" s="33"/>
    </row>
    <row r="186" ht="15.75" customHeight="1">
      <c r="C186" s="33"/>
      <c r="D186" s="33"/>
      <c r="E186" s="33"/>
      <c r="F186" s="33"/>
    </row>
    <row r="187" ht="15.75" customHeight="1">
      <c r="C187" s="33"/>
      <c r="D187" s="33"/>
      <c r="E187" s="33"/>
      <c r="F187" s="33"/>
    </row>
    <row r="188" ht="15.75" customHeight="1">
      <c r="C188" s="33"/>
      <c r="D188" s="33"/>
      <c r="E188" s="33"/>
      <c r="F188" s="33"/>
    </row>
    <row r="189" ht="15.75" customHeight="1">
      <c r="C189" s="33"/>
      <c r="D189" s="33"/>
      <c r="E189" s="33"/>
      <c r="F189" s="33"/>
    </row>
    <row r="190" ht="15.75" customHeight="1">
      <c r="C190" s="33"/>
      <c r="D190" s="33"/>
      <c r="E190" s="33"/>
      <c r="F190" s="33"/>
    </row>
    <row r="191" ht="15.75" customHeight="1">
      <c r="C191" s="33"/>
      <c r="D191" s="33"/>
      <c r="E191" s="33"/>
      <c r="F191" s="33"/>
    </row>
    <row r="192" ht="15.75" customHeight="1">
      <c r="C192" s="33"/>
      <c r="D192" s="33"/>
      <c r="E192" s="33"/>
      <c r="F192" s="33"/>
    </row>
    <row r="193" ht="15.75" customHeight="1">
      <c r="C193" s="33"/>
      <c r="D193" s="33"/>
      <c r="E193" s="33"/>
      <c r="F193" s="33"/>
    </row>
    <row r="194" ht="15.75" customHeight="1">
      <c r="C194" s="33"/>
      <c r="D194" s="33"/>
      <c r="E194" s="33"/>
      <c r="F194" s="33"/>
    </row>
    <row r="195" ht="15.75" customHeight="1">
      <c r="C195" s="33"/>
      <c r="D195" s="33"/>
      <c r="E195" s="33"/>
      <c r="F195" s="33"/>
    </row>
    <row r="196" ht="15.75" customHeight="1">
      <c r="C196" s="33"/>
      <c r="D196" s="33"/>
      <c r="E196" s="33"/>
      <c r="F196" s="33"/>
    </row>
    <row r="197" ht="15.75" customHeight="1">
      <c r="C197" s="33"/>
      <c r="D197" s="33"/>
      <c r="E197" s="33"/>
      <c r="F197" s="33"/>
    </row>
    <row r="198" ht="15.75" customHeight="1">
      <c r="C198" s="33"/>
      <c r="D198" s="33"/>
      <c r="E198" s="33"/>
      <c r="F198" s="33"/>
    </row>
    <row r="199" ht="15.75" customHeight="1">
      <c r="C199" s="33"/>
      <c r="D199" s="33"/>
      <c r="E199" s="33"/>
      <c r="F199" s="33"/>
    </row>
    <row r="200" ht="15.75" customHeight="1">
      <c r="C200" s="33"/>
      <c r="D200" s="33"/>
      <c r="E200" s="33"/>
      <c r="F200" s="33"/>
    </row>
    <row r="201" ht="15.75" customHeight="1">
      <c r="C201" s="33"/>
      <c r="D201" s="33"/>
      <c r="E201" s="33"/>
      <c r="F201" s="33"/>
    </row>
    <row r="202" ht="15.75" customHeight="1">
      <c r="C202" s="33"/>
      <c r="D202" s="33"/>
      <c r="E202" s="33"/>
      <c r="F202" s="33"/>
    </row>
    <row r="203" ht="15.75" customHeight="1">
      <c r="C203" s="33"/>
      <c r="D203" s="33"/>
      <c r="E203" s="33"/>
      <c r="F203" s="33"/>
    </row>
    <row r="204" ht="15.75" customHeight="1">
      <c r="C204" s="33"/>
      <c r="D204" s="33"/>
      <c r="E204" s="33"/>
      <c r="F204" s="33"/>
    </row>
    <row r="205" ht="15.75" customHeight="1">
      <c r="C205" s="33"/>
      <c r="D205" s="33"/>
      <c r="E205" s="33"/>
      <c r="F205" s="33"/>
    </row>
    <row r="206" ht="15.75" customHeight="1">
      <c r="C206" s="33"/>
      <c r="D206" s="33"/>
      <c r="E206" s="33"/>
      <c r="F206" s="33"/>
    </row>
    <row r="207" ht="15.75" customHeight="1">
      <c r="C207" s="33"/>
      <c r="D207" s="33"/>
      <c r="E207" s="33"/>
      <c r="F207" s="33"/>
    </row>
    <row r="208" ht="15.75" customHeight="1">
      <c r="C208" s="33"/>
      <c r="D208" s="33"/>
      <c r="E208" s="33"/>
      <c r="F208" s="33"/>
    </row>
    <row r="209" ht="15.75" customHeight="1">
      <c r="C209" s="33"/>
      <c r="D209" s="33"/>
      <c r="E209" s="33"/>
      <c r="F209" s="33"/>
    </row>
    <row r="210" ht="15.75" customHeight="1">
      <c r="C210" s="33"/>
      <c r="D210" s="33"/>
      <c r="E210" s="33"/>
      <c r="F210" s="33"/>
    </row>
    <row r="211" ht="15.75" customHeight="1">
      <c r="C211" s="33"/>
      <c r="D211" s="33"/>
      <c r="E211" s="33"/>
      <c r="F211" s="33"/>
    </row>
    <row r="212" ht="15.75" customHeight="1">
      <c r="C212" s="33"/>
      <c r="D212" s="33"/>
      <c r="E212" s="33"/>
      <c r="F212" s="33"/>
    </row>
    <row r="213" ht="15.75" customHeight="1">
      <c r="C213" s="33"/>
      <c r="D213" s="33"/>
      <c r="E213" s="33"/>
      <c r="F213" s="33"/>
    </row>
    <row r="214" ht="15.75" customHeight="1">
      <c r="C214" s="33"/>
      <c r="D214" s="33"/>
      <c r="E214" s="33"/>
      <c r="F214" s="33"/>
    </row>
    <row r="215" ht="15.75" customHeight="1">
      <c r="C215" s="33"/>
      <c r="D215" s="33"/>
      <c r="E215" s="33"/>
      <c r="F215" s="33"/>
    </row>
    <row r="216" ht="15.75" customHeight="1">
      <c r="C216" s="33"/>
      <c r="D216" s="33"/>
      <c r="E216" s="33"/>
      <c r="F216" s="33"/>
    </row>
    <row r="217" ht="15.75" customHeight="1">
      <c r="C217" s="33"/>
      <c r="D217" s="33"/>
      <c r="E217" s="33"/>
      <c r="F217" s="33"/>
    </row>
    <row r="218" ht="15.75" customHeight="1">
      <c r="C218" s="33"/>
      <c r="D218" s="33"/>
      <c r="E218" s="33"/>
      <c r="F218" s="33"/>
    </row>
    <row r="219" ht="15.75" customHeight="1">
      <c r="C219" s="33"/>
      <c r="D219" s="33"/>
      <c r="E219" s="33"/>
      <c r="F219" s="33"/>
    </row>
    <row r="220" ht="15.75" customHeight="1">
      <c r="C220" s="33"/>
      <c r="D220" s="33"/>
      <c r="E220" s="33"/>
      <c r="F220" s="33"/>
    </row>
    <row r="221" ht="15.75" customHeight="1">
      <c r="C221" s="33"/>
      <c r="D221" s="33"/>
      <c r="E221" s="33"/>
      <c r="F221" s="33"/>
    </row>
    <row r="222" ht="15.75" customHeight="1">
      <c r="C222" s="33"/>
      <c r="D222" s="33"/>
      <c r="E222" s="33"/>
      <c r="F222" s="33"/>
    </row>
    <row r="223" ht="15.75" customHeight="1">
      <c r="C223" s="33"/>
      <c r="D223" s="33"/>
      <c r="E223" s="33"/>
      <c r="F223" s="33"/>
    </row>
    <row r="224" ht="15.75" customHeight="1">
      <c r="C224" s="33"/>
      <c r="D224" s="33"/>
      <c r="E224" s="33"/>
      <c r="F224" s="33"/>
    </row>
    <row r="225" ht="15.75" customHeight="1">
      <c r="C225" s="33"/>
      <c r="D225" s="33"/>
      <c r="E225" s="33"/>
      <c r="F225" s="33"/>
    </row>
    <row r="226" ht="15.75" customHeight="1">
      <c r="C226" s="33"/>
      <c r="D226" s="33"/>
      <c r="E226" s="33"/>
      <c r="F226" s="33"/>
    </row>
    <row r="227" ht="15.75" customHeight="1">
      <c r="C227" s="33"/>
      <c r="D227" s="33"/>
      <c r="E227" s="33"/>
      <c r="F227" s="33"/>
    </row>
    <row r="228" ht="15.75" customHeight="1">
      <c r="C228" s="33"/>
      <c r="D228" s="33"/>
      <c r="E228" s="33"/>
      <c r="F228" s="33"/>
    </row>
    <row r="229" ht="15.75" customHeight="1">
      <c r="C229" s="33"/>
      <c r="D229" s="33"/>
      <c r="E229" s="33"/>
      <c r="F229" s="33"/>
    </row>
    <row r="230" ht="15.75" customHeight="1">
      <c r="C230" s="33"/>
      <c r="D230" s="33"/>
      <c r="E230" s="33"/>
      <c r="F230" s="33"/>
    </row>
    <row r="231" ht="15.75" customHeight="1">
      <c r="C231" s="33"/>
      <c r="D231" s="33"/>
      <c r="E231" s="33"/>
      <c r="F231" s="33"/>
    </row>
    <row r="232" ht="15.75" customHeight="1">
      <c r="C232" s="33"/>
      <c r="D232" s="33"/>
      <c r="E232" s="33"/>
      <c r="F232" s="33"/>
    </row>
    <row r="233" ht="15.75" customHeight="1">
      <c r="C233" s="33"/>
      <c r="D233" s="33"/>
      <c r="E233" s="33"/>
      <c r="F233" s="33"/>
    </row>
    <row r="234" ht="15.75" customHeight="1">
      <c r="C234" s="33"/>
      <c r="D234" s="33"/>
      <c r="E234" s="33"/>
      <c r="F234" s="33"/>
    </row>
    <row r="235" ht="15.75" customHeight="1">
      <c r="C235" s="33"/>
      <c r="D235" s="33"/>
      <c r="E235" s="33"/>
      <c r="F235" s="33"/>
    </row>
    <row r="236" ht="15.75" customHeight="1">
      <c r="C236" s="33"/>
      <c r="D236" s="33"/>
      <c r="E236" s="33"/>
      <c r="F236" s="33"/>
    </row>
    <row r="237" ht="15.75" customHeight="1">
      <c r="C237" s="33"/>
      <c r="D237" s="33"/>
      <c r="E237" s="33"/>
      <c r="F237" s="33"/>
    </row>
    <row r="238" ht="15.75" customHeight="1">
      <c r="C238" s="33"/>
      <c r="D238" s="33"/>
      <c r="E238" s="33"/>
      <c r="F238" s="33"/>
    </row>
    <row r="239" ht="15.75" customHeight="1">
      <c r="C239" s="33"/>
      <c r="D239" s="33"/>
      <c r="E239" s="33"/>
      <c r="F239" s="33"/>
    </row>
    <row r="240" ht="15.75" customHeight="1">
      <c r="C240" s="33"/>
      <c r="D240" s="33"/>
      <c r="E240" s="33"/>
      <c r="F240" s="33"/>
    </row>
    <row r="241" ht="15.75" customHeight="1">
      <c r="C241" s="33"/>
      <c r="D241" s="33"/>
      <c r="E241" s="33"/>
      <c r="F241" s="33"/>
    </row>
    <row r="242" ht="15.75" customHeight="1">
      <c r="C242" s="33"/>
      <c r="D242" s="33"/>
      <c r="E242" s="33"/>
      <c r="F242" s="33"/>
    </row>
    <row r="243" ht="15.75" customHeight="1">
      <c r="C243" s="33"/>
      <c r="D243" s="33"/>
      <c r="E243" s="33"/>
      <c r="F243" s="33"/>
    </row>
    <row r="244" ht="15.75" customHeight="1">
      <c r="C244" s="33"/>
      <c r="D244" s="33"/>
      <c r="E244" s="33"/>
      <c r="F244" s="33"/>
    </row>
    <row r="245" ht="15.75" customHeight="1">
      <c r="C245" s="33"/>
      <c r="D245" s="33"/>
      <c r="E245" s="33"/>
      <c r="F245" s="33"/>
    </row>
    <row r="246" ht="15.75" customHeight="1">
      <c r="C246" s="33"/>
      <c r="D246" s="33"/>
      <c r="E246" s="33"/>
      <c r="F246" s="33"/>
    </row>
    <row r="247" ht="15.75" customHeight="1">
      <c r="C247" s="33"/>
      <c r="D247" s="33"/>
      <c r="E247" s="33"/>
      <c r="F247" s="33"/>
    </row>
    <row r="248" ht="15.75" customHeight="1">
      <c r="C248" s="33"/>
      <c r="D248" s="33"/>
      <c r="E248" s="33"/>
      <c r="F248" s="33"/>
    </row>
    <row r="249" ht="15.75" customHeight="1">
      <c r="C249" s="33"/>
      <c r="D249" s="33"/>
      <c r="E249" s="33"/>
      <c r="F249" s="33"/>
    </row>
    <row r="250" ht="15.75" customHeight="1">
      <c r="C250" s="33"/>
      <c r="D250" s="33"/>
      <c r="E250" s="33"/>
      <c r="F250" s="33"/>
    </row>
    <row r="251" ht="15.75" customHeight="1">
      <c r="C251" s="33"/>
      <c r="D251" s="33"/>
      <c r="E251" s="33"/>
      <c r="F251" s="33"/>
    </row>
    <row r="252" ht="15.75" customHeight="1">
      <c r="C252" s="33"/>
      <c r="D252" s="33"/>
      <c r="E252" s="33"/>
      <c r="F252" s="33"/>
    </row>
    <row r="253" ht="15.75" customHeight="1">
      <c r="C253" s="33"/>
      <c r="D253" s="33"/>
      <c r="E253" s="33"/>
      <c r="F253" s="33"/>
    </row>
    <row r="254" ht="15.75" customHeight="1">
      <c r="C254" s="33"/>
      <c r="D254" s="33"/>
      <c r="E254" s="33"/>
      <c r="F254" s="33"/>
    </row>
    <row r="255" ht="15.75" customHeight="1">
      <c r="C255" s="33"/>
      <c r="D255" s="33"/>
      <c r="E255" s="33"/>
      <c r="F255" s="33"/>
    </row>
    <row r="256" ht="15.75" customHeight="1">
      <c r="C256" s="33"/>
      <c r="D256" s="33"/>
      <c r="E256" s="33"/>
      <c r="F256" s="33"/>
    </row>
    <row r="257" ht="15.75" customHeight="1">
      <c r="C257" s="33"/>
      <c r="D257" s="33"/>
      <c r="E257" s="33"/>
      <c r="F257" s="33"/>
    </row>
    <row r="258" ht="15.75" customHeight="1">
      <c r="C258" s="33"/>
      <c r="D258" s="33"/>
      <c r="E258" s="33"/>
      <c r="F258" s="33"/>
    </row>
    <row r="259" ht="15.75" customHeight="1">
      <c r="C259" s="33"/>
      <c r="D259" s="33"/>
      <c r="E259" s="33"/>
      <c r="F259" s="33"/>
    </row>
    <row r="260" ht="15.75" customHeight="1">
      <c r="C260" s="33"/>
      <c r="D260" s="33"/>
      <c r="E260" s="33"/>
      <c r="F260" s="33"/>
    </row>
    <row r="261" ht="15.75" customHeight="1">
      <c r="C261" s="33"/>
      <c r="D261" s="33"/>
      <c r="E261" s="33"/>
      <c r="F261" s="33"/>
    </row>
    <row r="262" ht="15.75" customHeight="1">
      <c r="C262" s="33"/>
      <c r="D262" s="33"/>
      <c r="E262" s="33"/>
      <c r="F262" s="33"/>
    </row>
    <row r="263" ht="15.75" customHeight="1">
      <c r="C263" s="33"/>
      <c r="D263" s="33"/>
      <c r="E263" s="33"/>
      <c r="F263" s="33"/>
    </row>
    <row r="264" ht="15.75" customHeight="1">
      <c r="C264" s="33"/>
      <c r="D264" s="33"/>
      <c r="E264" s="33"/>
      <c r="F264" s="33"/>
    </row>
    <row r="265" ht="15.75" customHeight="1">
      <c r="C265" s="33"/>
      <c r="D265" s="33"/>
      <c r="E265" s="33"/>
      <c r="F265" s="33"/>
    </row>
    <row r="266" ht="15.75" customHeight="1">
      <c r="C266" s="33"/>
      <c r="D266" s="33"/>
      <c r="E266" s="33"/>
      <c r="F266" s="33"/>
    </row>
    <row r="267" ht="15.75" customHeight="1">
      <c r="C267" s="33"/>
      <c r="D267" s="33"/>
      <c r="E267" s="33"/>
      <c r="F267" s="33"/>
    </row>
    <row r="268" ht="15.75" customHeight="1">
      <c r="C268" s="33"/>
      <c r="D268" s="33"/>
      <c r="E268" s="33"/>
      <c r="F268" s="33"/>
    </row>
    <row r="269" ht="15.75" customHeight="1">
      <c r="C269" s="33"/>
      <c r="D269" s="33"/>
      <c r="E269" s="33"/>
      <c r="F269" s="33"/>
    </row>
    <row r="270" ht="15.75" customHeight="1">
      <c r="C270" s="33"/>
      <c r="D270" s="33"/>
      <c r="E270" s="33"/>
      <c r="F270" s="33"/>
    </row>
    <row r="271" ht="15.75" customHeight="1">
      <c r="C271" s="33"/>
      <c r="D271" s="33"/>
      <c r="E271" s="33"/>
      <c r="F271" s="33"/>
    </row>
    <row r="272" ht="15.75" customHeight="1">
      <c r="C272" s="33"/>
      <c r="D272" s="33"/>
      <c r="E272" s="33"/>
      <c r="F272" s="33"/>
    </row>
    <row r="273" ht="15.75" customHeight="1">
      <c r="C273" s="33"/>
      <c r="D273" s="33"/>
      <c r="E273" s="33"/>
      <c r="F273" s="33"/>
    </row>
    <row r="274" ht="15.75" customHeight="1">
      <c r="C274" s="33"/>
      <c r="D274" s="33"/>
      <c r="E274" s="33"/>
      <c r="F274" s="33"/>
    </row>
    <row r="275" ht="15.75" customHeight="1">
      <c r="C275" s="33"/>
      <c r="D275" s="33"/>
      <c r="E275" s="33"/>
      <c r="F275" s="33"/>
    </row>
    <row r="276" ht="15.75" customHeight="1">
      <c r="C276" s="33"/>
      <c r="D276" s="33"/>
      <c r="E276" s="33"/>
      <c r="F276" s="33"/>
    </row>
    <row r="277" ht="15.75" customHeight="1">
      <c r="C277" s="33"/>
      <c r="D277" s="33"/>
      <c r="E277" s="33"/>
      <c r="F277" s="33"/>
    </row>
    <row r="278" ht="15.75" customHeight="1">
      <c r="C278" s="33"/>
      <c r="D278" s="33"/>
      <c r="E278" s="33"/>
      <c r="F278" s="33"/>
    </row>
    <row r="279" ht="15.75" customHeight="1">
      <c r="C279" s="33"/>
      <c r="D279" s="33"/>
      <c r="E279" s="33"/>
      <c r="F279" s="33"/>
    </row>
    <row r="280" ht="15.75" customHeight="1">
      <c r="C280" s="33"/>
      <c r="D280" s="33"/>
      <c r="E280" s="33"/>
      <c r="F280" s="33"/>
    </row>
    <row r="281" ht="15.75" customHeight="1">
      <c r="C281" s="33"/>
      <c r="D281" s="33"/>
      <c r="E281" s="33"/>
      <c r="F281" s="33"/>
    </row>
    <row r="282" ht="15.75" customHeight="1">
      <c r="C282" s="33"/>
      <c r="D282" s="33"/>
      <c r="E282" s="33"/>
      <c r="F282" s="33"/>
    </row>
    <row r="283" ht="15.75" customHeight="1">
      <c r="C283" s="33"/>
      <c r="D283" s="33"/>
      <c r="E283" s="33"/>
      <c r="F283" s="33"/>
    </row>
    <row r="284" ht="15.75" customHeight="1">
      <c r="C284" s="33"/>
      <c r="D284" s="33"/>
      <c r="E284" s="33"/>
      <c r="F284" s="33"/>
    </row>
    <row r="285" ht="15.75" customHeight="1">
      <c r="C285" s="33"/>
      <c r="D285" s="33"/>
      <c r="E285" s="33"/>
      <c r="F285" s="33"/>
    </row>
    <row r="286" ht="15.75" customHeight="1">
      <c r="C286" s="33"/>
      <c r="D286" s="33"/>
      <c r="E286" s="33"/>
      <c r="F286" s="33"/>
    </row>
    <row r="287" ht="15.75" customHeight="1">
      <c r="C287" s="33"/>
      <c r="D287" s="33"/>
      <c r="E287" s="33"/>
      <c r="F287" s="33"/>
    </row>
    <row r="288" ht="15.75" customHeight="1">
      <c r="C288" s="33"/>
      <c r="D288" s="33"/>
      <c r="E288" s="33"/>
      <c r="F288" s="33"/>
    </row>
    <row r="289" ht="15.75" customHeight="1">
      <c r="C289" s="33"/>
      <c r="D289" s="33"/>
      <c r="E289" s="33"/>
      <c r="F289" s="33"/>
    </row>
    <row r="290" ht="15.75" customHeight="1">
      <c r="C290" s="33"/>
      <c r="D290" s="33"/>
      <c r="E290" s="33"/>
      <c r="F290" s="33"/>
    </row>
    <row r="291" ht="15.75" customHeight="1">
      <c r="C291" s="33"/>
      <c r="D291" s="33"/>
      <c r="E291" s="33"/>
      <c r="F291" s="33"/>
    </row>
    <row r="292" ht="15.75" customHeight="1">
      <c r="C292" s="33"/>
      <c r="D292" s="33"/>
      <c r="E292" s="33"/>
      <c r="F292" s="33"/>
    </row>
    <row r="293" ht="15.75" customHeight="1">
      <c r="C293" s="33"/>
      <c r="D293" s="33"/>
      <c r="E293" s="33"/>
      <c r="F293" s="33"/>
    </row>
    <row r="294" ht="15.75" customHeight="1">
      <c r="C294" s="33"/>
      <c r="D294" s="33"/>
      <c r="E294" s="33"/>
      <c r="F294" s="33"/>
    </row>
    <row r="295" ht="15.75" customHeight="1">
      <c r="C295" s="33"/>
      <c r="D295" s="33"/>
      <c r="E295" s="33"/>
      <c r="F295" s="33"/>
    </row>
    <row r="296" ht="15.75" customHeight="1">
      <c r="C296" s="33"/>
      <c r="D296" s="33"/>
      <c r="E296" s="33"/>
      <c r="F296" s="33"/>
    </row>
    <row r="297" ht="15.75" customHeight="1">
      <c r="C297" s="33"/>
      <c r="D297" s="33"/>
      <c r="E297" s="33"/>
      <c r="F297" s="33"/>
    </row>
    <row r="298" ht="15.75" customHeight="1">
      <c r="C298" s="33"/>
      <c r="D298" s="33"/>
      <c r="E298" s="33"/>
      <c r="F298" s="33"/>
    </row>
    <row r="299" ht="15.75" customHeight="1">
      <c r="C299" s="33"/>
      <c r="D299" s="33"/>
      <c r="E299" s="33"/>
      <c r="F299" s="33"/>
    </row>
    <row r="300" ht="15.75" customHeight="1">
      <c r="C300" s="33"/>
      <c r="D300" s="33"/>
      <c r="E300" s="33"/>
      <c r="F300" s="33"/>
    </row>
    <row r="301" ht="15.75" customHeight="1">
      <c r="C301" s="33"/>
      <c r="D301" s="33"/>
      <c r="E301" s="33"/>
      <c r="F301" s="33"/>
    </row>
    <row r="302" ht="15.75" customHeight="1">
      <c r="C302" s="33"/>
      <c r="D302" s="33"/>
      <c r="E302" s="33"/>
      <c r="F302" s="33"/>
    </row>
    <row r="303" ht="15.75" customHeight="1">
      <c r="C303" s="33"/>
      <c r="D303" s="33"/>
      <c r="E303" s="33"/>
      <c r="F303" s="33"/>
    </row>
    <row r="304" ht="15.75" customHeight="1">
      <c r="C304" s="33"/>
      <c r="D304" s="33"/>
      <c r="E304" s="33"/>
      <c r="F304" s="33"/>
    </row>
    <row r="305" ht="15.75" customHeight="1">
      <c r="C305" s="33"/>
      <c r="D305" s="33"/>
      <c r="E305" s="33"/>
      <c r="F305" s="33"/>
    </row>
    <row r="306" ht="15.75" customHeight="1">
      <c r="C306" s="33"/>
      <c r="D306" s="33"/>
      <c r="E306" s="33"/>
      <c r="F306" s="33"/>
    </row>
    <row r="307" ht="15.75" customHeight="1">
      <c r="C307" s="33"/>
      <c r="D307" s="33"/>
      <c r="E307" s="33"/>
      <c r="F307" s="33"/>
    </row>
    <row r="308" ht="15.75" customHeight="1">
      <c r="C308" s="33"/>
      <c r="D308" s="33"/>
      <c r="E308" s="33"/>
      <c r="F308" s="33"/>
    </row>
    <row r="309" ht="15.75" customHeight="1">
      <c r="C309" s="33"/>
      <c r="D309" s="33"/>
      <c r="E309" s="33"/>
      <c r="F309" s="33"/>
    </row>
    <row r="310" ht="15.75" customHeight="1">
      <c r="C310" s="33"/>
      <c r="D310" s="33"/>
      <c r="E310" s="33"/>
      <c r="F310" s="33"/>
    </row>
    <row r="311" ht="15.75" customHeight="1">
      <c r="C311" s="33"/>
      <c r="D311" s="33"/>
      <c r="E311" s="33"/>
      <c r="F311" s="33"/>
    </row>
    <row r="312" ht="15.75" customHeight="1">
      <c r="C312" s="33"/>
      <c r="D312" s="33"/>
      <c r="E312" s="33"/>
      <c r="F312" s="33"/>
    </row>
    <row r="313" ht="15.75" customHeight="1">
      <c r="C313" s="33"/>
      <c r="D313" s="33"/>
      <c r="E313" s="33"/>
      <c r="F313" s="33"/>
    </row>
    <row r="314" ht="15.75" customHeight="1">
      <c r="C314" s="33"/>
      <c r="D314" s="33"/>
      <c r="E314" s="33"/>
      <c r="F314" s="33"/>
    </row>
    <row r="315" ht="15.75" customHeight="1">
      <c r="C315" s="33"/>
      <c r="D315" s="33"/>
      <c r="E315" s="33"/>
      <c r="F315" s="33"/>
    </row>
    <row r="316" ht="15.75" customHeight="1">
      <c r="C316" s="33"/>
      <c r="D316" s="33"/>
      <c r="E316" s="33"/>
      <c r="F316" s="33"/>
    </row>
    <row r="317" ht="15.75" customHeight="1">
      <c r="C317" s="33"/>
      <c r="D317" s="33"/>
      <c r="E317" s="33"/>
      <c r="F317" s="33"/>
    </row>
    <row r="318" ht="15.75" customHeight="1">
      <c r="C318" s="33"/>
      <c r="D318" s="33"/>
      <c r="E318" s="33"/>
      <c r="F318" s="33"/>
    </row>
    <row r="319" ht="15.75" customHeight="1">
      <c r="C319" s="33"/>
      <c r="D319" s="33"/>
      <c r="E319" s="33"/>
      <c r="F319" s="33"/>
    </row>
    <row r="320" ht="15.75" customHeight="1">
      <c r="C320" s="33"/>
      <c r="D320" s="33"/>
      <c r="E320" s="33"/>
      <c r="F320" s="33"/>
    </row>
    <row r="321" ht="15.75" customHeight="1">
      <c r="C321" s="33"/>
      <c r="D321" s="33"/>
      <c r="E321" s="33"/>
      <c r="F321" s="33"/>
    </row>
    <row r="322" ht="15.75" customHeight="1">
      <c r="C322" s="33"/>
      <c r="D322" s="33"/>
      <c r="E322" s="33"/>
      <c r="F322" s="33"/>
    </row>
    <row r="323" ht="15.75" customHeight="1">
      <c r="C323" s="33"/>
      <c r="D323" s="33"/>
      <c r="E323" s="33"/>
      <c r="F323" s="33"/>
    </row>
    <row r="324" ht="15.75" customHeight="1">
      <c r="C324" s="33"/>
      <c r="D324" s="33"/>
      <c r="E324" s="33"/>
      <c r="F324" s="33"/>
    </row>
    <row r="325" ht="15.75" customHeight="1">
      <c r="C325" s="33"/>
      <c r="D325" s="33"/>
      <c r="E325" s="33"/>
      <c r="F325" s="33"/>
    </row>
    <row r="326" ht="15.75" customHeight="1">
      <c r="C326" s="33"/>
      <c r="D326" s="33"/>
      <c r="E326" s="33"/>
      <c r="F326" s="33"/>
    </row>
    <row r="327" ht="15.75" customHeight="1">
      <c r="C327" s="33"/>
      <c r="D327" s="33"/>
      <c r="E327" s="33"/>
      <c r="F327" s="33"/>
    </row>
    <row r="328" ht="15.75" customHeight="1">
      <c r="C328" s="33"/>
      <c r="D328" s="33"/>
      <c r="E328" s="33"/>
      <c r="F328" s="33"/>
    </row>
    <row r="329" ht="15.75" customHeight="1">
      <c r="C329" s="33"/>
      <c r="D329" s="33"/>
      <c r="E329" s="33"/>
      <c r="F329" s="33"/>
    </row>
    <row r="330" ht="15.75" customHeight="1">
      <c r="C330" s="33"/>
      <c r="D330" s="33"/>
      <c r="E330" s="33"/>
      <c r="F330" s="33"/>
    </row>
    <row r="331" ht="15.75" customHeight="1">
      <c r="C331" s="33"/>
      <c r="D331" s="33"/>
      <c r="E331" s="33"/>
      <c r="F331" s="33"/>
    </row>
    <row r="332" ht="15.75" customHeight="1">
      <c r="C332" s="33"/>
      <c r="D332" s="33"/>
      <c r="E332" s="33"/>
      <c r="F332" s="33"/>
    </row>
    <row r="333" ht="15.75" customHeight="1">
      <c r="C333" s="33"/>
      <c r="D333" s="33"/>
      <c r="E333" s="33"/>
      <c r="F333" s="33"/>
    </row>
    <row r="334" ht="15.75" customHeight="1">
      <c r="C334" s="33"/>
      <c r="D334" s="33"/>
      <c r="E334" s="33"/>
      <c r="F334" s="33"/>
    </row>
    <row r="335" ht="15.75" customHeight="1">
      <c r="C335" s="33"/>
      <c r="D335" s="33"/>
      <c r="E335" s="33"/>
      <c r="F335" s="33"/>
    </row>
    <row r="336" ht="15.75" customHeight="1">
      <c r="C336" s="33"/>
      <c r="D336" s="33"/>
      <c r="E336" s="33"/>
      <c r="F336" s="33"/>
    </row>
    <row r="337" ht="15.75" customHeight="1">
      <c r="C337" s="33"/>
      <c r="D337" s="33"/>
      <c r="E337" s="33"/>
      <c r="F337" s="33"/>
    </row>
    <row r="338" ht="15.75" customHeight="1">
      <c r="C338" s="33"/>
      <c r="D338" s="33"/>
      <c r="E338" s="33"/>
      <c r="F338" s="33"/>
    </row>
    <row r="339" ht="15.75" customHeight="1">
      <c r="C339" s="33"/>
      <c r="D339" s="33"/>
      <c r="E339" s="33"/>
      <c r="F339" s="33"/>
    </row>
    <row r="340" ht="15.75" customHeight="1">
      <c r="C340" s="33"/>
      <c r="D340" s="33"/>
      <c r="E340" s="33"/>
      <c r="F340" s="33"/>
    </row>
    <row r="341" ht="15.75" customHeight="1">
      <c r="C341" s="33"/>
      <c r="D341" s="33"/>
      <c r="E341" s="33"/>
      <c r="F341" s="33"/>
    </row>
    <row r="342" ht="15.75" customHeight="1">
      <c r="C342" s="33"/>
      <c r="D342" s="33"/>
      <c r="E342" s="33"/>
      <c r="F342" s="33"/>
    </row>
    <row r="343" ht="15.75" customHeight="1">
      <c r="C343" s="33"/>
      <c r="D343" s="33"/>
      <c r="E343" s="33"/>
      <c r="F343" s="33"/>
    </row>
    <row r="344" ht="15.75" customHeight="1">
      <c r="C344" s="33"/>
      <c r="D344" s="33"/>
      <c r="E344" s="33"/>
      <c r="F344" s="33"/>
    </row>
    <row r="345" ht="15.75" customHeight="1">
      <c r="C345" s="33"/>
      <c r="D345" s="33"/>
      <c r="E345" s="33"/>
      <c r="F345" s="33"/>
    </row>
    <row r="346" ht="15.75" customHeight="1">
      <c r="C346" s="33"/>
      <c r="D346" s="33"/>
      <c r="E346" s="33"/>
      <c r="F346" s="33"/>
    </row>
    <row r="347" ht="15.75" customHeight="1">
      <c r="C347" s="33"/>
      <c r="D347" s="33"/>
      <c r="E347" s="33"/>
      <c r="F347" s="33"/>
    </row>
    <row r="348" ht="15.75" customHeight="1">
      <c r="C348" s="33"/>
      <c r="D348" s="33"/>
      <c r="E348" s="33"/>
      <c r="F348" s="33"/>
    </row>
    <row r="349" ht="15.75" customHeight="1">
      <c r="C349" s="33"/>
      <c r="D349" s="33"/>
      <c r="E349" s="33"/>
      <c r="F349" s="33"/>
    </row>
    <row r="350" ht="15.75" customHeight="1">
      <c r="C350" s="33"/>
      <c r="D350" s="33"/>
      <c r="E350" s="33"/>
      <c r="F350" s="33"/>
    </row>
    <row r="351" ht="15.75" customHeight="1">
      <c r="C351" s="33"/>
      <c r="D351" s="33"/>
      <c r="E351" s="33"/>
      <c r="F351" s="33"/>
    </row>
    <row r="352" ht="15.75" customHeight="1">
      <c r="C352" s="33"/>
      <c r="D352" s="33"/>
      <c r="E352" s="33"/>
      <c r="F352" s="33"/>
    </row>
    <row r="353" ht="15.75" customHeight="1">
      <c r="C353" s="33"/>
      <c r="D353" s="33"/>
      <c r="E353" s="33"/>
      <c r="F353" s="33"/>
    </row>
    <row r="354" ht="15.75" customHeight="1">
      <c r="C354" s="33"/>
      <c r="D354" s="33"/>
      <c r="E354" s="33"/>
      <c r="F354" s="33"/>
    </row>
    <row r="355" ht="15.75" customHeight="1">
      <c r="C355" s="33"/>
      <c r="D355" s="33"/>
      <c r="E355" s="33"/>
      <c r="F355" s="33"/>
    </row>
    <row r="356" ht="15.75" customHeight="1">
      <c r="C356" s="33"/>
      <c r="D356" s="33"/>
      <c r="E356" s="33"/>
      <c r="F356" s="33"/>
    </row>
    <row r="357" ht="15.75" customHeight="1">
      <c r="C357" s="33"/>
      <c r="D357" s="33"/>
      <c r="E357" s="33"/>
      <c r="F357" s="33"/>
    </row>
    <row r="358" ht="15.75" customHeight="1">
      <c r="C358" s="33"/>
      <c r="D358" s="33"/>
      <c r="E358" s="33"/>
      <c r="F358" s="33"/>
    </row>
    <row r="359" ht="15.75" customHeight="1">
      <c r="C359" s="33"/>
      <c r="D359" s="33"/>
      <c r="E359" s="33"/>
      <c r="F359" s="33"/>
    </row>
    <row r="360" ht="15.75" customHeight="1">
      <c r="C360" s="33"/>
      <c r="D360" s="33"/>
      <c r="E360" s="33"/>
      <c r="F360" s="33"/>
    </row>
    <row r="361" ht="15.75" customHeight="1">
      <c r="C361" s="33"/>
      <c r="D361" s="33"/>
      <c r="E361" s="33"/>
      <c r="F361" s="33"/>
    </row>
    <row r="362" ht="15.75" customHeight="1">
      <c r="C362" s="33"/>
      <c r="D362" s="33"/>
      <c r="E362" s="33"/>
      <c r="F362" s="33"/>
    </row>
    <row r="363" ht="15.75" customHeight="1">
      <c r="C363" s="33"/>
      <c r="D363" s="33"/>
      <c r="E363" s="33"/>
      <c r="F363" s="33"/>
    </row>
    <row r="364" ht="15.75" customHeight="1">
      <c r="C364" s="33"/>
      <c r="D364" s="33"/>
      <c r="E364" s="33"/>
      <c r="F364" s="33"/>
    </row>
    <row r="365" ht="15.75" customHeight="1">
      <c r="C365" s="33"/>
      <c r="D365" s="33"/>
      <c r="E365" s="33"/>
      <c r="F365" s="33"/>
    </row>
    <row r="366" ht="15.75" customHeight="1">
      <c r="C366" s="33"/>
      <c r="D366" s="33"/>
      <c r="E366" s="33"/>
      <c r="F366" s="33"/>
    </row>
    <row r="367" ht="15.75" customHeight="1">
      <c r="C367" s="33"/>
      <c r="D367" s="33"/>
      <c r="E367" s="33"/>
      <c r="F367" s="33"/>
    </row>
    <row r="368" ht="15.75" customHeight="1">
      <c r="C368" s="33"/>
      <c r="D368" s="33"/>
      <c r="E368" s="33"/>
      <c r="F368" s="33"/>
    </row>
    <row r="369" ht="15.75" customHeight="1">
      <c r="C369" s="33"/>
      <c r="D369" s="33"/>
      <c r="E369" s="33"/>
      <c r="F369" s="33"/>
    </row>
    <row r="370" ht="15.75" customHeight="1">
      <c r="C370" s="33"/>
      <c r="D370" s="33"/>
      <c r="E370" s="33"/>
      <c r="F370" s="33"/>
    </row>
    <row r="371" ht="15.75" customHeight="1">
      <c r="C371" s="33"/>
      <c r="D371" s="33"/>
      <c r="E371" s="33"/>
      <c r="F371" s="33"/>
    </row>
    <row r="372" ht="15.75" customHeight="1">
      <c r="C372" s="33"/>
      <c r="D372" s="33"/>
      <c r="E372" s="33"/>
      <c r="F372" s="33"/>
    </row>
    <row r="373" ht="15.75" customHeight="1">
      <c r="C373" s="33"/>
      <c r="D373" s="33"/>
      <c r="E373" s="33"/>
      <c r="F373" s="33"/>
    </row>
    <row r="374" ht="15.75" customHeight="1">
      <c r="C374" s="33"/>
      <c r="D374" s="33"/>
      <c r="E374" s="33"/>
      <c r="F374" s="33"/>
    </row>
    <row r="375" ht="15.75" customHeight="1">
      <c r="C375" s="33"/>
      <c r="D375" s="33"/>
      <c r="E375" s="33"/>
      <c r="F375" s="33"/>
    </row>
    <row r="376" ht="15.75" customHeight="1">
      <c r="C376" s="33"/>
      <c r="D376" s="33"/>
      <c r="E376" s="33"/>
      <c r="F376" s="33"/>
    </row>
    <row r="377" ht="15.75" customHeight="1">
      <c r="C377" s="33"/>
      <c r="D377" s="33"/>
      <c r="E377" s="33"/>
      <c r="F377" s="33"/>
    </row>
    <row r="378" ht="15.75" customHeight="1">
      <c r="C378" s="33"/>
      <c r="D378" s="33"/>
      <c r="E378" s="33"/>
      <c r="F378" s="33"/>
    </row>
    <row r="379" ht="15.75" customHeight="1">
      <c r="C379" s="33"/>
      <c r="D379" s="33"/>
      <c r="E379" s="33"/>
      <c r="F379" s="33"/>
    </row>
    <row r="380" ht="15.75" customHeight="1">
      <c r="C380" s="33"/>
      <c r="D380" s="33"/>
      <c r="E380" s="33"/>
      <c r="F380" s="33"/>
    </row>
    <row r="381" ht="15.75" customHeight="1">
      <c r="C381" s="33"/>
      <c r="D381" s="33"/>
      <c r="E381" s="33"/>
      <c r="F381" s="33"/>
    </row>
    <row r="382" ht="15.75" customHeight="1">
      <c r="C382" s="33"/>
      <c r="D382" s="33"/>
      <c r="E382" s="33"/>
      <c r="F382" s="33"/>
    </row>
    <row r="383" ht="15.75" customHeight="1">
      <c r="C383" s="33"/>
      <c r="D383" s="33"/>
      <c r="E383" s="33"/>
      <c r="F383" s="33"/>
    </row>
    <row r="384" ht="15.75" customHeight="1">
      <c r="C384" s="33"/>
      <c r="D384" s="33"/>
      <c r="E384" s="33"/>
      <c r="F384" s="33"/>
    </row>
    <row r="385" ht="15.75" customHeight="1">
      <c r="C385" s="33"/>
      <c r="D385" s="33"/>
      <c r="E385" s="33"/>
      <c r="F385" s="33"/>
    </row>
    <row r="386" ht="15.75" customHeight="1">
      <c r="C386" s="33"/>
      <c r="D386" s="33"/>
      <c r="E386" s="33"/>
      <c r="F386" s="33"/>
    </row>
    <row r="387" ht="15.75" customHeight="1">
      <c r="C387" s="33"/>
      <c r="D387" s="33"/>
      <c r="E387" s="33"/>
      <c r="F387" s="33"/>
    </row>
    <row r="388" ht="15.75" customHeight="1">
      <c r="C388" s="33"/>
      <c r="D388" s="33"/>
      <c r="E388" s="33"/>
      <c r="F388" s="33"/>
    </row>
    <row r="389" ht="15.75" customHeight="1">
      <c r="C389" s="33"/>
      <c r="D389" s="33"/>
      <c r="E389" s="33"/>
      <c r="F389" s="33"/>
    </row>
    <row r="390" ht="15.75" customHeight="1">
      <c r="C390" s="33"/>
      <c r="D390" s="33"/>
      <c r="E390" s="33"/>
      <c r="F390" s="33"/>
    </row>
    <row r="391" ht="15.75" customHeight="1">
      <c r="C391" s="33"/>
      <c r="D391" s="33"/>
      <c r="E391" s="33"/>
      <c r="F391" s="33"/>
    </row>
    <row r="392" ht="15.75" customHeight="1">
      <c r="C392" s="33"/>
      <c r="D392" s="33"/>
      <c r="E392" s="33"/>
      <c r="F392" s="33"/>
    </row>
    <row r="393" ht="15.75" customHeight="1">
      <c r="C393" s="33"/>
      <c r="D393" s="33"/>
      <c r="E393" s="33"/>
      <c r="F393" s="33"/>
    </row>
    <row r="394" ht="15.75" customHeight="1">
      <c r="C394" s="33"/>
      <c r="D394" s="33"/>
      <c r="E394" s="33"/>
      <c r="F394" s="33"/>
    </row>
    <row r="395" ht="15.75" customHeight="1">
      <c r="C395" s="33"/>
      <c r="D395" s="33"/>
      <c r="E395" s="33"/>
      <c r="F395" s="33"/>
    </row>
    <row r="396" ht="15.75" customHeight="1">
      <c r="C396" s="33"/>
      <c r="D396" s="33"/>
      <c r="E396" s="33"/>
      <c r="F396" s="33"/>
    </row>
    <row r="397" ht="15.75" customHeight="1">
      <c r="C397" s="33"/>
      <c r="D397" s="33"/>
      <c r="E397" s="33"/>
      <c r="F397" s="33"/>
    </row>
    <row r="398" ht="15.75" customHeight="1">
      <c r="C398" s="33"/>
      <c r="D398" s="33"/>
      <c r="E398" s="33"/>
      <c r="F398" s="33"/>
    </row>
    <row r="399" ht="15.75" customHeight="1">
      <c r="C399" s="33"/>
      <c r="D399" s="33"/>
      <c r="E399" s="33"/>
      <c r="F399" s="33"/>
    </row>
    <row r="400" ht="15.75" customHeight="1">
      <c r="C400" s="33"/>
      <c r="D400" s="33"/>
      <c r="E400" s="33"/>
      <c r="F400" s="33"/>
    </row>
    <row r="401" ht="15.75" customHeight="1">
      <c r="C401" s="33"/>
      <c r="D401" s="33"/>
      <c r="E401" s="33"/>
      <c r="F401" s="33"/>
    </row>
    <row r="402" ht="15.75" customHeight="1">
      <c r="C402" s="33"/>
      <c r="D402" s="33"/>
      <c r="E402" s="33"/>
      <c r="F402" s="33"/>
    </row>
    <row r="403" ht="15.75" customHeight="1">
      <c r="C403" s="33"/>
      <c r="D403" s="33"/>
      <c r="E403" s="33"/>
      <c r="F403" s="33"/>
    </row>
    <row r="404" ht="15.75" customHeight="1">
      <c r="C404" s="33"/>
      <c r="D404" s="33"/>
      <c r="E404" s="33"/>
      <c r="F404" s="33"/>
    </row>
    <row r="405" ht="15.75" customHeight="1">
      <c r="C405" s="33"/>
      <c r="D405" s="33"/>
      <c r="E405" s="33"/>
      <c r="F405" s="33"/>
    </row>
    <row r="406" ht="15.75" customHeight="1">
      <c r="C406" s="33"/>
      <c r="D406" s="33"/>
      <c r="E406" s="33"/>
      <c r="F406" s="33"/>
    </row>
    <row r="407" ht="15.75" customHeight="1">
      <c r="C407" s="33"/>
      <c r="D407" s="33"/>
      <c r="E407" s="33"/>
      <c r="F407" s="33"/>
    </row>
    <row r="408" ht="15.75" customHeight="1">
      <c r="C408" s="33"/>
      <c r="D408" s="33"/>
      <c r="E408" s="33"/>
      <c r="F408" s="33"/>
    </row>
    <row r="409" ht="15.75" customHeight="1">
      <c r="C409" s="33"/>
      <c r="D409" s="33"/>
      <c r="E409" s="33"/>
      <c r="F409" s="33"/>
    </row>
    <row r="410" ht="15.75" customHeight="1">
      <c r="C410" s="33"/>
      <c r="D410" s="33"/>
      <c r="E410" s="33"/>
      <c r="F410" s="33"/>
    </row>
    <row r="411" ht="15.75" customHeight="1">
      <c r="C411" s="33"/>
      <c r="D411" s="33"/>
      <c r="E411" s="33"/>
      <c r="F411" s="33"/>
    </row>
    <row r="412" ht="15.75" customHeight="1">
      <c r="C412" s="33"/>
      <c r="D412" s="33"/>
      <c r="E412" s="33"/>
      <c r="F412" s="33"/>
    </row>
    <row r="413" ht="15.75" customHeight="1">
      <c r="C413" s="33"/>
      <c r="D413" s="33"/>
      <c r="E413" s="33"/>
      <c r="F413" s="33"/>
    </row>
    <row r="414" ht="15.75" customHeight="1">
      <c r="C414" s="33"/>
      <c r="D414" s="33"/>
      <c r="E414" s="33"/>
      <c r="F414" s="33"/>
    </row>
    <row r="415" ht="15.75" customHeight="1">
      <c r="C415" s="33"/>
      <c r="D415" s="33"/>
      <c r="E415" s="33"/>
      <c r="F415" s="33"/>
    </row>
    <row r="416" ht="15.75" customHeight="1">
      <c r="C416" s="33"/>
      <c r="D416" s="33"/>
      <c r="E416" s="33"/>
      <c r="F416" s="33"/>
    </row>
    <row r="417" ht="15.75" customHeight="1">
      <c r="C417" s="33"/>
      <c r="D417" s="33"/>
      <c r="E417" s="33"/>
      <c r="F417" s="33"/>
    </row>
    <row r="418" ht="15.75" customHeight="1">
      <c r="C418" s="33"/>
      <c r="D418" s="33"/>
      <c r="E418" s="33"/>
      <c r="F418" s="33"/>
    </row>
    <row r="419" ht="15.75" customHeight="1">
      <c r="C419" s="33"/>
      <c r="D419" s="33"/>
      <c r="E419" s="33"/>
      <c r="F419" s="33"/>
    </row>
    <row r="420" ht="15.75" customHeight="1">
      <c r="C420" s="33"/>
      <c r="D420" s="33"/>
      <c r="E420" s="33"/>
      <c r="F420" s="33"/>
    </row>
    <row r="421" ht="15.75" customHeight="1">
      <c r="C421" s="33"/>
      <c r="D421" s="33"/>
      <c r="E421" s="33"/>
      <c r="F421" s="33"/>
    </row>
    <row r="422" ht="15.75" customHeight="1">
      <c r="C422" s="33"/>
      <c r="D422" s="33"/>
      <c r="E422" s="33"/>
      <c r="F422" s="33"/>
    </row>
    <row r="423" ht="15.75" customHeight="1">
      <c r="C423" s="33"/>
      <c r="D423" s="33"/>
      <c r="E423" s="33"/>
      <c r="F423" s="33"/>
    </row>
    <row r="424" ht="15.75" customHeight="1">
      <c r="C424" s="33"/>
      <c r="D424" s="33"/>
      <c r="E424" s="33"/>
      <c r="F424" s="33"/>
    </row>
    <row r="425" ht="15.75" customHeight="1">
      <c r="C425" s="33"/>
      <c r="D425" s="33"/>
      <c r="E425" s="33"/>
      <c r="F425" s="33"/>
    </row>
    <row r="426" ht="15.75" customHeight="1">
      <c r="C426" s="33"/>
      <c r="D426" s="33"/>
      <c r="E426" s="33"/>
      <c r="F426" s="33"/>
    </row>
    <row r="427" ht="15.75" customHeight="1">
      <c r="C427" s="33"/>
      <c r="D427" s="33"/>
      <c r="E427" s="33"/>
      <c r="F427" s="33"/>
    </row>
    <row r="428" ht="15.75" customHeight="1">
      <c r="C428" s="33"/>
      <c r="D428" s="33"/>
      <c r="E428" s="33"/>
      <c r="F428" s="33"/>
    </row>
    <row r="429" ht="15.75" customHeight="1">
      <c r="C429" s="33"/>
      <c r="D429" s="33"/>
      <c r="E429" s="33"/>
      <c r="F429" s="33"/>
    </row>
    <row r="430" ht="15.75" customHeight="1">
      <c r="C430" s="33"/>
      <c r="D430" s="33"/>
      <c r="E430" s="33"/>
      <c r="F430" s="33"/>
    </row>
    <row r="431" ht="15.75" customHeight="1">
      <c r="C431" s="33"/>
      <c r="D431" s="33"/>
      <c r="E431" s="33"/>
      <c r="F431" s="33"/>
    </row>
    <row r="432" ht="15.75" customHeight="1">
      <c r="C432" s="33"/>
      <c r="D432" s="33"/>
      <c r="E432" s="33"/>
      <c r="F432" s="33"/>
    </row>
    <row r="433" ht="15.75" customHeight="1">
      <c r="C433" s="33"/>
      <c r="D433" s="33"/>
      <c r="E433" s="33"/>
      <c r="F433" s="33"/>
    </row>
    <row r="434" ht="15.75" customHeight="1">
      <c r="C434" s="33"/>
      <c r="D434" s="33"/>
      <c r="E434" s="33"/>
      <c r="F434" s="33"/>
    </row>
    <row r="435" ht="15.75" customHeight="1">
      <c r="C435" s="33"/>
      <c r="D435" s="33"/>
      <c r="E435" s="33"/>
      <c r="F435" s="33"/>
    </row>
    <row r="436" ht="15.75" customHeight="1">
      <c r="C436" s="33"/>
      <c r="D436" s="33"/>
      <c r="E436" s="33"/>
      <c r="F436" s="33"/>
    </row>
    <row r="437" ht="15.75" customHeight="1">
      <c r="C437" s="33"/>
      <c r="D437" s="33"/>
      <c r="E437" s="33"/>
      <c r="F437" s="33"/>
    </row>
    <row r="438" ht="15.75" customHeight="1">
      <c r="C438" s="33"/>
      <c r="D438" s="33"/>
      <c r="E438" s="33"/>
      <c r="F438" s="33"/>
    </row>
    <row r="439" ht="15.75" customHeight="1">
      <c r="C439" s="33"/>
      <c r="D439" s="33"/>
      <c r="E439" s="33"/>
      <c r="F439" s="33"/>
    </row>
    <row r="440" ht="15.75" customHeight="1">
      <c r="C440" s="33"/>
      <c r="D440" s="33"/>
      <c r="E440" s="33"/>
      <c r="F440" s="33"/>
    </row>
    <row r="441" ht="15.75" customHeight="1">
      <c r="C441" s="33"/>
      <c r="D441" s="33"/>
      <c r="E441" s="33"/>
      <c r="F441" s="33"/>
    </row>
    <row r="442" ht="15.75" customHeight="1">
      <c r="C442" s="33"/>
      <c r="D442" s="33"/>
      <c r="E442" s="33"/>
      <c r="F442" s="33"/>
    </row>
    <row r="443" ht="15.75" customHeight="1">
      <c r="C443" s="33"/>
      <c r="D443" s="33"/>
      <c r="E443" s="33"/>
      <c r="F443" s="33"/>
    </row>
    <row r="444" ht="15.75" customHeight="1">
      <c r="C444" s="33"/>
      <c r="D444" s="33"/>
      <c r="E444" s="33"/>
      <c r="F444" s="33"/>
    </row>
    <row r="445" ht="15.75" customHeight="1">
      <c r="C445" s="33"/>
      <c r="D445" s="33"/>
      <c r="E445" s="33"/>
      <c r="F445" s="33"/>
    </row>
    <row r="446" ht="15.75" customHeight="1">
      <c r="C446" s="33"/>
      <c r="D446" s="33"/>
      <c r="E446" s="33"/>
      <c r="F446" s="33"/>
    </row>
    <row r="447" ht="15.75" customHeight="1">
      <c r="C447" s="33"/>
      <c r="D447" s="33"/>
      <c r="E447" s="33"/>
      <c r="F447" s="33"/>
    </row>
    <row r="448" ht="15.75" customHeight="1">
      <c r="C448" s="33"/>
      <c r="D448" s="33"/>
      <c r="E448" s="33"/>
      <c r="F448" s="33"/>
    </row>
    <row r="449" ht="15.75" customHeight="1">
      <c r="C449" s="33"/>
      <c r="D449" s="33"/>
      <c r="E449" s="33"/>
      <c r="F449" s="33"/>
    </row>
    <row r="450" ht="15.75" customHeight="1">
      <c r="C450" s="33"/>
      <c r="D450" s="33"/>
      <c r="E450" s="33"/>
      <c r="F450" s="33"/>
    </row>
    <row r="451" ht="15.75" customHeight="1">
      <c r="C451" s="33"/>
      <c r="D451" s="33"/>
      <c r="E451" s="33"/>
      <c r="F451" s="33"/>
    </row>
    <row r="452" ht="15.75" customHeight="1">
      <c r="C452" s="33"/>
      <c r="D452" s="33"/>
      <c r="E452" s="33"/>
      <c r="F452" s="33"/>
    </row>
    <row r="453" ht="15.75" customHeight="1">
      <c r="C453" s="33"/>
      <c r="D453" s="33"/>
      <c r="E453" s="33"/>
      <c r="F453" s="33"/>
    </row>
    <row r="454" ht="15.75" customHeight="1">
      <c r="C454" s="33"/>
      <c r="D454" s="33"/>
      <c r="E454" s="33"/>
      <c r="F454" s="33"/>
    </row>
    <row r="455" ht="15.75" customHeight="1">
      <c r="C455" s="33"/>
      <c r="D455" s="33"/>
      <c r="E455" s="33"/>
      <c r="F455" s="33"/>
    </row>
    <row r="456" ht="15.75" customHeight="1">
      <c r="C456" s="33"/>
      <c r="D456" s="33"/>
      <c r="E456" s="33"/>
      <c r="F456" s="33"/>
    </row>
    <row r="457" ht="15.75" customHeight="1">
      <c r="C457" s="33"/>
      <c r="D457" s="33"/>
      <c r="E457" s="33"/>
      <c r="F457" s="33"/>
    </row>
    <row r="458" ht="15.75" customHeight="1">
      <c r="C458" s="33"/>
      <c r="D458" s="33"/>
      <c r="E458" s="33"/>
      <c r="F458" s="33"/>
    </row>
    <row r="459" ht="15.75" customHeight="1">
      <c r="C459" s="33"/>
      <c r="D459" s="33"/>
      <c r="E459" s="33"/>
      <c r="F459" s="33"/>
    </row>
    <row r="460" ht="15.75" customHeight="1">
      <c r="C460" s="33"/>
      <c r="D460" s="33"/>
      <c r="E460" s="33"/>
      <c r="F460" s="33"/>
    </row>
    <row r="461" ht="15.75" customHeight="1">
      <c r="C461" s="33"/>
      <c r="D461" s="33"/>
      <c r="E461" s="33"/>
      <c r="F461" s="33"/>
    </row>
    <row r="462" ht="15.75" customHeight="1">
      <c r="C462" s="33"/>
      <c r="D462" s="33"/>
      <c r="E462" s="33"/>
      <c r="F462" s="33"/>
    </row>
    <row r="463" ht="15.75" customHeight="1">
      <c r="C463" s="33"/>
      <c r="D463" s="33"/>
      <c r="E463" s="33"/>
      <c r="F463" s="33"/>
    </row>
    <row r="464" ht="15.75" customHeight="1">
      <c r="C464" s="33"/>
      <c r="D464" s="33"/>
      <c r="E464" s="33"/>
      <c r="F464" s="33"/>
    </row>
    <row r="465" ht="15.75" customHeight="1">
      <c r="C465" s="33"/>
      <c r="D465" s="33"/>
      <c r="E465" s="33"/>
      <c r="F465" s="33"/>
    </row>
    <row r="466" ht="15.75" customHeight="1">
      <c r="C466" s="33"/>
      <c r="D466" s="33"/>
      <c r="E466" s="33"/>
      <c r="F466" s="33"/>
    </row>
    <row r="467" ht="15.75" customHeight="1">
      <c r="C467" s="33"/>
      <c r="D467" s="33"/>
      <c r="E467" s="33"/>
      <c r="F467" s="33"/>
    </row>
    <row r="468" ht="15.75" customHeight="1">
      <c r="C468" s="33"/>
      <c r="D468" s="33"/>
      <c r="E468" s="33"/>
      <c r="F468" s="33"/>
    </row>
    <row r="469" ht="15.75" customHeight="1">
      <c r="C469" s="33"/>
      <c r="D469" s="33"/>
      <c r="E469" s="33"/>
      <c r="F469" s="33"/>
    </row>
    <row r="470" ht="15.75" customHeight="1">
      <c r="C470" s="33"/>
      <c r="D470" s="33"/>
      <c r="E470" s="33"/>
      <c r="F470" s="33"/>
    </row>
    <row r="471" ht="15.75" customHeight="1">
      <c r="C471" s="33"/>
      <c r="D471" s="33"/>
      <c r="E471" s="33"/>
      <c r="F471" s="33"/>
    </row>
    <row r="472" ht="15.75" customHeight="1">
      <c r="C472" s="33"/>
      <c r="D472" s="33"/>
      <c r="E472" s="33"/>
      <c r="F472" s="33"/>
    </row>
    <row r="473" ht="15.75" customHeight="1">
      <c r="C473" s="33"/>
      <c r="D473" s="33"/>
      <c r="E473" s="33"/>
      <c r="F473" s="33"/>
    </row>
    <row r="474" ht="15.75" customHeight="1">
      <c r="C474" s="33"/>
      <c r="D474" s="33"/>
      <c r="E474" s="33"/>
      <c r="F474" s="33"/>
    </row>
    <row r="475" ht="15.75" customHeight="1">
      <c r="C475" s="33"/>
      <c r="D475" s="33"/>
      <c r="E475" s="33"/>
      <c r="F475" s="33"/>
    </row>
    <row r="476" ht="15.75" customHeight="1">
      <c r="C476" s="33"/>
      <c r="D476" s="33"/>
      <c r="E476" s="33"/>
      <c r="F476" s="33"/>
    </row>
    <row r="477" ht="15.75" customHeight="1">
      <c r="C477" s="33"/>
      <c r="D477" s="33"/>
      <c r="E477" s="33"/>
      <c r="F477" s="33"/>
    </row>
    <row r="478" ht="15.75" customHeight="1">
      <c r="C478" s="33"/>
      <c r="D478" s="33"/>
      <c r="E478" s="33"/>
      <c r="F478" s="33"/>
    </row>
    <row r="479" ht="15.75" customHeight="1">
      <c r="C479" s="33"/>
      <c r="D479" s="33"/>
      <c r="E479" s="33"/>
      <c r="F479" s="33"/>
    </row>
    <row r="480" ht="15.75" customHeight="1">
      <c r="C480" s="33"/>
      <c r="D480" s="33"/>
      <c r="E480" s="33"/>
      <c r="F480" s="33"/>
    </row>
    <row r="481" ht="15.75" customHeight="1">
      <c r="C481" s="33"/>
      <c r="D481" s="33"/>
      <c r="E481" s="33"/>
      <c r="F481" s="33"/>
    </row>
    <row r="482" ht="15.75" customHeight="1">
      <c r="C482" s="33"/>
      <c r="D482" s="33"/>
      <c r="E482" s="33"/>
      <c r="F482" s="33"/>
    </row>
    <row r="483" ht="15.75" customHeight="1">
      <c r="C483" s="33"/>
      <c r="D483" s="33"/>
      <c r="E483" s="33"/>
      <c r="F483" s="33"/>
    </row>
    <row r="484" ht="15.75" customHeight="1">
      <c r="C484" s="33"/>
      <c r="D484" s="33"/>
      <c r="E484" s="33"/>
      <c r="F484" s="33"/>
    </row>
    <row r="485" ht="15.75" customHeight="1">
      <c r="C485" s="33"/>
      <c r="D485" s="33"/>
      <c r="E485" s="33"/>
      <c r="F485" s="33"/>
    </row>
    <row r="486" ht="15.75" customHeight="1">
      <c r="C486" s="33"/>
      <c r="D486" s="33"/>
      <c r="E486" s="33"/>
      <c r="F486" s="33"/>
    </row>
    <row r="487" ht="15.75" customHeight="1">
      <c r="C487" s="33"/>
      <c r="D487" s="33"/>
      <c r="E487" s="33"/>
      <c r="F487" s="33"/>
    </row>
    <row r="488" ht="15.75" customHeight="1">
      <c r="C488" s="33"/>
      <c r="D488" s="33"/>
      <c r="E488" s="33"/>
      <c r="F488" s="33"/>
    </row>
    <row r="489" ht="15.75" customHeight="1">
      <c r="C489" s="33"/>
      <c r="D489" s="33"/>
      <c r="E489" s="33"/>
      <c r="F489" s="33"/>
    </row>
    <row r="490" ht="15.75" customHeight="1">
      <c r="C490" s="33"/>
      <c r="D490" s="33"/>
      <c r="E490" s="33"/>
      <c r="F490" s="33"/>
    </row>
    <row r="491" ht="15.75" customHeight="1">
      <c r="C491" s="33"/>
      <c r="D491" s="33"/>
      <c r="E491" s="33"/>
      <c r="F491" s="33"/>
    </row>
    <row r="492" ht="15.75" customHeight="1">
      <c r="C492" s="33"/>
      <c r="D492" s="33"/>
      <c r="E492" s="33"/>
      <c r="F492" s="33"/>
    </row>
    <row r="493" ht="15.75" customHeight="1">
      <c r="C493" s="33"/>
      <c r="D493" s="33"/>
      <c r="E493" s="33"/>
      <c r="F493" s="33"/>
    </row>
    <row r="494" ht="15.75" customHeight="1">
      <c r="C494" s="33"/>
      <c r="D494" s="33"/>
      <c r="E494" s="33"/>
      <c r="F494" s="33"/>
    </row>
    <row r="495" ht="15.75" customHeight="1">
      <c r="C495" s="33"/>
      <c r="D495" s="33"/>
      <c r="E495" s="33"/>
      <c r="F495" s="33"/>
    </row>
    <row r="496" ht="15.75" customHeight="1">
      <c r="C496" s="33"/>
      <c r="D496" s="33"/>
      <c r="E496" s="33"/>
      <c r="F496" s="33"/>
    </row>
    <row r="497" ht="15.75" customHeight="1">
      <c r="C497" s="33"/>
      <c r="D497" s="33"/>
      <c r="E497" s="33"/>
      <c r="F497" s="33"/>
    </row>
    <row r="498" ht="15.75" customHeight="1">
      <c r="C498" s="33"/>
      <c r="D498" s="33"/>
      <c r="E498" s="33"/>
      <c r="F498" s="33"/>
    </row>
    <row r="499" ht="15.75" customHeight="1">
      <c r="C499" s="33"/>
      <c r="D499" s="33"/>
      <c r="E499" s="33"/>
      <c r="F499" s="33"/>
    </row>
    <row r="500" ht="15.75" customHeight="1">
      <c r="C500" s="33"/>
      <c r="D500" s="33"/>
      <c r="E500" s="33"/>
      <c r="F500" s="33"/>
    </row>
    <row r="501" ht="15.75" customHeight="1">
      <c r="C501" s="33"/>
      <c r="D501" s="33"/>
      <c r="E501" s="33"/>
      <c r="F501" s="33"/>
    </row>
    <row r="502" ht="15.75" customHeight="1">
      <c r="C502" s="33"/>
      <c r="D502" s="33"/>
      <c r="E502" s="33"/>
      <c r="F502" s="33"/>
    </row>
    <row r="503" ht="15.75" customHeight="1">
      <c r="C503" s="33"/>
      <c r="D503" s="33"/>
      <c r="E503" s="33"/>
      <c r="F503" s="33"/>
    </row>
    <row r="504" ht="15.75" customHeight="1">
      <c r="C504" s="33"/>
      <c r="D504" s="33"/>
      <c r="E504" s="33"/>
      <c r="F504" s="33"/>
    </row>
    <row r="505" ht="15.75" customHeight="1">
      <c r="C505" s="33"/>
      <c r="D505" s="33"/>
      <c r="E505" s="33"/>
      <c r="F505" s="33"/>
    </row>
    <row r="506" ht="15.75" customHeight="1">
      <c r="C506" s="33"/>
      <c r="D506" s="33"/>
      <c r="E506" s="33"/>
      <c r="F506" s="33"/>
    </row>
    <row r="507" ht="15.75" customHeight="1">
      <c r="C507" s="33"/>
      <c r="D507" s="33"/>
      <c r="E507" s="33"/>
      <c r="F507" s="33"/>
    </row>
    <row r="508" ht="15.75" customHeight="1">
      <c r="C508" s="33"/>
      <c r="D508" s="33"/>
      <c r="E508" s="33"/>
      <c r="F508" s="33"/>
    </row>
    <row r="509" ht="15.75" customHeight="1">
      <c r="C509" s="33"/>
      <c r="D509" s="33"/>
      <c r="E509" s="33"/>
      <c r="F509" s="33"/>
    </row>
    <row r="510" ht="15.75" customHeight="1">
      <c r="C510" s="33"/>
      <c r="D510" s="33"/>
      <c r="E510" s="33"/>
      <c r="F510" s="33"/>
    </row>
    <row r="511" ht="15.75" customHeight="1">
      <c r="C511" s="33"/>
      <c r="D511" s="33"/>
      <c r="E511" s="33"/>
      <c r="F511" s="33"/>
    </row>
    <row r="512" ht="15.75" customHeight="1">
      <c r="C512" s="33"/>
      <c r="D512" s="33"/>
      <c r="E512" s="33"/>
      <c r="F512" s="33"/>
    </row>
    <row r="513" ht="15.75" customHeight="1">
      <c r="C513" s="33"/>
      <c r="D513" s="33"/>
      <c r="E513" s="33"/>
      <c r="F513" s="33"/>
    </row>
    <row r="514" ht="15.75" customHeight="1">
      <c r="C514" s="33"/>
      <c r="D514" s="33"/>
      <c r="E514" s="33"/>
      <c r="F514" s="33"/>
    </row>
    <row r="515" ht="15.75" customHeight="1">
      <c r="C515" s="33"/>
      <c r="D515" s="33"/>
      <c r="E515" s="33"/>
      <c r="F515" s="33"/>
    </row>
    <row r="516" ht="15.75" customHeight="1">
      <c r="C516" s="33"/>
      <c r="D516" s="33"/>
      <c r="E516" s="33"/>
      <c r="F516" s="33"/>
    </row>
    <row r="517" ht="15.75" customHeight="1">
      <c r="C517" s="33"/>
      <c r="D517" s="33"/>
      <c r="E517" s="33"/>
      <c r="F517" s="33"/>
    </row>
    <row r="518" ht="15.75" customHeight="1">
      <c r="C518" s="33"/>
      <c r="D518" s="33"/>
      <c r="E518" s="33"/>
      <c r="F518" s="33"/>
    </row>
    <row r="519" ht="15.75" customHeight="1">
      <c r="C519" s="33"/>
      <c r="D519" s="33"/>
      <c r="E519" s="33"/>
      <c r="F519" s="33"/>
    </row>
    <row r="520" ht="15.75" customHeight="1">
      <c r="C520" s="33"/>
      <c r="D520" s="33"/>
      <c r="E520" s="33"/>
      <c r="F520" s="33"/>
    </row>
    <row r="521" ht="15.75" customHeight="1">
      <c r="C521" s="33"/>
      <c r="D521" s="33"/>
      <c r="E521" s="33"/>
      <c r="F521" s="33"/>
    </row>
    <row r="522" ht="15.75" customHeight="1">
      <c r="C522" s="33"/>
      <c r="D522" s="33"/>
      <c r="E522" s="33"/>
      <c r="F522" s="33"/>
    </row>
    <row r="523" ht="15.75" customHeight="1">
      <c r="C523" s="33"/>
      <c r="D523" s="33"/>
      <c r="E523" s="33"/>
      <c r="F523" s="33"/>
    </row>
    <row r="524" ht="15.75" customHeight="1">
      <c r="C524" s="33"/>
      <c r="D524" s="33"/>
      <c r="E524" s="33"/>
      <c r="F524" s="33"/>
    </row>
    <row r="525" ht="15.75" customHeight="1">
      <c r="C525" s="33"/>
      <c r="D525" s="33"/>
      <c r="E525" s="33"/>
      <c r="F525" s="33"/>
    </row>
    <row r="526" ht="15.75" customHeight="1">
      <c r="C526" s="33"/>
      <c r="D526" s="33"/>
      <c r="E526" s="33"/>
      <c r="F526" s="33"/>
    </row>
    <row r="527" ht="15.75" customHeight="1">
      <c r="C527" s="33"/>
      <c r="D527" s="33"/>
      <c r="E527" s="33"/>
      <c r="F527" s="33"/>
    </row>
    <row r="528" ht="15.75" customHeight="1">
      <c r="C528" s="33"/>
      <c r="D528" s="33"/>
      <c r="E528" s="33"/>
      <c r="F528" s="33"/>
    </row>
    <row r="529" ht="15.75" customHeight="1">
      <c r="C529" s="33"/>
      <c r="D529" s="33"/>
      <c r="E529" s="33"/>
      <c r="F529" s="33"/>
    </row>
    <row r="530" ht="15.75" customHeight="1">
      <c r="C530" s="33"/>
      <c r="D530" s="33"/>
      <c r="E530" s="33"/>
      <c r="F530" s="33"/>
    </row>
    <row r="531" ht="15.75" customHeight="1">
      <c r="C531" s="33"/>
      <c r="D531" s="33"/>
      <c r="E531" s="33"/>
      <c r="F531" s="33"/>
    </row>
    <row r="532" ht="15.75" customHeight="1">
      <c r="C532" s="33"/>
      <c r="D532" s="33"/>
      <c r="E532" s="33"/>
      <c r="F532" s="33"/>
    </row>
    <row r="533" ht="15.75" customHeight="1">
      <c r="C533" s="33"/>
      <c r="D533" s="33"/>
      <c r="E533" s="33"/>
      <c r="F533" s="33"/>
    </row>
    <row r="534" ht="15.75" customHeight="1">
      <c r="C534" s="33"/>
      <c r="D534" s="33"/>
      <c r="E534" s="33"/>
      <c r="F534" s="33"/>
    </row>
    <row r="535" ht="15.75" customHeight="1">
      <c r="C535" s="33"/>
      <c r="D535" s="33"/>
      <c r="E535" s="33"/>
      <c r="F535" s="33"/>
    </row>
    <row r="536" ht="15.75" customHeight="1">
      <c r="C536" s="33"/>
      <c r="D536" s="33"/>
      <c r="E536" s="33"/>
      <c r="F536" s="33"/>
    </row>
    <row r="537" ht="15.75" customHeight="1">
      <c r="C537" s="33"/>
      <c r="D537" s="33"/>
      <c r="E537" s="33"/>
      <c r="F537" s="33"/>
    </row>
    <row r="538" ht="15.75" customHeight="1">
      <c r="C538" s="33"/>
      <c r="D538" s="33"/>
      <c r="E538" s="33"/>
      <c r="F538" s="33"/>
    </row>
    <row r="539" ht="15.75" customHeight="1">
      <c r="C539" s="33"/>
      <c r="D539" s="33"/>
      <c r="E539" s="33"/>
      <c r="F539" s="33"/>
    </row>
    <row r="540" ht="15.75" customHeight="1">
      <c r="C540" s="33"/>
      <c r="D540" s="33"/>
      <c r="E540" s="33"/>
      <c r="F540" s="33"/>
    </row>
    <row r="541" ht="15.75" customHeight="1">
      <c r="C541" s="33"/>
      <c r="D541" s="33"/>
      <c r="E541" s="33"/>
      <c r="F541" s="33"/>
    </row>
    <row r="542" ht="15.75" customHeight="1">
      <c r="C542" s="33"/>
      <c r="D542" s="33"/>
      <c r="E542" s="33"/>
      <c r="F542" s="33"/>
    </row>
    <row r="543" ht="15.75" customHeight="1">
      <c r="C543" s="33"/>
      <c r="D543" s="33"/>
      <c r="E543" s="33"/>
      <c r="F543" s="33"/>
    </row>
    <row r="544" ht="15.75" customHeight="1">
      <c r="C544" s="33"/>
      <c r="D544" s="33"/>
      <c r="E544" s="33"/>
      <c r="F544" s="33"/>
    </row>
    <row r="545" ht="15.75" customHeight="1">
      <c r="C545" s="33"/>
      <c r="D545" s="33"/>
      <c r="E545" s="33"/>
      <c r="F545" s="33"/>
    </row>
    <row r="546" ht="15.75" customHeight="1">
      <c r="C546" s="33"/>
      <c r="D546" s="33"/>
      <c r="E546" s="33"/>
      <c r="F546" s="33"/>
    </row>
    <row r="547" ht="15.75" customHeight="1">
      <c r="C547" s="33"/>
      <c r="D547" s="33"/>
      <c r="E547" s="33"/>
      <c r="F547" s="33"/>
    </row>
    <row r="548" ht="15.75" customHeight="1">
      <c r="C548" s="33"/>
      <c r="D548" s="33"/>
      <c r="E548" s="33"/>
      <c r="F548" s="33"/>
    </row>
    <row r="549" ht="15.75" customHeight="1">
      <c r="C549" s="33"/>
      <c r="D549" s="33"/>
      <c r="E549" s="33"/>
      <c r="F549" s="33"/>
    </row>
    <row r="550" ht="15.75" customHeight="1">
      <c r="C550" s="33"/>
      <c r="D550" s="33"/>
      <c r="E550" s="33"/>
      <c r="F550" s="33"/>
    </row>
    <row r="551" ht="15.75" customHeight="1">
      <c r="C551" s="33"/>
      <c r="D551" s="33"/>
      <c r="E551" s="33"/>
      <c r="F551" s="33"/>
    </row>
    <row r="552" ht="15.75" customHeight="1">
      <c r="C552" s="33"/>
      <c r="D552" s="33"/>
      <c r="E552" s="33"/>
      <c r="F552" s="33"/>
    </row>
    <row r="553" ht="15.75" customHeight="1">
      <c r="C553" s="33"/>
      <c r="D553" s="33"/>
      <c r="E553" s="33"/>
      <c r="F553" s="33"/>
    </row>
    <row r="554" ht="15.75" customHeight="1">
      <c r="C554" s="33"/>
      <c r="D554" s="33"/>
      <c r="E554" s="33"/>
      <c r="F554" s="33"/>
    </row>
    <row r="555" ht="15.75" customHeight="1">
      <c r="C555" s="33"/>
      <c r="D555" s="33"/>
      <c r="E555" s="33"/>
      <c r="F555" s="33"/>
    </row>
    <row r="556" ht="15.75" customHeight="1">
      <c r="C556" s="33"/>
      <c r="D556" s="33"/>
      <c r="E556" s="33"/>
      <c r="F556" s="33"/>
    </row>
    <row r="557" ht="15.75" customHeight="1">
      <c r="C557" s="33"/>
      <c r="D557" s="33"/>
      <c r="E557" s="33"/>
      <c r="F557" s="33"/>
    </row>
    <row r="558" ht="15.75" customHeight="1">
      <c r="C558" s="33"/>
      <c r="D558" s="33"/>
      <c r="E558" s="33"/>
      <c r="F558" s="33"/>
    </row>
    <row r="559" ht="15.75" customHeight="1">
      <c r="C559" s="33"/>
      <c r="D559" s="33"/>
      <c r="E559" s="33"/>
      <c r="F559" s="33"/>
    </row>
    <row r="560" ht="15.75" customHeight="1">
      <c r="C560" s="33"/>
      <c r="D560" s="33"/>
      <c r="E560" s="33"/>
      <c r="F560" s="33"/>
    </row>
    <row r="561" ht="15.75" customHeight="1">
      <c r="C561" s="33"/>
      <c r="D561" s="33"/>
      <c r="E561" s="33"/>
      <c r="F561" s="33"/>
    </row>
    <row r="562" ht="15.75" customHeight="1">
      <c r="C562" s="33"/>
      <c r="D562" s="33"/>
      <c r="E562" s="33"/>
      <c r="F562" s="33"/>
    </row>
    <row r="563" ht="15.75" customHeight="1">
      <c r="C563" s="33"/>
      <c r="D563" s="33"/>
      <c r="E563" s="33"/>
      <c r="F563" s="33"/>
    </row>
    <row r="564" ht="15.75" customHeight="1">
      <c r="C564" s="33"/>
      <c r="D564" s="33"/>
      <c r="E564" s="33"/>
      <c r="F564" s="33"/>
    </row>
    <row r="565" ht="15.75" customHeight="1">
      <c r="C565" s="33"/>
      <c r="D565" s="33"/>
      <c r="E565" s="33"/>
      <c r="F565" s="33"/>
    </row>
    <row r="566" ht="15.75" customHeight="1">
      <c r="C566" s="33"/>
      <c r="D566" s="33"/>
      <c r="E566" s="33"/>
      <c r="F566" s="33"/>
    </row>
    <row r="567" ht="15.75" customHeight="1">
      <c r="C567" s="33"/>
      <c r="D567" s="33"/>
      <c r="E567" s="33"/>
      <c r="F567" s="33"/>
    </row>
    <row r="568" ht="15.75" customHeight="1">
      <c r="C568" s="33"/>
      <c r="D568" s="33"/>
      <c r="E568" s="33"/>
      <c r="F568" s="33"/>
    </row>
    <row r="569" ht="15.75" customHeight="1">
      <c r="C569" s="33"/>
      <c r="D569" s="33"/>
      <c r="E569" s="33"/>
      <c r="F569" s="33"/>
    </row>
    <row r="570" ht="15.75" customHeight="1">
      <c r="C570" s="33"/>
      <c r="D570" s="33"/>
      <c r="E570" s="33"/>
      <c r="F570" s="33"/>
    </row>
    <row r="571" ht="15.75" customHeight="1">
      <c r="C571" s="33"/>
      <c r="D571" s="33"/>
      <c r="E571" s="33"/>
      <c r="F571" s="33"/>
    </row>
    <row r="572" ht="15.75" customHeight="1">
      <c r="C572" s="33"/>
      <c r="D572" s="33"/>
      <c r="E572" s="33"/>
      <c r="F572" s="33"/>
    </row>
    <row r="573" ht="15.75" customHeight="1">
      <c r="C573" s="33"/>
      <c r="D573" s="33"/>
      <c r="E573" s="33"/>
      <c r="F573" s="33"/>
    </row>
    <row r="574" ht="15.75" customHeight="1">
      <c r="C574" s="33"/>
      <c r="D574" s="33"/>
      <c r="E574" s="33"/>
      <c r="F574" s="33"/>
    </row>
    <row r="575" ht="15.75" customHeight="1">
      <c r="C575" s="33"/>
      <c r="D575" s="33"/>
      <c r="E575" s="33"/>
      <c r="F575" s="33"/>
    </row>
    <row r="576" ht="15.75" customHeight="1">
      <c r="C576" s="33"/>
      <c r="D576" s="33"/>
      <c r="E576" s="33"/>
      <c r="F576" s="33"/>
    </row>
    <row r="577" ht="15.75" customHeight="1">
      <c r="C577" s="33"/>
      <c r="D577" s="33"/>
      <c r="E577" s="33"/>
      <c r="F577" s="33"/>
    </row>
    <row r="578" ht="15.75" customHeight="1">
      <c r="C578" s="33"/>
      <c r="D578" s="33"/>
      <c r="E578" s="33"/>
      <c r="F578" s="33"/>
    </row>
    <row r="579" ht="15.75" customHeight="1">
      <c r="C579" s="33"/>
      <c r="D579" s="33"/>
      <c r="E579" s="33"/>
      <c r="F579" s="33"/>
    </row>
    <row r="580" ht="15.75" customHeight="1">
      <c r="C580" s="33"/>
      <c r="D580" s="33"/>
      <c r="E580" s="33"/>
      <c r="F580" s="33"/>
    </row>
    <row r="581" ht="15.75" customHeight="1">
      <c r="C581" s="33"/>
      <c r="D581" s="33"/>
      <c r="E581" s="33"/>
      <c r="F581" s="33"/>
    </row>
    <row r="582" ht="15.75" customHeight="1">
      <c r="C582" s="33"/>
      <c r="D582" s="33"/>
      <c r="E582" s="33"/>
      <c r="F582" s="33"/>
    </row>
    <row r="583" ht="15.75" customHeight="1">
      <c r="C583" s="33"/>
      <c r="D583" s="33"/>
      <c r="E583" s="33"/>
      <c r="F583" s="33"/>
    </row>
    <row r="584" ht="15.75" customHeight="1">
      <c r="C584" s="33"/>
      <c r="D584" s="33"/>
      <c r="E584" s="33"/>
      <c r="F584" s="33"/>
    </row>
    <row r="585" ht="15.75" customHeight="1">
      <c r="C585" s="33"/>
      <c r="D585" s="33"/>
      <c r="E585" s="33"/>
      <c r="F585" s="33"/>
    </row>
    <row r="586" ht="15.75" customHeight="1">
      <c r="C586" s="33"/>
      <c r="D586" s="33"/>
      <c r="E586" s="33"/>
      <c r="F586" s="33"/>
    </row>
    <row r="587" ht="15.75" customHeight="1">
      <c r="C587" s="33"/>
      <c r="D587" s="33"/>
      <c r="E587" s="33"/>
      <c r="F587" s="33"/>
    </row>
    <row r="588" ht="15.75" customHeight="1">
      <c r="C588" s="33"/>
      <c r="D588" s="33"/>
      <c r="E588" s="33"/>
      <c r="F588" s="33"/>
    </row>
    <row r="589" ht="15.75" customHeight="1">
      <c r="C589" s="33"/>
      <c r="D589" s="33"/>
      <c r="E589" s="33"/>
      <c r="F589" s="33"/>
    </row>
    <row r="590" ht="15.75" customHeight="1">
      <c r="C590" s="33"/>
      <c r="D590" s="33"/>
      <c r="E590" s="33"/>
      <c r="F590" s="33"/>
    </row>
    <row r="591" ht="15.75" customHeight="1">
      <c r="C591" s="33"/>
      <c r="D591" s="33"/>
      <c r="E591" s="33"/>
      <c r="F591" s="33"/>
    </row>
    <row r="592" ht="15.75" customHeight="1">
      <c r="C592" s="33"/>
      <c r="D592" s="33"/>
      <c r="E592" s="33"/>
      <c r="F592" s="33"/>
    </row>
    <row r="593" ht="15.75" customHeight="1">
      <c r="C593" s="33"/>
      <c r="D593" s="33"/>
      <c r="E593" s="33"/>
      <c r="F593" s="33"/>
    </row>
    <row r="594" ht="15.75" customHeight="1">
      <c r="C594" s="33"/>
      <c r="D594" s="33"/>
      <c r="E594" s="33"/>
      <c r="F594" s="33"/>
    </row>
    <row r="595" ht="15.75" customHeight="1">
      <c r="C595" s="33"/>
      <c r="D595" s="33"/>
      <c r="E595" s="33"/>
      <c r="F595" s="33"/>
    </row>
    <row r="596" ht="15.75" customHeight="1">
      <c r="C596" s="33"/>
      <c r="D596" s="33"/>
      <c r="E596" s="33"/>
      <c r="F596" s="33"/>
    </row>
    <row r="597" ht="15.75" customHeight="1">
      <c r="C597" s="33"/>
      <c r="D597" s="33"/>
      <c r="E597" s="33"/>
      <c r="F597" s="33"/>
    </row>
    <row r="598" ht="15.75" customHeight="1">
      <c r="C598" s="33"/>
      <c r="D598" s="33"/>
      <c r="E598" s="33"/>
      <c r="F598" s="33"/>
    </row>
    <row r="599" ht="15.75" customHeight="1">
      <c r="C599" s="33"/>
      <c r="D599" s="33"/>
      <c r="E599" s="33"/>
      <c r="F599" s="33"/>
    </row>
    <row r="600" ht="15.75" customHeight="1">
      <c r="C600" s="33"/>
      <c r="D600" s="33"/>
      <c r="E600" s="33"/>
      <c r="F600" s="33"/>
    </row>
    <row r="601" ht="15.75" customHeight="1">
      <c r="C601" s="33"/>
      <c r="D601" s="33"/>
      <c r="E601" s="33"/>
      <c r="F601" s="33"/>
    </row>
    <row r="602" ht="15.75" customHeight="1">
      <c r="C602" s="33"/>
      <c r="D602" s="33"/>
      <c r="E602" s="33"/>
      <c r="F602" s="33"/>
    </row>
    <row r="603" ht="15.75" customHeight="1">
      <c r="C603" s="33"/>
      <c r="D603" s="33"/>
      <c r="E603" s="33"/>
      <c r="F603" s="33"/>
    </row>
    <row r="604" ht="15.75" customHeight="1">
      <c r="C604" s="33"/>
      <c r="D604" s="33"/>
      <c r="E604" s="33"/>
      <c r="F604" s="33"/>
    </row>
    <row r="605" ht="15.75" customHeight="1">
      <c r="C605" s="33"/>
      <c r="D605" s="33"/>
      <c r="E605" s="33"/>
      <c r="F605" s="33"/>
    </row>
    <row r="606" ht="15.75" customHeight="1">
      <c r="C606" s="33"/>
      <c r="D606" s="33"/>
      <c r="E606" s="33"/>
      <c r="F606" s="33"/>
    </row>
    <row r="607" ht="15.75" customHeight="1">
      <c r="C607" s="33"/>
      <c r="D607" s="33"/>
      <c r="E607" s="33"/>
      <c r="F607" s="33"/>
    </row>
    <row r="608" ht="15.75" customHeight="1">
      <c r="C608" s="33"/>
      <c r="D608" s="33"/>
      <c r="E608" s="33"/>
      <c r="F608" s="33"/>
    </row>
    <row r="609" ht="15.75" customHeight="1">
      <c r="C609" s="33"/>
      <c r="D609" s="33"/>
      <c r="E609" s="33"/>
      <c r="F609" s="33"/>
    </row>
    <row r="610" ht="15.75" customHeight="1">
      <c r="C610" s="33"/>
      <c r="D610" s="33"/>
      <c r="E610" s="33"/>
      <c r="F610" s="33"/>
    </row>
    <row r="611" ht="15.75" customHeight="1">
      <c r="C611" s="33"/>
      <c r="D611" s="33"/>
      <c r="E611" s="33"/>
      <c r="F611" s="33"/>
    </row>
    <row r="612" ht="15.75" customHeight="1">
      <c r="C612" s="33"/>
      <c r="D612" s="33"/>
      <c r="E612" s="33"/>
      <c r="F612" s="33"/>
    </row>
    <row r="613" ht="15.75" customHeight="1">
      <c r="C613" s="33"/>
      <c r="D613" s="33"/>
      <c r="E613" s="33"/>
      <c r="F613" s="33"/>
    </row>
    <row r="614" ht="15.75" customHeight="1">
      <c r="C614" s="33"/>
      <c r="D614" s="33"/>
      <c r="E614" s="33"/>
      <c r="F614" s="33"/>
    </row>
    <row r="615" ht="15.75" customHeight="1">
      <c r="C615" s="33"/>
      <c r="D615" s="33"/>
      <c r="E615" s="33"/>
      <c r="F615" s="33"/>
    </row>
    <row r="616" ht="15.75" customHeight="1">
      <c r="C616" s="33"/>
      <c r="D616" s="33"/>
      <c r="E616" s="33"/>
      <c r="F616" s="33"/>
    </row>
    <row r="617" ht="15.75" customHeight="1">
      <c r="C617" s="33"/>
      <c r="D617" s="33"/>
      <c r="E617" s="33"/>
      <c r="F617" s="33"/>
    </row>
    <row r="618" ht="15.75" customHeight="1">
      <c r="C618" s="33"/>
      <c r="D618" s="33"/>
      <c r="E618" s="33"/>
      <c r="F618" s="33"/>
    </row>
    <row r="619" ht="15.75" customHeight="1">
      <c r="C619" s="33"/>
      <c r="D619" s="33"/>
      <c r="E619" s="33"/>
      <c r="F619" s="33"/>
    </row>
    <row r="620" ht="15.75" customHeight="1">
      <c r="C620" s="33"/>
      <c r="D620" s="33"/>
      <c r="E620" s="33"/>
      <c r="F620" s="33"/>
    </row>
    <row r="621" ht="15.75" customHeight="1">
      <c r="C621" s="33"/>
      <c r="D621" s="33"/>
      <c r="E621" s="33"/>
      <c r="F621" s="33"/>
    </row>
    <row r="622" ht="15.75" customHeight="1">
      <c r="C622" s="33"/>
      <c r="D622" s="33"/>
      <c r="E622" s="33"/>
      <c r="F622" s="33"/>
    </row>
    <row r="623" ht="15.75" customHeight="1">
      <c r="C623" s="33"/>
      <c r="D623" s="33"/>
      <c r="E623" s="33"/>
      <c r="F623" s="33"/>
    </row>
    <row r="624" ht="15.75" customHeight="1">
      <c r="C624" s="33"/>
      <c r="D624" s="33"/>
      <c r="E624" s="33"/>
      <c r="F624" s="33"/>
    </row>
    <row r="625" ht="15.75" customHeight="1">
      <c r="C625" s="33"/>
      <c r="D625" s="33"/>
      <c r="E625" s="33"/>
      <c r="F625" s="33"/>
    </row>
    <row r="626" ht="15.75" customHeight="1">
      <c r="C626" s="33"/>
      <c r="D626" s="33"/>
      <c r="E626" s="33"/>
      <c r="F626" s="33"/>
    </row>
    <row r="627" ht="15.75" customHeight="1">
      <c r="C627" s="33"/>
      <c r="D627" s="33"/>
      <c r="E627" s="33"/>
      <c r="F627" s="33"/>
    </row>
    <row r="628" ht="15.75" customHeight="1">
      <c r="C628" s="33"/>
      <c r="D628" s="33"/>
      <c r="E628" s="33"/>
      <c r="F628" s="33"/>
    </row>
    <row r="629" ht="15.75" customHeight="1">
      <c r="C629" s="33"/>
      <c r="D629" s="33"/>
      <c r="E629" s="33"/>
      <c r="F629" s="33"/>
    </row>
    <row r="630" ht="15.75" customHeight="1">
      <c r="C630" s="33"/>
      <c r="D630" s="33"/>
      <c r="E630" s="33"/>
      <c r="F630" s="33"/>
    </row>
    <row r="631" ht="15.75" customHeight="1">
      <c r="C631" s="33"/>
      <c r="D631" s="33"/>
      <c r="E631" s="33"/>
      <c r="F631" s="33"/>
    </row>
    <row r="632" ht="15.75" customHeight="1">
      <c r="C632" s="33"/>
      <c r="D632" s="33"/>
      <c r="E632" s="33"/>
      <c r="F632" s="33"/>
    </row>
    <row r="633" ht="15.75" customHeight="1">
      <c r="C633" s="33"/>
      <c r="D633" s="33"/>
      <c r="E633" s="33"/>
      <c r="F633" s="33"/>
    </row>
    <row r="634" ht="15.75" customHeight="1">
      <c r="C634" s="33"/>
      <c r="D634" s="33"/>
      <c r="E634" s="33"/>
      <c r="F634" s="33"/>
    </row>
    <row r="635" ht="15.75" customHeight="1">
      <c r="C635" s="33"/>
      <c r="D635" s="33"/>
      <c r="E635" s="33"/>
      <c r="F635" s="33"/>
    </row>
    <row r="636" ht="15.75" customHeight="1">
      <c r="C636" s="33"/>
      <c r="D636" s="33"/>
      <c r="E636" s="33"/>
      <c r="F636" s="33"/>
    </row>
    <row r="637" ht="15.75" customHeight="1">
      <c r="C637" s="33"/>
      <c r="D637" s="33"/>
      <c r="E637" s="33"/>
      <c r="F637" s="33"/>
    </row>
    <row r="638" ht="15.75" customHeight="1">
      <c r="C638" s="33"/>
      <c r="D638" s="33"/>
      <c r="E638" s="33"/>
      <c r="F638" s="33"/>
    </row>
    <row r="639" ht="15.75" customHeight="1">
      <c r="C639" s="33"/>
      <c r="D639" s="33"/>
      <c r="E639" s="33"/>
      <c r="F639" s="33"/>
    </row>
    <row r="640" ht="15.75" customHeight="1">
      <c r="C640" s="33"/>
      <c r="D640" s="33"/>
      <c r="E640" s="33"/>
      <c r="F640" s="33"/>
    </row>
    <row r="641" ht="15.75" customHeight="1">
      <c r="C641" s="33"/>
      <c r="D641" s="33"/>
      <c r="E641" s="33"/>
      <c r="F641" s="33"/>
    </row>
    <row r="642" ht="15.75" customHeight="1">
      <c r="C642" s="33"/>
      <c r="D642" s="33"/>
      <c r="E642" s="33"/>
      <c r="F642" s="33"/>
    </row>
    <row r="643" ht="15.75" customHeight="1">
      <c r="C643" s="33"/>
      <c r="D643" s="33"/>
      <c r="E643" s="33"/>
      <c r="F643" s="33"/>
    </row>
    <row r="644" ht="15.75" customHeight="1">
      <c r="C644" s="33"/>
      <c r="D644" s="33"/>
      <c r="E644" s="33"/>
      <c r="F644" s="33"/>
    </row>
    <row r="645" ht="15.75" customHeight="1">
      <c r="C645" s="33"/>
      <c r="D645" s="33"/>
      <c r="E645" s="33"/>
      <c r="F645" s="33"/>
    </row>
    <row r="646" ht="15.75" customHeight="1">
      <c r="C646" s="33"/>
      <c r="D646" s="33"/>
      <c r="E646" s="33"/>
      <c r="F646" s="33"/>
    </row>
    <row r="647" ht="15.75" customHeight="1">
      <c r="C647" s="33"/>
      <c r="D647" s="33"/>
      <c r="E647" s="33"/>
      <c r="F647" s="33"/>
    </row>
    <row r="648" ht="15.75" customHeight="1">
      <c r="C648" s="33"/>
      <c r="D648" s="33"/>
      <c r="E648" s="33"/>
      <c r="F648" s="33"/>
    </row>
    <row r="649" ht="15.75" customHeight="1">
      <c r="C649" s="33"/>
      <c r="D649" s="33"/>
      <c r="E649" s="33"/>
      <c r="F649" s="33"/>
    </row>
    <row r="650" ht="15.75" customHeight="1">
      <c r="C650" s="33"/>
      <c r="D650" s="33"/>
      <c r="E650" s="33"/>
      <c r="F650" s="33"/>
    </row>
    <row r="651" ht="15.75" customHeight="1">
      <c r="C651" s="33"/>
      <c r="D651" s="33"/>
      <c r="E651" s="33"/>
      <c r="F651" s="33"/>
    </row>
    <row r="652" ht="15.75" customHeight="1">
      <c r="C652" s="33"/>
      <c r="D652" s="33"/>
      <c r="E652" s="33"/>
      <c r="F652" s="33"/>
    </row>
    <row r="653" ht="15.75" customHeight="1">
      <c r="C653" s="33"/>
      <c r="D653" s="33"/>
      <c r="E653" s="33"/>
      <c r="F653" s="33"/>
    </row>
    <row r="654" ht="15.75" customHeight="1">
      <c r="C654" s="33"/>
      <c r="D654" s="33"/>
      <c r="E654" s="33"/>
      <c r="F654" s="33"/>
    </row>
    <row r="655" ht="15.75" customHeight="1">
      <c r="C655" s="33"/>
      <c r="D655" s="33"/>
      <c r="E655" s="33"/>
      <c r="F655" s="33"/>
    </row>
    <row r="656" ht="15.75" customHeight="1">
      <c r="C656" s="33"/>
      <c r="D656" s="33"/>
      <c r="E656" s="33"/>
      <c r="F656" s="33"/>
    </row>
    <row r="657" ht="15.75" customHeight="1">
      <c r="C657" s="33"/>
      <c r="D657" s="33"/>
      <c r="E657" s="33"/>
      <c r="F657" s="33"/>
    </row>
    <row r="658" ht="15.75" customHeight="1">
      <c r="C658" s="33"/>
      <c r="D658" s="33"/>
      <c r="E658" s="33"/>
      <c r="F658" s="33"/>
    </row>
    <row r="659" ht="15.75" customHeight="1">
      <c r="C659" s="33"/>
      <c r="D659" s="33"/>
      <c r="E659" s="33"/>
      <c r="F659" s="33"/>
    </row>
    <row r="660" ht="15.75" customHeight="1">
      <c r="C660" s="33"/>
      <c r="D660" s="33"/>
      <c r="E660" s="33"/>
      <c r="F660" s="33"/>
    </row>
    <row r="661" ht="15.75" customHeight="1">
      <c r="C661" s="33"/>
      <c r="D661" s="33"/>
      <c r="E661" s="33"/>
      <c r="F661" s="33"/>
    </row>
    <row r="662" ht="15.75" customHeight="1">
      <c r="C662" s="33"/>
      <c r="D662" s="33"/>
      <c r="E662" s="33"/>
      <c r="F662" s="33"/>
    </row>
    <row r="663" ht="15.75" customHeight="1">
      <c r="C663" s="33"/>
      <c r="D663" s="33"/>
      <c r="E663" s="33"/>
      <c r="F663" s="33"/>
    </row>
    <row r="664" ht="15.75" customHeight="1">
      <c r="C664" s="33"/>
      <c r="D664" s="33"/>
      <c r="E664" s="33"/>
      <c r="F664" s="33"/>
    </row>
    <row r="665" ht="15.75" customHeight="1">
      <c r="C665" s="33"/>
      <c r="D665" s="33"/>
      <c r="E665" s="33"/>
      <c r="F665" s="33"/>
    </row>
    <row r="666" ht="15.75" customHeight="1">
      <c r="C666" s="33"/>
      <c r="D666" s="33"/>
      <c r="E666" s="33"/>
      <c r="F666" s="33"/>
    </row>
    <row r="667" ht="15.75" customHeight="1">
      <c r="C667" s="33"/>
      <c r="D667" s="33"/>
      <c r="E667" s="33"/>
      <c r="F667" s="33"/>
    </row>
    <row r="668" ht="15.75" customHeight="1">
      <c r="C668" s="33"/>
      <c r="D668" s="33"/>
      <c r="E668" s="33"/>
      <c r="F668" s="33"/>
    </row>
    <row r="669" ht="15.75" customHeight="1">
      <c r="C669" s="33"/>
      <c r="D669" s="33"/>
      <c r="E669" s="33"/>
      <c r="F669" s="33"/>
    </row>
    <row r="670" ht="15.75" customHeight="1">
      <c r="C670" s="33"/>
      <c r="D670" s="33"/>
      <c r="E670" s="33"/>
      <c r="F670" s="33"/>
    </row>
    <row r="671" ht="15.75" customHeight="1">
      <c r="C671" s="33"/>
      <c r="D671" s="33"/>
      <c r="E671" s="33"/>
      <c r="F671" s="33"/>
    </row>
    <row r="672" ht="15.75" customHeight="1">
      <c r="C672" s="33"/>
      <c r="D672" s="33"/>
      <c r="E672" s="33"/>
      <c r="F672" s="33"/>
    </row>
    <row r="673" ht="15.75" customHeight="1">
      <c r="C673" s="33"/>
      <c r="D673" s="33"/>
      <c r="E673" s="33"/>
      <c r="F673" s="33"/>
    </row>
    <row r="674" ht="15.75" customHeight="1">
      <c r="C674" s="33"/>
      <c r="D674" s="33"/>
      <c r="E674" s="33"/>
      <c r="F674" s="33"/>
    </row>
    <row r="675" ht="15.75" customHeight="1">
      <c r="C675" s="33"/>
      <c r="D675" s="33"/>
      <c r="E675" s="33"/>
      <c r="F675" s="33"/>
    </row>
    <row r="676" ht="15.75" customHeight="1">
      <c r="C676" s="33"/>
      <c r="D676" s="33"/>
      <c r="E676" s="33"/>
      <c r="F676" s="33"/>
    </row>
    <row r="677" ht="15.75" customHeight="1">
      <c r="C677" s="33"/>
      <c r="D677" s="33"/>
      <c r="E677" s="33"/>
      <c r="F677" s="33"/>
    </row>
    <row r="678" ht="15.75" customHeight="1">
      <c r="C678" s="33"/>
      <c r="D678" s="33"/>
      <c r="E678" s="33"/>
      <c r="F678" s="33"/>
    </row>
    <row r="679" ht="15.75" customHeight="1">
      <c r="C679" s="33"/>
      <c r="D679" s="33"/>
      <c r="E679" s="33"/>
      <c r="F679" s="33"/>
    </row>
    <row r="680" ht="15.75" customHeight="1">
      <c r="C680" s="33"/>
      <c r="D680" s="33"/>
      <c r="E680" s="33"/>
      <c r="F680" s="33"/>
    </row>
    <row r="681" ht="15.75" customHeight="1">
      <c r="C681" s="33"/>
      <c r="D681" s="33"/>
      <c r="E681" s="33"/>
      <c r="F681" s="33"/>
    </row>
    <row r="682" ht="15.75" customHeight="1">
      <c r="C682" s="33"/>
      <c r="D682" s="33"/>
      <c r="E682" s="33"/>
      <c r="F682" s="33"/>
    </row>
    <row r="683" ht="15.75" customHeight="1">
      <c r="C683" s="33"/>
      <c r="D683" s="33"/>
      <c r="E683" s="33"/>
      <c r="F683" s="33"/>
    </row>
    <row r="684" ht="15.75" customHeight="1">
      <c r="C684" s="33"/>
      <c r="D684" s="33"/>
      <c r="E684" s="33"/>
      <c r="F684" s="33"/>
    </row>
    <row r="685" ht="15.75" customHeight="1">
      <c r="C685" s="33"/>
      <c r="D685" s="33"/>
      <c r="E685" s="33"/>
      <c r="F685" s="33"/>
    </row>
    <row r="686" ht="15.75" customHeight="1">
      <c r="C686" s="33"/>
      <c r="D686" s="33"/>
      <c r="E686" s="33"/>
      <c r="F686" s="33"/>
    </row>
    <row r="687" ht="15.75" customHeight="1">
      <c r="C687" s="33"/>
      <c r="D687" s="33"/>
      <c r="E687" s="33"/>
      <c r="F687" s="33"/>
    </row>
    <row r="688" ht="15.75" customHeight="1">
      <c r="C688" s="33"/>
      <c r="D688" s="33"/>
      <c r="E688" s="33"/>
      <c r="F688" s="33"/>
    </row>
    <row r="689" ht="15.75" customHeight="1">
      <c r="C689" s="33"/>
      <c r="D689" s="33"/>
      <c r="E689" s="33"/>
      <c r="F689" s="33"/>
    </row>
    <row r="690" ht="15.75" customHeight="1">
      <c r="C690" s="33"/>
      <c r="D690" s="33"/>
      <c r="E690" s="33"/>
      <c r="F690" s="33"/>
    </row>
    <row r="691" ht="15.75" customHeight="1">
      <c r="C691" s="33"/>
      <c r="D691" s="33"/>
      <c r="E691" s="33"/>
      <c r="F691" s="33"/>
    </row>
    <row r="692" ht="15.75" customHeight="1">
      <c r="C692" s="33"/>
      <c r="D692" s="33"/>
      <c r="E692" s="33"/>
      <c r="F692" s="33"/>
    </row>
    <row r="693" ht="15.75" customHeight="1">
      <c r="C693" s="33"/>
      <c r="D693" s="33"/>
      <c r="E693" s="33"/>
      <c r="F693" s="33"/>
    </row>
    <row r="694" ht="15.75" customHeight="1">
      <c r="C694" s="33"/>
      <c r="D694" s="33"/>
      <c r="E694" s="33"/>
      <c r="F694" s="33"/>
    </row>
    <row r="695" ht="15.75" customHeight="1">
      <c r="C695" s="33"/>
      <c r="D695" s="33"/>
      <c r="E695" s="33"/>
      <c r="F695" s="33"/>
    </row>
    <row r="696" ht="15.75" customHeight="1">
      <c r="C696" s="33"/>
      <c r="D696" s="33"/>
      <c r="E696" s="33"/>
      <c r="F696" s="33"/>
    </row>
    <row r="697" ht="15.75" customHeight="1">
      <c r="C697" s="33"/>
      <c r="D697" s="33"/>
      <c r="E697" s="33"/>
      <c r="F697" s="33"/>
    </row>
    <row r="698" ht="15.75" customHeight="1">
      <c r="C698" s="33"/>
      <c r="D698" s="33"/>
      <c r="E698" s="33"/>
      <c r="F698" s="33"/>
    </row>
    <row r="699" ht="15.75" customHeight="1">
      <c r="C699" s="33"/>
      <c r="D699" s="33"/>
      <c r="E699" s="33"/>
      <c r="F699" s="33"/>
    </row>
    <row r="700" ht="15.75" customHeight="1">
      <c r="C700" s="33"/>
      <c r="D700" s="33"/>
      <c r="E700" s="33"/>
      <c r="F700" s="33"/>
    </row>
    <row r="701" ht="15.75" customHeight="1">
      <c r="C701" s="33"/>
      <c r="D701" s="33"/>
      <c r="E701" s="33"/>
      <c r="F701" s="33"/>
    </row>
    <row r="702" ht="15.75" customHeight="1">
      <c r="C702" s="33"/>
      <c r="D702" s="33"/>
      <c r="E702" s="33"/>
      <c r="F702" s="33"/>
    </row>
    <row r="703" ht="15.75" customHeight="1">
      <c r="C703" s="33"/>
      <c r="D703" s="33"/>
      <c r="E703" s="33"/>
      <c r="F703" s="33"/>
    </row>
    <row r="704" ht="15.75" customHeight="1">
      <c r="C704" s="33"/>
      <c r="D704" s="33"/>
      <c r="E704" s="33"/>
      <c r="F704" s="33"/>
    </row>
    <row r="705" ht="15.75" customHeight="1">
      <c r="C705" s="33"/>
      <c r="D705" s="33"/>
      <c r="E705" s="33"/>
      <c r="F705" s="33"/>
    </row>
    <row r="706" ht="15.75" customHeight="1">
      <c r="C706" s="33"/>
      <c r="D706" s="33"/>
      <c r="E706" s="33"/>
      <c r="F706" s="33"/>
    </row>
    <row r="707" ht="15.75" customHeight="1">
      <c r="C707" s="33"/>
      <c r="D707" s="33"/>
      <c r="E707" s="33"/>
      <c r="F707" s="33"/>
    </row>
    <row r="708" ht="15.75" customHeight="1">
      <c r="C708" s="33"/>
      <c r="D708" s="33"/>
      <c r="E708" s="33"/>
      <c r="F708" s="33"/>
    </row>
    <row r="709" ht="15.75" customHeight="1">
      <c r="C709" s="33"/>
      <c r="D709" s="33"/>
      <c r="E709" s="33"/>
      <c r="F709" s="33"/>
    </row>
    <row r="710" ht="15.75" customHeight="1">
      <c r="C710" s="33"/>
      <c r="D710" s="33"/>
      <c r="E710" s="33"/>
      <c r="F710" s="33"/>
    </row>
    <row r="711" ht="15.75" customHeight="1">
      <c r="C711" s="33"/>
      <c r="D711" s="33"/>
      <c r="E711" s="33"/>
      <c r="F711" s="33"/>
    </row>
    <row r="712" ht="15.75" customHeight="1">
      <c r="C712" s="33"/>
      <c r="D712" s="33"/>
      <c r="E712" s="33"/>
      <c r="F712" s="33"/>
    </row>
    <row r="713" ht="15.75" customHeight="1">
      <c r="C713" s="33"/>
      <c r="D713" s="33"/>
      <c r="E713" s="33"/>
      <c r="F713" s="33"/>
    </row>
    <row r="714" ht="15.75" customHeight="1">
      <c r="C714" s="33"/>
      <c r="D714" s="33"/>
      <c r="E714" s="33"/>
      <c r="F714" s="33"/>
    </row>
    <row r="715" ht="15.75" customHeight="1">
      <c r="C715" s="33"/>
      <c r="D715" s="33"/>
      <c r="E715" s="33"/>
      <c r="F715" s="33"/>
    </row>
    <row r="716" ht="15.75" customHeight="1">
      <c r="C716" s="33"/>
      <c r="D716" s="33"/>
      <c r="E716" s="33"/>
      <c r="F716" s="33"/>
    </row>
    <row r="717" ht="15.75" customHeight="1">
      <c r="C717" s="33"/>
      <c r="D717" s="33"/>
      <c r="E717" s="33"/>
      <c r="F717" s="33"/>
    </row>
    <row r="718" ht="15.75" customHeight="1">
      <c r="C718" s="33"/>
      <c r="D718" s="33"/>
      <c r="E718" s="33"/>
      <c r="F718" s="33"/>
    </row>
    <row r="719" ht="15.75" customHeight="1">
      <c r="C719" s="33"/>
      <c r="D719" s="33"/>
      <c r="E719" s="33"/>
      <c r="F719" s="33"/>
    </row>
    <row r="720" ht="15.75" customHeight="1">
      <c r="C720" s="33"/>
      <c r="D720" s="33"/>
      <c r="E720" s="33"/>
      <c r="F720" s="33"/>
    </row>
    <row r="721" ht="15.75" customHeight="1">
      <c r="C721" s="33"/>
      <c r="D721" s="33"/>
      <c r="E721" s="33"/>
      <c r="F721" s="33"/>
    </row>
    <row r="722" ht="15.75" customHeight="1">
      <c r="C722" s="33"/>
      <c r="D722" s="33"/>
      <c r="E722" s="33"/>
      <c r="F722" s="33"/>
    </row>
    <row r="723" ht="15.75" customHeight="1">
      <c r="C723" s="33"/>
      <c r="D723" s="33"/>
      <c r="E723" s="33"/>
      <c r="F723" s="33"/>
    </row>
    <row r="724" ht="15.75" customHeight="1">
      <c r="C724" s="33"/>
      <c r="D724" s="33"/>
      <c r="E724" s="33"/>
      <c r="F724" s="33"/>
    </row>
    <row r="725" ht="15.75" customHeight="1">
      <c r="C725" s="33"/>
      <c r="D725" s="33"/>
      <c r="E725" s="33"/>
      <c r="F725" s="33"/>
    </row>
    <row r="726" ht="15.75" customHeight="1">
      <c r="C726" s="33"/>
      <c r="D726" s="33"/>
      <c r="E726" s="33"/>
      <c r="F726" s="33"/>
    </row>
    <row r="727" ht="15.75" customHeight="1">
      <c r="C727" s="33"/>
      <c r="D727" s="33"/>
      <c r="E727" s="33"/>
      <c r="F727" s="33"/>
    </row>
    <row r="728" ht="15.75" customHeight="1">
      <c r="C728" s="33"/>
      <c r="D728" s="33"/>
      <c r="E728" s="33"/>
      <c r="F728" s="33"/>
    </row>
    <row r="729" ht="15.75" customHeight="1">
      <c r="C729" s="33"/>
      <c r="D729" s="33"/>
      <c r="E729" s="33"/>
      <c r="F729" s="33"/>
    </row>
    <row r="730" ht="15.75" customHeight="1">
      <c r="C730" s="33"/>
      <c r="D730" s="33"/>
      <c r="E730" s="33"/>
      <c r="F730" s="33"/>
    </row>
    <row r="731" ht="15.75" customHeight="1">
      <c r="C731" s="33"/>
      <c r="D731" s="33"/>
      <c r="E731" s="33"/>
      <c r="F731" s="33"/>
    </row>
    <row r="732" ht="15.75" customHeight="1">
      <c r="C732" s="33"/>
      <c r="D732" s="33"/>
      <c r="E732" s="33"/>
      <c r="F732" s="33"/>
    </row>
    <row r="733" ht="15.75" customHeight="1">
      <c r="C733" s="33"/>
      <c r="D733" s="33"/>
      <c r="E733" s="33"/>
      <c r="F733" s="33"/>
    </row>
    <row r="734" ht="15.75" customHeight="1">
      <c r="C734" s="33"/>
      <c r="D734" s="33"/>
      <c r="E734" s="33"/>
      <c r="F734" s="33"/>
    </row>
    <row r="735" ht="15.75" customHeight="1">
      <c r="C735" s="33"/>
      <c r="D735" s="33"/>
      <c r="E735" s="33"/>
      <c r="F735" s="33"/>
    </row>
    <row r="736" ht="15.75" customHeight="1">
      <c r="C736" s="33"/>
      <c r="D736" s="33"/>
      <c r="E736" s="33"/>
      <c r="F736" s="33"/>
    </row>
    <row r="737" ht="15.75" customHeight="1">
      <c r="C737" s="33"/>
      <c r="D737" s="33"/>
      <c r="E737" s="33"/>
      <c r="F737" s="33"/>
    </row>
    <row r="738" ht="15.75" customHeight="1">
      <c r="C738" s="33"/>
      <c r="D738" s="33"/>
      <c r="E738" s="33"/>
      <c r="F738" s="33"/>
    </row>
    <row r="739" ht="15.75" customHeight="1">
      <c r="C739" s="33"/>
      <c r="D739" s="33"/>
      <c r="E739" s="33"/>
      <c r="F739" s="33"/>
    </row>
    <row r="740" ht="15.75" customHeight="1">
      <c r="C740" s="33"/>
      <c r="D740" s="33"/>
      <c r="E740" s="33"/>
      <c r="F740" s="33"/>
    </row>
    <row r="741" ht="15.75" customHeight="1">
      <c r="C741" s="33"/>
      <c r="D741" s="33"/>
      <c r="E741" s="33"/>
      <c r="F741" s="33"/>
    </row>
    <row r="742" ht="15.75" customHeight="1">
      <c r="C742" s="33"/>
      <c r="D742" s="33"/>
      <c r="E742" s="33"/>
      <c r="F742" s="33"/>
    </row>
    <row r="743" ht="15.75" customHeight="1">
      <c r="C743" s="33"/>
      <c r="D743" s="33"/>
      <c r="E743" s="33"/>
      <c r="F743" s="33"/>
    </row>
    <row r="744" ht="15.75" customHeight="1">
      <c r="C744" s="33"/>
      <c r="D744" s="33"/>
      <c r="E744" s="33"/>
      <c r="F744" s="33"/>
    </row>
    <row r="745" ht="15.75" customHeight="1">
      <c r="C745" s="33"/>
      <c r="D745" s="33"/>
      <c r="E745" s="33"/>
      <c r="F745" s="33"/>
    </row>
    <row r="746" ht="15.75" customHeight="1">
      <c r="C746" s="33"/>
      <c r="D746" s="33"/>
      <c r="E746" s="33"/>
      <c r="F746" s="33"/>
    </row>
    <row r="747" ht="15.75" customHeight="1">
      <c r="C747" s="33"/>
      <c r="D747" s="33"/>
      <c r="E747" s="33"/>
      <c r="F747" s="33"/>
    </row>
    <row r="748" ht="15.75" customHeight="1">
      <c r="C748" s="33"/>
      <c r="D748" s="33"/>
      <c r="E748" s="33"/>
      <c r="F748" s="33"/>
    </row>
    <row r="749" ht="15.75" customHeight="1">
      <c r="C749" s="33"/>
      <c r="D749" s="33"/>
      <c r="E749" s="33"/>
      <c r="F749" s="33"/>
    </row>
    <row r="750" ht="15.75" customHeight="1">
      <c r="C750" s="33"/>
      <c r="D750" s="33"/>
      <c r="E750" s="33"/>
      <c r="F750" s="33"/>
    </row>
    <row r="751" ht="15.75" customHeight="1">
      <c r="C751" s="33"/>
      <c r="D751" s="33"/>
      <c r="E751" s="33"/>
      <c r="F751" s="33"/>
    </row>
    <row r="752" ht="15.75" customHeight="1">
      <c r="C752" s="33"/>
      <c r="D752" s="33"/>
      <c r="E752" s="33"/>
      <c r="F752" s="33"/>
    </row>
    <row r="753" ht="15.75" customHeight="1">
      <c r="C753" s="33"/>
      <c r="D753" s="33"/>
      <c r="E753" s="33"/>
      <c r="F753" s="33"/>
    </row>
    <row r="754" ht="15.75" customHeight="1">
      <c r="C754" s="33"/>
      <c r="D754" s="33"/>
      <c r="E754" s="33"/>
      <c r="F754" s="33"/>
    </row>
    <row r="755" ht="15.75" customHeight="1">
      <c r="C755" s="33"/>
      <c r="D755" s="33"/>
      <c r="E755" s="33"/>
      <c r="F755" s="33"/>
    </row>
    <row r="756" ht="15.75" customHeight="1">
      <c r="C756" s="33"/>
      <c r="D756" s="33"/>
      <c r="E756" s="33"/>
      <c r="F756" s="33"/>
    </row>
    <row r="757" ht="15.75" customHeight="1">
      <c r="C757" s="33"/>
      <c r="D757" s="33"/>
      <c r="E757" s="33"/>
      <c r="F757" s="33"/>
    </row>
    <row r="758" ht="15.75" customHeight="1">
      <c r="C758" s="33"/>
      <c r="D758" s="33"/>
      <c r="E758" s="33"/>
      <c r="F758" s="33"/>
    </row>
    <row r="759" ht="15.75" customHeight="1">
      <c r="C759" s="33"/>
      <c r="D759" s="33"/>
      <c r="E759" s="33"/>
      <c r="F759" s="33"/>
    </row>
    <row r="760" ht="15.75" customHeight="1">
      <c r="C760" s="33"/>
      <c r="D760" s="33"/>
      <c r="E760" s="33"/>
      <c r="F760" s="33"/>
    </row>
    <row r="761" ht="15.75" customHeight="1">
      <c r="C761" s="33"/>
      <c r="D761" s="33"/>
      <c r="E761" s="33"/>
      <c r="F761" s="33"/>
    </row>
    <row r="762" ht="15.75" customHeight="1">
      <c r="C762" s="33"/>
      <c r="D762" s="33"/>
      <c r="E762" s="33"/>
      <c r="F762" s="33"/>
    </row>
    <row r="763" ht="15.75" customHeight="1">
      <c r="C763" s="33"/>
      <c r="D763" s="33"/>
      <c r="E763" s="33"/>
      <c r="F763" s="33"/>
    </row>
    <row r="764" ht="15.75" customHeight="1">
      <c r="C764" s="33"/>
      <c r="D764" s="33"/>
      <c r="E764" s="33"/>
      <c r="F764" s="33"/>
    </row>
    <row r="765" ht="15.75" customHeight="1">
      <c r="C765" s="33"/>
      <c r="D765" s="33"/>
      <c r="E765" s="33"/>
      <c r="F765" s="33"/>
    </row>
    <row r="766" ht="15.75" customHeight="1">
      <c r="C766" s="33"/>
      <c r="D766" s="33"/>
      <c r="E766" s="33"/>
      <c r="F766" s="33"/>
    </row>
    <row r="767" ht="15.75" customHeight="1">
      <c r="C767" s="33"/>
      <c r="D767" s="33"/>
      <c r="E767" s="33"/>
      <c r="F767" s="33"/>
    </row>
    <row r="768" ht="15.75" customHeight="1">
      <c r="C768" s="33"/>
      <c r="D768" s="33"/>
      <c r="E768" s="33"/>
      <c r="F768" s="33"/>
    </row>
    <row r="769" ht="15.75" customHeight="1">
      <c r="C769" s="33"/>
      <c r="D769" s="33"/>
      <c r="E769" s="33"/>
      <c r="F769" s="33"/>
    </row>
    <row r="770" ht="15.75" customHeight="1">
      <c r="C770" s="33"/>
      <c r="D770" s="33"/>
      <c r="E770" s="33"/>
      <c r="F770" s="33"/>
    </row>
    <row r="771" ht="15.75" customHeight="1">
      <c r="C771" s="33"/>
      <c r="D771" s="33"/>
      <c r="E771" s="33"/>
      <c r="F771" s="33"/>
    </row>
    <row r="772" ht="15.75" customHeight="1">
      <c r="C772" s="33"/>
      <c r="D772" s="33"/>
      <c r="E772" s="33"/>
      <c r="F772" s="33"/>
    </row>
    <row r="773" ht="15.75" customHeight="1">
      <c r="C773" s="33"/>
      <c r="D773" s="33"/>
      <c r="E773" s="33"/>
      <c r="F773" s="33"/>
    </row>
    <row r="774" ht="15.75" customHeight="1">
      <c r="C774" s="33"/>
      <c r="D774" s="33"/>
      <c r="E774" s="33"/>
      <c r="F774" s="33"/>
    </row>
    <row r="775" ht="15.75" customHeight="1">
      <c r="C775" s="33"/>
      <c r="D775" s="33"/>
      <c r="E775" s="33"/>
      <c r="F775" s="33"/>
    </row>
    <row r="776" ht="15.75" customHeight="1">
      <c r="C776" s="33"/>
      <c r="D776" s="33"/>
      <c r="E776" s="33"/>
      <c r="F776" s="33"/>
    </row>
    <row r="777" ht="15.75" customHeight="1">
      <c r="C777" s="33"/>
      <c r="D777" s="33"/>
      <c r="E777" s="33"/>
      <c r="F777" s="33"/>
    </row>
    <row r="778" ht="15.75" customHeight="1">
      <c r="C778" s="33"/>
      <c r="D778" s="33"/>
      <c r="E778" s="33"/>
      <c r="F778" s="33"/>
    </row>
    <row r="779" ht="15.75" customHeight="1">
      <c r="C779" s="33"/>
      <c r="D779" s="33"/>
      <c r="E779" s="33"/>
      <c r="F779" s="33"/>
    </row>
    <row r="780" ht="15.75" customHeight="1">
      <c r="C780" s="33"/>
      <c r="D780" s="33"/>
      <c r="E780" s="33"/>
      <c r="F780" s="33"/>
    </row>
    <row r="781" ht="15.75" customHeight="1">
      <c r="C781" s="33"/>
      <c r="D781" s="33"/>
      <c r="E781" s="33"/>
      <c r="F781" s="33"/>
    </row>
    <row r="782" ht="15.75" customHeight="1">
      <c r="C782" s="33"/>
      <c r="D782" s="33"/>
      <c r="E782" s="33"/>
      <c r="F782" s="33"/>
    </row>
    <row r="783" ht="15.75" customHeight="1">
      <c r="C783" s="33"/>
      <c r="D783" s="33"/>
      <c r="E783" s="33"/>
      <c r="F783" s="33"/>
    </row>
    <row r="784" ht="15.75" customHeight="1">
      <c r="C784" s="33"/>
      <c r="D784" s="33"/>
      <c r="E784" s="33"/>
      <c r="F784" s="33"/>
    </row>
    <row r="785" ht="15.75" customHeight="1">
      <c r="C785" s="33"/>
      <c r="D785" s="33"/>
      <c r="E785" s="33"/>
      <c r="F785" s="33"/>
    </row>
    <row r="786" ht="15.75" customHeight="1">
      <c r="C786" s="33"/>
      <c r="D786" s="33"/>
      <c r="E786" s="33"/>
      <c r="F786" s="33"/>
    </row>
    <row r="787" ht="15.75" customHeight="1">
      <c r="C787" s="33"/>
      <c r="D787" s="33"/>
      <c r="E787" s="33"/>
      <c r="F787" s="33"/>
    </row>
    <row r="788" ht="15.75" customHeight="1">
      <c r="C788" s="33"/>
      <c r="D788" s="33"/>
      <c r="E788" s="33"/>
      <c r="F788" s="33"/>
    </row>
    <row r="789" ht="15.75" customHeight="1">
      <c r="C789" s="33"/>
      <c r="D789" s="33"/>
      <c r="E789" s="33"/>
      <c r="F789" s="33"/>
    </row>
    <row r="790" ht="15.75" customHeight="1">
      <c r="C790" s="33"/>
      <c r="D790" s="33"/>
      <c r="E790" s="33"/>
      <c r="F790" s="33"/>
    </row>
    <row r="791" ht="15.75" customHeight="1">
      <c r="C791" s="33"/>
      <c r="D791" s="33"/>
      <c r="E791" s="33"/>
      <c r="F791" s="33"/>
    </row>
    <row r="792" ht="15.75" customHeight="1">
      <c r="C792" s="33"/>
      <c r="D792" s="33"/>
      <c r="E792" s="33"/>
      <c r="F792" s="33"/>
    </row>
    <row r="793" ht="15.75" customHeight="1">
      <c r="C793" s="33"/>
      <c r="D793" s="33"/>
      <c r="E793" s="33"/>
      <c r="F793" s="33"/>
    </row>
    <row r="794" ht="15.75" customHeight="1">
      <c r="C794" s="33"/>
      <c r="D794" s="33"/>
      <c r="E794" s="33"/>
      <c r="F794" s="33"/>
    </row>
    <row r="795" ht="15.75" customHeight="1">
      <c r="C795" s="33"/>
      <c r="D795" s="33"/>
      <c r="E795" s="33"/>
      <c r="F795" s="33"/>
    </row>
    <row r="796" ht="15.75" customHeight="1">
      <c r="C796" s="33"/>
      <c r="D796" s="33"/>
      <c r="E796" s="33"/>
      <c r="F796" s="33"/>
    </row>
    <row r="797" ht="15.75" customHeight="1">
      <c r="C797" s="33"/>
      <c r="D797" s="33"/>
      <c r="E797" s="33"/>
      <c r="F797" s="33"/>
    </row>
    <row r="798" ht="15.75" customHeight="1">
      <c r="C798" s="33"/>
      <c r="D798" s="33"/>
      <c r="E798" s="33"/>
      <c r="F798" s="33"/>
    </row>
    <row r="799" ht="15.75" customHeight="1">
      <c r="C799" s="33"/>
      <c r="D799" s="33"/>
      <c r="E799" s="33"/>
      <c r="F799" s="33"/>
    </row>
    <row r="800" ht="15.75" customHeight="1">
      <c r="C800" s="33"/>
      <c r="D800" s="33"/>
      <c r="E800" s="33"/>
      <c r="F800" s="33"/>
    </row>
    <row r="801" ht="15.75" customHeight="1">
      <c r="C801" s="33"/>
      <c r="D801" s="33"/>
      <c r="E801" s="33"/>
      <c r="F801" s="33"/>
    </row>
    <row r="802" ht="15.75" customHeight="1">
      <c r="C802" s="33"/>
      <c r="D802" s="33"/>
      <c r="E802" s="33"/>
      <c r="F802" s="33"/>
    </row>
    <row r="803" ht="15.75" customHeight="1">
      <c r="C803" s="33"/>
      <c r="D803" s="33"/>
      <c r="E803" s="33"/>
      <c r="F803" s="33"/>
    </row>
    <row r="804" ht="15.75" customHeight="1">
      <c r="C804" s="33"/>
      <c r="D804" s="33"/>
      <c r="E804" s="33"/>
      <c r="F804" s="33"/>
    </row>
    <row r="805" ht="15.75" customHeight="1">
      <c r="C805" s="33"/>
      <c r="D805" s="33"/>
      <c r="E805" s="33"/>
      <c r="F805" s="33"/>
    </row>
    <row r="806" ht="15.75" customHeight="1">
      <c r="C806" s="33"/>
      <c r="D806" s="33"/>
      <c r="E806" s="33"/>
      <c r="F806" s="33"/>
    </row>
    <row r="807" ht="15.75" customHeight="1">
      <c r="C807" s="33"/>
      <c r="D807" s="33"/>
      <c r="E807" s="33"/>
      <c r="F807" s="33"/>
    </row>
    <row r="808" ht="15.75" customHeight="1">
      <c r="C808" s="33"/>
      <c r="D808" s="33"/>
      <c r="E808" s="33"/>
      <c r="F808" s="33"/>
    </row>
    <row r="809" ht="15.75" customHeight="1">
      <c r="C809" s="33"/>
      <c r="D809" s="33"/>
      <c r="E809" s="33"/>
      <c r="F809" s="33"/>
    </row>
    <row r="810" ht="15.75" customHeight="1">
      <c r="C810" s="33"/>
      <c r="D810" s="33"/>
      <c r="E810" s="33"/>
      <c r="F810" s="33"/>
    </row>
    <row r="811" ht="15.75" customHeight="1">
      <c r="C811" s="33"/>
      <c r="D811" s="33"/>
      <c r="E811" s="33"/>
      <c r="F811" s="33"/>
    </row>
    <row r="812" ht="15.75" customHeight="1">
      <c r="C812" s="33"/>
      <c r="D812" s="33"/>
      <c r="E812" s="33"/>
      <c r="F812" s="33"/>
    </row>
    <row r="813" ht="15.75" customHeight="1">
      <c r="C813" s="33"/>
      <c r="D813" s="33"/>
      <c r="E813" s="33"/>
      <c r="F813" s="33"/>
    </row>
    <row r="814" ht="15.75" customHeight="1">
      <c r="C814" s="33"/>
      <c r="D814" s="33"/>
      <c r="E814" s="33"/>
      <c r="F814" s="33"/>
    </row>
    <row r="815" ht="15.75" customHeight="1">
      <c r="C815" s="33"/>
      <c r="D815" s="33"/>
      <c r="E815" s="33"/>
      <c r="F815" s="33"/>
    </row>
    <row r="816" ht="15.75" customHeight="1">
      <c r="C816" s="33"/>
      <c r="D816" s="33"/>
      <c r="E816" s="33"/>
      <c r="F816" s="33"/>
    </row>
    <row r="817" ht="15.75" customHeight="1">
      <c r="C817" s="33"/>
      <c r="D817" s="33"/>
      <c r="E817" s="33"/>
      <c r="F817" s="33"/>
    </row>
    <row r="818" ht="15.75" customHeight="1">
      <c r="C818" s="33"/>
      <c r="D818" s="33"/>
      <c r="E818" s="33"/>
      <c r="F818" s="33"/>
    </row>
    <row r="819" ht="15.75" customHeight="1">
      <c r="C819" s="33"/>
      <c r="D819" s="33"/>
      <c r="E819" s="33"/>
      <c r="F819" s="33"/>
    </row>
    <row r="820" ht="15.75" customHeight="1">
      <c r="C820" s="33"/>
      <c r="D820" s="33"/>
      <c r="E820" s="33"/>
      <c r="F820" s="33"/>
    </row>
    <row r="821" ht="15.75" customHeight="1">
      <c r="C821" s="33"/>
      <c r="D821" s="33"/>
      <c r="E821" s="33"/>
      <c r="F821" s="33"/>
    </row>
    <row r="822" ht="15.75" customHeight="1">
      <c r="C822" s="33"/>
      <c r="D822" s="33"/>
      <c r="E822" s="33"/>
      <c r="F822" s="33"/>
    </row>
    <row r="823" ht="15.75" customHeight="1">
      <c r="C823" s="33"/>
      <c r="D823" s="33"/>
      <c r="E823" s="33"/>
      <c r="F823" s="33"/>
    </row>
    <row r="824" ht="15.75" customHeight="1">
      <c r="C824" s="33"/>
      <c r="D824" s="33"/>
      <c r="E824" s="33"/>
      <c r="F824" s="33"/>
    </row>
    <row r="825" ht="15.75" customHeight="1">
      <c r="C825" s="33"/>
      <c r="D825" s="33"/>
      <c r="E825" s="33"/>
      <c r="F825" s="33"/>
    </row>
    <row r="826" ht="15.75" customHeight="1">
      <c r="C826" s="33"/>
      <c r="D826" s="33"/>
      <c r="E826" s="33"/>
      <c r="F826" s="33"/>
    </row>
    <row r="827" ht="15.75" customHeight="1">
      <c r="C827" s="33"/>
      <c r="D827" s="33"/>
      <c r="E827" s="33"/>
      <c r="F827" s="33"/>
    </row>
    <row r="828" ht="15.75" customHeight="1">
      <c r="C828" s="33"/>
      <c r="D828" s="33"/>
      <c r="E828" s="33"/>
      <c r="F828" s="33"/>
    </row>
    <row r="829" ht="15.75" customHeight="1">
      <c r="C829" s="33"/>
      <c r="D829" s="33"/>
      <c r="E829" s="33"/>
      <c r="F829" s="33"/>
    </row>
    <row r="830" ht="15.75" customHeight="1">
      <c r="C830" s="33"/>
      <c r="D830" s="33"/>
      <c r="E830" s="33"/>
      <c r="F830" s="33"/>
    </row>
    <row r="831" ht="15.75" customHeight="1">
      <c r="C831" s="33"/>
      <c r="D831" s="33"/>
      <c r="E831" s="33"/>
      <c r="F831" s="33"/>
    </row>
    <row r="832" ht="15.75" customHeight="1">
      <c r="C832" s="33"/>
      <c r="D832" s="33"/>
      <c r="E832" s="33"/>
      <c r="F832" s="33"/>
    </row>
    <row r="833" ht="15.75" customHeight="1">
      <c r="C833" s="33"/>
      <c r="D833" s="33"/>
      <c r="E833" s="33"/>
      <c r="F833" s="33"/>
    </row>
    <row r="834" ht="15.75" customHeight="1">
      <c r="C834" s="33"/>
      <c r="D834" s="33"/>
      <c r="E834" s="33"/>
      <c r="F834" s="33"/>
    </row>
    <row r="835" ht="15.75" customHeight="1">
      <c r="C835" s="33"/>
      <c r="D835" s="33"/>
      <c r="E835" s="33"/>
      <c r="F835" s="33"/>
    </row>
    <row r="836" ht="15.75" customHeight="1">
      <c r="C836" s="33"/>
      <c r="D836" s="33"/>
      <c r="E836" s="33"/>
      <c r="F836" s="33"/>
    </row>
    <row r="837" ht="15.75" customHeight="1">
      <c r="C837" s="33"/>
      <c r="D837" s="33"/>
      <c r="E837" s="33"/>
      <c r="F837" s="33"/>
    </row>
    <row r="838" ht="15.75" customHeight="1">
      <c r="C838" s="33"/>
      <c r="D838" s="33"/>
      <c r="E838" s="33"/>
      <c r="F838" s="33"/>
    </row>
    <row r="839" ht="15.75" customHeight="1">
      <c r="C839" s="33"/>
      <c r="D839" s="33"/>
      <c r="E839" s="33"/>
      <c r="F839" s="33"/>
    </row>
    <row r="840" ht="15.75" customHeight="1">
      <c r="C840" s="33"/>
      <c r="D840" s="33"/>
      <c r="E840" s="33"/>
      <c r="F840" s="33"/>
    </row>
    <row r="841" ht="15.75" customHeight="1">
      <c r="C841" s="33"/>
      <c r="D841" s="33"/>
      <c r="E841" s="33"/>
      <c r="F841" s="33"/>
    </row>
    <row r="842" ht="15.75" customHeight="1">
      <c r="C842" s="33"/>
      <c r="D842" s="33"/>
      <c r="E842" s="33"/>
      <c r="F842" s="33"/>
    </row>
    <row r="843" ht="15.75" customHeight="1">
      <c r="C843" s="33"/>
      <c r="D843" s="33"/>
      <c r="E843" s="33"/>
      <c r="F843" s="33"/>
    </row>
    <row r="844" ht="15.75" customHeight="1">
      <c r="C844" s="33"/>
      <c r="D844" s="33"/>
      <c r="E844" s="33"/>
      <c r="F844" s="33"/>
    </row>
    <row r="845" ht="15.75" customHeight="1">
      <c r="C845" s="33"/>
      <c r="D845" s="33"/>
      <c r="E845" s="33"/>
      <c r="F845" s="33"/>
    </row>
    <row r="846" ht="15.75" customHeight="1">
      <c r="C846" s="33"/>
      <c r="D846" s="33"/>
      <c r="E846" s="33"/>
      <c r="F846" s="33"/>
    </row>
    <row r="847" ht="15.75" customHeight="1">
      <c r="C847" s="33"/>
      <c r="D847" s="33"/>
      <c r="E847" s="33"/>
      <c r="F847" s="33"/>
    </row>
    <row r="848" ht="15.75" customHeight="1">
      <c r="C848" s="33"/>
      <c r="D848" s="33"/>
      <c r="E848" s="33"/>
      <c r="F848" s="33"/>
    </row>
    <row r="849" ht="15.75" customHeight="1">
      <c r="C849" s="33"/>
      <c r="D849" s="33"/>
      <c r="E849" s="33"/>
      <c r="F849" s="33"/>
    </row>
    <row r="850" ht="15.75" customHeight="1">
      <c r="C850" s="33"/>
      <c r="D850" s="33"/>
      <c r="E850" s="33"/>
      <c r="F850" s="33"/>
    </row>
    <row r="851" ht="15.75" customHeight="1">
      <c r="C851" s="33"/>
      <c r="D851" s="33"/>
      <c r="E851" s="33"/>
      <c r="F851" s="33"/>
    </row>
    <row r="852" ht="15.75" customHeight="1">
      <c r="C852" s="33"/>
      <c r="D852" s="33"/>
      <c r="E852" s="33"/>
      <c r="F852" s="33"/>
    </row>
    <row r="853" ht="15.75" customHeight="1">
      <c r="C853" s="33"/>
      <c r="D853" s="33"/>
      <c r="E853" s="33"/>
      <c r="F853" s="33"/>
    </row>
    <row r="854" ht="15.75" customHeight="1">
      <c r="C854" s="33"/>
      <c r="D854" s="33"/>
      <c r="E854" s="33"/>
      <c r="F854" s="33"/>
    </row>
    <row r="855" ht="15.75" customHeight="1">
      <c r="C855" s="33"/>
      <c r="D855" s="33"/>
      <c r="E855" s="33"/>
      <c r="F855" s="33"/>
    </row>
    <row r="856" ht="15.75" customHeight="1">
      <c r="C856" s="33"/>
      <c r="D856" s="33"/>
      <c r="E856" s="33"/>
      <c r="F856" s="33"/>
    </row>
    <row r="857" ht="15.75" customHeight="1">
      <c r="C857" s="33"/>
      <c r="D857" s="33"/>
      <c r="E857" s="33"/>
      <c r="F857" s="33"/>
    </row>
    <row r="858" ht="15.75" customHeight="1">
      <c r="C858" s="33"/>
      <c r="D858" s="33"/>
      <c r="E858" s="33"/>
      <c r="F858" s="33"/>
    </row>
    <row r="859" ht="15.75" customHeight="1">
      <c r="C859" s="33"/>
      <c r="D859" s="33"/>
      <c r="E859" s="33"/>
      <c r="F859" s="33"/>
    </row>
    <row r="860" ht="15.75" customHeight="1">
      <c r="C860" s="33"/>
      <c r="D860" s="33"/>
      <c r="E860" s="33"/>
      <c r="F860" s="33"/>
    </row>
    <row r="861" ht="15.75" customHeight="1">
      <c r="C861" s="33"/>
      <c r="D861" s="33"/>
      <c r="E861" s="33"/>
      <c r="F861" s="33"/>
    </row>
    <row r="862" ht="15.75" customHeight="1">
      <c r="C862" s="33"/>
      <c r="D862" s="33"/>
      <c r="E862" s="33"/>
      <c r="F862" s="33"/>
    </row>
    <row r="863" ht="15.75" customHeight="1">
      <c r="C863" s="33"/>
      <c r="D863" s="33"/>
      <c r="E863" s="33"/>
      <c r="F863" s="33"/>
    </row>
    <row r="864" ht="15.75" customHeight="1">
      <c r="C864" s="33"/>
      <c r="D864" s="33"/>
      <c r="E864" s="33"/>
      <c r="F864" s="33"/>
    </row>
    <row r="865" ht="15.75" customHeight="1">
      <c r="C865" s="33"/>
      <c r="D865" s="33"/>
      <c r="E865" s="33"/>
      <c r="F865" s="33"/>
    </row>
    <row r="866" ht="15.75" customHeight="1">
      <c r="C866" s="33"/>
      <c r="D866" s="33"/>
      <c r="E866" s="33"/>
      <c r="F866" s="33"/>
    </row>
    <row r="867" ht="15.75" customHeight="1">
      <c r="C867" s="33"/>
      <c r="D867" s="33"/>
      <c r="E867" s="33"/>
      <c r="F867" s="33"/>
    </row>
    <row r="868" ht="15.75" customHeight="1">
      <c r="C868" s="33"/>
      <c r="D868" s="33"/>
      <c r="E868" s="33"/>
      <c r="F868" s="33"/>
    </row>
    <row r="869" ht="15.75" customHeight="1">
      <c r="C869" s="33"/>
      <c r="D869" s="33"/>
      <c r="E869" s="33"/>
      <c r="F869" s="33"/>
    </row>
    <row r="870" ht="15.75" customHeight="1">
      <c r="C870" s="33"/>
      <c r="D870" s="33"/>
      <c r="E870" s="33"/>
      <c r="F870" s="33"/>
    </row>
    <row r="871" ht="15.75" customHeight="1">
      <c r="C871" s="33"/>
      <c r="D871" s="33"/>
      <c r="E871" s="33"/>
      <c r="F871" s="33"/>
    </row>
    <row r="872" ht="15.75" customHeight="1">
      <c r="C872" s="33"/>
      <c r="D872" s="33"/>
      <c r="E872" s="33"/>
      <c r="F872" s="33"/>
    </row>
    <row r="873" ht="15.75" customHeight="1">
      <c r="C873" s="33"/>
      <c r="D873" s="33"/>
      <c r="E873" s="33"/>
      <c r="F873" s="33"/>
    </row>
    <row r="874" ht="15.75" customHeight="1">
      <c r="C874" s="33"/>
      <c r="D874" s="33"/>
      <c r="E874" s="33"/>
      <c r="F874" s="33"/>
    </row>
    <row r="875" ht="15.75" customHeight="1">
      <c r="C875" s="33"/>
      <c r="D875" s="33"/>
      <c r="E875" s="33"/>
      <c r="F875" s="33"/>
    </row>
    <row r="876" ht="15.75" customHeight="1">
      <c r="C876" s="33"/>
      <c r="D876" s="33"/>
      <c r="E876" s="33"/>
      <c r="F876" s="33"/>
    </row>
    <row r="877" ht="15.75" customHeight="1">
      <c r="C877" s="33"/>
      <c r="D877" s="33"/>
      <c r="E877" s="33"/>
      <c r="F877" s="33"/>
    </row>
    <row r="878" ht="15.75" customHeight="1">
      <c r="C878" s="33"/>
      <c r="D878" s="33"/>
      <c r="E878" s="33"/>
      <c r="F878" s="33"/>
    </row>
    <row r="879" ht="15.75" customHeight="1">
      <c r="C879" s="33"/>
      <c r="D879" s="33"/>
      <c r="E879" s="33"/>
      <c r="F879" s="33"/>
    </row>
    <row r="880" ht="15.75" customHeight="1">
      <c r="C880" s="33"/>
      <c r="D880" s="33"/>
      <c r="E880" s="33"/>
      <c r="F880" s="33"/>
    </row>
    <row r="881" ht="15.75" customHeight="1">
      <c r="C881" s="33"/>
      <c r="D881" s="33"/>
      <c r="E881" s="33"/>
      <c r="F881" s="33"/>
    </row>
    <row r="882" ht="15.75" customHeight="1">
      <c r="C882" s="33"/>
      <c r="D882" s="33"/>
      <c r="E882" s="33"/>
      <c r="F882" s="33"/>
    </row>
    <row r="883" ht="15.75" customHeight="1">
      <c r="C883" s="33"/>
      <c r="D883" s="33"/>
      <c r="E883" s="33"/>
      <c r="F883" s="33"/>
    </row>
    <row r="884" ht="15.75" customHeight="1">
      <c r="C884" s="33"/>
      <c r="D884" s="33"/>
      <c r="E884" s="33"/>
      <c r="F884" s="33"/>
    </row>
    <row r="885" ht="15.75" customHeight="1">
      <c r="C885" s="33"/>
      <c r="D885" s="33"/>
      <c r="E885" s="33"/>
      <c r="F885" s="33"/>
    </row>
    <row r="886" ht="15.75" customHeight="1">
      <c r="C886" s="33"/>
      <c r="D886" s="33"/>
      <c r="E886" s="33"/>
      <c r="F886" s="33"/>
    </row>
    <row r="887" ht="15.75" customHeight="1">
      <c r="C887" s="33"/>
      <c r="D887" s="33"/>
      <c r="E887" s="33"/>
      <c r="F887" s="33"/>
    </row>
    <row r="888" ht="15.75" customHeight="1">
      <c r="C888" s="33"/>
      <c r="D888" s="33"/>
      <c r="E888" s="33"/>
      <c r="F888" s="33"/>
    </row>
    <row r="889" ht="15.75" customHeight="1">
      <c r="C889" s="33"/>
      <c r="D889" s="33"/>
      <c r="E889" s="33"/>
      <c r="F889" s="33"/>
    </row>
    <row r="890" ht="15.75" customHeight="1">
      <c r="C890" s="33"/>
      <c r="D890" s="33"/>
      <c r="E890" s="33"/>
      <c r="F890" s="33"/>
    </row>
    <row r="891" ht="15.75" customHeight="1">
      <c r="C891" s="33"/>
      <c r="D891" s="33"/>
      <c r="E891" s="33"/>
      <c r="F891" s="33"/>
    </row>
    <row r="892" ht="15.75" customHeight="1">
      <c r="C892" s="33"/>
      <c r="D892" s="33"/>
      <c r="E892" s="33"/>
      <c r="F892" s="33"/>
    </row>
    <row r="893" ht="15.75" customHeight="1">
      <c r="C893" s="33"/>
      <c r="D893" s="33"/>
      <c r="E893" s="33"/>
      <c r="F893" s="33"/>
    </row>
    <row r="894" ht="15.75" customHeight="1">
      <c r="C894" s="33"/>
      <c r="D894" s="33"/>
      <c r="E894" s="33"/>
      <c r="F894" s="33"/>
    </row>
    <row r="895" ht="15.75" customHeight="1">
      <c r="C895" s="33"/>
      <c r="D895" s="33"/>
      <c r="E895" s="33"/>
      <c r="F895" s="33"/>
    </row>
    <row r="896" ht="15.75" customHeight="1">
      <c r="C896" s="33"/>
      <c r="D896" s="33"/>
      <c r="E896" s="33"/>
      <c r="F896" s="33"/>
    </row>
    <row r="897" ht="15.75" customHeight="1">
      <c r="C897" s="33"/>
      <c r="D897" s="33"/>
      <c r="E897" s="33"/>
      <c r="F897" s="33"/>
    </row>
    <row r="898" ht="15.75" customHeight="1">
      <c r="C898" s="33"/>
      <c r="D898" s="33"/>
      <c r="E898" s="33"/>
      <c r="F898" s="33"/>
    </row>
    <row r="899" ht="15.75" customHeight="1">
      <c r="C899" s="33"/>
      <c r="D899" s="33"/>
      <c r="E899" s="33"/>
      <c r="F899" s="33"/>
    </row>
    <row r="900" ht="15.75" customHeight="1">
      <c r="C900" s="33"/>
      <c r="D900" s="33"/>
      <c r="E900" s="33"/>
      <c r="F900" s="33"/>
    </row>
    <row r="901" ht="15.75" customHeight="1">
      <c r="C901" s="33"/>
      <c r="D901" s="33"/>
      <c r="E901" s="33"/>
      <c r="F901" s="33"/>
    </row>
    <row r="902" ht="15.75" customHeight="1">
      <c r="C902" s="33"/>
      <c r="D902" s="33"/>
      <c r="E902" s="33"/>
      <c r="F902" s="33"/>
    </row>
    <row r="903" ht="15.75" customHeight="1">
      <c r="C903" s="33"/>
      <c r="D903" s="33"/>
      <c r="E903" s="33"/>
      <c r="F903" s="33"/>
    </row>
    <row r="904" ht="15.75" customHeight="1">
      <c r="C904" s="33"/>
      <c r="D904" s="33"/>
      <c r="E904" s="33"/>
      <c r="F904" s="33"/>
    </row>
    <row r="905" ht="15.75" customHeight="1">
      <c r="C905" s="33"/>
      <c r="D905" s="33"/>
      <c r="E905" s="33"/>
      <c r="F905" s="33"/>
    </row>
    <row r="906" ht="15.75" customHeight="1">
      <c r="C906" s="33"/>
      <c r="D906" s="33"/>
      <c r="E906" s="33"/>
      <c r="F906" s="33"/>
    </row>
    <row r="907" ht="15.75" customHeight="1">
      <c r="C907" s="33"/>
      <c r="D907" s="33"/>
      <c r="E907" s="33"/>
      <c r="F907" s="33"/>
    </row>
    <row r="908" ht="15.75" customHeight="1">
      <c r="C908" s="33"/>
      <c r="D908" s="33"/>
      <c r="E908" s="33"/>
      <c r="F908" s="33"/>
    </row>
    <row r="909" ht="15.75" customHeight="1">
      <c r="C909" s="33"/>
      <c r="D909" s="33"/>
      <c r="E909" s="33"/>
      <c r="F909" s="33"/>
    </row>
    <row r="910" ht="15.75" customHeight="1">
      <c r="C910" s="33"/>
      <c r="D910" s="33"/>
      <c r="E910" s="33"/>
      <c r="F910" s="33"/>
    </row>
    <row r="911" ht="15.75" customHeight="1">
      <c r="C911" s="33"/>
      <c r="D911" s="33"/>
      <c r="E911" s="33"/>
      <c r="F911" s="33"/>
    </row>
    <row r="912" ht="15.75" customHeight="1">
      <c r="C912" s="33"/>
      <c r="D912" s="33"/>
      <c r="E912" s="33"/>
      <c r="F912" s="33"/>
    </row>
    <row r="913" ht="15.75" customHeight="1">
      <c r="C913" s="33"/>
      <c r="D913" s="33"/>
      <c r="E913" s="33"/>
      <c r="F913" s="33"/>
    </row>
    <row r="914" ht="15.75" customHeight="1">
      <c r="C914" s="33"/>
      <c r="D914" s="33"/>
      <c r="E914" s="33"/>
      <c r="F914" s="33"/>
    </row>
    <row r="915" ht="15.75" customHeight="1">
      <c r="C915" s="33"/>
      <c r="D915" s="33"/>
      <c r="E915" s="33"/>
      <c r="F915" s="33"/>
    </row>
    <row r="916" ht="15.75" customHeight="1">
      <c r="C916" s="33"/>
      <c r="D916" s="33"/>
      <c r="E916" s="33"/>
      <c r="F916" s="33"/>
    </row>
    <row r="917" ht="15.75" customHeight="1">
      <c r="C917" s="33"/>
      <c r="D917" s="33"/>
      <c r="E917" s="33"/>
      <c r="F917" s="33"/>
    </row>
    <row r="918" ht="15.75" customHeight="1">
      <c r="C918" s="33"/>
      <c r="D918" s="33"/>
      <c r="E918" s="33"/>
      <c r="F918" s="33"/>
    </row>
    <row r="919" ht="15.75" customHeight="1">
      <c r="C919" s="33"/>
      <c r="D919" s="33"/>
      <c r="E919" s="33"/>
      <c r="F919" s="33"/>
    </row>
    <row r="920" ht="15.75" customHeight="1">
      <c r="C920" s="33"/>
      <c r="D920" s="33"/>
      <c r="E920" s="33"/>
      <c r="F920" s="33"/>
    </row>
    <row r="921" ht="15.75" customHeight="1">
      <c r="C921" s="33"/>
      <c r="D921" s="33"/>
      <c r="E921" s="33"/>
      <c r="F921" s="33"/>
    </row>
    <row r="922" ht="15.75" customHeight="1">
      <c r="C922" s="33"/>
      <c r="D922" s="33"/>
      <c r="E922" s="33"/>
      <c r="F922" s="33"/>
    </row>
    <row r="923" ht="15.75" customHeight="1">
      <c r="C923" s="33"/>
      <c r="D923" s="33"/>
      <c r="E923" s="33"/>
      <c r="F923" s="33"/>
    </row>
    <row r="924" ht="15.75" customHeight="1">
      <c r="C924" s="33"/>
      <c r="D924" s="33"/>
      <c r="E924" s="33"/>
      <c r="F924" s="33"/>
    </row>
    <row r="925" ht="15.75" customHeight="1">
      <c r="C925" s="33"/>
      <c r="D925" s="33"/>
      <c r="E925" s="33"/>
      <c r="F925" s="33"/>
    </row>
    <row r="926" ht="15.75" customHeight="1">
      <c r="C926" s="33"/>
      <c r="D926" s="33"/>
      <c r="E926" s="33"/>
      <c r="F926" s="33"/>
    </row>
    <row r="927" ht="15.75" customHeight="1">
      <c r="C927" s="33"/>
      <c r="D927" s="33"/>
      <c r="E927" s="33"/>
      <c r="F927" s="33"/>
    </row>
    <row r="928" ht="15.75" customHeight="1">
      <c r="C928" s="33"/>
      <c r="D928" s="33"/>
      <c r="E928" s="33"/>
      <c r="F928" s="33"/>
    </row>
    <row r="929" ht="15.75" customHeight="1">
      <c r="C929" s="33"/>
      <c r="D929" s="33"/>
      <c r="E929" s="33"/>
      <c r="F929" s="33"/>
    </row>
    <row r="930" ht="15.75" customHeight="1">
      <c r="C930" s="33"/>
      <c r="D930" s="33"/>
      <c r="E930" s="33"/>
      <c r="F930" s="33"/>
    </row>
    <row r="931" ht="15.75" customHeight="1">
      <c r="C931" s="33"/>
      <c r="D931" s="33"/>
      <c r="E931" s="33"/>
      <c r="F931" s="33"/>
    </row>
    <row r="932" ht="15.75" customHeight="1">
      <c r="C932" s="33"/>
      <c r="D932" s="33"/>
      <c r="E932" s="33"/>
      <c r="F932" s="33"/>
    </row>
    <row r="933" ht="15.75" customHeight="1">
      <c r="C933" s="33"/>
      <c r="D933" s="33"/>
      <c r="E933" s="33"/>
      <c r="F933" s="33"/>
    </row>
    <row r="934" ht="15.75" customHeight="1">
      <c r="C934" s="33"/>
      <c r="D934" s="33"/>
      <c r="E934" s="33"/>
      <c r="F934" s="33"/>
    </row>
    <row r="935" ht="15.75" customHeight="1">
      <c r="C935" s="33"/>
      <c r="D935" s="33"/>
      <c r="E935" s="33"/>
      <c r="F935" s="33"/>
    </row>
    <row r="936" ht="15.75" customHeight="1">
      <c r="C936" s="33"/>
      <c r="D936" s="33"/>
      <c r="E936" s="33"/>
      <c r="F936" s="33"/>
    </row>
    <row r="937" ht="15.75" customHeight="1">
      <c r="C937" s="33"/>
      <c r="D937" s="33"/>
      <c r="E937" s="33"/>
      <c r="F937" s="33"/>
    </row>
    <row r="938" ht="15.75" customHeight="1">
      <c r="C938" s="33"/>
      <c r="D938" s="33"/>
      <c r="E938" s="33"/>
      <c r="F938" s="33"/>
    </row>
    <row r="939" ht="15.75" customHeight="1">
      <c r="C939" s="33"/>
      <c r="D939" s="33"/>
      <c r="E939" s="33"/>
      <c r="F939" s="33"/>
    </row>
    <row r="940" ht="15.75" customHeight="1">
      <c r="C940" s="33"/>
      <c r="D940" s="33"/>
      <c r="E940" s="33"/>
      <c r="F940" s="33"/>
    </row>
    <row r="941" ht="15.75" customHeight="1">
      <c r="C941" s="33"/>
      <c r="D941" s="33"/>
      <c r="E941" s="33"/>
      <c r="F941" s="33"/>
    </row>
    <row r="942" ht="15.75" customHeight="1">
      <c r="C942" s="33"/>
      <c r="D942" s="33"/>
      <c r="E942" s="33"/>
      <c r="F942" s="33"/>
    </row>
    <row r="943" ht="15.75" customHeight="1">
      <c r="C943" s="33"/>
      <c r="D943" s="33"/>
      <c r="E943" s="33"/>
      <c r="F943" s="33"/>
    </row>
    <row r="944" ht="15.75" customHeight="1">
      <c r="C944" s="33"/>
      <c r="D944" s="33"/>
      <c r="E944" s="33"/>
      <c r="F944" s="33"/>
    </row>
    <row r="945" ht="15.75" customHeight="1">
      <c r="C945" s="33"/>
      <c r="D945" s="33"/>
      <c r="E945" s="33"/>
      <c r="F945" s="33"/>
    </row>
    <row r="946" ht="15.75" customHeight="1">
      <c r="C946" s="33"/>
      <c r="D946" s="33"/>
      <c r="E946" s="33"/>
      <c r="F946" s="33"/>
    </row>
    <row r="947" ht="15.75" customHeight="1">
      <c r="C947" s="33"/>
      <c r="D947" s="33"/>
      <c r="E947" s="33"/>
      <c r="F947" s="33"/>
    </row>
    <row r="948" ht="15.75" customHeight="1">
      <c r="C948" s="33"/>
      <c r="D948" s="33"/>
      <c r="E948" s="33"/>
      <c r="F948" s="33"/>
    </row>
    <row r="949" ht="15.75" customHeight="1">
      <c r="C949" s="33"/>
      <c r="D949" s="33"/>
      <c r="E949" s="33"/>
      <c r="F949" s="33"/>
    </row>
    <row r="950" ht="15.75" customHeight="1">
      <c r="C950" s="33"/>
      <c r="D950" s="33"/>
      <c r="E950" s="33"/>
      <c r="F950" s="33"/>
    </row>
    <row r="951" ht="15.75" customHeight="1">
      <c r="C951" s="33"/>
      <c r="D951" s="33"/>
      <c r="E951" s="33"/>
      <c r="F951" s="33"/>
    </row>
    <row r="952" ht="15.75" customHeight="1">
      <c r="C952" s="33"/>
      <c r="D952" s="33"/>
      <c r="E952" s="33"/>
      <c r="F952" s="33"/>
    </row>
    <row r="953" ht="15.75" customHeight="1">
      <c r="C953" s="33"/>
      <c r="D953" s="33"/>
      <c r="E953" s="33"/>
      <c r="F953" s="33"/>
    </row>
    <row r="954" ht="15.75" customHeight="1">
      <c r="C954" s="33"/>
      <c r="D954" s="33"/>
      <c r="E954" s="33"/>
      <c r="F954" s="33"/>
    </row>
    <row r="955" ht="15.75" customHeight="1">
      <c r="C955" s="33"/>
      <c r="D955" s="33"/>
      <c r="E955" s="33"/>
      <c r="F955" s="33"/>
    </row>
    <row r="956" ht="15.75" customHeight="1">
      <c r="C956" s="33"/>
      <c r="D956" s="33"/>
      <c r="E956" s="33"/>
      <c r="F956" s="33"/>
    </row>
    <row r="957" ht="15.75" customHeight="1">
      <c r="C957" s="33"/>
      <c r="D957" s="33"/>
      <c r="E957" s="33"/>
      <c r="F957" s="33"/>
    </row>
    <row r="958" ht="15.75" customHeight="1">
      <c r="C958" s="33"/>
      <c r="D958" s="33"/>
      <c r="E958" s="33"/>
      <c r="F958" s="33"/>
    </row>
    <row r="959" ht="15.75" customHeight="1">
      <c r="C959" s="33"/>
      <c r="D959" s="33"/>
      <c r="E959" s="33"/>
      <c r="F959" s="33"/>
    </row>
    <row r="960" ht="15.75" customHeight="1">
      <c r="C960" s="33"/>
      <c r="D960" s="33"/>
      <c r="E960" s="33"/>
      <c r="F960" s="33"/>
    </row>
    <row r="961" ht="15.75" customHeight="1">
      <c r="C961" s="33"/>
      <c r="D961" s="33"/>
      <c r="E961" s="33"/>
      <c r="F961" s="33"/>
    </row>
    <row r="962" ht="15.75" customHeight="1">
      <c r="C962" s="33"/>
      <c r="D962" s="33"/>
      <c r="E962" s="33"/>
      <c r="F962" s="33"/>
    </row>
    <row r="963" ht="15.75" customHeight="1">
      <c r="C963" s="33"/>
      <c r="D963" s="33"/>
      <c r="E963" s="33"/>
      <c r="F963" s="33"/>
    </row>
    <row r="964" ht="15.75" customHeight="1">
      <c r="C964" s="33"/>
      <c r="D964" s="33"/>
      <c r="E964" s="33"/>
      <c r="F964" s="33"/>
    </row>
    <row r="965" ht="15.75" customHeight="1">
      <c r="C965" s="33"/>
      <c r="D965" s="33"/>
      <c r="E965" s="33"/>
      <c r="F965" s="33"/>
    </row>
    <row r="966" ht="15.75" customHeight="1">
      <c r="C966" s="33"/>
      <c r="D966" s="33"/>
      <c r="E966" s="33"/>
      <c r="F966" s="33"/>
    </row>
    <row r="967" ht="15.75" customHeight="1">
      <c r="C967" s="33"/>
      <c r="D967" s="33"/>
      <c r="E967" s="33"/>
      <c r="F967" s="33"/>
    </row>
    <row r="968" ht="15.75" customHeight="1">
      <c r="C968" s="33"/>
      <c r="D968" s="33"/>
      <c r="E968" s="33"/>
      <c r="F968" s="33"/>
    </row>
    <row r="969" ht="15.75" customHeight="1">
      <c r="C969" s="33"/>
      <c r="D969" s="33"/>
      <c r="E969" s="33"/>
      <c r="F969" s="33"/>
    </row>
    <row r="970" ht="15.75" customHeight="1">
      <c r="C970" s="33"/>
      <c r="D970" s="33"/>
      <c r="E970" s="33"/>
      <c r="F970" s="33"/>
    </row>
    <row r="971" ht="15.75" customHeight="1">
      <c r="C971" s="33"/>
      <c r="D971" s="33"/>
      <c r="E971" s="33"/>
      <c r="F971" s="33"/>
    </row>
    <row r="972" ht="15.75" customHeight="1">
      <c r="C972" s="33"/>
      <c r="D972" s="33"/>
      <c r="E972" s="33"/>
      <c r="F972" s="33"/>
    </row>
    <row r="973" ht="15.75" customHeight="1">
      <c r="C973" s="33"/>
      <c r="D973" s="33"/>
      <c r="E973" s="33"/>
      <c r="F973" s="33"/>
    </row>
    <row r="974" ht="15.75" customHeight="1">
      <c r="C974" s="33"/>
      <c r="D974" s="33"/>
      <c r="E974" s="33"/>
      <c r="F974" s="33"/>
    </row>
    <row r="975" ht="15.75" customHeight="1">
      <c r="C975" s="33"/>
      <c r="D975" s="33"/>
      <c r="E975" s="33"/>
      <c r="F975" s="33"/>
    </row>
    <row r="976" ht="15.75" customHeight="1">
      <c r="C976" s="33"/>
      <c r="D976" s="33"/>
      <c r="E976" s="33"/>
      <c r="F976" s="33"/>
    </row>
    <row r="977" ht="15.75" customHeight="1">
      <c r="C977" s="33"/>
      <c r="D977" s="33"/>
      <c r="E977" s="33"/>
      <c r="F977" s="33"/>
    </row>
    <row r="978" ht="15.75" customHeight="1">
      <c r="C978" s="33"/>
      <c r="D978" s="33"/>
      <c r="E978" s="33"/>
      <c r="F978" s="33"/>
    </row>
    <row r="979" ht="15.75" customHeight="1">
      <c r="C979" s="33"/>
      <c r="D979" s="33"/>
      <c r="E979" s="33"/>
      <c r="F979" s="33"/>
    </row>
    <row r="980" ht="15.75" customHeight="1">
      <c r="C980" s="33"/>
      <c r="D980" s="33"/>
      <c r="E980" s="33"/>
      <c r="F980" s="33"/>
    </row>
    <row r="981" ht="15.75" customHeight="1">
      <c r="C981" s="33"/>
      <c r="D981" s="33"/>
      <c r="E981" s="33"/>
      <c r="F981" s="33"/>
    </row>
    <row r="982" ht="15.75" customHeight="1">
      <c r="C982" s="33"/>
      <c r="D982" s="33"/>
      <c r="E982" s="33"/>
      <c r="F982" s="33"/>
    </row>
    <row r="983" ht="15.75" customHeight="1">
      <c r="C983" s="33"/>
      <c r="D983" s="33"/>
      <c r="E983" s="33"/>
      <c r="F983" s="33"/>
    </row>
    <row r="984" ht="15.75" customHeight="1">
      <c r="C984" s="33"/>
      <c r="D984" s="33"/>
      <c r="E984" s="33"/>
      <c r="F984" s="33"/>
    </row>
    <row r="985" ht="15.75" customHeight="1">
      <c r="C985" s="33"/>
      <c r="D985" s="33"/>
      <c r="E985" s="33"/>
      <c r="F985" s="33"/>
    </row>
    <row r="986" ht="15.75" customHeight="1">
      <c r="C986" s="33"/>
      <c r="D986" s="33"/>
      <c r="E986" s="33"/>
      <c r="F986" s="33"/>
    </row>
    <row r="987" ht="15.75" customHeight="1">
      <c r="C987" s="33"/>
      <c r="D987" s="33"/>
      <c r="E987" s="33"/>
      <c r="F987" s="33"/>
    </row>
    <row r="988" ht="15.75" customHeight="1">
      <c r="C988" s="33"/>
      <c r="D988" s="33"/>
      <c r="E988" s="33"/>
      <c r="F988" s="33"/>
    </row>
    <row r="989" ht="15.75" customHeight="1">
      <c r="C989" s="33"/>
      <c r="D989" s="33"/>
      <c r="E989" s="33"/>
      <c r="F989" s="33"/>
    </row>
    <row r="990" ht="15.75" customHeight="1">
      <c r="C990" s="33"/>
      <c r="D990" s="33"/>
      <c r="E990" s="33"/>
      <c r="F990" s="33"/>
    </row>
    <row r="991" ht="15.75" customHeight="1">
      <c r="C991" s="33"/>
      <c r="D991" s="33"/>
      <c r="E991" s="33"/>
      <c r="F991" s="33"/>
    </row>
    <row r="992" ht="15.75" customHeight="1">
      <c r="C992" s="33"/>
      <c r="D992" s="33"/>
      <c r="E992" s="33"/>
      <c r="F992" s="33"/>
    </row>
    <row r="993" ht="15.75" customHeight="1">
      <c r="C993" s="33"/>
      <c r="D993" s="33"/>
      <c r="E993" s="33"/>
      <c r="F993" s="33"/>
    </row>
    <row r="994" ht="15.75" customHeight="1">
      <c r="C994" s="33"/>
      <c r="D994" s="33"/>
      <c r="E994" s="33"/>
      <c r="F994" s="33"/>
    </row>
    <row r="995" ht="15.75" customHeight="1">
      <c r="C995" s="33"/>
      <c r="D995" s="33"/>
      <c r="E995" s="33"/>
      <c r="F995" s="33"/>
    </row>
    <row r="996" ht="15.75" customHeight="1">
      <c r="C996" s="33"/>
      <c r="D996" s="33"/>
      <c r="E996" s="33"/>
      <c r="F996" s="33"/>
    </row>
    <row r="997" ht="15.75" customHeight="1">
      <c r="C997" s="33"/>
      <c r="D997" s="33"/>
      <c r="E997" s="33"/>
      <c r="F997" s="33"/>
    </row>
    <row r="998" ht="15.75" customHeight="1">
      <c r="C998" s="33"/>
      <c r="D998" s="33"/>
      <c r="E998" s="33"/>
      <c r="F998" s="33"/>
    </row>
    <row r="999" ht="15.75" customHeight="1">
      <c r="C999" s="33"/>
      <c r="D999" s="33"/>
      <c r="E999" s="33"/>
      <c r="F999" s="33"/>
    </row>
    <row r="1000" ht="15.75" customHeight="1">
      <c r="C1000" s="33"/>
      <c r="D1000" s="33"/>
      <c r="E1000" s="33"/>
      <c r="F1000" s="33"/>
    </row>
    <row r="1001" ht="15.75" customHeight="1">
      <c r="C1001" s="33"/>
      <c r="D1001" s="33"/>
      <c r="E1001" s="33"/>
      <c r="F1001" s="33"/>
    </row>
    <row r="1002" ht="15.75" customHeight="1">
      <c r="C1002" s="33"/>
      <c r="D1002" s="33"/>
      <c r="E1002" s="33"/>
      <c r="F1002" s="33"/>
    </row>
    <row r="1003" ht="15.75" customHeight="1">
      <c r="C1003" s="33"/>
      <c r="D1003" s="33"/>
      <c r="E1003" s="33"/>
      <c r="F1003" s="33"/>
    </row>
    <row r="1004" ht="15.75" customHeight="1">
      <c r="C1004" s="33"/>
      <c r="D1004" s="33"/>
      <c r="E1004" s="33"/>
      <c r="F1004" s="33"/>
    </row>
    <row r="1005" ht="15.75" customHeight="1">
      <c r="C1005" s="33"/>
      <c r="D1005" s="33"/>
      <c r="E1005" s="33"/>
      <c r="F1005" s="33"/>
    </row>
    <row r="1006" ht="15.75" customHeight="1">
      <c r="C1006" s="33"/>
      <c r="D1006" s="33"/>
      <c r="E1006" s="33"/>
      <c r="F1006" s="33"/>
    </row>
    <row r="1007" ht="15.75" customHeight="1">
      <c r="C1007" s="33"/>
      <c r="D1007" s="33"/>
      <c r="E1007" s="33"/>
      <c r="F1007" s="33"/>
    </row>
    <row r="1008" ht="15.75" customHeight="1">
      <c r="C1008" s="33"/>
      <c r="D1008" s="33"/>
      <c r="E1008" s="33"/>
      <c r="F1008" s="33"/>
    </row>
    <row r="1009" ht="15.75" customHeight="1">
      <c r="C1009" s="33"/>
      <c r="D1009" s="33"/>
      <c r="E1009" s="33"/>
      <c r="F1009" s="33"/>
    </row>
    <row r="1010" ht="15.75" customHeight="1">
      <c r="C1010" s="33"/>
      <c r="D1010" s="33"/>
      <c r="E1010" s="33"/>
      <c r="F1010" s="33"/>
    </row>
    <row r="1011" ht="15.75" customHeight="1">
      <c r="C1011" s="33"/>
      <c r="D1011" s="33"/>
      <c r="E1011" s="33"/>
      <c r="F1011" s="33"/>
    </row>
    <row r="1012" ht="15.75" customHeight="1">
      <c r="C1012" s="33"/>
      <c r="D1012" s="33"/>
      <c r="E1012" s="33"/>
      <c r="F1012" s="33"/>
    </row>
    <row r="1013" ht="15.75" customHeight="1">
      <c r="C1013" s="33"/>
      <c r="D1013" s="33"/>
      <c r="E1013" s="33"/>
      <c r="F1013" s="33"/>
    </row>
    <row r="1014" ht="15.75" customHeight="1">
      <c r="C1014" s="33"/>
      <c r="D1014" s="33"/>
      <c r="E1014" s="33"/>
      <c r="F1014" s="33"/>
    </row>
    <row r="1015" ht="15.75" customHeight="1">
      <c r="C1015" s="33"/>
      <c r="D1015" s="33"/>
      <c r="E1015" s="33"/>
      <c r="F1015" s="33"/>
    </row>
    <row r="1016" ht="15.75" customHeight="1">
      <c r="C1016" s="33"/>
      <c r="D1016" s="33"/>
      <c r="E1016" s="33"/>
      <c r="F1016" s="33"/>
    </row>
    <row r="1017" ht="15.75" customHeight="1">
      <c r="C1017" s="33"/>
      <c r="D1017" s="33"/>
      <c r="E1017" s="33"/>
      <c r="F1017" s="33"/>
    </row>
    <row r="1018" ht="15.75" customHeight="1">
      <c r="C1018" s="33"/>
      <c r="D1018" s="33"/>
      <c r="E1018" s="33"/>
      <c r="F1018" s="33"/>
    </row>
    <row r="1019" ht="15.75" customHeight="1">
      <c r="C1019" s="33"/>
      <c r="D1019" s="33"/>
      <c r="E1019" s="33"/>
      <c r="F1019" s="33"/>
    </row>
    <row r="1020" ht="15.75" customHeight="1">
      <c r="C1020" s="33"/>
      <c r="D1020" s="33"/>
      <c r="E1020" s="33"/>
      <c r="F1020" s="33"/>
    </row>
    <row r="1021" ht="15.75" customHeight="1">
      <c r="C1021" s="33"/>
      <c r="D1021" s="33"/>
      <c r="E1021" s="33"/>
      <c r="F1021" s="33"/>
    </row>
    <row r="1022" ht="15.75" customHeight="1">
      <c r="C1022" s="33"/>
      <c r="D1022" s="33"/>
      <c r="E1022" s="33"/>
      <c r="F1022" s="3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6.13"/>
    <col customWidth="1" min="3" max="4" width="13.38"/>
    <col customWidth="1" min="5" max="5" width="12.63"/>
  </cols>
  <sheetData>
    <row r="1" ht="15.75" customHeight="1">
      <c r="A1" s="5" t="s">
        <v>3</v>
      </c>
      <c r="B1" s="5" t="s">
        <v>4</v>
      </c>
      <c r="C1" s="4" t="s">
        <v>5</v>
      </c>
      <c r="D1" s="28" t="s">
        <v>102</v>
      </c>
      <c r="E1" s="29"/>
      <c r="F1" s="29"/>
      <c r="G1" s="30"/>
    </row>
    <row r="2" ht="15.75" customHeight="1">
      <c r="A2" s="14" t="s">
        <v>11</v>
      </c>
      <c r="B2" s="14" t="s">
        <v>25</v>
      </c>
      <c r="C2" s="15" t="s">
        <v>26</v>
      </c>
      <c r="D2" s="31">
        <v>0.2</v>
      </c>
      <c r="E2" s="32"/>
      <c r="F2" s="32"/>
    </row>
    <row r="3" ht="15.75" customHeight="1">
      <c r="A3" s="14" t="s">
        <v>11</v>
      </c>
      <c r="B3" s="14" t="s">
        <v>27</v>
      </c>
      <c r="C3" s="15" t="s">
        <v>28</v>
      </c>
      <c r="D3" s="31">
        <v>0.3</v>
      </c>
      <c r="E3" s="32"/>
      <c r="F3" s="32"/>
    </row>
    <row r="4" ht="15.75" customHeight="1">
      <c r="A4" s="14" t="s">
        <v>11</v>
      </c>
      <c r="B4" s="14" t="s">
        <v>29</v>
      </c>
      <c r="C4" s="15" t="s">
        <v>30</v>
      </c>
      <c r="D4" s="31">
        <v>0.1</v>
      </c>
      <c r="E4" s="32"/>
      <c r="F4" s="32"/>
    </row>
    <row r="5" ht="15.75" customHeight="1">
      <c r="A5" s="14" t="s">
        <v>11</v>
      </c>
      <c r="B5" s="14" t="s">
        <v>31</v>
      </c>
      <c r="C5" s="15" t="s">
        <v>32</v>
      </c>
      <c r="D5" s="31">
        <v>0.2</v>
      </c>
      <c r="E5" s="32"/>
      <c r="F5" s="32"/>
    </row>
    <row r="6" ht="15.75" customHeight="1">
      <c r="A6" s="14" t="s">
        <v>18</v>
      </c>
      <c r="B6" s="14" t="s">
        <v>33</v>
      </c>
      <c r="C6" s="15" t="s">
        <v>30</v>
      </c>
      <c r="D6" s="31">
        <v>0.4</v>
      </c>
      <c r="E6" s="32"/>
      <c r="F6" s="32"/>
    </row>
    <row r="7" ht="15.75" customHeight="1">
      <c r="A7" s="14" t="s">
        <v>18</v>
      </c>
      <c r="B7" s="14" t="s">
        <v>34</v>
      </c>
      <c r="C7" s="15" t="s">
        <v>26</v>
      </c>
      <c r="D7" s="31">
        <v>0.15</v>
      </c>
      <c r="E7" s="32"/>
      <c r="F7" s="32"/>
    </row>
    <row r="8" ht="15.75" customHeight="1">
      <c r="A8" s="14" t="s">
        <v>18</v>
      </c>
      <c r="B8" s="14" t="s">
        <v>35</v>
      </c>
      <c r="C8" s="15" t="s">
        <v>26</v>
      </c>
      <c r="D8" s="31">
        <v>0.5</v>
      </c>
      <c r="E8" s="32"/>
      <c r="F8" s="32"/>
    </row>
    <row r="9" ht="15.75" customHeight="1">
      <c r="A9" s="14" t="s">
        <v>18</v>
      </c>
      <c r="B9" s="14" t="s">
        <v>36</v>
      </c>
      <c r="C9" s="15" t="s">
        <v>37</v>
      </c>
      <c r="D9" s="31">
        <v>0.5</v>
      </c>
      <c r="E9" s="32"/>
      <c r="F9" s="32"/>
    </row>
    <row r="10" ht="15.75" customHeight="1">
      <c r="A10" s="14" t="s">
        <v>18</v>
      </c>
      <c r="B10" s="14" t="s">
        <v>38</v>
      </c>
      <c r="C10" s="15" t="s">
        <v>39</v>
      </c>
      <c r="D10" s="31">
        <v>0.4</v>
      </c>
      <c r="E10" s="32"/>
      <c r="F10" s="32"/>
    </row>
    <row r="11" ht="15.75" customHeight="1">
      <c r="A11" s="14" t="s">
        <v>8</v>
      </c>
      <c r="B11" s="14" t="s">
        <v>40</v>
      </c>
      <c r="C11" s="15" t="s">
        <v>39</v>
      </c>
      <c r="D11" s="31">
        <v>0.3</v>
      </c>
      <c r="E11" s="32"/>
      <c r="F11" s="32"/>
    </row>
    <row r="12" ht="15.75" customHeight="1">
      <c r="A12" s="14" t="s">
        <v>8</v>
      </c>
      <c r="B12" s="14" t="s">
        <v>41</v>
      </c>
      <c r="C12" s="15" t="s">
        <v>42</v>
      </c>
      <c r="D12" s="31">
        <v>0.35</v>
      </c>
      <c r="E12" s="32"/>
      <c r="F12" s="32"/>
    </row>
    <row r="13" ht="15.75" customHeight="1">
      <c r="A13" s="14" t="s">
        <v>8</v>
      </c>
      <c r="B13" s="14" t="s">
        <v>43</v>
      </c>
      <c r="C13" s="15" t="s">
        <v>28</v>
      </c>
      <c r="D13" s="31">
        <v>0.1</v>
      </c>
      <c r="E13" s="32"/>
      <c r="F13" s="32"/>
    </row>
    <row r="14" ht="15.75" customHeight="1">
      <c r="A14" s="14" t="s">
        <v>8</v>
      </c>
      <c r="B14" s="14" t="s">
        <v>44</v>
      </c>
      <c r="C14" s="15" t="s">
        <v>45</v>
      </c>
      <c r="D14" s="31">
        <v>0.4</v>
      </c>
      <c r="E14" s="32"/>
      <c r="F14" s="32"/>
    </row>
    <row r="15" ht="15.75" customHeight="1">
      <c r="A15" s="14" t="s">
        <v>8</v>
      </c>
      <c r="B15" s="14" t="s">
        <v>46</v>
      </c>
      <c r="C15" s="15" t="s">
        <v>45</v>
      </c>
      <c r="D15" s="31">
        <v>0.1</v>
      </c>
      <c r="E15" s="32"/>
      <c r="F15" s="32"/>
    </row>
    <row r="16" ht="15.75" customHeight="1">
      <c r="A16" s="14" t="s">
        <v>16</v>
      </c>
      <c r="B16" s="14" t="s">
        <v>47</v>
      </c>
      <c r="C16" s="15" t="s">
        <v>30</v>
      </c>
      <c r="D16" s="31">
        <v>0.6</v>
      </c>
      <c r="E16" s="32"/>
      <c r="F16" s="32"/>
    </row>
    <row r="17" ht="15.75" customHeight="1">
      <c r="A17" s="14" t="s">
        <v>16</v>
      </c>
      <c r="B17" s="14" t="s">
        <v>48</v>
      </c>
      <c r="C17" s="15" t="s">
        <v>30</v>
      </c>
      <c r="D17" s="31">
        <v>0.3</v>
      </c>
      <c r="E17" s="32"/>
      <c r="F17" s="32"/>
    </row>
    <row r="18" ht="15.75" customHeight="1">
      <c r="A18" s="14" t="s">
        <v>16</v>
      </c>
      <c r="B18" s="14" t="s">
        <v>49</v>
      </c>
      <c r="C18" s="15" t="s">
        <v>50</v>
      </c>
      <c r="D18" s="31">
        <v>0.6</v>
      </c>
      <c r="E18" s="32"/>
      <c r="F18" s="32"/>
    </row>
    <row r="19" ht="15.75" customHeight="1">
      <c r="A19" s="14" t="s">
        <v>16</v>
      </c>
      <c r="B19" s="14" t="s">
        <v>51</v>
      </c>
      <c r="C19" s="15" t="s">
        <v>30</v>
      </c>
      <c r="D19" s="31">
        <v>0.3</v>
      </c>
      <c r="E19" s="32"/>
      <c r="F19" s="32"/>
    </row>
    <row r="20" ht="15.75" customHeight="1">
      <c r="A20" s="14" t="s">
        <v>16</v>
      </c>
      <c r="B20" s="14" t="s">
        <v>52</v>
      </c>
      <c r="C20" s="15" t="s">
        <v>42</v>
      </c>
      <c r="D20" s="31">
        <v>0.7</v>
      </c>
      <c r="E20" s="32"/>
      <c r="F20" s="32"/>
    </row>
    <row r="21" ht="15.75" customHeight="1">
      <c r="A21" s="14" t="s">
        <v>14</v>
      </c>
      <c r="B21" s="14" t="s">
        <v>53</v>
      </c>
      <c r="C21" s="15" t="s">
        <v>28</v>
      </c>
      <c r="D21" s="31">
        <v>0.8</v>
      </c>
      <c r="E21" s="32"/>
      <c r="F21" s="32"/>
    </row>
    <row r="22" ht="15.75" customHeight="1">
      <c r="A22" s="14" t="s">
        <v>14</v>
      </c>
      <c r="B22" s="14" t="s">
        <v>54</v>
      </c>
      <c r="C22" s="15" t="s">
        <v>39</v>
      </c>
      <c r="D22" s="31">
        <v>0.2</v>
      </c>
      <c r="E22" s="32"/>
      <c r="F22" s="32"/>
    </row>
    <row r="23" ht="15.75" customHeight="1">
      <c r="A23" s="14" t="s">
        <v>14</v>
      </c>
      <c r="B23" s="14" t="s">
        <v>55</v>
      </c>
      <c r="C23" s="15" t="s">
        <v>32</v>
      </c>
      <c r="D23" s="31">
        <v>0.2</v>
      </c>
      <c r="E23" s="32"/>
      <c r="F23" s="32"/>
    </row>
    <row r="24" ht="15.75" customHeight="1">
      <c r="A24" s="14" t="s">
        <v>14</v>
      </c>
      <c r="B24" s="14" t="s">
        <v>57</v>
      </c>
      <c r="C24" s="15" t="s">
        <v>32</v>
      </c>
      <c r="D24" s="31">
        <v>0.4</v>
      </c>
      <c r="E24" s="32"/>
      <c r="F24" s="32"/>
    </row>
    <row r="25" ht="15.75" customHeight="1">
      <c r="A25" s="14" t="s">
        <v>14</v>
      </c>
      <c r="B25" s="14" t="s">
        <v>58</v>
      </c>
      <c r="C25" s="15" t="s">
        <v>37</v>
      </c>
      <c r="D25" s="31">
        <v>0.3</v>
      </c>
      <c r="E25" s="32"/>
      <c r="F25" s="32"/>
    </row>
    <row r="26" ht="15.75" customHeight="1">
      <c r="A26" s="14" t="s">
        <v>9</v>
      </c>
      <c r="B26" s="14" t="s">
        <v>59</v>
      </c>
      <c r="C26" s="15" t="s">
        <v>30</v>
      </c>
      <c r="D26" s="31">
        <v>0.4</v>
      </c>
      <c r="E26" s="32"/>
      <c r="F26" s="32"/>
    </row>
    <row r="27" ht="15.75" customHeight="1">
      <c r="A27" s="14" t="s">
        <v>9</v>
      </c>
      <c r="B27" s="14" t="s">
        <v>60</v>
      </c>
      <c r="C27" s="15" t="s">
        <v>32</v>
      </c>
      <c r="D27" s="31">
        <v>0.6</v>
      </c>
      <c r="E27" s="32"/>
      <c r="F27" s="32"/>
    </row>
    <row r="28" ht="15.75" customHeight="1">
      <c r="A28" s="14" t="s">
        <v>9</v>
      </c>
      <c r="B28" s="14" t="s">
        <v>61</v>
      </c>
      <c r="C28" s="15" t="s">
        <v>28</v>
      </c>
      <c r="D28" s="31">
        <v>0.4</v>
      </c>
      <c r="E28" s="32"/>
      <c r="F28" s="32"/>
    </row>
    <row r="29" ht="15.75" customHeight="1">
      <c r="A29" s="14" t="s">
        <v>9</v>
      </c>
      <c r="B29" s="14" t="s">
        <v>62</v>
      </c>
      <c r="C29" s="15" t="s">
        <v>28</v>
      </c>
      <c r="D29" s="31">
        <v>0.6</v>
      </c>
      <c r="E29" s="32"/>
      <c r="F29" s="32"/>
    </row>
    <row r="30" ht="15.75" customHeight="1">
      <c r="A30" s="14" t="s">
        <v>9</v>
      </c>
      <c r="B30" s="14" t="s">
        <v>63</v>
      </c>
      <c r="C30" s="15" t="s">
        <v>28</v>
      </c>
      <c r="D30" s="31">
        <v>0.7</v>
      </c>
      <c r="E30" s="32"/>
      <c r="F30" s="32"/>
    </row>
    <row r="31" ht="15.75" customHeight="1">
      <c r="A31" s="14" t="s">
        <v>64</v>
      </c>
      <c r="B31" s="14" t="s">
        <v>65</v>
      </c>
      <c r="C31" s="15" t="s">
        <v>32</v>
      </c>
      <c r="D31" s="31">
        <v>0.3</v>
      </c>
      <c r="E31" s="32"/>
      <c r="F31" s="32"/>
    </row>
    <row r="32" ht="15.75" customHeight="1">
      <c r="A32" s="14" t="s">
        <v>64</v>
      </c>
      <c r="B32" s="14" t="s">
        <v>66</v>
      </c>
      <c r="C32" s="15" t="s">
        <v>26</v>
      </c>
      <c r="D32" s="31">
        <v>0.1</v>
      </c>
      <c r="E32" s="32"/>
      <c r="F32" s="32"/>
    </row>
    <row r="33" ht="15.75" customHeight="1">
      <c r="A33" s="14" t="s">
        <v>64</v>
      </c>
      <c r="B33" s="14" t="s">
        <v>67</v>
      </c>
      <c r="C33" s="15" t="s">
        <v>32</v>
      </c>
      <c r="D33" s="31">
        <v>0.1</v>
      </c>
      <c r="E33" s="32"/>
      <c r="F33" s="32"/>
    </row>
    <row r="34" ht="15.75" customHeight="1">
      <c r="A34" s="14" t="s">
        <v>64</v>
      </c>
      <c r="B34" s="14" t="s">
        <v>68</v>
      </c>
      <c r="C34" s="15" t="s">
        <v>39</v>
      </c>
      <c r="D34" s="31">
        <v>0.3</v>
      </c>
      <c r="E34" s="32"/>
      <c r="F34" s="32"/>
    </row>
    <row r="35" ht="15.75" customHeight="1">
      <c r="A35" s="14" t="s">
        <v>64</v>
      </c>
      <c r="B35" s="14" t="s">
        <v>69</v>
      </c>
      <c r="C35" s="15" t="s">
        <v>28</v>
      </c>
      <c r="D35" s="31">
        <v>0.9</v>
      </c>
      <c r="E35" s="32"/>
      <c r="F35" s="32"/>
    </row>
    <row r="36" ht="15.75" customHeight="1">
      <c r="A36" s="14" t="s">
        <v>7</v>
      </c>
      <c r="B36" s="14" t="s">
        <v>70</v>
      </c>
      <c r="C36" s="15" t="s">
        <v>32</v>
      </c>
      <c r="D36" s="31">
        <v>0.6</v>
      </c>
      <c r="E36" s="32"/>
      <c r="F36" s="32"/>
    </row>
    <row r="37" ht="15.75" customHeight="1">
      <c r="A37" s="14" t="s">
        <v>7</v>
      </c>
      <c r="B37" s="14" t="s">
        <v>71</v>
      </c>
      <c r="C37" s="15" t="s">
        <v>28</v>
      </c>
      <c r="D37" s="31">
        <v>0.8</v>
      </c>
      <c r="E37" s="32"/>
      <c r="F37" s="32"/>
    </row>
    <row r="38" ht="15.75" customHeight="1">
      <c r="A38" s="14" t="s">
        <v>7</v>
      </c>
      <c r="B38" s="14" t="s">
        <v>72</v>
      </c>
      <c r="C38" s="15" t="s">
        <v>42</v>
      </c>
      <c r="D38" s="31">
        <v>0.4</v>
      </c>
      <c r="E38" s="32"/>
      <c r="F38" s="32"/>
    </row>
    <row r="39" ht="15.75" customHeight="1">
      <c r="A39" s="14" t="s">
        <v>7</v>
      </c>
      <c r="B39" s="14" t="s">
        <v>73</v>
      </c>
      <c r="C39" s="15" t="s">
        <v>45</v>
      </c>
      <c r="D39" s="31">
        <v>0.2</v>
      </c>
      <c r="E39" s="32"/>
      <c r="F39" s="32"/>
    </row>
    <row r="40" ht="15.75" customHeight="1">
      <c r="A40" s="14" t="s">
        <v>7</v>
      </c>
      <c r="B40" s="14" t="s">
        <v>74</v>
      </c>
      <c r="C40" s="15" t="s">
        <v>30</v>
      </c>
      <c r="D40" s="31">
        <v>0.1</v>
      </c>
      <c r="E40" s="32"/>
      <c r="F40" s="32"/>
    </row>
    <row r="41" ht="15.75" customHeight="1">
      <c r="A41" s="14" t="s">
        <v>75</v>
      </c>
      <c r="B41" s="14" t="s">
        <v>76</v>
      </c>
      <c r="C41" s="15" t="s">
        <v>28</v>
      </c>
      <c r="D41" s="31">
        <v>0.4</v>
      </c>
      <c r="E41" s="32"/>
      <c r="F41" s="32"/>
    </row>
    <row r="42" ht="15.75" customHeight="1">
      <c r="A42" s="14" t="s">
        <v>75</v>
      </c>
      <c r="B42" s="14" t="s">
        <v>77</v>
      </c>
      <c r="C42" s="15" t="s">
        <v>32</v>
      </c>
      <c r="D42" s="31">
        <v>0.99</v>
      </c>
      <c r="E42" s="32"/>
      <c r="F42" s="32"/>
    </row>
    <row r="43" ht="15.75" customHeight="1">
      <c r="A43" s="14" t="s">
        <v>75</v>
      </c>
      <c r="B43" s="14" t="s">
        <v>78</v>
      </c>
      <c r="C43" s="15" t="s">
        <v>32</v>
      </c>
      <c r="D43" s="31">
        <v>0.3</v>
      </c>
      <c r="E43" s="32"/>
      <c r="F43" s="32"/>
    </row>
    <row r="44" ht="15.75" customHeight="1">
      <c r="A44" s="14" t="s">
        <v>75</v>
      </c>
      <c r="B44" s="14" t="s">
        <v>79</v>
      </c>
      <c r="C44" s="15" t="s">
        <v>28</v>
      </c>
      <c r="D44" s="31">
        <v>0.3</v>
      </c>
      <c r="E44" s="32"/>
      <c r="F44" s="32"/>
    </row>
    <row r="45" ht="15.75" customHeight="1">
      <c r="A45" s="14" t="s">
        <v>75</v>
      </c>
      <c r="B45" s="14" t="s">
        <v>80</v>
      </c>
      <c r="C45" s="15" t="s">
        <v>45</v>
      </c>
      <c r="D45" s="31">
        <v>0.4</v>
      </c>
      <c r="E45" s="32"/>
      <c r="F45" s="32"/>
    </row>
    <row r="46" ht="15.75" customHeight="1">
      <c r="A46" s="14" t="s">
        <v>13</v>
      </c>
      <c r="B46" s="14" t="s">
        <v>82</v>
      </c>
      <c r="C46" s="15" t="s">
        <v>32</v>
      </c>
      <c r="D46" s="31">
        <v>0.6</v>
      </c>
      <c r="E46" s="32"/>
      <c r="F46" s="32"/>
    </row>
    <row r="47" ht="15.75" customHeight="1">
      <c r="A47" s="14" t="s">
        <v>13</v>
      </c>
      <c r="B47" s="14" t="s">
        <v>83</v>
      </c>
      <c r="C47" s="15" t="s">
        <v>39</v>
      </c>
      <c r="D47" s="31">
        <v>0.9</v>
      </c>
      <c r="E47" s="32"/>
      <c r="F47" s="32"/>
    </row>
    <row r="48" ht="15.75" customHeight="1">
      <c r="A48" s="14" t="s">
        <v>13</v>
      </c>
      <c r="B48" s="14" t="s">
        <v>84</v>
      </c>
      <c r="C48" s="15" t="s">
        <v>30</v>
      </c>
      <c r="D48" s="31">
        <v>0.3</v>
      </c>
      <c r="E48" s="32"/>
      <c r="F48" s="32"/>
    </row>
    <row r="49" ht="15.75" customHeight="1">
      <c r="A49" s="14" t="s">
        <v>13</v>
      </c>
      <c r="B49" s="14" t="s">
        <v>85</v>
      </c>
      <c r="C49" s="15" t="s">
        <v>30</v>
      </c>
      <c r="D49" s="31">
        <v>0.45</v>
      </c>
      <c r="E49" s="32"/>
      <c r="F49" s="32"/>
    </row>
    <row r="50" ht="15.75" customHeight="1">
      <c r="A50" s="14" t="s">
        <v>13</v>
      </c>
      <c r="B50" s="14" t="s">
        <v>86</v>
      </c>
      <c r="C50" s="15" t="s">
        <v>32</v>
      </c>
      <c r="D50" s="31">
        <v>0.5</v>
      </c>
      <c r="E50" s="32"/>
      <c r="F50" s="32"/>
    </row>
    <row r="51" ht="15.75" customHeight="1">
      <c r="A51" s="14" t="s">
        <v>10</v>
      </c>
      <c r="B51" s="14" t="s">
        <v>87</v>
      </c>
      <c r="C51" s="15" t="s">
        <v>30</v>
      </c>
      <c r="D51" s="31">
        <v>0.4</v>
      </c>
      <c r="E51" s="32"/>
      <c r="F51" s="32"/>
    </row>
    <row r="52" ht="15.75" customHeight="1">
      <c r="A52" s="14" t="s">
        <v>10</v>
      </c>
      <c r="B52" s="14" t="s">
        <v>88</v>
      </c>
      <c r="C52" s="15" t="s">
        <v>30</v>
      </c>
      <c r="D52" s="31">
        <v>0.9</v>
      </c>
      <c r="E52" s="32"/>
      <c r="F52" s="32"/>
    </row>
    <row r="53" ht="15.75" customHeight="1">
      <c r="A53" s="14" t="s">
        <v>10</v>
      </c>
      <c r="B53" s="14" t="s">
        <v>89</v>
      </c>
      <c r="C53" s="15" t="s">
        <v>26</v>
      </c>
      <c r="D53" s="31">
        <v>0.5</v>
      </c>
      <c r="E53" s="32"/>
      <c r="F53" s="32"/>
    </row>
    <row r="54" ht="15.75" customHeight="1">
      <c r="A54" s="14" t="s">
        <v>10</v>
      </c>
      <c r="B54" s="14" t="s">
        <v>90</v>
      </c>
      <c r="C54" s="15" t="s">
        <v>32</v>
      </c>
      <c r="D54" s="31">
        <v>0.5</v>
      </c>
      <c r="E54" s="32"/>
      <c r="F54" s="32"/>
    </row>
    <row r="55" ht="15.75" customHeight="1">
      <c r="A55" s="14" t="s">
        <v>10</v>
      </c>
      <c r="B55" s="20" t="s">
        <v>91</v>
      </c>
      <c r="C55" s="15" t="s">
        <v>50</v>
      </c>
      <c r="D55" s="31">
        <v>0.3</v>
      </c>
      <c r="E55" s="32"/>
      <c r="F55" s="32"/>
    </row>
    <row r="56" ht="15.75" customHeight="1">
      <c r="A56" s="14" t="s">
        <v>17</v>
      </c>
      <c r="B56" s="14" t="s">
        <v>92</v>
      </c>
      <c r="C56" s="15" t="s">
        <v>32</v>
      </c>
      <c r="D56" s="31">
        <v>0.5</v>
      </c>
      <c r="E56" s="32"/>
      <c r="F56" s="32"/>
    </row>
    <row r="57" ht="15.75" customHeight="1">
      <c r="A57" s="14" t="s">
        <v>17</v>
      </c>
      <c r="B57" s="14" t="s">
        <v>93</v>
      </c>
      <c r="C57" s="15" t="s">
        <v>32</v>
      </c>
      <c r="D57" s="31">
        <v>0.5</v>
      </c>
      <c r="E57" s="32"/>
      <c r="F57" s="32"/>
    </row>
    <row r="58" ht="15.75" customHeight="1">
      <c r="A58" s="14" t="s">
        <v>17</v>
      </c>
      <c r="B58" s="14" t="s">
        <v>94</v>
      </c>
      <c r="C58" s="15" t="s">
        <v>30</v>
      </c>
      <c r="D58" s="31">
        <v>0.4</v>
      </c>
      <c r="E58" s="32"/>
      <c r="F58" s="32"/>
    </row>
    <row r="59" ht="15.75" customHeight="1">
      <c r="A59" s="14" t="s">
        <v>17</v>
      </c>
      <c r="B59" s="14" t="s">
        <v>95</v>
      </c>
      <c r="C59" s="15" t="s">
        <v>32</v>
      </c>
      <c r="D59" s="31">
        <v>0.4</v>
      </c>
      <c r="E59" s="32"/>
      <c r="F59" s="32"/>
    </row>
    <row r="60" ht="15.75" customHeight="1">
      <c r="A60" s="14" t="s">
        <v>17</v>
      </c>
      <c r="B60" s="14" t="s">
        <v>96</v>
      </c>
      <c r="C60" s="15" t="s">
        <v>32</v>
      </c>
      <c r="D60" s="31">
        <v>0.5</v>
      </c>
      <c r="E60" s="32"/>
      <c r="F60" s="32"/>
    </row>
    <row r="61">
      <c r="C61" s="33"/>
      <c r="D61" s="33"/>
      <c r="E61" s="33"/>
      <c r="F61" s="33"/>
    </row>
    <row r="62">
      <c r="C62" s="33"/>
      <c r="D62" s="33"/>
      <c r="E62" s="33"/>
      <c r="F62" s="33"/>
    </row>
    <row r="63">
      <c r="C63" s="33"/>
      <c r="D63" s="33"/>
      <c r="E63" s="33"/>
      <c r="F63" s="33"/>
    </row>
    <row r="64">
      <c r="C64" s="33"/>
      <c r="D64" s="33"/>
      <c r="E64" s="33"/>
      <c r="F64" s="33"/>
    </row>
    <row r="65">
      <c r="C65" s="33"/>
      <c r="D65" s="33"/>
      <c r="E65" s="33"/>
      <c r="F65" s="33"/>
    </row>
    <row r="66">
      <c r="C66" s="33"/>
      <c r="D66" s="33"/>
      <c r="E66" s="33"/>
      <c r="F66" s="33"/>
    </row>
    <row r="67">
      <c r="C67" s="33"/>
      <c r="D67" s="33"/>
      <c r="E67" s="33"/>
      <c r="F67" s="33"/>
    </row>
    <row r="68">
      <c r="C68" s="33"/>
      <c r="D68" s="33"/>
      <c r="E68" s="33"/>
      <c r="F68" s="33"/>
    </row>
    <row r="69">
      <c r="C69" s="33"/>
      <c r="D69" s="33"/>
      <c r="E69" s="33"/>
      <c r="F69" s="33"/>
    </row>
    <row r="70">
      <c r="C70" s="33"/>
      <c r="D70" s="33"/>
      <c r="E70" s="33"/>
      <c r="F70" s="33"/>
    </row>
    <row r="71">
      <c r="C71" s="33"/>
      <c r="D71" s="33"/>
      <c r="E71" s="33"/>
      <c r="F71" s="33"/>
    </row>
    <row r="72">
      <c r="C72" s="33"/>
      <c r="D72" s="33"/>
      <c r="E72" s="33"/>
      <c r="F72" s="33"/>
    </row>
    <row r="73">
      <c r="C73" s="33"/>
      <c r="D73" s="33"/>
      <c r="E73" s="33"/>
      <c r="F73" s="33"/>
    </row>
    <row r="74">
      <c r="C74" s="33"/>
      <c r="D74" s="33"/>
      <c r="E74" s="33"/>
      <c r="F74" s="33"/>
    </row>
    <row r="75">
      <c r="C75" s="33"/>
      <c r="D75" s="33"/>
      <c r="E75" s="33"/>
      <c r="F75" s="33"/>
    </row>
    <row r="76">
      <c r="C76" s="33"/>
      <c r="D76" s="33"/>
      <c r="E76" s="33"/>
      <c r="F76" s="33"/>
    </row>
    <row r="77">
      <c r="C77" s="33"/>
      <c r="D77" s="33"/>
      <c r="E77" s="33"/>
      <c r="F77" s="33"/>
    </row>
    <row r="78">
      <c r="C78" s="33"/>
      <c r="D78" s="33"/>
      <c r="E78" s="33"/>
      <c r="F78" s="33"/>
    </row>
    <row r="79">
      <c r="C79" s="33"/>
      <c r="D79" s="33"/>
      <c r="E79" s="33"/>
      <c r="F79" s="33"/>
    </row>
    <row r="80">
      <c r="C80" s="33"/>
      <c r="D80" s="33"/>
      <c r="E80" s="33"/>
      <c r="F80" s="33"/>
    </row>
    <row r="81">
      <c r="C81" s="33"/>
      <c r="D81" s="33"/>
      <c r="E81" s="33"/>
      <c r="F81" s="33"/>
    </row>
    <row r="82" ht="15.75" customHeight="1">
      <c r="C82" s="33"/>
      <c r="D82" s="33"/>
      <c r="E82" s="33"/>
      <c r="F82" s="33"/>
    </row>
    <row r="83" ht="15.75" customHeight="1">
      <c r="C83" s="33"/>
      <c r="D83" s="33"/>
      <c r="E83" s="33"/>
      <c r="F83" s="33"/>
    </row>
    <row r="84" ht="15.75" customHeight="1">
      <c r="C84" s="33"/>
      <c r="D84" s="33"/>
      <c r="E84" s="33"/>
      <c r="F84" s="33"/>
    </row>
    <row r="85" ht="15.75" customHeight="1">
      <c r="C85" s="33"/>
      <c r="D85" s="33"/>
      <c r="E85" s="33"/>
      <c r="F85" s="33"/>
    </row>
    <row r="86" ht="15.75" customHeight="1">
      <c r="C86" s="33"/>
      <c r="D86" s="33"/>
      <c r="E86" s="33"/>
      <c r="F86" s="33"/>
    </row>
    <row r="87" ht="15.75" customHeight="1">
      <c r="C87" s="33"/>
      <c r="D87" s="33"/>
      <c r="E87" s="33"/>
      <c r="F87" s="33"/>
    </row>
    <row r="88" ht="15.75" customHeight="1">
      <c r="C88" s="33"/>
      <c r="D88" s="33"/>
      <c r="E88" s="33"/>
      <c r="F88" s="33"/>
    </row>
    <row r="89" ht="15.75" customHeight="1">
      <c r="C89" s="33"/>
      <c r="D89" s="33"/>
      <c r="E89" s="33"/>
      <c r="F89" s="33"/>
    </row>
    <row r="90" ht="15.75" customHeight="1">
      <c r="C90" s="33"/>
      <c r="D90" s="33"/>
      <c r="E90" s="33"/>
      <c r="F90" s="33"/>
    </row>
    <row r="91" ht="15.75" customHeight="1">
      <c r="C91" s="33"/>
      <c r="D91" s="33"/>
      <c r="E91" s="33"/>
      <c r="F91" s="33"/>
    </row>
    <row r="92" ht="15.75" customHeight="1">
      <c r="C92" s="33"/>
      <c r="D92" s="33"/>
      <c r="E92" s="33"/>
      <c r="F92" s="33"/>
    </row>
    <row r="93" ht="15.75" customHeight="1">
      <c r="C93" s="33"/>
      <c r="D93" s="33"/>
      <c r="E93" s="33"/>
      <c r="F93" s="33"/>
    </row>
    <row r="94" ht="15.75" customHeight="1">
      <c r="C94" s="33"/>
      <c r="D94" s="33"/>
      <c r="E94" s="33"/>
      <c r="F94" s="33"/>
    </row>
    <row r="95" ht="15.75" customHeight="1">
      <c r="C95" s="33"/>
      <c r="D95" s="33"/>
      <c r="E95" s="33"/>
      <c r="F95" s="33"/>
    </row>
    <row r="96" ht="15.75" customHeight="1">
      <c r="C96" s="33"/>
      <c r="D96" s="33"/>
      <c r="E96" s="33"/>
      <c r="F96" s="33"/>
    </row>
    <row r="97" ht="15.75" customHeight="1">
      <c r="C97" s="33"/>
      <c r="D97" s="33"/>
      <c r="E97" s="33"/>
      <c r="F97" s="33"/>
    </row>
    <row r="98" ht="15.75" customHeight="1">
      <c r="C98" s="33"/>
      <c r="D98" s="33"/>
      <c r="E98" s="33"/>
      <c r="F98" s="33"/>
    </row>
    <row r="99" ht="15.75" customHeight="1">
      <c r="C99" s="33"/>
      <c r="D99" s="33"/>
      <c r="E99" s="33"/>
      <c r="F99" s="33"/>
    </row>
    <row r="100" ht="15.75" customHeight="1">
      <c r="C100" s="33"/>
      <c r="D100" s="33"/>
      <c r="E100" s="33"/>
      <c r="F100" s="33"/>
    </row>
    <row r="101" ht="15.75" customHeight="1">
      <c r="C101" s="33"/>
      <c r="D101" s="33"/>
      <c r="E101" s="33"/>
      <c r="F101" s="33"/>
    </row>
    <row r="102" ht="15.75" customHeight="1">
      <c r="C102" s="33"/>
      <c r="D102" s="33"/>
      <c r="E102" s="33"/>
      <c r="F102" s="33"/>
    </row>
    <row r="103" ht="15.75" customHeight="1">
      <c r="C103" s="33"/>
      <c r="D103" s="33"/>
      <c r="E103" s="33"/>
      <c r="F103" s="33"/>
    </row>
    <row r="104" ht="15.75" customHeight="1">
      <c r="C104" s="33"/>
      <c r="D104" s="33"/>
      <c r="E104" s="33"/>
      <c r="F104" s="33"/>
    </row>
    <row r="105" ht="15.75" customHeight="1">
      <c r="C105" s="33"/>
      <c r="D105" s="33"/>
      <c r="E105" s="33"/>
      <c r="F105" s="33"/>
    </row>
    <row r="106" ht="15.75" customHeight="1">
      <c r="C106" s="33"/>
      <c r="D106" s="33"/>
      <c r="E106" s="33"/>
      <c r="F106" s="33"/>
    </row>
    <row r="107" ht="15.75" customHeight="1">
      <c r="C107" s="33"/>
      <c r="D107" s="33"/>
      <c r="E107" s="33"/>
      <c r="F107" s="33"/>
    </row>
    <row r="108" ht="15.75" customHeight="1">
      <c r="C108" s="33"/>
      <c r="D108" s="33"/>
      <c r="E108" s="33"/>
      <c r="F108" s="33"/>
    </row>
    <row r="109" ht="15.75" customHeight="1">
      <c r="C109" s="33"/>
      <c r="D109" s="33"/>
      <c r="E109" s="33"/>
      <c r="F109" s="33"/>
    </row>
    <row r="110" ht="15.75" customHeight="1">
      <c r="C110" s="33"/>
      <c r="D110" s="33"/>
      <c r="E110" s="33"/>
      <c r="F110" s="33"/>
    </row>
    <row r="111" ht="15.75" customHeight="1">
      <c r="C111" s="33"/>
      <c r="D111" s="33"/>
      <c r="E111" s="33"/>
      <c r="F111" s="33"/>
    </row>
    <row r="112" ht="15.75" customHeight="1">
      <c r="C112" s="33"/>
      <c r="D112" s="33"/>
      <c r="E112" s="33"/>
      <c r="F112" s="33"/>
    </row>
    <row r="113" ht="15.75" customHeight="1">
      <c r="C113" s="33"/>
      <c r="D113" s="33"/>
      <c r="E113" s="33"/>
      <c r="F113" s="33"/>
    </row>
    <row r="114" ht="15.75" customHeight="1">
      <c r="C114" s="33"/>
      <c r="D114" s="33"/>
      <c r="E114" s="33"/>
      <c r="F114" s="33"/>
    </row>
    <row r="115" ht="15.75" customHeight="1">
      <c r="C115" s="33"/>
      <c r="D115" s="33"/>
      <c r="E115" s="33"/>
      <c r="F115" s="33"/>
    </row>
    <row r="116" ht="15.75" customHeight="1">
      <c r="C116" s="33"/>
      <c r="D116" s="33"/>
      <c r="E116" s="33"/>
      <c r="F116" s="33"/>
    </row>
    <row r="117" ht="15.75" customHeight="1">
      <c r="C117" s="33"/>
      <c r="D117" s="33"/>
      <c r="E117" s="33"/>
      <c r="F117" s="33"/>
    </row>
    <row r="118" ht="15.75" customHeight="1">
      <c r="C118" s="33"/>
      <c r="D118" s="33"/>
      <c r="E118" s="33"/>
      <c r="F118" s="33"/>
    </row>
    <row r="119" ht="15.75" customHeight="1">
      <c r="C119" s="33"/>
      <c r="D119" s="33"/>
      <c r="E119" s="33"/>
      <c r="F119" s="33"/>
    </row>
    <row r="120" ht="15.75" customHeight="1">
      <c r="C120" s="33"/>
      <c r="D120" s="33"/>
      <c r="E120" s="33"/>
      <c r="F120" s="33"/>
    </row>
    <row r="121" ht="15.75" customHeight="1">
      <c r="C121" s="33"/>
      <c r="D121" s="33"/>
      <c r="E121" s="33"/>
      <c r="F121" s="33"/>
    </row>
    <row r="122" ht="15.75" customHeight="1">
      <c r="C122" s="33"/>
      <c r="D122" s="33"/>
      <c r="E122" s="33"/>
      <c r="F122" s="33"/>
    </row>
    <row r="123" ht="15.75" customHeight="1">
      <c r="C123" s="33"/>
      <c r="D123" s="33"/>
      <c r="E123" s="33"/>
      <c r="F123" s="33"/>
    </row>
    <row r="124" ht="15.75" customHeight="1">
      <c r="C124" s="33"/>
      <c r="D124" s="33"/>
      <c r="E124" s="33"/>
      <c r="F124" s="33"/>
    </row>
    <row r="125" ht="15.75" customHeight="1">
      <c r="C125" s="33"/>
      <c r="D125" s="33"/>
      <c r="E125" s="33"/>
      <c r="F125" s="33"/>
    </row>
    <row r="126" ht="15.75" customHeight="1">
      <c r="C126" s="33"/>
      <c r="D126" s="33"/>
      <c r="E126" s="33"/>
      <c r="F126" s="33"/>
    </row>
    <row r="127" ht="15.75" customHeight="1">
      <c r="C127" s="33"/>
      <c r="D127" s="33"/>
      <c r="E127" s="33"/>
      <c r="F127" s="33"/>
    </row>
    <row r="128" ht="15.75" customHeight="1">
      <c r="C128" s="33"/>
      <c r="D128" s="33"/>
      <c r="E128" s="33"/>
      <c r="F128" s="33"/>
    </row>
    <row r="129" ht="15.75" customHeight="1">
      <c r="C129" s="33"/>
      <c r="D129" s="33"/>
      <c r="E129" s="33"/>
      <c r="F129" s="33"/>
    </row>
    <row r="130" ht="15.75" customHeight="1">
      <c r="C130" s="33"/>
      <c r="D130" s="33"/>
      <c r="E130" s="33"/>
      <c r="F130" s="33"/>
    </row>
    <row r="131" ht="15.75" customHeight="1">
      <c r="C131" s="33"/>
      <c r="D131" s="33"/>
      <c r="E131" s="33"/>
      <c r="F131" s="33"/>
    </row>
    <row r="132" ht="15.75" customHeight="1">
      <c r="C132" s="33"/>
      <c r="D132" s="33"/>
      <c r="E132" s="33"/>
      <c r="F132" s="33"/>
    </row>
    <row r="133" ht="15.75" customHeight="1">
      <c r="C133" s="33"/>
      <c r="D133" s="33"/>
      <c r="E133" s="33"/>
      <c r="F133" s="33"/>
    </row>
    <row r="134" ht="15.75" customHeight="1">
      <c r="C134" s="33"/>
      <c r="D134" s="33"/>
      <c r="E134" s="33"/>
      <c r="F134" s="33"/>
    </row>
    <row r="135" ht="15.75" customHeight="1">
      <c r="C135" s="33"/>
      <c r="D135" s="33"/>
      <c r="E135" s="33"/>
      <c r="F135" s="33"/>
    </row>
    <row r="136" ht="15.75" customHeight="1">
      <c r="C136" s="33"/>
      <c r="D136" s="33"/>
      <c r="E136" s="33"/>
      <c r="F136" s="33"/>
    </row>
    <row r="137" ht="15.75" customHeight="1">
      <c r="C137" s="33"/>
      <c r="D137" s="33"/>
      <c r="E137" s="33"/>
      <c r="F137" s="33"/>
    </row>
    <row r="138" ht="15.75" customHeight="1">
      <c r="C138" s="33"/>
      <c r="D138" s="33"/>
      <c r="E138" s="33"/>
      <c r="F138" s="33"/>
    </row>
    <row r="139" ht="15.75" customHeight="1">
      <c r="C139" s="33"/>
      <c r="D139" s="33"/>
      <c r="E139" s="33"/>
      <c r="F139" s="33"/>
    </row>
    <row r="140" ht="15.75" customHeight="1">
      <c r="C140" s="33"/>
      <c r="D140" s="33"/>
      <c r="E140" s="33"/>
      <c r="F140" s="33"/>
    </row>
    <row r="141" ht="15.75" customHeight="1">
      <c r="C141" s="33"/>
      <c r="D141" s="33"/>
      <c r="E141" s="33"/>
      <c r="F141" s="33"/>
    </row>
    <row r="142" ht="15.75" customHeight="1">
      <c r="C142" s="33"/>
      <c r="D142" s="33"/>
      <c r="E142" s="33"/>
      <c r="F142" s="33"/>
    </row>
    <row r="143" ht="15.75" customHeight="1">
      <c r="C143" s="33"/>
      <c r="D143" s="33"/>
      <c r="E143" s="33"/>
      <c r="F143" s="33"/>
    </row>
    <row r="144" ht="15.75" customHeight="1">
      <c r="C144" s="33"/>
      <c r="D144" s="33"/>
      <c r="E144" s="33"/>
      <c r="F144" s="33"/>
    </row>
    <row r="145" ht="15.75" customHeight="1">
      <c r="C145" s="33"/>
      <c r="D145" s="33"/>
      <c r="E145" s="33"/>
      <c r="F145" s="33"/>
    </row>
    <row r="146" ht="15.75" customHeight="1">
      <c r="C146" s="33"/>
      <c r="D146" s="33"/>
      <c r="E146" s="33"/>
      <c r="F146" s="33"/>
    </row>
    <row r="147" ht="15.75" customHeight="1">
      <c r="C147" s="33"/>
      <c r="D147" s="33"/>
      <c r="E147" s="33"/>
      <c r="F147" s="33"/>
    </row>
    <row r="148" ht="15.75" customHeight="1">
      <c r="C148" s="33"/>
      <c r="D148" s="33"/>
      <c r="E148" s="33"/>
      <c r="F148" s="33"/>
    </row>
    <row r="149" ht="15.75" customHeight="1">
      <c r="C149" s="33"/>
      <c r="D149" s="33"/>
      <c r="E149" s="33"/>
      <c r="F149" s="33"/>
    </row>
    <row r="150" ht="15.75" customHeight="1">
      <c r="C150" s="33"/>
      <c r="D150" s="33"/>
      <c r="E150" s="33"/>
      <c r="F150" s="33"/>
    </row>
    <row r="151" ht="15.75" customHeight="1">
      <c r="C151" s="33"/>
      <c r="D151" s="33"/>
      <c r="E151" s="33"/>
      <c r="F151" s="33"/>
    </row>
    <row r="152" ht="15.75" customHeight="1">
      <c r="C152" s="33"/>
      <c r="D152" s="33"/>
      <c r="E152" s="33"/>
      <c r="F152" s="33"/>
    </row>
    <row r="153" ht="15.75" customHeight="1">
      <c r="C153" s="33"/>
      <c r="D153" s="33"/>
      <c r="E153" s="33"/>
      <c r="F153" s="33"/>
    </row>
    <row r="154" ht="15.75" customHeight="1">
      <c r="C154" s="33"/>
      <c r="D154" s="33"/>
      <c r="E154" s="33"/>
      <c r="F154" s="33"/>
    </row>
    <row r="155" ht="15.75" customHeight="1">
      <c r="C155" s="33"/>
      <c r="D155" s="33"/>
      <c r="E155" s="33"/>
      <c r="F155" s="33"/>
    </row>
    <row r="156" ht="15.75" customHeight="1">
      <c r="C156" s="33"/>
      <c r="D156" s="33"/>
      <c r="E156" s="33"/>
      <c r="F156" s="33"/>
    </row>
    <row r="157" ht="15.75" customHeight="1">
      <c r="C157" s="33"/>
      <c r="D157" s="33"/>
      <c r="E157" s="33"/>
      <c r="F157" s="33"/>
    </row>
    <row r="158" ht="15.75" customHeight="1">
      <c r="C158" s="33"/>
      <c r="D158" s="33"/>
      <c r="E158" s="33"/>
      <c r="F158" s="33"/>
    </row>
    <row r="159" ht="15.75" customHeight="1">
      <c r="C159" s="33"/>
      <c r="D159" s="33"/>
      <c r="E159" s="33"/>
      <c r="F159" s="33"/>
    </row>
    <row r="160" ht="15.75" customHeight="1">
      <c r="C160" s="33"/>
      <c r="D160" s="33"/>
      <c r="E160" s="33"/>
      <c r="F160" s="33"/>
    </row>
    <row r="161" ht="15.75" customHeight="1">
      <c r="C161" s="33"/>
      <c r="D161" s="33"/>
      <c r="E161" s="33"/>
      <c r="F161" s="33"/>
    </row>
    <row r="162" ht="15.75" customHeight="1">
      <c r="C162" s="33"/>
      <c r="D162" s="33"/>
      <c r="E162" s="33"/>
      <c r="F162" s="33"/>
    </row>
    <row r="163" ht="15.75" customHeight="1">
      <c r="C163" s="33"/>
      <c r="D163" s="33"/>
      <c r="E163" s="33"/>
      <c r="F163" s="33"/>
    </row>
    <row r="164" ht="15.75" customHeight="1">
      <c r="C164" s="33"/>
      <c r="D164" s="33"/>
      <c r="E164" s="33"/>
      <c r="F164" s="33"/>
    </row>
    <row r="165" ht="15.75" customHeight="1">
      <c r="C165" s="33"/>
      <c r="D165" s="33"/>
      <c r="E165" s="33"/>
      <c r="F165" s="33"/>
    </row>
    <row r="166" ht="15.75" customHeight="1">
      <c r="C166" s="33"/>
      <c r="D166" s="33"/>
      <c r="E166" s="33"/>
      <c r="F166" s="33"/>
    </row>
    <row r="167" ht="15.75" customHeight="1">
      <c r="C167" s="33"/>
      <c r="D167" s="33"/>
      <c r="E167" s="33"/>
      <c r="F167" s="33"/>
    </row>
    <row r="168" ht="15.75" customHeight="1">
      <c r="C168" s="33"/>
      <c r="D168" s="33"/>
      <c r="E168" s="33"/>
      <c r="F168" s="33"/>
    </row>
    <row r="169" ht="15.75" customHeight="1">
      <c r="C169" s="33"/>
      <c r="D169" s="33"/>
      <c r="E169" s="33"/>
      <c r="F169" s="33"/>
    </row>
    <row r="170" ht="15.75" customHeight="1">
      <c r="C170" s="33"/>
      <c r="D170" s="33"/>
      <c r="E170" s="33"/>
      <c r="F170" s="33"/>
    </row>
    <row r="171" ht="15.75" customHeight="1">
      <c r="C171" s="33"/>
      <c r="D171" s="33"/>
      <c r="E171" s="33"/>
      <c r="F171" s="33"/>
    </row>
    <row r="172" ht="15.75" customHeight="1">
      <c r="C172" s="33"/>
      <c r="D172" s="33"/>
      <c r="E172" s="33"/>
      <c r="F172" s="33"/>
    </row>
    <row r="173" ht="15.75" customHeight="1">
      <c r="C173" s="33"/>
      <c r="D173" s="33"/>
      <c r="E173" s="33"/>
      <c r="F173" s="33"/>
    </row>
    <row r="174" ht="15.75" customHeight="1">
      <c r="C174" s="33"/>
      <c r="D174" s="33"/>
      <c r="E174" s="33"/>
      <c r="F174" s="33"/>
    </row>
    <row r="175" ht="15.75" customHeight="1">
      <c r="C175" s="33"/>
      <c r="D175" s="33"/>
      <c r="E175" s="33"/>
      <c r="F175" s="33"/>
    </row>
    <row r="176" ht="15.75" customHeight="1">
      <c r="C176" s="33"/>
      <c r="D176" s="33"/>
      <c r="E176" s="33"/>
      <c r="F176" s="33"/>
    </row>
    <row r="177" ht="15.75" customHeight="1">
      <c r="C177" s="33"/>
      <c r="D177" s="33"/>
      <c r="E177" s="33"/>
      <c r="F177" s="33"/>
    </row>
    <row r="178" ht="15.75" customHeight="1">
      <c r="C178" s="33"/>
      <c r="D178" s="33"/>
      <c r="E178" s="33"/>
      <c r="F178" s="33"/>
    </row>
    <row r="179" ht="15.75" customHeight="1">
      <c r="C179" s="33"/>
      <c r="D179" s="33"/>
      <c r="E179" s="33"/>
      <c r="F179" s="33"/>
    </row>
    <row r="180" ht="15.75" customHeight="1">
      <c r="C180" s="33"/>
      <c r="D180" s="33"/>
      <c r="E180" s="33"/>
      <c r="F180" s="33"/>
    </row>
    <row r="181" ht="15.75" customHeight="1">
      <c r="C181" s="33"/>
      <c r="D181" s="33"/>
      <c r="E181" s="33"/>
      <c r="F181" s="33"/>
    </row>
    <row r="182" ht="15.75" customHeight="1">
      <c r="C182" s="33"/>
      <c r="D182" s="33"/>
      <c r="E182" s="33"/>
      <c r="F182" s="33"/>
    </row>
    <row r="183" ht="15.75" customHeight="1">
      <c r="C183" s="33"/>
      <c r="D183" s="33"/>
      <c r="E183" s="33"/>
      <c r="F183" s="33"/>
    </row>
    <row r="184" ht="15.75" customHeight="1">
      <c r="C184" s="33"/>
      <c r="D184" s="33"/>
      <c r="E184" s="33"/>
      <c r="F184" s="33"/>
    </row>
    <row r="185" ht="15.75" customHeight="1">
      <c r="C185" s="33"/>
      <c r="D185" s="33"/>
      <c r="E185" s="33"/>
      <c r="F185" s="33"/>
    </row>
    <row r="186" ht="15.75" customHeight="1">
      <c r="C186" s="33"/>
      <c r="D186" s="33"/>
      <c r="E186" s="33"/>
      <c r="F186" s="33"/>
    </row>
    <row r="187" ht="15.75" customHeight="1">
      <c r="C187" s="33"/>
      <c r="D187" s="33"/>
      <c r="E187" s="33"/>
      <c r="F187" s="33"/>
    </row>
    <row r="188" ht="15.75" customHeight="1">
      <c r="C188" s="33"/>
      <c r="D188" s="33"/>
      <c r="E188" s="33"/>
      <c r="F188" s="33"/>
    </row>
    <row r="189" ht="15.75" customHeight="1">
      <c r="C189" s="33"/>
      <c r="D189" s="33"/>
      <c r="E189" s="33"/>
      <c r="F189" s="33"/>
    </row>
    <row r="190" ht="15.75" customHeight="1">
      <c r="C190" s="33"/>
      <c r="D190" s="33"/>
      <c r="E190" s="33"/>
      <c r="F190" s="33"/>
    </row>
    <row r="191" ht="15.75" customHeight="1">
      <c r="C191" s="33"/>
      <c r="D191" s="33"/>
      <c r="E191" s="33"/>
      <c r="F191" s="33"/>
    </row>
    <row r="192" ht="15.75" customHeight="1">
      <c r="C192" s="33"/>
      <c r="D192" s="33"/>
      <c r="E192" s="33"/>
      <c r="F192" s="33"/>
    </row>
    <row r="193" ht="15.75" customHeight="1">
      <c r="C193" s="33"/>
      <c r="D193" s="33"/>
      <c r="E193" s="33"/>
      <c r="F193" s="33"/>
    </row>
    <row r="194" ht="15.75" customHeight="1">
      <c r="C194" s="33"/>
      <c r="D194" s="33"/>
      <c r="E194" s="33"/>
      <c r="F194" s="33"/>
    </row>
    <row r="195" ht="15.75" customHeight="1">
      <c r="C195" s="33"/>
      <c r="D195" s="33"/>
      <c r="E195" s="33"/>
      <c r="F195" s="33"/>
    </row>
    <row r="196" ht="15.75" customHeight="1">
      <c r="C196" s="33"/>
      <c r="D196" s="33"/>
      <c r="E196" s="33"/>
      <c r="F196" s="33"/>
    </row>
    <row r="197" ht="15.75" customHeight="1">
      <c r="C197" s="33"/>
      <c r="D197" s="33"/>
      <c r="E197" s="33"/>
      <c r="F197" s="33"/>
    </row>
    <row r="198" ht="15.75" customHeight="1">
      <c r="C198" s="33"/>
      <c r="D198" s="33"/>
      <c r="E198" s="33"/>
      <c r="F198" s="33"/>
    </row>
    <row r="199" ht="15.75" customHeight="1">
      <c r="C199" s="33"/>
      <c r="D199" s="33"/>
      <c r="E199" s="33"/>
      <c r="F199" s="33"/>
    </row>
    <row r="200" ht="15.75" customHeight="1">
      <c r="C200" s="33"/>
      <c r="D200" s="33"/>
      <c r="E200" s="33"/>
      <c r="F200" s="33"/>
    </row>
    <row r="201" ht="15.75" customHeight="1">
      <c r="C201" s="33"/>
      <c r="D201" s="33"/>
      <c r="E201" s="33"/>
      <c r="F201" s="33"/>
    </row>
    <row r="202" ht="15.75" customHeight="1">
      <c r="C202" s="33"/>
      <c r="D202" s="33"/>
      <c r="E202" s="33"/>
      <c r="F202" s="33"/>
    </row>
    <row r="203" ht="15.75" customHeight="1">
      <c r="C203" s="33"/>
      <c r="D203" s="33"/>
      <c r="E203" s="33"/>
      <c r="F203" s="33"/>
    </row>
    <row r="204" ht="15.75" customHeight="1">
      <c r="C204" s="33"/>
      <c r="D204" s="33"/>
      <c r="E204" s="33"/>
      <c r="F204" s="33"/>
    </row>
    <row r="205" ht="15.75" customHeight="1">
      <c r="C205" s="33"/>
      <c r="D205" s="33"/>
      <c r="E205" s="33"/>
      <c r="F205" s="33"/>
    </row>
    <row r="206" ht="15.75" customHeight="1">
      <c r="C206" s="33"/>
      <c r="D206" s="33"/>
      <c r="E206" s="33"/>
      <c r="F206" s="33"/>
    </row>
    <row r="207" ht="15.75" customHeight="1">
      <c r="C207" s="33"/>
      <c r="D207" s="33"/>
      <c r="E207" s="33"/>
      <c r="F207" s="33"/>
    </row>
    <row r="208" ht="15.75" customHeight="1">
      <c r="C208" s="33"/>
      <c r="D208" s="33"/>
      <c r="E208" s="33"/>
      <c r="F208" s="33"/>
    </row>
    <row r="209" ht="15.75" customHeight="1">
      <c r="C209" s="33"/>
      <c r="D209" s="33"/>
      <c r="E209" s="33"/>
      <c r="F209" s="33"/>
    </row>
    <row r="210" ht="15.75" customHeight="1">
      <c r="C210" s="33"/>
      <c r="D210" s="33"/>
      <c r="E210" s="33"/>
      <c r="F210" s="33"/>
    </row>
    <row r="211" ht="15.75" customHeight="1">
      <c r="C211" s="33"/>
      <c r="D211" s="33"/>
      <c r="E211" s="33"/>
      <c r="F211" s="33"/>
    </row>
    <row r="212" ht="15.75" customHeight="1">
      <c r="C212" s="33"/>
      <c r="D212" s="33"/>
      <c r="E212" s="33"/>
      <c r="F212" s="33"/>
    </row>
    <row r="213" ht="15.75" customHeight="1">
      <c r="C213" s="33"/>
      <c r="D213" s="33"/>
      <c r="E213" s="33"/>
      <c r="F213" s="33"/>
    </row>
    <row r="214" ht="15.75" customHeight="1">
      <c r="C214" s="33"/>
      <c r="D214" s="33"/>
      <c r="E214" s="33"/>
      <c r="F214" s="33"/>
    </row>
    <row r="215" ht="15.75" customHeight="1">
      <c r="C215" s="33"/>
      <c r="D215" s="33"/>
      <c r="E215" s="33"/>
      <c r="F215" s="33"/>
    </row>
    <row r="216" ht="15.75" customHeight="1">
      <c r="C216" s="33"/>
      <c r="D216" s="33"/>
      <c r="E216" s="33"/>
      <c r="F216" s="33"/>
    </row>
    <row r="217" ht="15.75" customHeight="1">
      <c r="C217" s="33"/>
      <c r="D217" s="33"/>
      <c r="E217" s="33"/>
      <c r="F217" s="33"/>
    </row>
    <row r="218" ht="15.75" customHeight="1">
      <c r="C218" s="33"/>
      <c r="D218" s="33"/>
      <c r="E218" s="33"/>
      <c r="F218" s="33"/>
    </row>
    <row r="219" ht="15.75" customHeight="1">
      <c r="C219" s="33"/>
      <c r="D219" s="33"/>
      <c r="E219" s="33"/>
      <c r="F219" s="33"/>
    </row>
    <row r="220" ht="15.75" customHeight="1">
      <c r="C220" s="33"/>
      <c r="D220" s="33"/>
      <c r="E220" s="33"/>
      <c r="F220" s="33"/>
    </row>
    <row r="221" ht="15.75" customHeight="1">
      <c r="C221" s="33"/>
      <c r="D221" s="33"/>
      <c r="E221" s="33"/>
      <c r="F221" s="33"/>
    </row>
    <row r="222" ht="15.75" customHeight="1">
      <c r="C222" s="33"/>
      <c r="D222" s="33"/>
      <c r="E222" s="33"/>
      <c r="F222" s="33"/>
    </row>
    <row r="223" ht="15.75" customHeight="1">
      <c r="C223" s="33"/>
      <c r="D223" s="33"/>
      <c r="E223" s="33"/>
      <c r="F223" s="33"/>
    </row>
    <row r="224" ht="15.75" customHeight="1">
      <c r="C224" s="33"/>
      <c r="D224" s="33"/>
      <c r="E224" s="33"/>
      <c r="F224" s="33"/>
    </row>
    <row r="225" ht="15.75" customHeight="1">
      <c r="C225" s="33"/>
      <c r="D225" s="33"/>
      <c r="E225" s="33"/>
      <c r="F225" s="33"/>
    </row>
    <row r="226" ht="15.75" customHeight="1">
      <c r="C226" s="33"/>
      <c r="D226" s="33"/>
      <c r="E226" s="33"/>
      <c r="F226" s="33"/>
    </row>
    <row r="227" ht="15.75" customHeight="1">
      <c r="C227" s="33"/>
      <c r="D227" s="33"/>
      <c r="E227" s="33"/>
      <c r="F227" s="33"/>
    </row>
    <row r="228" ht="15.75" customHeight="1">
      <c r="C228" s="33"/>
      <c r="D228" s="33"/>
      <c r="E228" s="33"/>
      <c r="F228" s="33"/>
    </row>
    <row r="229" ht="15.75" customHeight="1">
      <c r="C229" s="33"/>
      <c r="D229" s="33"/>
      <c r="E229" s="33"/>
      <c r="F229" s="33"/>
    </row>
    <row r="230" ht="15.75" customHeight="1">
      <c r="C230" s="33"/>
      <c r="D230" s="33"/>
      <c r="E230" s="33"/>
      <c r="F230" s="33"/>
    </row>
    <row r="231" ht="15.75" customHeight="1">
      <c r="C231" s="33"/>
      <c r="D231" s="33"/>
      <c r="E231" s="33"/>
      <c r="F231" s="33"/>
    </row>
    <row r="232" ht="15.75" customHeight="1">
      <c r="C232" s="33"/>
      <c r="D232" s="33"/>
      <c r="E232" s="33"/>
      <c r="F232" s="33"/>
    </row>
    <row r="233" ht="15.75" customHeight="1">
      <c r="C233" s="33"/>
      <c r="D233" s="33"/>
      <c r="E233" s="33"/>
      <c r="F233" s="33"/>
    </row>
    <row r="234" ht="15.75" customHeight="1">
      <c r="C234" s="33"/>
      <c r="D234" s="33"/>
      <c r="E234" s="33"/>
      <c r="F234" s="33"/>
    </row>
    <row r="235" ht="15.75" customHeight="1">
      <c r="C235" s="33"/>
      <c r="D235" s="33"/>
      <c r="E235" s="33"/>
      <c r="F235" s="33"/>
    </row>
    <row r="236" ht="15.75" customHeight="1">
      <c r="C236" s="33"/>
      <c r="D236" s="33"/>
      <c r="E236" s="33"/>
      <c r="F236" s="33"/>
    </row>
    <row r="237" ht="15.75" customHeight="1">
      <c r="C237" s="33"/>
      <c r="D237" s="33"/>
      <c r="E237" s="33"/>
      <c r="F237" s="33"/>
    </row>
    <row r="238" ht="15.75" customHeight="1">
      <c r="C238" s="33"/>
      <c r="D238" s="33"/>
      <c r="E238" s="33"/>
      <c r="F238" s="33"/>
    </row>
    <row r="239" ht="15.75" customHeight="1">
      <c r="C239" s="33"/>
      <c r="D239" s="33"/>
      <c r="E239" s="33"/>
      <c r="F239" s="33"/>
    </row>
    <row r="240" ht="15.75" customHeight="1">
      <c r="C240" s="33"/>
      <c r="D240" s="33"/>
      <c r="E240" s="33"/>
      <c r="F240" s="33"/>
    </row>
    <row r="241" ht="15.75" customHeight="1">
      <c r="C241" s="33"/>
      <c r="D241" s="33"/>
      <c r="E241" s="33"/>
      <c r="F241" s="33"/>
    </row>
    <row r="242" ht="15.75" customHeight="1">
      <c r="C242" s="33"/>
      <c r="D242" s="33"/>
      <c r="E242" s="33"/>
      <c r="F242" s="33"/>
    </row>
    <row r="243" ht="15.75" customHeight="1">
      <c r="C243" s="33"/>
      <c r="D243" s="33"/>
      <c r="E243" s="33"/>
      <c r="F243" s="33"/>
    </row>
    <row r="244" ht="15.75" customHeight="1">
      <c r="C244" s="33"/>
      <c r="D244" s="33"/>
      <c r="E244" s="33"/>
      <c r="F244" s="33"/>
    </row>
    <row r="245" ht="15.75" customHeight="1">
      <c r="C245" s="33"/>
      <c r="D245" s="33"/>
      <c r="E245" s="33"/>
      <c r="F245" s="33"/>
    </row>
    <row r="246" ht="15.75" customHeight="1">
      <c r="C246" s="33"/>
      <c r="D246" s="33"/>
      <c r="E246" s="33"/>
      <c r="F246" s="33"/>
    </row>
    <row r="247" ht="15.75" customHeight="1">
      <c r="C247" s="33"/>
      <c r="D247" s="33"/>
      <c r="E247" s="33"/>
      <c r="F247" s="33"/>
    </row>
    <row r="248" ht="15.75" customHeight="1">
      <c r="C248" s="33"/>
      <c r="D248" s="33"/>
      <c r="E248" s="33"/>
      <c r="F248" s="33"/>
    </row>
    <row r="249" ht="15.75" customHeight="1">
      <c r="C249" s="33"/>
      <c r="D249" s="33"/>
      <c r="E249" s="33"/>
      <c r="F249" s="33"/>
    </row>
    <row r="250" ht="15.75" customHeight="1">
      <c r="C250" s="33"/>
      <c r="D250" s="33"/>
      <c r="E250" s="33"/>
      <c r="F250" s="33"/>
    </row>
    <row r="251" ht="15.75" customHeight="1">
      <c r="C251" s="33"/>
      <c r="D251" s="33"/>
      <c r="E251" s="33"/>
      <c r="F251" s="33"/>
    </row>
    <row r="252" ht="15.75" customHeight="1">
      <c r="C252" s="33"/>
      <c r="D252" s="33"/>
      <c r="E252" s="33"/>
      <c r="F252" s="33"/>
    </row>
    <row r="253" ht="15.75" customHeight="1">
      <c r="C253" s="33"/>
      <c r="D253" s="33"/>
      <c r="E253" s="33"/>
      <c r="F253" s="33"/>
    </row>
    <row r="254" ht="15.75" customHeight="1">
      <c r="C254" s="33"/>
      <c r="D254" s="33"/>
      <c r="E254" s="33"/>
      <c r="F254" s="33"/>
    </row>
    <row r="255" ht="15.75" customHeight="1">
      <c r="C255" s="33"/>
      <c r="D255" s="33"/>
      <c r="E255" s="33"/>
      <c r="F255" s="33"/>
    </row>
    <row r="256" ht="15.75" customHeight="1">
      <c r="C256" s="33"/>
      <c r="D256" s="33"/>
      <c r="E256" s="33"/>
      <c r="F256" s="33"/>
    </row>
    <row r="257" ht="15.75" customHeight="1">
      <c r="C257" s="33"/>
      <c r="D257" s="33"/>
      <c r="E257" s="33"/>
      <c r="F257" s="33"/>
    </row>
    <row r="258" ht="15.75" customHeight="1">
      <c r="C258" s="33"/>
      <c r="D258" s="33"/>
      <c r="E258" s="33"/>
      <c r="F258" s="33"/>
    </row>
    <row r="259" ht="15.75" customHeight="1">
      <c r="C259" s="33"/>
      <c r="D259" s="33"/>
      <c r="E259" s="33"/>
      <c r="F259" s="33"/>
    </row>
    <row r="260" ht="15.75" customHeight="1">
      <c r="C260" s="33"/>
      <c r="D260" s="33"/>
      <c r="E260" s="33"/>
      <c r="F260" s="33"/>
    </row>
    <row r="261" ht="15.75" customHeight="1">
      <c r="C261" s="33"/>
      <c r="D261" s="33"/>
      <c r="E261" s="33"/>
      <c r="F261" s="33"/>
    </row>
    <row r="262" ht="15.75" customHeight="1">
      <c r="C262" s="33"/>
      <c r="D262" s="33"/>
      <c r="E262" s="33"/>
      <c r="F262" s="33"/>
    </row>
    <row r="263" ht="15.75" customHeight="1">
      <c r="C263" s="33"/>
      <c r="D263" s="33"/>
      <c r="E263" s="33"/>
      <c r="F263" s="33"/>
    </row>
    <row r="264" ht="15.75" customHeight="1">
      <c r="C264" s="33"/>
      <c r="D264" s="33"/>
      <c r="E264" s="33"/>
      <c r="F264" s="33"/>
    </row>
    <row r="265" ht="15.75" customHeight="1">
      <c r="C265" s="33"/>
      <c r="D265" s="33"/>
      <c r="E265" s="33"/>
      <c r="F265" s="33"/>
    </row>
    <row r="266" ht="15.75" customHeight="1">
      <c r="C266" s="33"/>
      <c r="D266" s="33"/>
      <c r="E266" s="33"/>
      <c r="F266" s="33"/>
    </row>
    <row r="267" ht="15.75" customHeight="1">
      <c r="C267" s="33"/>
      <c r="D267" s="33"/>
      <c r="E267" s="33"/>
      <c r="F267" s="33"/>
    </row>
    <row r="268" ht="15.75" customHeight="1">
      <c r="C268" s="33"/>
      <c r="D268" s="33"/>
      <c r="E268" s="33"/>
      <c r="F268" s="33"/>
    </row>
    <row r="269" ht="15.75" customHeight="1">
      <c r="C269" s="33"/>
      <c r="D269" s="33"/>
      <c r="E269" s="33"/>
      <c r="F269" s="33"/>
    </row>
    <row r="270" ht="15.75" customHeight="1">
      <c r="C270" s="33"/>
      <c r="D270" s="33"/>
      <c r="E270" s="33"/>
      <c r="F270" s="33"/>
    </row>
    <row r="271" ht="15.75" customHeight="1">
      <c r="C271" s="33"/>
      <c r="D271" s="33"/>
      <c r="E271" s="33"/>
      <c r="F271" s="33"/>
    </row>
    <row r="272" ht="15.75" customHeight="1">
      <c r="C272" s="33"/>
      <c r="D272" s="33"/>
      <c r="E272" s="33"/>
      <c r="F272" s="33"/>
    </row>
    <row r="273" ht="15.75" customHeight="1">
      <c r="C273" s="33"/>
      <c r="D273" s="33"/>
      <c r="E273" s="33"/>
      <c r="F273" s="33"/>
    </row>
    <row r="274" ht="15.75" customHeight="1">
      <c r="C274" s="33"/>
      <c r="D274" s="33"/>
      <c r="E274" s="33"/>
      <c r="F274" s="33"/>
    </row>
    <row r="275" ht="15.75" customHeight="1">
      <c r="C275" s="33"/>
      <c r="D275" s="33"/>
      <c r="E275" s="33"/>
      <c r="F275" s="33"/>
    </row>
    <row r="276" ht="15.75" customHeight="1">
      <c r="C276" s="33"/>
      <c r="D276" s="33"/>
      <c r="E276" s="33"/>
      <c r="F276" s="33"/>
    </row>
    <row r="277" ht="15.75" customHeight="1">
      <c r="C277" s="33"/>
      <c r="D277" s="33"/>
      <c r="E277" s="33"/>
      <c r="F277" s="33"/>
    </row>
    <row r="278" ht="15.75" customHeight="1">
      <c r="C278" s="33"/>
      <c r="D278" s="33"/>
      <c r="E278" s="33"/>
      <c r="F278" s="33"/>
    </row>
    <row r="279" ht="15.75" customHeight="1">
      <c r="C279" s="33"/>
      <c r="D279" s="33"/>
      <c r="E279" s="33"/>
      <c r="F279" s="33"/>
    </row>
    <row r="280" ht="15.75" customHeight="1">
      <c r="C280" s="33"/>
      <c r="D280" s="33"/>
      <c r="E280" s="33"/>
      <c r="F280" s="33"/>
    </row>
    <row r="281" ht="15.75" customHeight="1">
      <c r="C281" s="33"/>
      <c r="D281" s="33"/>
      <c r="E281" s="33"/>
      <c r="F281" s="33"/>
    </row>
    <row r="282" ht="15.75" customHeight="1">
      <c r="C282" s="33"/>
      <c r="D282" s="33"/>
      <c r="E282" s="33"/>
      <c r="F282" s="33"/>
    </row>
    <row r="283" ht="15.75" customHeight="1">
      <c r="C283" s="33"/>
      <c r="D283" s="33"/>
      <c r="E283" s="33"/>
      <c r="F283" s="33"/>
    </row>
    <row r="284" ht="15.75" customHeight="1">
      <c r="C284" s="33"/>
      <c r="D284" s="33"/>
      <c r="E284" s="33"/>
      <c r="F284" s="33"/>
    </row>
    <row r="285" ht="15.75" customHeight="1">
      <c r="C285" s="33"/>
      <c r="D285" s="33"/>
      <c r="E285" s="33"/>
      <c r="F285" s="33"/>
    </row>
    <row r="286" ht="15.75" customHeight="1">
      <c r="C286" s="33"/>
      <c r="D286" s="33"/>
      <c r="E286" s="33"/>
      <c r="F286" s="33"/>
    </row>
    <row r="287" ht="15.75" customHeight="1">
      <c r="C287" s="33"/>
      <c r="D287" s="33"/>
      <c r="E287" s="33"/>
      <c r="F287" s="33"/>
    </row>
    <row r="288" ht="15.75" customHeight="1">
      <c r="C288" s="33"/>
      <c r="D288" s="33"/>
      <c r="E288" s="33"/>
      <c r="F288" s="33"/>
    </row>
    <row r="289" ht="15.75" customHeight="1">
      <c r="C289" s="33"/>
      <c r="D289" s="33"/>
      <c r="E289" s="33"/>
      <c r="F289" s="33"/>
    </row>
    <row r="290" ht="15.75" customHeight="1">
      <c r="C290" s="33"/>
      <c r="D290" s="33"/>
      <c r="E290" s="33"/>
      <c r="F290" s="33"/>
    </row>
    <row r="291" ht="15.75" customHeight="1">
      <c r="C291" s="33"/>
      <c r="D291" s="33"/>
      <c r="E291" s="33"/>
      <c r="F291" s="33"/>
    </row>
    <row r="292" ht="15.75" customHeight="1">
      <c r="C292" s="33"/>
      <c r="D292" s="33"/>
      <c r="E292" s="33"/>
      <c r="F292" s="33"/>
    </row>
    <row r="293" ht="15.75" customHeight="1">
      <c r="C293" s="33"/>
      <c r="D293" s="33"/>
      <c r="E293" s="33"/>
      <c r="F293" s="33"/>
    </row>
    <row r="294" ht="15.75" customHeight="1">
      <c r="C294" s="33"/>
      <c r="D294" s="33"/>
      <c r="E294" s="33"/>
      <c r="F294" s="33"/>
    </row>
    <row r="295" ht="15.75" customHeight="1">
      <c r="C295" s="33"/>
      <c r="D295" s="33"/>
      <c r="E295" s="33"/>
      <c r="F295" s="33"/>
    </row>
    <row r="296" ht="15.75" customHeight="1">
      <c r="C296" s="33"/>
      <c r="D296" s="33"/>
      <c r="E296" s="33"/>
      <c r="F296" s="33"/>
    </row>
    <row r="297" ht="15.75" customHeight="1">
      <c r="C297" s="33"/>
      <c r="D297" s="33"/>
      <c r="E297" s="33"/>
      <c r="F297" s="33"/>
    </row>
    <row r="298" ht="15.75" customHeight="1">
      <c r="C298" s="33"/>
      <c r="D298" s="33"/>
      <c r="E298" s="33"/>
      <c r="F298" s="33"/>
    </row>
    <row r="299" ht="15.75" customHeight="1">
      <c r="C299" s="33"/>
      <c r="D299" s="33"/>
      <c r="E299" s="33"/>
      <c r="F299" s="33"/>
    </row>
    <row r="300" ht="15.75" customHeight="1">
      <c r="C300" s="33"/>
      <c r="D300" s="33"/>
      <c r="E300" s="33"/>
      <c r="F300" s="33"/>
    </row>
    <row r="301" ht="15.75" customHeight="1">
      <c r="C301" s="33"/>
      <c r="D301" s="33"/>
      <c r="E301" s="33"/>
      <c r="F301" s="33"/>
    </row>
    <row r="302" ht="15.75" customHeight="1">
      <c r="C302" s="33"/>
      <c r="D302" s="33"/>
      <c r="E302" s="33"/>
      <c r="F302" s="33"/>
    </row>
    <row r="303" ht="15.75" customHeight="1">
      <c r="C303" s="33"/>
      <c r="D303" s="33"/>
      <c r="E303" s="33"/>
      <c r="F303" s="33"/>
    </row>
    <row r="304" ht="15.75" customHeight="1">
      <c r="C304" s="33"/>
      <c r="D304" s="33"/>
      <c r="E304" s="33"/>
      <c r="F304" s="33"/>
    </row>
    <row r="305" ht="15.75" customHeight="1">
      <c r="C305" s="33"/>
      <c r="D305" s="33"/>
      <c r="E305" s="33"/>
      <c r="F305" s="33"/>
    </row>
    <row r="306" ht="15.75" customHeight="1">
      <c r="C306" s="33"/>
      <c r="D306" s="33"/>
      <c r="E306" s="33"/>
      <c r="F306" s="33"/>
    </row>
    <row r="307" ht="15.75" customHeight="1">
      <c r="C307" s="33"/>
      <c r="D307" s="33"/>
      <c r="E307" s="33"/>
      <c r="F307" s="33"/>
    </row>
    <row r="308" ht="15.75" customHeight="1">
      <c r="C308" s="33"/>
      <c r="D308" s="33"/>
      <c r="E308" s="33"/>
      <c r="F308" s="33"/>
    </row>
    <row r="309" ht="15.75" customHeight="1">
      <c r="C309" s="33"/>
      <c r="D309" s="33"/>
      <c r="E309" s="33"/>
      <c r="F309" s="33"/>
    </row>
    <row r="310" ht="15.75" customHeight="1">
      <c r="C310" s="33"/>
      <c r="D310" s="33"/>
      <c r="E310" s="33"/>
      <c r="F310" s="33"/>
    </row>
    <row r="311" ht="15.75" customHeight="1">
      <c r="C311" s="33"/>
      <c r="D311" s="33"/>
      <c r="E311" s="33"/>
      <c r="F311" s="33"/>
    </row>
    <row r="312" ht="15.75" customHeight="1">
      <c r="C312" s="33"/>
      <c r="D312" s="33"/>
      <c r="E312" s="33"/>
      <c r="F312" s="33"/>
    </row>
    <row r="313" ht="15.75" customHeight="1">
      <c r="C313" s="33"/>
      <c r="D313" s="33"/>
      <c r="E313" s="33"/>
      <c r="F313" s="33"/>
    </row>
    <row r="314" ht="15.75" customHeight="1">
      <c r="C314" s="33"/>
      <c r="D314" s="33"/>
      <c r="E314" s="33"/>
      <c r="F314" s="33"/>
    </row>
    <row r="315" ht="15.75" customHeight="1">
      <c r="C315" s="33"/>
      <c r="D315" s="33"/>
      <c r="E315" s="33"/>
      <c r="F315" s="33"/>
    </row>
    <row r="316" ht="15.75" customHeight="1">
      <c r="C316" s="33"/>
      <c r="D316" s="33"/>
      <c r="E316" s="33"/>
      <c r="F316" s="33"/>
    </row>
    <row r="317" ht="15.75" customHeight="1">
      <c r="C317" s="33"/>
      <c r="D317" s="33"/>
      <c r="E317" s="33"/>
      <c r="F317" s="33"/>
    </row>
    <row r="318" ht="15.75" customHeight="1">
      <c r="C318" s="33"/>
      <c r="D318" s="33"/>
      <c r="E318" s="33"/>
      <c r="F318" s="33"/>
    </row>
    <row r="319" ht="15.75" customHeight="1">
      <c r="C319" s="33"/>
      <c r="D319" s="33"/>
      <c r="E319" s="33"/>
      <c r="F319" s="33"/>
    </row>
    <row r="320" ht="15.75" customHeight="1">
      <c r="C320" s="33"/>
      <c r="D320" s="33"/>
      <c r="E320" s="33"/>
      <c r="F320" s="33"/>
    </row>
    <row r="321" ht="15.75" customHeight="1">
      <c r="C321" s="33"/>
      <c r="D321" s="33"/>
      <c r="E321" s="33"/>
      <c r="F321" s="33"/>
    </row>
    <row r="322" ht="15.75" customHeight="1">
      <c r="C322" s="33"/>
      <c r="D322" s="33"/>
      <c r="E322" s="33"/>
      <c r="F322" s="33"/>
    </row>
    <row r="323" ht="15.75" customHeight="1">
      <c r="C323" s="33"/>
      <c r="D323" s="33"/>
      <c r="E323" s="33"/>
      <c r="F323" s="33"/>
    </row>
    <row r="324" ht="15.75" customHeight="1">
      <c r="C324" s="33"/>
      <c r="D324" s="33"/>
      <c r="E324" s="33"/>
      <c r="F324" s="33"/>
    </row>
    <row r="325" ht="15.75" customHeight="1">
      <c r="C325" s="33"/>
      <c r="D325" s="33"/>
      <c r="E325" s="33"/>
      <c r="F325" s="33"/>
    </row>
    <row r="326" ht="15.75" customHeight="1">
      <c r="C326" s="33"/>
      <c r="D326" s="33"/>
      <c r="E326" s="33"/>
      <c r="F326" s="33"/>
    </row>
    <row r="327" ht="15.75" customHeight="1">
      <c r="C327" s="33"/>
      <c r="D327" s="33"/>
      <c r="E327" s="33"/>
      <c r="F327" s="33"/>
    </row>
    <row r="328" ht="15.75" customHeight="1">
      <c r="C328" s="33"/>
      <c r="D328" s="33"/>
      <c r="E328" s="33"/>
      <c r="F328" s="33"/>
    </row>
    <row r="329" ht="15.75" customHeight="1">
      <c r="C329" s="33"/>
      <c r="D329" s="33"/>
      <c r="E329" s="33"/>
      <c r="F329" s="33"/>
    </row>
    <row r="330" ht="15.75" customHeight="1">
      <c r="C330" s="33"/>
      <c r="D330" s="33"/>
      <c r="E330" s="33"/>
      <c r="F330" s="33"/>
    </row>
    <row r="331" ht="15.75" customHeight="1">
      <c r="C331" s="33"/>
      <c r="D331" s="33"/>
      <c r="E331" s="33"/>
      <c r="F331" s="33"/>
    </row>
    <row r="332" ht="15.75" customHeight="1">
      <c r="C332" s="33"/>
      <c r="D332" s="33"/>
      <c r="E332" s="33"/>
      <c r="F332" s="33"/>
    </row>
    <row r="333" ht="15.75" customHeight="1">
      <c r="C333" s="33"/>
      <c r="D333" s="33"/>
      <c r="E333" s="33"/>
      <c r="F333" s="33"/>
    </row>
    <row r="334" ht="15.75" customHeight="1">
      <c r="C334" s="33"/>
      <c r="D334" s="33"/>
      <c r="E334" s="33"/>
      <c r="F334" s="33"/>
    </row>
    <row r="335" ht="15.75" customHeight="1">
      <c r="C335" s="33"/>
      <c r="D335" s="33"/>
      <c r="E335" s="33"/>
      <c r="F335" s="33"/>
    </row>
    <row r="336" ht="15.75" customHeight="1">
      <c r="C336" s="33"/>
      <c r="D336" s="33"/>
      <c r="E336" s="33"/>
      <c r="F336" s="33"/>
    </row>
    <row r="337" ht="15.75" customHeight="1">
      <c r="C337" s="33"/>
      <c r="D337" s="33"/>
      <c r="E337" s="33"/>
      <c r="F337" s="33"/>
    </row>
    <row r="338" ht="15.75" customHeight="1">
      <c r="C338" s="33"/>
      <c r="D338" s="33"/>
      <c r="E338" s="33"/>
      <c r="F338" s="33"/>
    </row>
    <row r="339" ht="15.75" customHeight="1">
      <c r="C339" s="33"/>
      <c r="D339" s="33"/>
      <c r="E339" s="33"/>
      <c r="F339" s="33"/>
    </row>
    <row r="340" ht="15.75" customHeight="1">
      <c r="C340" s="33"/>
      <c r="D340" s="33"/>
      <c r="E340" s="33"/>
      <c r="F340" s="33"/>
    </row>
    <row r="341" ht="15.75" customHeight="1">
      <c r="C341" s="33"/>
      <c r="D341" s="33"/>
      <c r="E341" s="33"/>
      <c r="F341" s="33"/>
    </row>
    <row r="342" ht="15.75" customHeight="1">
      <c r="C342" s="33"/>
      <c r="D342" s="33"/>
      <c r="E342" s="33"/>
      <c r="F342" s="33"/>
    </row>
    <row r="343" ht="15.75" customHeight="1">
      <c r="C343" s="33"/>
      <c r="D343" s="33"/>
      <c r="E343" s="33"/>
      <c r="F343" s="33"/>
    </row>
    <row r="344" ht="15.75" customHeight="1">
      <c r="C344" s="33"/>
      <c r="D344" s="33"/>
      <c r="E344" s="33"/>
      <c r="F344" s="33"/>
    </row>
    <row r="345" ht="15.75" customHeight="1">
      <c r="C345" s="33"/>
      <c r="D345" s="33"/>
      <c r="E345" s="33"/>
      <c r="F345" s="33"/>
    </row>
    <row r="346" ht="15.75" customHeight="1">
      <c r="C346" s="33"/>
      <c r="D346" s="33"/>
      <c r="E346" s="33"/>
      <c r="F346" s="33"/>
    </row>
    <row r="347" ht="15.75" customHeight="1">
      <c r="C347" s="33"/>
      <c r="D347" s="33"/>
      <c r="E347" s="33"/>
      <c r="F347" s="33"/>
    </row>
    <row r="348" ht="15.75" customHeight="1">
      <c r="C348" s="33"/>
      <c r="D348" s="33"/>
      <c r="E348" s="33"/>
      <c r="F348" s="33"/>
    </row>
    <row r="349" ht="15.75" customHeight="1">
      <c r="C349" s="33"/>
      <c r="D349" s="33"/>
      <c r="E349" s="33"/>
      <c r="F349" s="33"/>
    </row>
    <row r="350" ht="15.75" customHeight="1">
      <c r="C350" s="33"/>
      <c r="D350" s="33"/>
      <c r="E350" s="33"/>
      <c r="F350" s="33"/>
    </row>
    <row r="351" ht="15.75" customHeight="1">
      <c r="C351" s="33"/>
      <c r="D351" s="33"/>
      <c r="E351" s="33"/>
      <c r="F351" s="33"/>
    </row>
    <row r="352" ht="15.75" customHeight="1">
      <c r="C352" s="33"/>
      <c r="D352" s="33"/>
      <c r="E352" s="33"/>
      <c r="F352" s="33"/>
    </row>
    <row r="353" ht="15.75" customHeight="1">
      <c r="C353" s="33"/>
      <c r="D353" s="33"/>
      <c r="E353" s="33"/>
      <c r="F353" s="33"/>
    </row>
    <row r="354" ht="15.75" customHeight="1">
      <c r="C354" s="33"/>
      <c r="D354" s="33"/>
      <c r="E354" s="33"/>
      <c r="F354" s="33"/>
    </row>
    <row r="355" ht="15.75" customHeight="1">
      <c r="C355" s="33"/>
      <c r="D355" s="33"/>
      <c r="E355" s="33"/>
      <c r="F355" s="33"/>
    </row>
    <row r="356" ht="15.75" customHeight="1">
      <c r="C356" s="33"/>
      <c r="D356" s="33"/>
      <c r="E356" s="33"/>
      <c r="F356" s="33"/>
    </row>
    <row r="357" ht="15.75" customHeight="1">
      <c r="C357" s="33"/>
      <c r="D357" s="33"/>
      <c r="E357" s="33"/>
      <c r="F357" s="33"/>
    </row>
    <row r="358" ht="15.75" customHeight="1">
      <c r="C358" s="33"/>
      <c r="D358" s="33"/>
      <c r="E358" s="33"/>
      <c r="F358" s="33"/>
    </row>
    <row r="359" ht="15.75" customHeight="1">
      <c r="C359" s="33"/>
      <c r="D359" s="33"/>
      <c r="E359" s="33"/>
      <c r="F359" s="33"/>
    </row>
    <row r="360" ht="15.75" customHeight="1">
      <c r="C360" s="33"/>
      <c r="D360" s="33"/>
      <c r="E360" s="33"/>
      <c r="F360" s="33"/>
    </row>
    <row r="361" ht="15.75" customHeight="1">
      <c r="C361" s="33"/>
      <c r="D361" s="33"/>
      <c r="E361" s="33"/>
      <c r="F361" s="33"/>
    </row>
    <row r="362" ht="15.75" customHeight="1">
      <c r="C362" s="33"/>
      <c r="D362" s="33"/>
      <c r="E362" s="33"/>
      <c r="F362" s="33"/>
    </row>
    <row r="363" ht="15.75" customHeight="1">
      <c r="C363" s="33"/>
      <c r="D363" s="33"/>
      <c r="E363" s="33"/>
      <c r="F363" s="33"/>
    </row>
    <row r="364" ht="15.75" customHeight="1">
      <c r="C364" s="33"/>
      <c r="D364" s="33"/>
      <c r="E364" s="33"/>
      <c r="F364" s="33"/>
    </row>
    <row r="365" ht="15.75" customHeight="1">
      <c r="C365" s="33"/>
      <c r="D365" s="33"/>
      <c r="E365" s="33"/>
      <c r="F365" s="33"/>
    </row>
    <row r="366" ht="15.75" customHeight="1">
      <c r="C366" s="33"/>
      <c r="D366" s="33"/>
      <c r="E366" s="33"/>
      <c r="F366" s="33"/>
    </row>
    <row r="367" ht="15.75" customHeight="1">
      <c r="C367" s="33"/>
      <c r="D367" s="33"/>
      <c r="E367" s="33"/>
      <c r="F367" s="33"/>
    </row>
    <row r="368" ht="15.75" customHeight="1">
      <c r="C368" s="33"/>
      <c r="D368" s="33"/>
      <c r="E368" s="33"/>
      <c r="F368" s="33"/>
    </row>
    <row r="369" ht="15.75" customHeight="1">
      <c r="C369" s="33"/>
      <c r="D369" s="33"/>
      <c r="E369" s="33"/>
      <c r="F369" s="33"/>
    </row>
    <row r="370" ht="15.75" customHeight="1">
      <c r="C370" s="33"/>
      <c r="D370" s="33"/>
      <c r="E370" s="33"/>
      <c r="F370" s="33"/>
    </row>
    <row r="371" ht="15.75" customHeight="1">
      <c r="C371" s="33"/>
      <c r="D371" s="33"/>
      <c r="E371" s="33"/>
      <c r="F371" s="33"/>
    </row>
    <row r="372" ht="15.75" customHeight="1">
      <c r="C372" s="33"/>
      <c r="D372" s="33"/>
      <c r="E372" s="33"/>
      <c r="F372" s="33"/>
    </row>
    <row r="373" ht="15.75" customHeight="1">
      <c r="C373" s="33"/>
      <c r="D373" s="33"/>
      <c r="E373" s="33"/>
      <c r="F373" s="33"/>
    </row>
    <row r="374" ht="15.75" customHeight="1">
      <c r="C374" s="33"/>
      <c r="D374" s="33"/>
      <c r="E374" s="33"/>
      <c r="F374" s="33"/>
    </row>
    <row r="375" ht="15.75" customHeight="1">
      <c r="C375" s="33"/>
      <c r="D375" s="33"/>
      <c r="E375" s="33"/>
      <c r="F375" s="33"/>
    </row>
    <row r="376" ht="15.75" customHeight="1">
      <c r="C376" s="33"/>
      <c r="D376" s="33"/>
      <c r="E376" s="33"/>
      <c r="F376" s="33"/>
    </row>
    <row r="377" ht="15.75" customHeight="1">
      <c r="C377" s="33"/>
      <c r="D377" s="33"/>
      <c r="E377" s="33"/>
      <c r="F377" s="33"/>
    </row>
    <row r="378" ht="15.75" customHeight="1">
      <c r="C378" s="33"/>
      <c r="D378" s="33"/>
      <c r="E378" s="33"/>
      <c r="F378" s="33"/>
    </row>
    <row r="379" ht="15.75" customHeight="1">
      <c r="C379" s="33"/>
      <c r="D379" s="33"/>
      <c r="E379" s="33"/>
      <c r="F379" s="33"/>
    </row>
    <row r="380" ht="15.75" customHeight="1">
      <c r="C380" s="33"/>
      <c r="D380" s="33"/>
      <c r="E380" s="33"/>
      <c r="F380" s="33"/>
    </row>
    <row r="381" ht="15.75" customHeight="1">
      <c r="C381" s="33"/>
      <c r="D381" s="33"/>
      <c r="E381" s="33"/>
      <c r="F381" s="33"/>
    </row>
    <row r="382" ht="15.75" customHeight="1">
      <c r="C382" s="33"/>
      <c r="D382" s="33"/>
      <c r="E382" s="33"/>
      <c r="F382" s="33"/>
    </row>
    <row r="383" ht="15.75" customHeight="1">
      <c r="C383" s="33"/>
      <c r="D383" s="33"/>
      <c r="E383" s="33"/>
      <c r="F383" s="33"/>
    </row>
    <row r="384" ht="15.75" customHeight="1">
      <c r="C384" s="33"/>
      <c r="D384" s="33"/>
      <c r="E384" s="33"/>
      <c r="F384" s="33"/>
    </row>
    <row r="385" ht="15.75" customHeight="1">
      <c r="C385" s="33"/>
      <c r="D385" s="33"/>
      <c r="E385" s="33"/>
      <c r="F385" s="33"/>
    </row>
    <row r="386" ht="15.75" customHeight="1">
      <c r="C386" s="33"/>
      <c r="D386" s="33"/>
      <c r="E386" s="33"/>
      <c r="F386" s="33"/>
    </row>
    <row r="387" ht="15.75" customHeight="1">
      <c r="C387" s="33"/>
      <c r="D387" s="33"/>
      <c r="E387" s="33"/>
      <c r="F387" s="33"/>
    </row>
    <row r="388" ht="15.75" customHeight="1">
      <c r="C388" s="33"/>
      <c r="D388" s="33"/>
      <c r="E388" s="33"/>
      <c r="F388" s="33"/>
    </row>
    <row r="389" ht="15.75" customHeight="1">
      <c r="C389" s="33"/>
      <c r="D389" s="33"/>
      <c r="E389" s="33"/>
      <c r="F389" s="33"/>
    </row>
    <row r="390" ht="15.75" customHeight="1">
      <c r="C390" s="33"/>
      <c r="D390" s="33"/>
      <c r="E390" s="33"/>
      <c r="F390" s="33"/>
    </row>
    <row r="391" ht="15.75" customHeight="1">
      <c r="C391" s="33"/>
      <c r="D391" s="33"/>
      <c r="E391" s="33"/>
      <c r="F391" s="33"/>
    </row>
    <row r="392" ht="15.75" customHeight="1">
      <c r="C392" s="33"/>
      <c r="D392" s="33"/>
      <c r="E392" s="33"/>
      <c r="F392" s="33"/>
    </row>
    <row r="393" ht="15.75" customHeight="1">
      <c r="C393" s="33"/>
      <c r="D393" s="33"/>
      <c r="E393" s="33"/>
      <c r="F393" s="33"/>
    </row>
    <row r="394" ht="15.75" customHeight="1">
      <c r="C394" s="33"/>
      <c r="D394" s="33"/>
      <c r="E394" s="33"/>
      <c r="F394" s="33"/>
    </row>
    <row r="395" ht="15.75" customHeight="1">
      <c r="C395" s="33"/>
      <c r="D395" s="33"/>
      <c r="E395" s="33"/>
      <c r="F395" s="33"/>
    </row>
    <row r="396" ht="15.75" customHeight="1">
      <c r="C396" s="33"/>
      <c r="D396" s="33"/>
      <c r="E396" s="33"/>
      <c r="F396" s="33"/>
    </row>
    <row r="397" ht="15.75" customHeight="1">
      <c r="C397" s="33"/>
      <c r="D397" s="33"/>
      <c r="E397" s="33"/>
      <c r="F397" s="33"/>
    </row>
    <row r="398" ht="15.75" customHeight="1">
      <c r="C398" s="33"/>
      <c r="D398" s="33"/>
      <c r="E398" s="33"/>
      <c r="F398" s="33"/>
    </row>
    <row r="399" ht="15.75" customHeight="1">
      <c r="C399" s="33"/>
      <c r="D399" s="33"/>
      <c r="E399" s="33"/>
      <c r="F399" s="33"/>
    </row>
    <row r="400" ht="15.75" customHeight="1">
      <c r="C400" s="33"/>
      <c r="D400" s="33"/>
      <c r="E400" s="33"/>
      <c r="F400" s="33"/>
    </row>
    <row r="401" ht="15.75" customHeight="1">
      <c r="C401" s="33"/>
      <c r="D401" s="33"/>
      <c r="E401" s="33"/>
      <c r="F401" s="33"/>
    </row>
    <row r="402" ht="15.75" customHeight="1">
      <c r="C402" s="33"/>
      <c r="D402" s="33"/>
      <c r="E402" s="33"/>
      <c r="F402" s="33"/>
    </row>
    <row r="403" ht="15.75" customHeight="1">
      <c r="C403" s="33"/>
      <c r="D403" s="33"/>
      <c r="E403" s="33"/>
      <c r="F403" s="33"/>
    </row>
    <row r="404" ht="15.75" customHeight="1">
      <c r="C404" s="33"/>
      <c r="D404" s="33"/>
      <c r="E404" s="33"/>
      <c r="F404" s="33"/>
    </row>
    <row r="405" ht="15.75" customHeight="1">
      <c r="C405" s="33"/>
      <c r="D405" s="33"/>
      <c r="E405" s="33"/>
      <c r="F405" s="33"/>
    </row>
    <row r="406" ht="15.75" customHeight="1">
      <c r="C406" s="33"/>
      <c r="D406" s="33"/>
      <c r="E406" s="33"/>
      <c r="F406" s="33"/>
    </row>
    <row r="407" ht="15.75" customHeight="1">
      <c r="C407" s="33"/>
      <c r="D407" s="33"/>
      <c r="E407" s="33"/>
      <c r="F407" s="33"/>
    </row>
    <row r="408" ht="15.75" customHeight="1">
      <c r="C408" s="33"/>
      <c r="D408" s="33"/>
      <c r="E408" s="33"/>
      <c r="F408" s="33"/>
    </row>
    <row r="409" ht="15.75" customHeight="1">
      <c r="C409" s="33"/>
      <c r="D409" s="33"/>
      <c r="E409" s="33"/>
      <c r="F409" s="33"/>
    </row>
    <row r="410" ht="15.75" customHeight="1">
      <c r="C410" s="33"/>
      <c r="D410" s="33"/>
      <c r="E410" s="33"/>
      <c r="F410" s="33"/>
    </row>
    <row r="411" ht="15.75" customHeight="1">
      <c r="C411" s="33"/>
      <c r="D411" s="33"/>
      <c r="E411" s="33"/>
      <c r="F411" s="33"/>
    </row>
    <row r="412" ht="15.75" customHeight="1">
      <c r="C412" s="33"/>
      <c r="D412" s="33"/>
      <c r="E412" s="33"/>
      <c r="F412" s="33"/>
    </row>
    <row r="413" ht="15.75" customHeight="1">
      <c r="C413" s="33"/>
      <c r="D413" s="33"/>
      <c r="E413" s="33"/>
      <c r="F413" s="33"/>
    </row>
    <row r="414" ht="15.75" customHeight="1">
      <c r="C414" s="33"/>
      <c r="D414" s="33"/>
      <c r="E414" s="33"/>
      <c r="F414" s="33"/>
    </row>
    <row r="415" ht="15.75" customHeight="1">
      <c r="C415" s="33"/>
      <c r="D415" s="33"/>
      <c r="E415" s="33"/>
      <c r="F415" s="33"/>
    </row>
    <row r="416" ht="15.75" customHeight="1">
      <c r="C416" s="33"/>
      <c r="D416" s="33"/>
      <c r="E416" s="33"/>
      <c r="F416" s="33"/>
    </row>
    <row r="417" ht="15.75" customHeight="1">
      <c r="C417" s="33"/>
      <c r="D417" s="33"/>
      <c r="E417" s="33"/>
      <c r="F417" s="33"/>
    </row>
    <row r="418" ht="15.75" customHeight="1">
      <c r="C418" s="33"/>
      <c r="D418" s="33"/>
      <c r="E418" s="33"/>
      <c r="F418" s="33"/>
    </row>
    <row r="419" ht="15.75" customHeight="1">
      <c r="C419" s="33"/>
      <c r="D419" s="33"/>
      <c r="E419" s="33"/>
      <c r="F419" s="33"/>
    </row>
    <row r="420" ht="15.75" customHeight="1">
      <c r="C420" s="33"/>
      <c r="D420" s="33"/>
      <c r="E420" s="33"/>
      <c r="F420" s="33"/>
    </row>
    <row r="421" ht="15.75" customHeight="1">
      <c r="C421" s="33"/>
      <c r="D421" s="33"/>
      <c r="E421" s="33"/>
      <c r="F421" s="33"/>
    </row>
    <row r="422" ht="15.75" customHeight="1">
      <c r="C422" s="33"/>
      <c r="D422" s="33"/>
      <c r="E422" s="33"/>
      <c r="F422" s="33"/>
    </row>
    <row r="423" ht="15.75" customHeight="1">
      <c r="C423" s="33"/>
      <c r="D423" s="33"/>
      <c r="E423" s="33"/>
      <c r="F423" s="33"/>
    </row>
    <row r="424" ht="15.75" customHeight="1">
      <c r="C424" s="33"/>
      <c r="D424" s="33"/>
      <c r="E424" s="33"/>
      <c r="F424" s="33"/>
    </row>
    <row r="425" ht="15.75" customHeight="1">
      <c r="C425" s="33"/>
      <c r="D425" s="33"/>
      <c r="E425" s="33"/>
      <c r="F425" s="33"/>
    </row>
    <row r="426" ht="15.75" customHeight="1">
      <c r="C426" s="33"/>
      <c r="D426" s="33"/>
      <c r="E426" s="33"/>
      <c r="F426" s="33"/>
    </row>
    <row r="427" ht="15.75" customHeight="1">
      <c r="C427" s="33"/>
      <c r="D427" s="33"/>
      <c r="E427" s="33"/>
      <c r="F427" s="33"/>
    </row>
    <row r="428" ht="15.75" customHeight="1">
      <c r="C428" s="33"/>
      <c r="D428" s="33"/>
      <c r="E428" s="33"/>
      <c r="F428" s="33"/>
    </row>
    <row r="429" ht="15.75" customHeight="1">
      <c r="C429" s="33"/>
      <c r="D429" s="33"/>
      <c r="E429" s="33"/>
      <c r="F429" s="33"/>
    </row>
    <row r="430" ht="15.75" customHeight="1">
      <c r="C430" s="33"/>
      <c r="D430" s="33"/>
      <c r="E430" s="33"/>
      <c r="F430" s="33"/>
    </row>
    <row r="431" ht="15.75" customHeight="1">
      <c r="C431" s="33"/>
      <c r="D431" s="33"/>
      <c r="E431" s="33"/>
      <c r="F431" s="33"/>
    </row>
    <row r="432" ht="15.75" customHeight="1">
      <c r="C432" s="33"/>
      <c r="D432" s="33"/>
      <c r="E432" s="33"/>
      <c r="F432" s="33"/>
    </row>
    <row r="433" ht="15.75" customHeight="1">
      <c r="C433" s="33"/>
      <c r="D433" s="33"/>
      <c r="E433" s="33"/>
      <c r="F433" s="33"/>
    </row>
    <row r="434" ht="15.75" customHeight="1">
      <c r="C434" s="33"/>
      <c r="D434" s="33"/>
      <c r="E434" s="33"/>
      <c r="F434" s="33"/>
    </row>
    <row r="435" ht="15.75" customHeight="1">
      <c r="C435" s="33"/>
      <c r="D435" s="33"/>
      <c r="E435" s="33"/>
      <c r="F435" s="33"/>
    </row>
    <row r="436" ht="15.75" customHeight="1">
      <c r="C436" s="33"/>
      <c r="D436" s="33"/>
      <c r="E436" s="33"/>
      <c r="F436" s="33"/>
    </row>
    <row r="437" ht="15.75" customHeight="1">
      <c r="C437" s="33"/>
      <c r="D437" s="33"/>
      <c r="E437" s="33"/>
      <c r="F437" s="33"/>
    </row>
    <row r="438" ht="15.75" customHeight="1">
      <c r="C438" s="33"/>
      <c r="D438" s="33"/>
      <c r="E438" s="33"/>
      <c r="F438" s="33"/>
    </row>
    <row r="439" ht="15.75" customHeight="1">
      <c r="C439" s="33"/>
      <c r="D439" s="33"/>
      <c r="E439" s="33"/>
      <c r="F439" s="33"/>
    </row>
    <row r="440" ht="15.75" customHeight="1">
      <c r="C440" s="33"/>
      <c r="D440" s="33"/>
      <c r="E440" s="33"/>
      <c r="F440" s="33"/>
    </row>
    <row r="441" ht="15.75" customHeight="1">
      <c r="C441" s="33"/>
      <c r="D441" s="33"/>
      <c r="E441" s="33"/>
      <c r="F441" s="33"/>
    </row>
    <row r="442" ht="15.75" customHeight="1">
      <c r="C442" s="33"/>
      <c r="D442" s="33"/>
      <c r="E442" s="33"/>
      <c r="F442" s="33"/>
    </row>
    <row r="443" ht="15.75" customHeight="1">
      <c r="C443" s="33"/>
      <c r="D443" s="33"/>
      <c r="E443" s="33"/>
      <c r="F443" s="33"/>
    </row>
    <row r="444" ht="15.75" customHeight="1">
      <c r="C444" s="33"/>
      <c r="D444" s="33"/>
      <c r="E444" s="33"/>
      <c r="F444" s="33"/>
    </row>
    <row r="445" ht="15.75" customHeight="1">
      <c r="C445" s="33"/>
      <c r="D445" s="33"/>
      <c r="E445" s="33"/>
      <c r="F445" s="33"/>
    </row>
    <row r="446" ht="15.75" customHeight="1">
      <c r="C446" s="33"/>
      <c r="D446" s="33"/>
      <c r="E446" s="33"/>
      <c r="F446" s="33"/>
    </row>
    <row r="447" ht="15.75" customHeight="1">
      <c r="C447" s="33"/>
      <c r="D447" s="33"/>
      <c r="E447" s="33"/>
      <c r="F447" s="33"/>
    </row>
    <row r="448" ht="15.75" customHeight="1">
      <c r="C448" s="33"/>
      <c r="D448" s="33"/>
      <c r="E448" s="33"/>
      <c r="F448" s="33"/>
    </row>
    <row r="449" ht="15.75" customHeight="1">
      <c r="C449" s="33"/>
      <c r="D449" s="33"/>
      <c r="E449" s="33"/>
      <c r="F449" s="33"/>
    </row>
    <row r="450" ht="15.75" customHeight="1">
      <c r="C450" s="33"/>
      <c r="D450" s="33"/>
      <c r="E450" s="33"/>
      <c r="F450" s="33"/>
    </row>
    <row r="451" ht="15.75" customHeight="1">
      <c r="C451" s="33"/>
      <c r="D451" s="33"/>
      <c r="E451" s="33"/>
      <c r="F451" s="33"/>
    </row>
    <row r="452" ht="15.75" customHeight="1">
      <c r="C452" s="33"/>
      <c r="D452" s="33"/>
      <c r="E452" s="33"/>
      <c r="F452" s="33"/>
    </row>
    <row r="453" ht="15.75" customHeight="1">
      <c r="C453" s="33"/>
      <c r="D453" s="33"/>
      <c r="E453" s="33"/>
      <c r="F453" s="33"/>
    </row>
    <row r="454" ht="15.75" customHeight="1">
      <c r="C454" s="33"/>
      <c r="D454" s="33"/>
      <c r="E454" s="33"/>
      <c r="F454" s="33"/>
    </row>
    <row r="455" ht="15.75" customHeight="1">
      <c r="C455" s="33"/>
      <c r="D455" s="33"/>
      <c r="E455" s="33"/>
      <c r="F455" s="33"/>
    </row>
    <row r="456" ht="15.75" customHeight="1">
      <c r="C456" s="33"/>
      <c r="D456" s="33"/>
      <c r="E456" s="33"/>
      <c r="F456" s="33"/>
    </row>
    <row r="457" ht="15.75" customHeight="1">
      <c r="C457" s="33"/>
      <c r="D457" s="33"/>
      <c r="E457" s="33"/>
      <c r="F457" s="33"/>
    </row>
    <row r="458" ht="15.75" customHeight="1">
      <c r="C458" s="33"/>
      <c r="D458" s="33"/>
      <c r="E458" s="33"/>
      <c r="F458" s="33"/>
    </row>
    <row r="459" ht="15.75" customHeight="1">
      <c r="C459" s="33"/>
      <c r="D459" s="33"/>
      <c r="E459" s="33"/>
      <c r="F459" s="33"/>
    </row>
    <row r="460" ht="15.75" customHeight="1">
      <c r="C460" s="33"/>
      <c r="D460" s="33"/>
      <c r="E460" s="33"/>
      <c r="F460" s="33"/>
    </row>
    <row r="461" ht="15.75" customHeight="1">
      <c r="C461" s="33"/>
      <c r="D461" s="33"/>
      <c r="E461" s="33"/>
      <c r="F461" s="33"/>
    </row>
    <row r="462" ht="15.75" customHeight="1">
      <c r="C462" s="33"/>
      <c r="D462" s="33"/>
      <c r="E462" s="33"/>
      <c r="F462" s="33"/>
    </row>
    <row r="463" ht="15.75" customHeight="1">
      <c r="C463" s="33"/>
      <c r="D463" s="33"/>
      <c r="E463" s="33"/>
      <c r="F463" s="33"/>
    </row>
    <row r="464" ht="15.75" customHeight="1">
      <c r="C464" s="33"/>
      <c r="D464" s="33"/>
      <c r="E464" s="33"/>
      <c r="F464" s="33"/>
    </row>
    <row r="465" ht="15.75" customHeight="1">
      <c r="C465" s="33"/>
      <c r="D465" s="33"/>
      <c r="E465" s="33"/>
      <c r="F465" s="33"/>
    </row>
    <row r="466" ht="15.75" customHeight="1">
      <c r="C466" s="33"/>
      <c r="D466" s="33"/>
      <c r="E466" s="33"/>
      <c r="F466" s="33"/>
    </row>
    <row r="467" ht="15.75" customHeight="1">
      <c r="C467" s="33"/>
      <c r="D467" s="33"/>
      <c r="E467" s="33"/>
      <c r="F467" s="33"/>
    </row>
    <row r="468" ht="15.75" customHeight="1">
      <c r="C468" s="33"/>
      <c r="D468" s="33"/>
      <c r="E468" s="33"/>
      <c r="F468" s="33"/>
    </row>
    <row r="469" ht="15.75" customHeight="1">
      <c r="C469" s="33"/>
      <c r="D469" s="33"/>
      <c r="E469" s="33"/>
      <c r="F469" s="33"/>
    </row>
    <row r="470" ht="15.75" customHeight="1">
      <c r="C470" s="33"/>
      <c r="D470" s="33"/>
      <c r="E470" s="33"/>
      <c r="F470" s="33"/>
    </row>
    <row r="471" ht="15.75" customHeight="1">
      <c r="C471" s="33"/>
      <c r="D471" s="33"/>
      <c r="E471" s="33"/>
      <c r="F471" s="33"/>
    </row>
    <row r="472" ht="15.75" customHeight="1">
      <c r="C472" s="33"/>
      <c r="D472" s="33"/>
      <c r="E472" s="33"/>
      <c r="F472" s="33"/>
    </row>
    <row r="473" ht="15.75" customHeight="1">
      <c r="C473" s="33"/>
      <c r="D473" s="33"/>
      <c r="E473" s="33"/>
      <c r="F473" s="33"/>
    </row>
    <row r="474" ht="15.75" customHeight="1">
      <c r="C474" s="33"/>
      <c r="D474" s="33"/>
      <c r="E474" s="33"/>
      <c r="F474" s="33"/>
    </row>
    <row r="475" ht="15.75" customHeight="1">
      <c r="C475" s="33"/>
      <c r="D475" s="33"/>
      <c r="E475" s="33"/>
      <c r="F475" s="33"/>
    </row>
    <row r="476" ht="15.75" customHeight="1">
      <c r="C476" s="33"/>
      <c r="D476" s="33"/>
      <c r="E476" s="33"/>
      <c r="F476" s="33"/>
    </row>
    <row r="477" ht="15.75" customHeight="1">
      <c r="C477" s="33"/>
      <c r="D477" s="33"/>
      <c r="E477" s="33"/>
      <c r="F477" s="33"/>
    </row>
    <row r="478" ht="15.75" customHeight="1">
      <c r="C478" s="33"/>
      <c r="D478" s="33"/>
      <c r="E478" s="33"/>
      <c r="F478" s="33"/>
    </row>
    <row r="479" ht="15.75" customHeight="1">
      <c r="C479" s="33"/>
      <c r="D479" s="33"/>
      <c r="E479" s="33"/>
      <c r="F479" s="33"/>
    </row>
    <row r="480" ht="15.75" customHeight="1">
      <c r="C480" s="33"/>
      <c r="D480" s="33"/>
      <c r="E480" s="33"/>
      <c r="F480" s="33"/>
    </row>
    <row r="481" ht="15.75" customHeight="1">
      <c r="C481" s="33"/>
      <c r="D481" s="33"/>
      <c r="E481" s="33"/>
      <c r="F481" s="33"/>
    </row>
    <row r="482" ht="15.75" customHeight="1">
      <c r="C482" s="33"/>
      <c r="D482" s="33"/>
      <c r="E482" s="33"/>
      <c r="F482" s="33"/>
    </row>
    <row r="483" ht="15.75" customHeight="1">
      <c r="C483" s="33"/>
      <c r="D483" s="33"/>
      <c r="E483" s="33"/>
      <c r="F483" s="33"/>
    </row>
    <row r="484" ht="15.75" customHeight="1">
      <c r="C484" s="33"/>
      <c r="D484" s="33"/>
      <c r="E484" s="33"/>
      <c r="F484" s="33"/>
    </row>
    <row r="485" ht="15.75" customHeight="1">
      <c r="C485" s="33"/>
      <c r="D485" s="33"/>
      <c r="E485" s="33"/>
      <c r="F485" s="33"/>
    </row>
    <row r="486" ht="15.75" customHeight="1">
      <c r="C486" s="33"/>
      <c r="D486" s="33"/>
      <c r="E486" s="33"/>
      <c r="F486" s="33"/>
    </row>
    <row r="487" ht="15.75" customHeight="1">
      <c r="C487" s="33"/>
      <c r="D487" s="33"/>
      <c r="E487" s="33"/>
      <c r="F487" s="33"/>
    </row>
    <row r="488" ht="15.75" customHeight="1">
      <c r="C488" s="33"/>
      <c r="D488" s="33"/>
      <c r="E488" s="33"/>
      <c r="F488" s="33"/>
    </row>
    <row r="489" ht="15.75" customHeight="1">
      <c r="C489" s="33"/>
      <c r="D489" s="33"/>
      <c r="E489" s="33"/>
      <c r="F489" s="33"/>
    </row>
    <row r="490" ht="15.75" customHeight="1">
      <c r="C490" s="33"/>
      <c r="D490" s="33"/>
      <c r="E490" s="33"/>
      <c r="F490" s="33"/>
    </row>
    <row r="491" ht="15.75" customHeight="1">
      <c r="C491" s="33"/>
      <c r="D491" s="33"/>
      <c r="E491" s="33"/>
      <c r="F491" s="33"/>
    </row>
    <row r="492" ht="15.75" customHeight="1">
      <c r="C492" s="33"/>
      <c r="D492" s="33"/>
      <c r="E492" s="33"/>
      <c r="F492" s="33"/>
    </row>
    <row r="493" ht="15.75" customHeight="1">
      <c r="C493" s="33"/>
      <c r="D493" s="33"/>
      <c r="E493" s="33"/>
      <c r="F493" s="33"/>
    </row>
    <row r="494" ht="15.75" customHeight="1">
      <c r="C494" s="33"/>
      <c r="D494" s="33"/>
      <c r="E494" s="33"/>
      <c r="F494" s="33"/>
    </row>
    <row r="495" ht="15.75" customHeight="1">
      <c r="C495" s="33"/>
      <c r="D495" s="33"/>
      <c r="E495" s="33"/>
      <c r="F495" s="33"/>
    </row>
    <row r="496" ht="15.75" customHeight="1">
      <c r="C496" s="33"/>
      <c r="D496" s="33"/>
      <c r="E496" s="33"/>
      <c r="F496" s="33"/>
    </row>
    <row r="497" ht="15.75" customHeight="1">
      <c r="C497" s="33"/>
      <c r="D497" s="33"/>
      <c r="E497" s="33"/>
      <c r="F497" s="33"/>
    </row>
    <row r="498" ht="15.75" customHeight="1">
      <c r="C498" s="33"/>
      <c r="D498" s="33"/>
      <c r="E498" s="33"/>
      <c r="F498" s="33"/>
    </row>
    <row r="499" ht="15.75" customHeight="1">
      <c r="C499" s="33"/>
      <c r="D499" s="33"/>
      <c r="E499" s="33"/>
      <c r="F499" s="33"/>
    </row>
    <row r="500" ht="15.75" customHeight="1">
      <c r="C500" s="33"/>
      <c r="D500" s="33"/>
      <c r="E500" s="33"/>
      <c r="F500" s="33"/>
    </row>
    <row r="501" ht="15.75" customHeight="1">
      <c r="C501" s="33"/>
      <c r="D501" s="33"/>
      <c r="E501" s="33"/>
      <c r="F501" s="33"/>
    </row>
    <row r="502" ht="15.75" customHeight="1">
      <c r="C502" s="33"/>
      <c r="D502" s="33"/>
      <c r="E502" s="33"/>
      <c r="F502" s="33"/>
    </row>
    <row r="503" ht="15.75" customHeight="1">
      <c r="C503" s="33"/>
      <c r="D503" s="33"/>
      <c r="E503" s="33"/>
      <c r="F503" s="33"/>
    </row>
    <row r="504" ht="15.75" customHeight="1">
      <c r="C504" s="33"/>
      <c r="D504" s="33"/>
      <c r="E504" s="33"/>
      <c r="F504" s="33"/>
    </row>
    <row r="505" ht="15.75" customHeight="1">
      <c r="C505" s="33"/>
      <c r="D505" s="33"/>
      <c r="E505" s="33"/>
      <c r="F505" s="33"/>
    </row>
    <row r="506" ht="15.75" customHeight="1">
      <c r="C506" s="33"/>
      <c r="D506" s="33"/>
      <c r="E506" s="33"/>
      <c r="F506" s="33"/>
    </row>
    <row r="507" ht="15.75" customHeight="1">
      <c r="C507" s="33"/>
      <c r="D507" s="33"/>
      <c r="E507" s="33"/>
      <c r="F507" s="33"/>
    </row>
    <row r="508" ht="15.75" customHeight="1">
      <c r="C508" s="33"/>
      <c r="D508" s="33"/>
      <c r="E508" s="33"/>
      <c r="F508" s="33"/>
    </row>
    <row r="509" ht="15.75" customHeight="1">
      <c r="C509" s="33"/>
      <c r="D509" s="33"/>
      <c r="E509" s="33"/>
      <c r="F509" s="33"/>
    </row>
    <row r="510" ht="15.75" customHeight="1">
      <c r="C510" s="33"/>
      <c r="D510" s="33"/>
      <c r="E510" s="33"/>
      <c r="F510" s="33"/>
    </row>
    <row r="511" ht="15.75" customHeight="1">
      <c r="C511" s="33"/>
      <c r="D511" s="33"/>
      <c r="E511" s="33"/>
      <c r="F511" s="33"/>
    </row>
    <row r="512" ht="15.75" customHeight="1">
      <c r="C512" s="33"/>
      <c r="D512" s="33"/>
      <c r="E512" s="33"/>
      <c r="F512" s="33"/>
    </row>
    <row r="513" ht="15.75" customHeight="1">
      <c r="C513" s="33"/>
      <c r="D513" s="33"/>
      <c r="E513" s="33"/>
      <c r="F513" s="33"/>
    </row>
    <row r="514" ht="15.75" customHeight="1">
      <c r="C514" s="33"/>
      <c r="D514" s="33"/>
      <c r="E514" s="33"/>
      <c r="F514" s="33"/>
    </row>
    <row r="515" ht="15.75" customHeight="1">
      <c r="C515" s="33"/>
      <c r="D515" s="33"/>
      <c r="E515" s="33"/>
      <c r="F515" s="33"/>
    </row>
    <row r="516" ht="15.75" customHeight="1">
      <c r="C516" s="33"/>
      <c r="D516" s="33"/>
      <c r="E516" s="33"/>
      <c r="F516" s="33"/>
    </row>
    <row r="517" ht="15.75" customHeight="1">
      <c r="C517" s="33"/>
      <c r="D517" s="33"/>
      <c r="E517" s="33"/>
      <c r="F517" s="33"/>
    </row>
    <row r="518" ht="15.75" customHeight="1">
      <c r="C518" s="33"/>
      <c r="D518" s="33"/>
      <c r="E518" s="33"/>
      <c r="F518" s="33"/>
    </row>
    <row r="519" ht="15.75" customHeight="1">
      <c r="C519" s="33"/>
      <c r="D519" s="33"/>
      <c r="E519" s="33"/>
      <c r="F519" s="33"/>
    </row>
    <row r="520" ht="15.75" customHeight="1">
      <c r="C520" s="33"/>
      <c r="D520" s="33"/>
      <c r="E520" s="33"/>
      <c r="F520" s="33"/>
    </row>
    <row r="521" ht="15.75" customHeight="1">
      <c r="C521" s="33"/>
      <c r="D521" s="33"/>
      <c r="E521" s="33"/>
      <c r="F521" s="33"/>
    </row>
    <row r="522" ht="15.75" customHeight="1">
      <c r="C522" s="33"/>
      <c r="D522" s="33"/>
      <c r="E522" s="33"/>
      <c r="F522" s="33"/>
    </row>
    <row r="523" ht="15.75" customHeight="1">
      <c r="C523" s="33"/>
      <c r="D523" s="33"/>
      <c r="E523" s="33"/>
      <c r="F523" s="33"/>
    </row>
    <row r="524" ht="15.75" customHeight="1">
      <c r="C524" s="33"/>
      <c r="D524" s="33"/>
      <c r="E524" s="33"/>
      <c r="F524" s="33"/>
    </row>
    <row r="525" ht="15.75" customHeight="1">
      <c r="C525" s="33"/>
      <c r="D525" s="33"/>
      <c r="E525" s="33"/>
      <c r="F525" s="33"/>
    </row>
    <row r="526" ht="15.75" customHeight="1">
      <c r="C526" s="33"/>
      <c r="D526" s="33"/>
      <c r="E526" s="33"/>
      <c r="F526" s="33"/>
    </row>
    <row r="527" ht="15.75" customHeight="1">
      <c r="C527" s="33"/>
      <c r="D527" s="33"/>
      <c r="E527" s="33"/>
      <c r="F527" s="33"/>
    </row>
    <row r="528" ht="15.75" customHeight="1">
      <c r="C528" s="33"/>
      <c r="D528" s="33"/>
      <c r="E528" s="33"/>
      <c r="F528" s="33"/>
    </row>
    <row r="529" ht="15.75" customHeight="1">
      <c r="C529" s="33"/>
      <c r="D529" s="33"/>
      <c r="E529" s="33"/>
      <c r="F529" s="33"/>
    </row>
    <row r="530" ht="15.75" customHeight="1">
      <c r="C530" s="33"/>
      <c r="D530" s="33"/>
      <c r="E530" s="33"/>
      <c r="F530" s="33"/>
    </row>
    <row r="531" ht="15.75" customHeight="1">
      <c r="C531" s="33"/>
      <c r="D531" s="33"/>
      <c r="E531" s="33"/>
      <c r="F531" s="33"/>
    </row>
    <row r="532" ht="15.75" customHeight="1">
      <c r="C532" s="33"/>
      <c r="D532" s="33"/>
      <c r="E532" s="33"/>
      <c r="F532" s="33"/>
    </row>
    <row r="533" ht="15.75" customHeight="1">
      <c r="C533" s="33"/>
      <c r="D533" s="33"/>
      <c r="E533" s="33"/>
      <c r="F533" s="33"/>
    </row>
    <row r="534" ht="15.75" customHeight="1">
      <c r="C534" s="33"/>
      <c r="D534" s="33"/>
      <c r="E534" s="33"/>
      <c r="F534" s="33"/>
    </row>
    <row r="535" ht="15.75" customHeight="1">
      <c r="C535" s="33"/>
      <c r="D535" s="33"/>
      <c r="E535" s="33"/>
      <c r="F535" s="33"/>
    </row>
    <row r="536" ht="15.75" customHeight="1">
      <c r="C536" s="33"/>
      <c r="D536" s="33"/>
      <c r="E536" s="33"/>
      <c r="F536" s="33"/>
    </row>
    <row r="537" ht="15.75" customHeight="1">
      <c r="C537" s="33"/>
      <c r="D537" s="33"/>
      <c r="E537" s="33"/>
      <c r="F537" s="33"/>
    </row>
    <row r="538" ht="15.75" customHeight="1">
      <c r="C538" s="33"/>
      <c r="D538" s="33"/>
      <c r="E538" s="33"/>
      <c r="F538" s="33"/>
    </row>
    <row r="539" ht="15.75" customHeight="1">
      <c r="C539" s="33"/>
      <c r="D539" s="33"/>
      <c r="E539" s="33"/>
      <c r="F539" s="33"/>
    </row>
    <row r="540" ht="15.75" customHeight="1">
      <c r="C540" s="33"/>
      <c r="D540" s="33"/>
      <c r="E540" s="33"/>
      <c r="F540" s="33"/>
    </row>
    <row r="541" ht="15.75" customHeight="1">
      <c r="C541" s="33"/>
      <c r="D541" s="33"/>
      <c r="E541" s="33"/>
      <c r="F541" s="33"/>
    </row>
    <row r="542" ht="15.75" customHeight="1">
      <c r="C542" s="33"/>
      <c r="D542" s="33"/>
      <c r="E542" s="33"/>
      <c r="F542" s="33"/>
    </row>
    <row r="543" ht="15.75" customHeight="1">
      <c r="C543" s="33"/>
      <c r="D543" s="33"/>
      <c r="E543" s="33"/>
      <c r="F543" s="33"/>
    </row>
    <row r="544" ht="15.75" customHeight="1">
      <c r="C544" s="33"/>
      <c r="D544" s="33"/>
      <c r="E544" s="33"/>
      <c r="F544" s="33"/>
    </row>
    <row r="545" ht="15.75" customHeight="1">
      <c r="C545" s="33"/>
      <c r="D545" s="33"/>
      <c r="E545" s="33"/>
      <c r="F545" s="33"/>
    </row>
    <row r="546" ht="15.75" customHeight="1">
      <c r="C546" s="33"/>
      <c r="D546" s="33"/>
      <c r="E546" s="33"/>
      <c r="F546" s="33"/>
    </row>
    <row r="547" ht="15.75" customHeight="1">
      <c r="C547" s="33"/>
      <c r="D547" s="33"/>
      <c r="E547" s="33"/>
      <c r="F547" s="33"/>
    </row>
    <row r="548" ht="15.75" customHeight="1">
      <c r="C548" s="33"/>
      <c r="D548" s="33"/>
      <c r="E548" s="33"/>
      <c r="F548" s="33"/>
    </row>
    <row r="549" ht="15.75" customHeight="1">
      <c r="C549" s="33"/>
      <c r="D549" s="33"/>
      <c r="E549" s="33"/>
      <c r="F549" s="33"/>
    </row>
    <row r="550" ht="15.75" customHeight="1">
      <c r="C550" s="33"/>
      <c r="D550" s="33"/>
      <c r="E550" s="33"/>
      <c r="F550" s="33"/>
    </row>
    <row r="551" ht="15.75" customHeight="1">
      <c r="C551" s="33"/>
      <c r="D551" s="33"/>
      <c r="E551" s="33"/>
      <c r="F551" s="33"/>
    </row>
    <row r="552" ht="15.75" customHeight="1">
      <c r="C552" s="33"/>
      <c r="D552" s="33"/>
      <c r="E552" s="33"/>
      <c r="F552" s="33"/>
    </row>
    <row r="553" ht="15.75" customHeight="1">
      <c r="C553" s="33"/>
      <c r="D553" s="33"/>
      <c r="E553" s="33"/>
      <c r="F553" s="33"/>
    </row>
    <row r="554" ht="15.75" customHeight="1">
      <c r="C554" s="33"/>
      <c r="D554" s="33"/>
      <c r="E554" s="33"/>
      <c r="F554" s="33"/>
    </row>
    <row r="555" ht="15.75" customHeight="1">
      <c r="C555" s="33"/>
      <c r="D555" s="33"/>
      <c r="E555" s="33"/>
      <c r="F555" s="33"/>
    </row>
    <row r="556" ht="15.75" customHeight="1">
      <c r="C556" s="33"/>
      <c r="D556" s="33"/>
      <c r="E556" s="33"/>
      <c r="F556" s="33"/>
    </row>
    <row r="557" ht="15.75" customHeight="1">
      <c r="C557" s="33"/>
      <c r="D557" s="33"/>
      <c r="E557" s="33"/>
      <c r="F557" s="33"/>
    </row>
    <row r="558" ht="15.75" customHeight="1">
      <c r="C558" s="33"/>
      <c r="D558" s="33"/>
      <c r="E558" s="33"/>
      <c r="F558" s="33"/>
    </row>
    <row r="559" ht="15.75" customHeight="1">
      <c r="C559" s="33"/>
      <c r="D559" s="33"/>
      <c r="E559" s="33"/>
      <c r="F559" s="33"/>
    </row>
    <row r="560" ht="15.75" customHeight="1">
      <c r="C560" s="33"/>
      <c r="D560" s="33"/>
      <c r="E560" s="33"/>
      <c r="F560" s="33"/>
    </row>
    <row r="561" ht="15.75" customHeight="1">
      <c r="C561" s="33"/>
      <c r="D561" s="33"/>
      <c r="E561" s="33"/>
      <c r="F561" s="33"/>
    </row>
    <row r="562" ht="15.75" customHeight="1">
      <c r="C562" s="33"/>
      <c r="D562" s="33"/>
      <c r="E562" s="33"/>
      <c r="F562" s="33"/>
    </row>
    <row r="563" ht="15.75" customHeight="1">
      <c r="C563" s="33"/>
      <c r="D563" s="33"/>
      <c r="E563" s="33"/>
      <c r="F563" s="33"/>
    </row>
    <row r="564" ht="15.75" customHeight="1">
      <c r="C564" s="33"/>
      <c r="D564" s="33"/>
      <c r="E564" s="33"/>
      <c r="F564" s="33"/>
    </row>
    <row r="565" ht="15.75" customHeight="1">
      <c r="C565" s="33"/>
      <c r="D565" s="33"/>
      <c r="E565" s="33"/>
      <c r="F565" s="33"/>
    </row>
    <row r="566" ht="15.75" customHeight="1">
      <c r="C566" s="33"/>
      <c r="D566" s="33"/>
      <c r="E566" s="33"/>
      <c r="F566" s="33"/>
    </row>
    <row r="567" ht="15.75" customHeight="1">
      <c r="C567" s="33"/>
      <c r="D567" s="33"/>
      <c r="E567" s="33"/>
      <c r="F567" s="33"/>
    </row>
    <row r="568" ht="15.75" customHeight="1">
      <c r="C568" s="33"/>
      <c r="D568" s="33"/>
      <c r="E568" s="33"/>
      <c r="F568" s="33"/>
    </row>
    <row r="569" ht="15.75" customHeight="1">
      <c r="C569" s="33"/>
      <c r="D569" s="33"/>
      <c r="E569" s="33"/>
      <c r="F569" s="33"/>
    </row>
    <row r="570" ht="15.75" customHeight="1">
      <c r="C570" s="33"/>
      <c r="D570" s="33"/>
      <c r="E570" s="33"/>
      <c r="F570" s="33"/>
    </row>
    <row r="571" ht="15.75" customHeight="1">
      <c r="C571" s="33"/>
      <c r="D571" s="33"/>
      <c r="E571" s="33"/>
      <c r="F571" s="33"/>
    </row>
    <row r="572" ht="15.75" customHeight="1">
      <c r="C572" s="33"/>
      <c r="D572" s="33"/>
      <c r="E572" s="33"/>
      <c r="F572" s="33"/>
    </row>
    <row r="573" ht="15.75" customHeight="1">
      <c r="C573" s="33"/>
      <c r="D573" s="33"/>
      <c r="E573" s="33"/>
      <c r="F573" s="33"/>
    </row>
    <row r="574" ht="15.75" customHeight="1">
      <c r="C574" s="33"/>
      <c r="D574" s="33"/>
      <c r="E574" s="33"/>
      <c r="F574" s="33"/>
    </row>
    <row r="575" ht="15.75" customHeight="1">
      <c r="C575" s="33"/>
      <c r="D575" s="33"/>
      <c r="E575" s="33"/>
      <c r="F575" s="33"/>
    </row>
    <row r="576" ht="15.75" customHeight="1">
      <c r="C576" s="33"/>
      <c r="D576" s="33"/>
      <c r="E576" s="33"/>
      <c r="F576" s="33"/>
    </row>
    <row r="577" ht="15.75" customHeight="1">
      <c r="C577" s="33"/>
      <c r="D577" s="33"/>
      <c r="E577" s="33"/>
      <c r="F577" s="33"/>
    </row>
    <row r="578" ht="15.75" customHeight="1">
      <c r="C578" s="33"/>
      <c r="D578" s="33"/>
      <c r="E578" s="33"/>
      <c r="F578" s="33"/>
    </row>
    <row r="579" ht="15.75" customHeight="1">
      <c r="C579" s="33"/>
      <c r="D579" s="33"/>
      <c r="E579" s="33"/>
      <c r="F579" s="33"/>
    </row>
    <row r="580" ht="15.75" customHeight="1">
      <c r="C580" s="33"/>
      <c r="D580" s="33"/>
      <c r="E580" s="33"/>
      <c r="F580" s="33"/>
    </row>
    <row r="581" ht="15.75" customHeight="1">
      <c r="C581" s="33"/>
      <c r="D581" s="33"/>
      <c r="E581" s="33"/>
      <c r="F581" s="33"/>
    </row>
    <row r="582" ht="15.75" customHeight="1">
      <c r="C582" s="33"/>
      <c r="D582" s="33"/>
      <c r="E582" s="33"/>
      <c r="F582" s="33"/>
    </row>
    <row r="583" ht="15.75" customHeight="1">
      <c r="C583" s="33"/>
      <c r="D583" s="33"/>
      <c r="E583" s="33"/>
      <c r="F583" s="33"/>
    </row>
    <row r="584" ht="15.75" customHeight="1">
      <c r="C584" s="33"/>
      <c r="D584" s="33"/>
      <c r="E584" s="33"/>
      <c r="F584" s="33"/>
    </row>
    <row r="585" ht="15.75" customHeight="1">
      <c r="C585" s="33"/>
      <c r="D585" s="33"/>
      <c r="E585" s="33"/>
      <c r="F585" s="33"/>
    </row>
    <row r="586" ht="15.75" customHeight="1">
      <c r="C586" s="33"/>
      <c r="D586" s="33"/>
      <c r="E586" s="33"/>
      <c r="F586" s="33"/>
    </row>
    <row r="587" ht="15.75" customHeight="1">
      <c r="C587" s="33"/>
      <c r="D587" s="33"/>
      <c r="E587" s="33"/>
      <c r="F587" s="33"/>
    </row>
    <row r="588" ht="15.75" customHeight="1">
      <c r="C588" s="33"/>
      <c r="D588" s="33"/>
      <c r="E588" s="33"/>
      <c r="F588" s="33"/>
    </row>
    <row r="589" ht="15.75" customHeight="1">
      <c r="C589" s="33"/>
      <c r="D589" s="33"/>
      <c r="E589" s="33"/>
      <c r="F589" s="33"/>
    </row>
    <row r="590" ht="15.75" customHeight="1">
      <c r="C590" s="33"/>
      <c r="D590" s="33"/>
      <c r="E590" s="33"/>
      <c r="F590" s="33"/>
    </row>
    <row r="591" ht="15.75" customHeight="1">
      <c r="C591" s="33"/>
      <c r="D591" s="33"/>
      <c r="E591" s="33"/>
      <c r="F591" s="33"/>
    </row>
    <row r="592" ht="15.75" customHeight="1">
      <c r="C592" s="33"/>
      <c r="D592" s="33"/>
      <c r="E592" s="33"/>
      <c r="F592" s="33"/>
    </row>
    <row r="593" ht="15.75" customHeight="1">
      <c r="C593" s="33"/>
      <c r="D593" s="33"/>
      <c r="E593" s="33"/>
      <c r="F593" s="33"/>
    </row>
    <row r="594" ht="15.75" customHeight="1">
      <c r="C594" s="33"/>
      <c r="D594" s="33"/>
      <c r="E594" s="33"/>
      <c r="F594" s="33"/>
    </row>
    <row r="595" ht="15.75" customHeight="1">
      <c r="C595" s="33"/>
      <c r="D595" s="33"/>
      <c r="E595" s="33"/>
      <c r="F595" s="33"/>
    </row>
    <row r="596" ht="15.75" customHeight="1">
      <c r="C596" s="33"/>
      <c r="D596" s="33"/>
      <c r="E596" s="33"/>
      <c r="F596" s="33"/>
    </row>
    <row r="597" ht="15.75" customHeight="1">
      <c r="C597" s="33"/>
      <c r="D597" s="33"/>
      <c r="E597" s="33"/>
      <c r="F597" s="33"/>
    </row>
    <row r="598" ht="15.75" customHeight="1">
      <c r="C598" s="33"/>
      <c r="D598" s="33"/>
      <c r="E598" s="33"/>
      <c r="F598" s="33"/>
    </row>
    <row r="599" ht="15.75" customHeight="1">
      <c r="C599" s="33"/>
      <c r="D599" s="33"/>
      <c r="E599" s="33"/>
      <c r="F599" s="33"/>
    </row>
    <row r="600" ht="15.75" customHeight="1">
      <c r="C600" s="33"/>
      <c r="D600" s="33"/>
      <c r="E600" s="33"/>
      <c r="F600" s="33"/>
    </row>
    <row r="601" ht="15.75" customHeight="1">
      <c r="C601" s="33"/>
      <c r="D601" s="33"/>
      <c r="E601" s="33"/>
      <c r="F601" s="33"/>
    </row>
    <row r="602" ht="15.75" customHeight="1">
      <c r="C602" s="33"/>
      <c r="D602" s="33"/>
      <c r="E602" s="33"/>
      <c r="F602" s="33"/>
    </row>
    <row r="603" ht="15.75" customHeight="1">
      <c r="C603" s="33"/>
      <c r="D603" s="33"/>
      <c r="E603" s="33"/>
      <c r="F603" s="33"/>
    </row>
    <row r="604" ht="15.75" customHeight="1">
      <c r="C604" s="33"/>
      <c r="D604" s="33"/>
      <c r="E604" s="33"/>
      <c r="F604" s="33"/>
    </row>
    <row r="605" ht="15.75" customHeight="1">
      <c r="C605" s="33"/>
      <c r="D605" s="33"/>
      <c r="E605" s="33"/>
      <c r="F605" s="33"/>
    </row>
    <row r="606" ht="15.75" customHeight="1">
      <c r="C606" s="33"/>
      <c r="D606" s="33"/>
      <c r="E606" s="33"/>
      <c r="F606" s="33"/>
    </row>
    <row r="607" ht="15.75" customHeight="1">
      <c r="C607" s="33"/>
      <c r="D607" s="33"/>
      <c r="E607" s="33"/>
      <c r="F607" s="33"/>
    </row>
    <row r="608" ht="15.75" customHeight="1">
      <c r="C608" s="33"/>
      <c r="D608" s="33"/>
      <c r="E608" s="33"/>
      <c r="F608" s="33"/>
    </row>
    <row r="609" ht="15.75" customHeight="1">
      <c r="C609" s="33"/>
      <c r="D609" s="33"/>
      <c r="E609" s="33"/>
      <c r="F609" s="33"/>
    </row>
    <row r="610" ht="15.75" customHeight="1">
      <c r="C610" s="33"/>
      <c r="D610" s="33"/>
      <c r="E610" s="33"/>
      <c r="F610" s="33"/>
    </row>
    <row r="611" ht="15.75" customHeight="1">
      <c r="C611" s="33"/>
      <c r="D611" s="33"/>
      <c r="E611" s="33"/>
      <c r="F611" s="33"/>
    </row>
    <row r="612" ht="15.75" customHeight="1">
      <c r="C612" s="33"/>
      <c r="D612" s="33"/>
      <c r="E612" s="33"/>
      <c r="F612" s="33"/>
    </row>
    <row r="613" ht="15.75" customHeight="1">
      <c r="C613" s="33"/>
      <c r="D613" s="33"/>
      <c r="E613" s="33"/>
      <c r="F613" s="33"/>
    </row>
    <row r="614" ht="15.75" customHeight="1">
      <c r="C614" s="33"/>
      <c r="D614" s="33"/>
      <c r="E614" s="33"/>
      <c r="F614" s="33"/>
    </row>
    <row r="615" ht="15.75" customHeight="1">
      <c r="C615" s="33"/>
      <c r="D615" s="33"/>
      <c r="E615" s="33"/>
      <c r="F615" s="33"/>
    </row>
    <row r="616" ht="15.75" customHeight="1">
      <c r="C616" s="33"/>
      <c r="D616" s="33"/>
      <c r="E616" s="33"/>
      <c r="F616" s="33"/>
    </row>
    <row r="617" ht="15.75" customHeight="1">
      <c r="C617" s="33"/>
      <c r="D617" s="33"/>
      <c r="E617" s="33"/>
      <c r="F617" s="33"/>
    </row>
    <row r="618" ht="15.75" customHeight="1">
      <c r="C618" s="33"/>
      <c r="D618" s="33"/>
      <c r="E618" s="33"/>
      <c r="F618" s="33"/>
    </row>
    <row r="619" ht="15.75" customHeight="1">
      <c r="C619" s="33"/>
      <c r="D619" s="33"/>
      <c r="E619" s="33"/>
      <c r="F619" s="33"/>
    </row>
    <row r="620" ht="15.75" customHeight="1">
      <c r="C620" s="33"/>
      <c r="D620" s="33"/>
      <c r="E620" s="33"/>
      <c r="F620" s="33"/>
    </row>
    <row r="621" ht="15.75" customHeight="1">
      <c r="C621" s="33"/>
      <c r="D621" s="33"/>
      <c r="E621" s="33"/>
      <c r="F621" s="33"/>
    </row>
    <row r="622" ht="15.75" customHeight="1">
      <c r="C622" s="33"/>
      <c r="D622" s="33"/>
      <c r="E622" s="33"/>
      <c r="F622" s="33"/>
    </row>
    <row r="623" ht="15.75" customHeight="1">
      <c r="C623" s="33"/>
      <c r="D623" s="33"/>
      <c r="E623" s="33"/>
      <c r="F623" s="33"/>
    </row>
    <row r="624" ht="15.75" customHeight="1">
      <c r="C624" s="33"/>
      <c r="D624" s="33"/>
      <c r="E624" s="33"/>
      <c r="F624" s="33"/>
    </row>
    <row r="625" ht="15.75" customHeight="1">
      <c r="C625" s="33"/>
      <c r="D625" s="33"/>
      <c r="E625" s="33"/>
      <c r="F625" s="33"/>
    </row>
    <row r="626" ht="15.75" customHeight="1">
      <c r="C626" s="33"/>
      <c r="D626" s="33"/>
      <c r="E626" s="33"/>
      <c r="F626" s="33"/>
    </row>
    <row r="627" ht="15.75" customHeight="1">
      <c r="C627" s="33"/>
      <c r="D627" s="33"/>
      <c r="E627" s="33"/>
      <c r="F627" s="33"/>
    </row>
    <row r="628" ht="15.75" customHeight="1">
      <c r="C628" s="33"/>
      <c r="D628" s="33"/>
      <c r="E628" s="33"/>
      <c r="F628" s="33"/>
    </row>
    <row r="629" ht="15.75" customHeight="1">
      <c r="C629" s="33"/>
      <c r="D629" s="33"/>
      <c r="E629" s="33"/>
      <c r="F629" s="33"/>
    </row>
    <row r="630" ht="15.75" customHeight="1">
      <c r="C630" s="33"/>
      <c r="D630" s="33"/>
      <c r="E630" s="33"/>
      <c r="F630" s="33"/>
    </row>
    <row r="631" ht="15.75" customHeight="1">
      <c r="C631" s="33"/>
      <c r="D631" s="33"/>
      <c r="E631" s="33"/>
      <c r="F631" s="33"/>
    </row>
    <row r="632" ht="15.75" customHeight="1">
      <c r="C632" s="33"/>
      <c r="D632" s="33"/>
      <c r="E632" s="33"/>
      <c r="F632" s="33"/>
    </row>
    <row r="633" ht="15.75" customHeight="1">
      <c r="C633" s="33"/>
      <c r="D633" s="33"/>
      <c r="E633" s="33"/>
      <c r="F633" s="33"/>
    </row>
    <row r="634" ht="15.75" customHeight="1">
      <c r="C634" s="33"/>
      <c r="D634" s="33"/>
      <c r="E634" s="33"/>
      <c r="F634" s="33"/>
    </row>
    <row r="635" ht="15.75" customHeight="1">
      <c r="C635" s="33"/>
      <c r="D635" s="33"/>
      <c r="E635" s="33"/>
      <c r="F635" s="33"/>
    </row>
    <row r="636" ht="15.75" customHeight="1">
      <c r="C636" s="33"/>
      <c r="D636" s="33"/>
      <c r="E636" s="33"/>
      <c r="F636" s="33"/>
    </row>
    <row r="637" ht="15.75" customHeight="1">
      <c r="C637" s="33"/>
      <c r="D637" s="33"/>
      <c r="E637" s="33"/>
      <c r="F637" s="33"/>
    </row>
    <row r="638" ht="15.75" customHeight="1">
      <c r="C638" s="33"/>
      <c r="D638" s="33"/>
      <c r="E638" s="33"/>
      <c r="F638" s="33"/>
    </row>
    <row r="639" ht="15.75" customHeight="1">
      <c r="C639" s="33"/>
      <c r="D639" s="33"/>
      <c r="E639" s="33"/>
      <c r="F639" s="33"/>
    </row>
    <row r="640" ht="15.75" customHeight="1">
      <c r="C640" s="33"/>
      <c r="D640" s="33"/>
      <c r="E640" s="33"/>
      <c r="F640" s="33"/>
    </row>
    <row r="641" ht="15.75" customHeight="1">
      <c r="C641" s="33"/>
      <c r="D641" s="33"/>
      <c r="E641" s="33"/>
      <c r="F641" s="33"/>
    </row>
    <row r="642" ht="15.75" customHeight="1">
      <c r="C642" s="33"/>
      <c r="D642" s="33"/>
      <c r="E642" s="33"/>
      <c r="F642" s="33"/>
    </row>
    <row r="643" ht="15.75" customHeight="1">
      <c r="C643" s="33"/>
      <c r="D643" s="33"/>
      <c r="E643" s="33"/>
      <c r="F643" s="33"/>
    </row>
    <row r="644" ht="15.75" customHeight="1">
      <c r="C644" s="33"/>
      <c r="D644" s="33"/>
      <c r="E644" s="33"/>
      <c r="F644" s="33"/>
    </row>
    <row r="645" ht="15.75" customHeight="1">
      <c r="C645" s="33"/>
      <c r="D645" s="33"/>
      <c r="E645" s="33"/>
      <c r="F645" s="33"/>
    </row>
    <row r="646" ht="15.75" customHeight="1">
      <c r="C646" s="33"/>
      <c r="D646" s="33"/>
      <c r="E646" s="33"/>
      <c r="F646" s="33"/>
    </row>
    <row r="647" ht="15.75" customHeight="1">
      <c r="C647" s="33"/>
      <c r="D647" s="33"/>
      <c r="E647" s="33"/>
      <c r="F647" s="33"/>
    </row>
    <row r="648" ht="15.75" customHeight="1">
      <c r="C648" s="33"/>
      <c r="D648" s="33"/>
      <c r="E648" s="33"/>
      <c r="F648" s="33"/>
    </row>
    <row r="649" ht="15.75" customHeight="1">
      <c r="C649" s="33"/>
      <c r="D649" s="33"/>
      <c r="E649" s="33"/>
      <c r="F649" s="33"/>
    </row>
    <row r="650" ht="15.75" customHeight="1">
      <c r="C650" s="33"/>
      <c r="D650" s="33"/>
      <c r="E650" s="33"/>
      <c r="F650" s="33"/>
    </row>
    <row r="651" ht="15.75" customHeight="1">
      <c r="C651" s="33"/>
      <c r="D651" s="33"/>
      <c r="E651" s="33"/>
      <c r="F651" s="33"/>
    </row>
    <row r="652" ht="15.75" customHeight="1">
      <c r="C652" s="33"/>
      <c r="D652" s="33"/>
      <c r="E652" s="33"/>
      <c r="F652" s="33"/>
    </row>
    <row r="653" ht="15.75" customHeight="1">
      <c r="C653" s="33"/>
      <c r="D653" s="33"/>
      <c r="E653" s="33"/>
      <c r="F653" s="33"/>
    </row>
    <row r="654" ht="15.75" customHeight="1">
      <c r="C654" s="33"/>
      <c r="D654" s="33"/>
      <c r="E654" s="33"/>
      <c r="F654" s="33"/>
    </row>
    <row r="655" ht="15.75" customHeight="1">
      <c r="C655" s="33"/>
      <c r="D655" s="33"/>
      <c r="E655" s="33"/>
      <c r="F655" s="33"/>
    </row>
    <row r="656" ht="15.75" customHeight="1">
      <c r="C656" s="33"/>
      <c r="D656" s="33"/>
      <c r="E656" s="33"/>
      <c r="F656" s="33"/>
    </row>
    <row r="657" ht="15.75" customHeight="1">
      <c r="C657" s="33"/>
      <c r="D657" s="33"/>
      <c r="E657" s="33"/>
      <c r="F657" s="33"/>
    </row>
    <row r="658" ht="15.75" customHeight="1">
      <c r="C658" s="33"/>
      <c r="D658" s="33"/>
      <c r="E658" s="33"/>
      <c r="F658" s="33"/>
    </row>
    <row r="659" ht="15.75" customHeight="1">
      <c r="C659" s="33"/>
      <c r="D659" s="33"/>
      <c r="E659" s="33"/>
      <c r="F659" s="33"/>
    </row>
    <row r="660" ht="15.75" customHeight="1">
      <c r="C660" s="33"/>
      <c r="D660" s="33"/>
      <c r="E660" s="33"/>
      <c r="F660" s="33"/>
    </row>
    <row r="661" ht="15.75" customHeight="1">
      <c r="C661" s="33"/>
      <c r="D661" s="33"/>
      <c r="E661" s="33"/>
      <c r="F661" s="33"/>
    </row>
    <row r="662" ht="15.75" customHeight="1">
      <c r="C662" s="33"/>
      <c r="D662" s="33"/>
      <c r="E662" s="33"/>
      <c r="F662" s="33"/>
    </row>
    <row r="663" ht="15.75" customHeight="1">
      <c r="C663" s="33"/>
      <c r="D663" s="33"/>
      <c r="E663" s="33"/>
      <c r="F663" s="33"/>
    </row>
    <row r="664" ht="15.75" customHeight="1">
      <c r="C664" s="33"/>
      <c r="D664" s="33"/>
      <c r="E664" s="33"/>
      <c r="F664" s="33"/>
    </row>
    <row r="665" ht="15.75" customHeight="1">
      <c r="C665" s="33"/>
      <c r="D665" s="33"/>
      <c r="E665" s="33"/>
      <c r="F665" s="33"/>
    </row>
    <row r="666" ht="15.75" customHeight="1">
      <c r="C666" s="33"/>
      <c r="D666" s="33"/>
      <c r="E666" s="33"/>
      <c r="F666" s="33"/>
    </row>
    <row r="667" ht="15.75" customHeight="1">
      <c r="C667" s="33"/>
      <c r="D667" s="33"/>
      <c r="E667" s="33"/>
      <c r="F667" s="33"/>
    </row>
    <row r="668" ht="15.75" customHeight="1">
      <c r="C668" s="33"/>
      <c r="D668" s="33"/>
      <c r="E668" s="33"/>
      <c r="F668" s="33"/>
    </row>
    <row r="669" ht="15.75" customHeight="1">
      <c r="C669" s="33"/>
      <c r="D669" s="33"/>
      <c r="E669" s="33"/>
      <c r="F669" s="33"/>
    </row>
    <row r="670" ht="15.75" customHeight="1">
      <c r="C670" s="33"/>
      <c r="D670" s="33"/>
      <c r="E670" s="33"/>
      <c r="F670" s="33"/>
    </row>
    <row r="671" ht="15.75" customHeight="1">
      <c r="C671" s="33"/>
      <c r="D671" s="33"/>
      <c r="E671" s="33"/>
      <c r="F671" s="33"/>
    </row>
    <row r="672" ht="15.75" customHeight="1">
      <c r="C672" s="33"/>
      <c r="D672" s="33"/>
      <c r="E672" s="33"/>
      <c r="F672" s="33"/>
    </row>
    <row r="673" ht="15.75" customHeight="1">
      <c r="C673" s="33"/>
      <c r="D673" s="33"/>
      <c r="E673" s="33"/>
      <c r="F673" s="33"/>
    </row>
    <row r="674" ht="15.75" customHeight="1">
      <c r="C674" s="33"/>
      <c r="D674" s="33"/>
      <c r="E674" s="33"/>
      <c r="F674" s="33"/>
    </row>
    <row r="675" ht="15.75" customHeight="1">
      <c r="C675" s="33"/>
      <c r="D675" s="33"/>
      <c r="E675" s="33"/>
      <c r="F675" s="33"/>
    </row>
    <row r="676" ht="15.75" customHeight="1">
      <c r="C676" s="33"/>
      <c r="D676" s="33"/>
      <c r="E676" s="33"/>
      <c r="F676" s="33"/>
    </row>
    <row r="677" ht="15.75" customHeight="1">
      <c r="C677" s="33"/>
      <c r="D677" s="33"/>
      <c r="E677" s="33"/>
      <c r="F677" s="33"/>
    </row>
    <row r="678" ht="15.75" customHeight="1">
      <c r="C678" s="33"/>
      <c r="D678" s="33"/>
      <c r="E678" s="33"/>
      <c r="F678" s="33"/>
    </row>
    <row r="679" ht="15.75" customHeight="1">
      <c r="C679" s="33"/>
      <c r="D679" s="33"/>
      <c r="E679" s="33"/>
      <c r="F679" s="33"/>
    </row>
    <row r="680" ht="15.75" customHeight="1">
      <c r="C680" s="33"/>
      <c r="D680" s="33"/>
      <c r="E680" s="33"/>
      <c r="F680" s="33"/>
    </row>
    <row r="681" ht="15.75" customHeight="1">
      <c r="C681" s="33"/>
      <c r="D681" s="33"/>
      <c r="E681" s="33"/>
      <c r="F681" s="33"/>
    </row>
    <row r="682" ht="15.75" customHeight="1">
      <c r="C682" s="33"/>
      <c r="D682" s="33"/>
      <c r="E682" s="33"/>
      <c r="F682" s="33"/>
    </row>
    <row r="683" ht="15.75" customHeight="1">
      <c r="C683" s="33"/>
      <c r="D683" s="33"/>
      <c r="E683" s="33"/>
      <c r="F683" s="33"/>
    </row>
    <row r="684" ht="15.75" customHeight="1">
      <c r="C684" s="33"/>
      <c r="D684" s="33"/>
      <c r="E684" s="33"/>
      <c r="F684" s="33"/>
    </row>
    <row r="685" ht="15.75" customHeight="1">
      <c r="C685" s="33"/>
      <c r="D685" s="33"/>
      <c r="E685" s="33"/>
      <c r="F685" s="33"/>
    </row>
    <row r="686" ht="15.75" customHeight="1">
      <c r="C686" s="33"/>
      <c r="D686" s="33"/>
      <c r="E686" s="33"/>
      <c r="F686" s="33"/>
    </row>
    <row r="687" ht="15.75" customHeight="1">
      <c r="C687" s="33"/>
      <c r="D687" s="33"/>
      <c r="E687" s="33"/>
      <c r="F687" s="33"/>
    </row>
    <row r="688" ht="15.75" customHeight="1">
      <c r="C688" s="33"/>
      <c r="D688" s="33"/>
      <c r="E688" s="33"/>
      <c r="F688" s="33"/>
    </row>
    <row r="689" ht="15.75" customHeight="1">
      <c r="C689" s="33"/>
      <c r="D689" s="33"/>
      <c r="E689" s="33"/>
      <c r="F689" s="33"/>
    </row>
    <row r="690" ht="15.75" customHeight="1">
      <c r="C690" s="33"/>
      <c r="D690" s="33"/>
      <c r="E690" s="33"/>
      <c r="F690" s="33"/>
    </row>
    <row r="691" ht="15.75" customHeight="1">
      <c r="C691" s="33"/>
      <c r="D691" s="33"/>
      <c r="E691" s="33"/>
      <c r="F691" s="33"/>
    </row>
    <row r="692" ht="15.75" customHeight="1">
      <c r="C692" s="33"/>
      <c r="D692" s="33"/>
      <c r="E692" s="33"/>
      <c r="F692" s="33"/>
    </row>
    <row r="693" ht="15.75" customHeight="1">
      <c r="C693" s="33"/>
      <c r="D693" s="33"/>
      <c r="E693" s="33"/>
      <c r="F693" s="33"/>
    </row>
    <row r="694" ht="15.75" customHeight="1">
      <c r="C694" s="33"/>
      <c r="D694" s="33"/>
      <c r="E694" s="33"/>
      <c r="F694" s="33"/>
    </row>
    <row r="695" ht="15.75" customHeight="1">
      <c r="C695" s="33"/>
      <c r="D695" s="33"/>
      <c r="E695" s="33"/>
      <c r="F695" s="33"/>
    </row>
    <row r="696" ht="15.75" customHeight="1">
      <c r="C696" s="33"/>
      <c r="D696" s="33"/>
      <c r="E696" s="33"/>
      <c r="F696" s="33"/>
    </row>
    <row r="697" ht="15.75" customHeight="1">
      <c r="C697" s="33"/>
      <c r="D697" s="33"/>
      <c r="E697" s="33"/>
      <c r="F697" s="33"/>
    </row>
    <row r="698" ht="15.75" customHeight="1">
      <c r="C698" s="33"/>
      <c r="D698" s="33"/>
      <c r="E698" s="33"/>
      <c r="F698" s="33"/>
    </row>
    <row r="699" ht="15.75" customHeight="1">
      <c r="C699" s="33"/>
      <c r="D699" s="33"/>
      <c r="E699" s="33"/>
      <c r="F699" s="33"/>
    </row>
    <row r="700" ht="15.75" customHeight="1">
      <c r="C700" s="33"/>
      <c r="D700" s="33"/>
      <c r="E700" s="33"/>
      <c r="F700" s="33"/>
    </row>
    <row r="701" ht="15.75" customHeight="1">
      <c r="C701" s="33"/>
      <c r="D701" s="33"/>
      <c r="E701" s="33"/>
      <c r="F701" s="33"/>
    </row>
    <row r="702" ht="15.75" customHeight="1">
      <c r="C702" s="33"/>
      <c r="D702" s="33"/>
      <c r="E702" s="33"/>
      <c r="F702" s="33"/>
    </row>
    <row r="703" ht="15.75" customHeight="1">
      <c r="C703" s="33"/>
      <c r="D703" s="33"/>
      <c r="E703" s="33"/>
      <c r="F703" s="33"/>
    </row>
    <row r="704" ht="15.75" customHeight="1">
      <c r="C704" s="33"/>
      <c r="D704" s="33"/>
      <c r="E704" s="33"/>
      <c r="F704" s="33"/>
    </row>
    <row r="705" ht="15.75" customHeight="1">
      <c r="C705" s="33"/>
      <c r="D705" s="33"/>
      <c r="E705" s="33"/>
      <c r="F705" s="33"/>
    </row>
    <row r="706" ht="15.75" customHeight="1">
      <c r="C706" s="33"/>
      <c r="D706" s="33"/>
      <c r="E706" s="33"/>
      <c r="F706" s="33"/>
    </row>
    <row r="707" ht="15.75" customHeight="1">
      <c r="C707" s="33"/>
      <c r="D707" s="33"/>
      <c r="E707" s="33"/>
      <c r="F707" s="33"/>
    </row>
    <row r="708" ht="15.75" customHeight="1">
      <c r="C708" s="33"/>
      <c r="D708" s="33"/>
      <c r="E708" s="33"/>
      <c r="F708" s="33"/>
    </row>
    <row r="709" ht="15.75" customHeight="1">
      <c r="C709" s="33"/>
      <c r="D709" s="33"/>
      <c r="E709" s="33"/>
      <c r="F709" s="33"/>
    </row>
    <row r="710" ht="15.75" customHeight="1">
      <c r="C710" s="33"/>
      <c r="D710" s="33"/>
      <c r="E710" s="33"/>
      <c r="F710" s="33"/>
    </row>
    <row r="711" ht="15.75" customHeight="1">
      <c r="C711" s="33"/>
      <c r="D711" s="33"/>
      <c r="E711" s="33"/>
      <c r="F711" s="33"/>
    </row>
    <row r="712" ht="15.75" customHeight="1">
      <c r="C712" s="33"/>
      <c r="D712" s="33"/>
      <c r="E712" s="33"/>
      <c r="F712" s="33"/>
    </row>
    <row r="713" ht="15.75" customHeight="1">
      <c r="C713" s="33"/>
      <c r="D713" s="33"/>
      <c r="E713" s="33"/>
      <c r="F713" s="33"/>
    </row>
    <row r="714" ht="15.75" customHeight="1">
      <c r="C714" s="33"/>
      <c r="D714" s="33"/>
      <c r="E714" s="33"/>
      <c r="F714" s="33"/>
    </row>
    <row r="715" ht="15.75" customHeight="1">
      <c r="C715" s="33"/>
      <c r="D715" s="33"/>
      <c r="E715" s="33"/>
      <c r="F715" s="33"/>
    </row>
    <row r="716" ht="15.75" customHeight="1">
      <c r="C716" s="33"/>
      <c r="D716" s="33"/>
      <c r="E716" s="33"/>
      <c r="F716" s="33"/>
    </row>
    <row r="717" ht="15.75" customHeight="1">
      <c r="C717" s="33"/>
      <c r="D717" s="33"/>
      <c r="E717" s="33"/>
      <c r="F717" s="33"/>
    </row>
    <row r="718" ht="15.75" customHeight="1">
      <c r="C718" s="33"/>
      <c r="D718" s="33"/>
      <c r="E718" s="33"/>
      <c r="F718" s="33"/>
    </row>
    <row r="719" ht="15.75" customHeight="1">
      <c r="C719" s="33"/>
      <c r="D719" s="33"/>
      <c r="E719" s="33"/>
      <c r="F719" s="33"/>
    </row>
    <row r="720" ht="15.75" customHeight="1">
      <c r="C720" s="33"/>
      <c r="D720" s="33"/>
      <c r="E720" s="33"/>
      <c r="F720" s="33"/>
    </row>
    <row r="721" ht="15.75" customHeight="1">
      <c r="C721" s="33"/>
      <c r="D721" s="33"/>
      <c r="E721" s="33"/>
      <c r="F721" s="33"/>
    </row>
    <row r="722" ht="15.75" customHeight="1">
      <c r="C722" s="33"/>
      <c r="D722" s="33"/>
      <c r="E722" s="33"/>
      <c r="F722" s="33"/>
    </row>
    <row r="723" ht="15.75" customHeight="1">
      <c r="C723" s="33"/>
      <c r="D723" s="33"/>
      <c r="E723" s="33"/>
      <c r="F723" s="33"/>
    </row>
    <row r="724" ht="15.75" customHeight="1">
      <c r="C724" s="33"/>
      <c r="D724" s="33"/>
      <c r="E724" s="33"/>
      <c r="F724" s="33"/>
    </row>
    <row r="725" ht="15.75" customHeight="1">
      <c r="C725" s="33"/>
      <c r="D725" s="33"/>
      <c r="E725" s="33"/>
      <c r="F725" s="33"/>
    </row>
    <row r="726" ht="15.75" customHeight="1">
      <c r="C726" s="33"/>
      <c r="D726" s="33"/>
      <c r="E726" s="33"/>
      <c r="F726" s="33"/>
    </row>
    <row r="727" ht="15.75" customHeight="1">
      <c r="C727" s="33"/>
      <c r="D727" s="33"/>
      <c r="E727" s="33"/>
      <c r="F727" s="33"/>
    </row>
    <row r="728" ht="15.75" customHeight="1">
      <c r="C728" s="33"/>
      <c r="D728" s="33"/>
      <c r="E728" s="33"/>
      <c r="F728" s="33"/>
    </row>
    <row r="729" ht="15.75" customHeight="1">
      <c r="C729" s="33"/>
      <c r="D729" s="33"/>
      <c r="E729" s="33"/>
      <c r="F729" s="33"/>
    </row>
    <row r="730" ht="15.75" customHeight="1">
      <c r="C730" s="33"/>
      <c r="D730" s="33"/>
      <c r="E730" s="33"/>
      <c r="F730" s="33"/>
    </row>
    <row r="731" ht="15.75" customHeight="1">
      <c r="C731" s="33"/>
      <c r="D731" s="33"/>
      <c r="E731" s="33"/>
      <c r="F731" s="33"/>
    </row>
    <row r="732" ht="15.75" customHeight="1">
      <c r="C732" s="33"/>
      <c r="D732" s="33"/>
      <c r="E732" s="33"/>
      <c r="F732" s="33"/>
    </row>
    <row r="733" ht="15.75" customHeight="1">
      <c r="C733" s="33"/>
      <c r="D733" s="33"/>
      <c r="E733" s="33"/>
      <c r="F733" s="33"/>
    </row>
    <row r="734" ht="15.75" customHeight="1">
      <c r="C734" s="33"/>
      <c r="D734" s="33"/>
      <c r="E734" s="33"/>
      <c r="F734" s="33"/>
    </row>
    <row r="735" ht="15.75" customHeight="1">
      <c r="C735" s="33"/>
      <c r="D735" s="33"/>
      <c r="E735" s="33"/>
      <c r="F735" s="33"/>
    </row>
    <row r="736" ht="15.75" customHeight="1">
      <c r="C736" s="33"/>
      <c r="D736" s="33"/>
      <c r="E736" s="33"/>
      <c r="F736" s="33"/>
    </row>
    <row r="737" ht="15.75" customHeight="1">
      <c r="C737" s="33"/>
      <c r="D737" s="33"/>
      <c r="E737" s="33"/>
      <c r="F737" s="33"/>
    </row>
    <row r="738" ht="15.75" customHeight="1">
      <c r="C738" s="33"/>
      <c r="D738" s="33"/>
      <c r="E738" s="33"/>
      <c r="F738" s="33"/>
    </row>
    <row r="739" ht="15.75" customHeight="1">
      <c r="C739" s="33"/>
      <c r="D739" s="33"/>
      <c r="E739" s="33"/>
      <c r="F739" s="33"/>
    </row>
    <row r="740" ht="15.75" customHeight="1">
      <c r="C740" s="33"/>
      <c r="D740" s="33"/>
      <c r="E740" s="33"/>
      <c r="F740" s="33"/>
    </row>
    <row r="741" ht="15.75" customHeight="1">
      <c r="C741" s="33"/>
      <c r="D741" s="33"/>
      <c r="E741" s="33"/>
      <c r="F741" s="33"/>
    </row>
    <row r="742" ht="15.75" customHeight="1">
      <c r="C742" s="33"/>
      <c r="D742" s="33"/>
      <c r="E742" s="33"/>
      <c r="F742" s="33"/>
    </row>
    <row r="743" ht="15.75" customHeight="1">
      <c r="C743" s="33"/>
      <c r="D743" s="33"/>
      <c r="E743" s="33"/>
      <c r="F743" s="33"/>
    </row>
    <row r="744" ht="15.75" customHeight="1">
      <c r="C744" s="33"/>
      <c r="D744" s="33"/>
      <c r="E744" s="33"/>
      <c r="F744" s="33"/>
    </row>
    <row r="745" ht="15.75" customHeight="1">
      <c r="C745" s="33"/>
      <c r="D745" s="33"/>
      <c r="E745" s="33"/>
      <c r="F745" s="33"/>
    </row>
    <row r="746" ht="15.75" customHeight="1">
      <c r="C746" s="33"/>
      <c r="D746" s="33"/>
      <c r="E746" s="33"/>
      <c r="F746" s="33"/>
    </row>
    <row r="747" ht="15.75" customHeight="1">
      <c r="C747" s="33"/>
      <c r="D747" s="33"/>
      <c r="E747" s="33"/>
      <c r="F747" s="33"/>
    </row>
    <row r="748" ht="15.75" customHeight="1">
      <c r="C748" s="33"/>
      <c r="D748" s="33"/>
      <c r="E748" s="33"/>
      <c r="F748" s="33"/>
    </row>
    <row r="749" ht="15.75" customHeight="1">
      <c r="C749" s="33"/>
      <c r="D749" s="33"/>
      <c r="E749" s="33"/>
      <c r="F749" s="33"/>
    </row>
    <row r="750" ht="15.75" customHeight="1">
      <c r="C750" s="33"/>
      <c r="D750" s="33"/>
      <c r="E750" s="33"/>
      <c r="F750" s="33"/>
    </row>
    <row r="751" ht="15.75" customHeight="1">
      <c r="C751" s="33"/>
      <c r="D751" s="33"/>
      <c r="E751" s="33"/>
      <c r="F751" s="33"/>
    </row>
    <row r="752" ht="15.75" customHeight="1">
      <c r="C752" s="33"/>
      <c r="D752" s="33"/>
      <c r="E752" s="33"/>
      <c r="F752" s="33"/>
    </row>
    <row r="753" ht="15.75" customHeight="1">
      <c r="C753" s="33"/>
      <c r="D753" s="33"/>
      <c r="E753" s="33"/>
      <c r="F753" s="33"/>
    </row>
    <row r="754" ht="15.75" customHeight="1">
      <c r="C754" s="33"/>
      <c r="D754" s="33"/>
      <c r="E754" s="33"/>
      <c r="F754" s="33"/>
    </row>
    <row r="755" ht="15.75" customHeight="1">
      <c r="C755" s="33"/>
      <c r="D755" s="33"/>
      <c r="E755" s="33"/>
      <c r="F755" s="33"/>
    </row>
    <row r="756" ht="15.75" customHeight="1">
      <c r="C756" s="33"/>
      <c r="D756" s="33"/>
      <c r="E756" s="33"/>
      <c r="F756" s="33"/>
    </row>
    <row r="757" ht="15.75" customHeight="1">
      <c r="C757" s="33"/>
      <c r="D757" s="33"/>
      <c r="E757" s="33"/>
      <c r="F757" s="33"/>
    </row>
    <row r="758" ht="15.75" customHeight="1">
      <c r="C758" s="33"/>
      <c r="D758" s="33"/>
      <c r="E758" s="33"/>
      <c r="F758" s="33"/>
    </row>
    <row r="759" ht="15.75" customHeight="1">
      <c r="C759" s="33"/>
      <c r="D759" s="33"/>
      <c r="E759" s="33"/>
      <c r="F759" s="33"/>
    </row>
    <row r="760" ht="15.75" customHeight="1">
      <c r="C760" s="33"/>
      <c r="D760" s="33"/>
      <c r="E760" s="33"/>
      <c r="F760" s="33"/>
    </row>
    <row r="761" ht="15.75" customHeight="1">
      <c r="C761" s="33"/>
      <c r="D761" s="33"/>
      <c r="E761" s="33"/>
      <c r="F761" s="33"/>
    </row>
    <row r="762" ht="15.75" customHeight="1">
      <c r="C762" s="33"/>
      <c r="D762" s="33"/>
      <c r="E762" s="33"/>
      <c r="F762" s="33"/>
    </row>
    <row r="763" ht="15.75" customHeight="1">
      <c r="C763" s="33"/>
      <c r="D763" s="33"/>
      <c r="E763" s="33"/>
      <c r="F763" s="33"/>
    </row>
    <row r="764" ht="15.75" customHeight="1">
      <c r="C764" s="33"/>
      <c r="D764" s="33"/>
      <c r="E764" s="33"/>
      <c r="F764" s="33"/>
    </row>
    <row r="765" ht="15.75" customHeight="1">
      <c r="C765" s="33"/>
      <c r="D765" s="33"/>
      <c r="E765" s="33"/>
      <c r="F765" s="33"/>
    </row>
    <row r="766" ht="15.75" customHeight="1">
      <c r="C766" s="33"/>
      <c r="D766" s="33"/>
      <c r="E766" s="33"/>
      <c r="F766" s="33"/>
    </row>
    <row r="767" ht="15.75" customHeight="1">
      <c r="C767" s="33"/>
      <c r="D767" s="33"/>
      <c r="E767" s="33"/>
      <c r="F767" s="33"/>
    </row>
    <row r="768" ht="15.75" customHeight="1">
      <c r="C768" s="33"/>
      <c r="D768" s="33"/>
      <c r="E768" s="33"/>
      <c r="F768" s="33"/>
    </row>
    <row r="769" ht="15.75" customHeight="1">
      <c r="C769" s="33"/>
      <c r="D769" s="33"/>
      <c r="E769" s="33"/>
      <c r="F769" s="33"/>
    </row>
    <row r="770" ht="15.75" customHeight="1">
      <c r="C770" s="33"/>
      <c r="D770" s="33"/>
      <c r="E770" s="33"/>
      <c r="F770" s="33"/>
    </row>
    <row r="771" ht="15.75" customHeight="1">
      <c r="C771" s="33"/>
      <c r="D771" s="33"/>
      <c r="E771" s="33"/>
      <c r="F771" s="33"/>
    </row>
    <row r="772" ht="15.75" customHeight="1">
      <c r="C772" s="33"/>
      <c r="D772" s="33"/>
      <c r="E772" s="33"/>
      <c r="F772" s="33"/>
    </row>
    <row r="773" ht="15.75" customHeight="1">
      <c r="C773" s="33"/>
      <c r="D773" s="33"/>
      <c r="E773" s="33"/>
      <c r="F773" s="33"/>
    </row>
    <row r="774" ht="15.75" customHeight="1">
      <c r="C774" s="33"/>
      <c r="D774" s="33"/>
      <c r="E774" s="33"/>
      <c r="F774" s="33"/>
    </row>
    <row r="775" ht="15.75" customHeight="1">
      <c r="C775" s="33"/>
      <c r="D775" s="33"/>
      <c r="E775" s="33"/>
      <c r="F775" s="33"/>
    </row>
    <row r="776" ht="15.75" customHeight="1">
      <c r="C776" s="33"/>
      <c r="D776" s="33"/>
      <c r="E776" s="33"/>
      <c r="F776" s="33"/>
    </row>
    <row r="777" ht="15.75" customHeight="1">
      <c r="C777" s="33"/>
      <c r="D777" s="33"/>
      <c r="E777" s="33"/>
      <c r="F777" s="33"/>
    </row>
    <row r="778" ht="15.75" customHeight="1">
      <c r="C778" s="33"/>
      <c r="D778" s="33"/>
      <c r="E778" s="33"/>
      <c r="F778" s="33"/>
    </row>
    <row r="779" ht="15.75" customHeight="1">
      <c r="C779" s="33"/>
      <c r="D779" s="33"/>
      <c r="E779" s="33"/>
      <c r="F779" s="33"/>
    </row>
    <row r="780" ht="15.75" customHeight="1">
      <c r="C780" s="33"/>
      <c r="D780" s="33"/>
      <c r="E780" s="33"/>
      <c r="F780" s="33"/>
    </row>
    <row r="781" ht="15.75" customHeight="1">
      <c r="C781" s="33"/>
      <c r="D781" s="33"/>
      <c r="E781" s="33"/>
      <c r="F781" s="33"/>
    </row>
    <row r="782" ht="15.75" customHeight="1">
      <c r="C782" s="33"/>
      <c r="D782" s="33"/>
      <c r="E782" s="33"/>
      <c r="F782" s="33"/>
    </row>
    <row r="783" ht="15.75" customHeight="1">
      <c r="C783" s="33"/>
      <c r="D783" s="33"/>
      <c r="E783" s="33"/>
      <c r="F783" s="33"/>
    </row>
    <row r="784" ht="15.75" customHeight="1">
      <c r="C784" s="33"/>
      <c r="D784" s="33"/>
      <c r="E784" s="33"/>
      <c r="F784" s="33"/>
    </row>
    <row r="785" ht="15.75" customHeight="1">
      <c r="C785" s="33"/>
      <c r="D785" s="33"/>
      <c r="E785" s="33"/>
      <c r="F785" s="33"/>
    </row>
    <row r="786" ht="15.75" customHeight="1">
      <c r="C786" s="33"/>
      <c r="D786" s="33"/>
      <c r="E786" s="33"/>
      <c r="F786" s="33"/>
    </row>
    <row r="787" ht="15.75" customHeight="1">
      <c r="C787" s="33"/>
      <c r="D787" s="33"/>
      <c r="E787" s="33"/>
      <c r="F787" s="33"/>
    </row>
    <row r="788" ht="15.75" customHeight="1">
      <c r="C788" s="33"/>
      <c r="D788" s="33"/>
      <c r="E788" s="33"/>
      <c r="F788" s="33"/>
    </row>
    <row r="789" ht="15.75" customHeight="1">
      <c r="C789" s="33"/>
      <c r="D789" s="33"/>
      <c r="E789" s="33"/>
      <c r="F789" s="33"/>
    </row>
    <row r="790" ht="15.75" customHeight="1">
      <c r="C790" s="33"/>
      <c r="D790" s="33"/>
      <c r="E790" s="33"/>
      <c r="F790" s="33"/>
    </row>
    <row r="791" ht="15.75" customHeight="1">
      <c r="C791" s="33"/>
      <c r="D791" s="33"/>
      <c r="E791" s="33"/>
      <c r="F791" s="33"/>
    </row>
    <row r="792" ht="15.75" customHeight="1">
      <c r="C792" s="33"/>
      <c r="D792" s="33"/>
      <c r="E792" s="33"/>
      <c r="F792" s="33"/>
    </row>
    <row r="793" ht="15.75" customHeight="1">
      <c r="C793" s="33"/>
      <c r="D793" s="33"/>
      <c r="E793" s="33"/>
      <c r="F793" s="33"/>
    </row>
    <row r="794" ht="15.75" customHeight="1">
      <c r="C794" s="33"/>
      <c r="D794" s="33"/>
      <c r="E794" s="33"/>
      <c r="F794" s="33"/>
    </row>
    <row r="795" ht="15.75" customHeight="1">
      <c r="C795" s="33"/>
      <c r="D795" s="33"/>
      <c r="E795" s="33"/>
      <c r="F795" s="33"/>
    </row>
    <row r="796" ht="15.75" customHeight="1">
      <c r="C796" s="33"/>
      <c r="D796" s="33"/>
      <c r="E796" s="33"/>
      <c r="F796" s="33"/>
    </row>
    <row r="797" ht="15.75" customHeight="1">
      <c r="C797" s="33"/>
      <c r="D797" s="33"/>
      <c r="E797" s="33"/>
      <c r="F797" s="33"/>
    </row>
    <row r="798" ht="15.75" customHeight="1">
      <c r="C798" s="33"/>
      <c r="D798" s="33"/>
      <c r="E798" s="33"/>
      <c r="F798" s="33"/>
    </row>
    <row r="799" ht="15.75" customHeight="1">
      <c r="C799" s="33"/>
      <c r="D799" s="33"/>
      <c r="E799" s="33"/>
      <c r="F799" s="33"/>
    </row>
    <row r="800" ht="15.75" customHeight="1">
      <c r="C800" s="33"/>
      <c r="D800" s="33"/>
      <c r="E800" s="33"/>
      <c r="F800" s="33"/>
    </row>
    <row r="801" ht="15.75" customHeight="1">
      <c r="C801" s="33"/>
      <c r="D801" s="33"/>
      <c r="E801" s="33"/>
      <c r="F801" s="33"/>
    </row>
    <row r="802" ht="15.75" customHeight="1">
      <c r="C802" s="33"/>
      <c r="D802" s="33"/>
      <c r="E802" s="33"/>
      <c r="F802" s="33"/>
    </row>
    <row r="803" ht="15.75" customHeight="1">
      <c r="C803" s="33"/>
      <c r="D803" s="33"/>
      <c r="E803" s="33"/>
      <c r="F803" s="33"/>
    </row>
    <row r="804" ht="15.75" customHeight="1">
      <c r="C804" s="33"/>
      <c r="D804" s="33"/>
      <c r="E804" s="33"/>
      <c r="F804" s="33"/>
    </row>
    <row r="805" ht="15.75" customHeight="1">
      <c r="C805" s="33"/>
      <c r="D805" s="33"/>
      <c r="E805" s="33"/>
      <c r="F805" s="33"/>
    </row>
    <row r="806" ht="15.75" customHeight="1">
      <c r="C806" s="33"/>
      <c r="D806" s="33"/>
      <c r="E806" s="33"/>
      <c r="F806" s="33"/>
    </row>
    <row r="807" ht="15.75" customHeight="1">
      <c r="C807" s="33"/>
      <c r="D807" s="33"/>
      <c r="E807" s="33"/>
      <c r="F807" s="33"/>
    </row>
    <row r="808" ht="15.75" customHeight="1">
      <c r="C808" s="33"/>
      <c r="D808" s="33"/>
      <c r="E808" s="33"/>
      <c r="F808" s="33"/>
    </row>
    <row r="809" ht="15.75" customHeight="1">
      <c r="C809" s="33"/>
      <c r="D809" s="33"/>
      <c r="E809" s="33"/>
      <c r="F809" s="33"/>
    </row>
    <row r="810" ht="15.75" customHeight="1">
      <c r="C810" s="33"/>
      <c r="D810" s="33"/>
      <c r="E810" s="33"/>
      <c r="F810" s="33"/>
    </row>
    <row r="811" ht="15.75" customHeight="1">
      <c r="C811" s="33"/>
      <c r="D811" s="33"/>
      <c r="E811" s="33"/>
      <c r="F811" s="33"/>
    </row>
    <row r="812" ht="15.75" customHeight="1">
      <c r="C812" s="33"/>
      <c r="D812" s="33"/>
      <c r="E812" s="33"/>
      <c r="F812" s="33"/>
    </row>
    <row r="813" ht="15.75" customHeight="1">
      <c r="C813" s="33"/>
      <c r="D813" s="33"/>
      <c r="E813" s="33"/>
      <c r="F813" s="33"/>
    </row>
    <row r="814" ht="15.75" customHeight="1">
      <c r="C814" s="33"/>
      <c r="D814" s="33"/>
      <c r="E814" s="33"/>
      <c r="F814" s="33"/>
    </row>
    <row r="815" ht="15.75" customHeight="1">
      <c r="C815" s="33"/>
      <c r="D815" s="33"/>
      <c r="E815" s="33"/>
      <c r="F815" s="33"/>
    </row>
    <row r="816" ht="15.75" customHeight="1">
      <c r="C816" s="33"/>
      <c r="D816" s="33"/>
      <c r="E816" s="33"/>
      <c r="F816" s="33"/>
    </row>
    <row r="817" ht="15.75" customHeight="1">
      <c r="C817" s="33"/>
      <c r="D817" s="33"/>
      <c r="E817" s="33"/>
      <c r="F817" s="33"/>
    </row>
    <row r="818" ht="15.75" customHeight="1">
      <c r="C818" s="33"/>
      <c r="D818" s="33"/>
      <c r="E818" s="33"/>
      <c r="F818" s="33"/>
    </row>
    <row r="819" ht="15.75" customHeight="1">
      <c r="C819" s="33"/>
      <c r="D819" s="33"/>
      <c r="E819" s="33"/>
      <c r="F819" s="33"/>
    </row>
    <row r="820" ht="15.75" customHeight="1">
      <c r="C820" s="33"/>
      <c r="D820" s="33"/>
      <c r="E820" s="33"/>
      <c r="F820" s="33"/>
    </row>
    <row r="821" ht="15.75" customHeight="1">
      <c r="C821" s="33"/>
      <c r="D821" s="33"/>
      <c r="E821" s="33"/>
      <c r="F821" s="33"/>
    </row>
    <row r="822" ht="15.75" customHeight="1">
      <c r="C822" s="33"/>
      <c r="D822" s="33"/>
      <c r="E822" s="33"/>
      <c r="F822" s="33"/>
    </row>
    <row r="823" ht="15.75" customHeight="1">
      <c r="C823" s="33"/>
      <c r="D823" s="33"/>
      <c r="E823" s="33"/>
      <c r="F823" s="33"/>
    </row>
    <row r="824" ht="15.75" customHeight="1">
      <c r="C824" s="33"/>
      <c r="D824" s="33"/>
      <c r="E824" s="33"/>
      <c r="F824" s="33"/>
    </row>
    <row r="825" ht="15.75" customHeight="1">
      <c r="C825" s="33"/>
      <c r="D825" s="33"/>
      <c r="E825" s="33"/>
      <c r="F825" s="33"/>
    </row>
    <row r="826" ht="15.75" customHeight="1">
      <c r="C826" s="33"/>
      <c r="D826" s="33"/>
      <c r="E826" s="33"/>
      <c r="F826" s="33"/>
    </row>
    <row r="827" ht="15.75" customHeight="1">
      <c r="C827" s="33"/>
      <c r="D827" s="33"/>
      <c r="E827" s="33"/>
      <c r="F827" s="33"/>
    </row>
    <row r="828" ht="15.75" customHeight="1">
      <c r="C828" s="33"/>
      <c r="D828" s="33"/>
      <c r="E828" s="33"/>
      <c r="F828" s="33"/>
    </row>
    <row r="829" ht="15.75" customHeight="1">
      <c r="C829" s="33"/>
      <c r="D829" s="33"/>
      <c r="E829" s="33"/>
      <c r="F829" s="33"/>
    </row>
    <row r="830" ht="15.75" customHeight="1">
      <c r="C830" s="33"/>
      <c r="D830" s="33"/>
      <c r="E830" s="33"/>
      <c r="F830" s="33"/>
    </row>
    <row r="831" ht="15.75" customHeight="1">
      <c r="C831" s="33"/>
      <c r="D831" s="33"/>
      <c r="E831" s="33"/>
      <c r="F831" s="33"/>
    </row>
    <row r="832" ht="15.75" customHeight="1">
      <c r="C832" s="33"/>
      <c r="D832" s="33"/>
      <c r="E832" s="33"/>
      <c r="F832" s="33"/>
    </row>
    <row r="833" ht="15.75" customHeight="1">
      <c r="C833" s="33"/>
      <c r="D833" s="33"/>
      <c r="E833" s="33"/>
      <c r="F833" s="33"/>
    </row>
    <row r="834" ht="15.75" customHeight="1">
      <c r="C834" s="33"/>
      <c r="D834" s="33"/>
      <c r="E834" s="33"/>
      <c r="F834" s="33"/>
    </row>
    <row r="835" ht="15.75" customHeight="1">
      <c r="C835" s="33"/>
      <c r="D835" s="33"/>
      <c r="E835" s="33"/>
      <c r="F835" s="33"/>
    </row>
    <row r="836" ht="15.75" customHeight="1">
      <c r="C836" s="33"/>
      <c r="D836" s="33"/>
      <c r="E836" s="33"/>
      <c r="F836" s="33"/>
    </row>
    <row r="837" ht="15.75" customHeight="1">
      <c r="C837" s="33"/>
      <c r="D837" s="33"/>
      <c r="E837" s="33"/>
      <c r="F837" s="33"/>
    </row>
    <row r="838" ht="15.75" customHeight="1">
      <c r="C838" s="33"/>
      <c r="D838" s="33"/>
      <c r="E838" s="33"/>
      <c r="F838" s="33"/>
    </row>
    <row r="839" ht="15.75" customHeight="1">
      <c r="C839" s="33"/>
      <c r="D839" s="33"/>
      <c r="E839" s="33"/>
      <c r="F839" s="33"/>
    </row>
    <row r="840" ht="15.75" customHeight="1">
      <c r="C840" s="33"/>
      <c r="D840" s="33"/>
      <c r="E840" s="33"/>
      <c r="F840" s="33"/>
    </row>
    <row r="841" ht="15.75" customHeight="1">
      <c r="C841" s="33"/>
      <c r="D841" s="33"/>
      <c r="E841" s="33"/>
      <c r="F841" s="33"/>
    </row>
    <row r="842" ht="15.75" customHeight="1">
      <c r="C842" s="33"/>
      <c r="D842" s="33"/>
      <c r="E842" s="33"/>
      <c r="F842" s="33"/>
    </row>
    <row r="843" ht="15.75" customHeight="1">
      <c r="C843" s="33"/>
      <c r="D843" s="33"/>
      <c r="E843" s="33"/>
      <c r="F843" s="33"/>
    </row>
    <row r="844" ht="15.75" customHeight="1">
      <c r="C844" s="33"/>
      <c r="D844" s="33"/>
      <c r="E844" s="33"/>
      <c r="F844" s="33"/>
    </row>
    <row r="845" ht="15.75" customHeight="1">
      <c r="C845" s="33"/>
      <c r="D845" s="33"/>
      <c r="E845" s="33"/>
      <c r="F845" s="33"/>
    </row>
    <row r="846" ht="15.75" customHeight="1">
      <c r="C846" s="33"/>
      <c r="D846" s="33"/>
      <c r="E846" s="33"/>
      <c r="F846" s="33"/>
    </row>
    <row r="847" ht="15.75" customHeight="1">
      <c r="C847" s="33"/>
      <c r="D847" s="33"/>
      <c r="E847" s="33"/>
      <c r="F847" s="33"/>
    </row>
    <row r="848" ht="15.75" customHeight="1">
      <c r="C848" s="33"/>
      <c r="D848" s="33"/>
      <c r="E848" s="33"/>
      <c r="F848" s="33"/>
    </row>
    <row r="849" ht="15.75" customHeight="1">
      <c r="C849" s="33"/>
      <c r="D849" s="33"/>
      <c r="E849" s="33"/>
      <c r="F849" s="33"/>
    </row>
    <row r="850" ht="15.75" customHeight="1">
      <c r="C850" s="33"/>
      <c r="D850" s="33"/>
      <c r="E850" s="33"/>
      <c r="F850" s="33"/>
    </row>
    <row r="851" ht="15.75" customHeight="1">
      <c r="C851" s="33"/>
      <c r="D851" s="33"/>
      <c r="E851" s="33"/>
      <c r="F851" s="33"/>
    </row>
    <row r="852" ht="15.75" customHeight="1">
      <c r="C852" s="33"/>
      <c r="D852" s="33"/>
      <c r="E852" s="33"/>
      <c r="F852" s="33"/>
    </row>
    <row r="853" ht="15.75" customHeight="1">
      <c r="C853" s="33"/>
      <c r="D853" s="33"/>
      <c r="E853" s="33"/>
      <c r="F853" s="33"/>
    </row>
    <row r="854" ht="15.75" customHeight="1">
      <c r="C854" s="33"/>
      <c r="D854" s="33"/>
      <c r="E854" s="33"/>
      <c r="F854" s="33"/>
    </row>
    <row r="855" ht="15.75" customHeight="1">
      <c r="C855" s="33"/>
      <c r="D855" s="33"/>
      <c r="E855" s="33"/>
      <c r="F855" s="33"/>
    </row>
    <row r="856" ht="15.75" customHeight="1">
      <c r="C856" s="33"/>
      <c r="D856" s="33"/>
      <c r="E856" s="33"/>
      <c r="F856" s="33"/>
    </row>
    <row r="857" ht="15.75" customHeight="1">
      <c r="C857" s="33"/>
      <c r="D857" s="33"/>
      <c r="E857" s="33"/>
      <c r="F857" s="33"/>
    </row>
    <row r="858" ht="15.75" customHeight="1">
      <c r="C858" s="33"/>
      <c r="D858" s="33"/>
      <c r="E858" s="33"/>
      <c r="F858" s="33"/>
    </row>
    <row r="859" ht="15.75" customHeight="1">
      <c r="C859" s="33"/>
      <c r="D859" s="33"/>
      <c r="E859" s="33"/>
      <c r="F859" s="33"/>
    </row>
    <row r="860" ht="15.75" customHeight="1">
      <c r="C860" s="33"/>
      <c r="D860" s="33"/>
      <c r="E860" s="33"/>
      <c r="F860" s="33"/>
    </row>
    <row r="861" ht="15.75" customHeight="1">
      <c r="C861" s="33"/>
      <c r="D861" s="33"/>
      <c r="E861" s="33"/>
      <c r="F861" s="33"/>
    </row>
    <row r="862" ht="15.75" customHeight="1">
      <c r="C862" s="33"/>
      <c r="D862" s="33"/>
      <c r="E862" s="33"/>
      <c r="F862" s="33"/>
    </row>
    <row r="863" ht="15.75" customHeight="1">
      <c r="C863" s="33"/>
      <c r="D863" s="33"/>
      <c r="E863" s="33"/>
      <c r="F863" s="33"/>
    </row>
    <row r="864" ht="15.75" customHeight="1">
      <c r="C864" s="33"/>
      <c r="D864" s="33"/>
      <c r="E864" s="33"/>
      <c r="F864" s="33"/>
    </row>
    <row r="865" ht="15.75" customHeight="1">
      <c r="C865" s="33"/>
      <c r="D865" s="33"/>
      <c r="E865" s="33"/>
      <c r="F865" s="33"/>
    </row>
    <row r="866" ht="15.75" customHeight="1">
      <c r="C866" s="33"/>
      <c r="D866" s="33"/>
      <c r="E866" s="33"/>
      <c r="F866" s="33"/>
    </row>
    <row r="867" ht="15.75" customHeight="1">
      <c r="C867" s="33"/>
      <c r="D867" s="33"/>
      <c r="E867" s="33"/>
      <c r="F867" s="33"/>
    </row>
    <row r="868" ht="15.75" customHeight="1">
      <c r="C868" s="33"/>
      <c r="D868" s="33"/>
      <c r="E868" s="33"/>
      <c r="F868" s="33"/>
    </row>
    <row r="869" ht="15.75" customHeight="1">
      <c r="C869" s="33"/>
      <c r="D869" s="33"/>
      <c r="E869" s="33"/>
      <c r="F869" s="33"/>
    </row>
    <row r="870" ht="15.75" customHeight="1">
      <c r="C870" s="33"/>
      <c r="D870" s="33"/>
      <c r="E870" s="33"/>
      <c r="F870" s="33"/>
    </row>
    <row r="871" ht="15.75" customHeight="1">
      <c r="C871" s="33"/>
      <c r="D871" s="33"/>
      <c r="E871" s="33"/>
      <c r="F871" s="33"/>
    </row>
    <row r="872" ht="15.75" customHeight="1">
      <c r="C872" s="33"/>
      <c r="D872" s="33"/>
      <c r="E872" s="33"/>
      <c r="F872" s="33"/>
    </row>
    <row r="873" ht="15.75" customHeight="1">
      <c r="C873" s="33"/>
      <c r="D873" s="33"/>
      <c r="E873" s="33"/>
      <c r="F873" s="33"/>
    </row>
    <row r="874" ht="15.75" customHeight="1">
      <c r="C874" s="33"/>
      <c r="D874" s="33"/>
      <c r="E874" s="33"/>
      <c r="F874" s="33"/>
    </row>
    <row r="875" ht="15.75" customHeight="1">
      <c r="C875" s="33"/>
      <c r="D875" s="33"/>
      <c r="E875" s="33"/>
      <c r="F875" s="33"/>
    </row>
    <row r="876" ht="15.75" customHeight="1">
      <c r="C876" s="33"/>
      <c r="D876" s="33"/>
      <c r="E876" s="33"/>
      <c r="F876" s="33"/>
    </row>
    <row r="877" ht="15.75" customHeight="1">
      <c r="C877" s="33"/>
      <c r="D877" s="33"/>
      <c r="E877" s="33"/>
      <c r="F877" s="33"/>
    </row>
    <row r="878" ht="15.75" customHeight="1">
      <c r="C878" s="33"/>
      <c r="D878" s="33"/>
      <c r="E878" s="33"/>
      <c r="F878" s="33"/>
    </row>
    <row r="879" ht="15.75" customHeight="1">
      <c r="C879" s="33"/>
      <c r="D879" s="33"/>
      <c r="E879" s="33"/>
      <c r="F879" s="33"/>
    </row>
    <row r="880" ht="15.75" customHeight="1">
      <c r="C880" s="33"/>
      <c r="D880" s="33"/>
      <c r="E880" s="33"/>
      <c r="F880" s="33"/>
    </row>
    <row r="881" ht="15.75" customHeight="1">
      <c r="C881" s="33"/>
      <c r="D881" s="33"/>
      <c r="E881" s="33"/>
      <c r="F881" s="33"/>
    </row>
    <row r="882" ht="15.75" customHeight="1">
      <c r="C882" s="33"/>
      <c r="D882" s="33"/>
      <c r="E882" s="33"/>
      <c r="F882" s="33"/>
    </row>
    <row r="883" ht="15.75" customHeight="1">
      <c r="C883" s="33"/>
      <c r="D883" s="33"/>
      <c r="E883" s="33"/>
      <c r="F883" s="33"/>
    </row>
    <row r="884" ht="15.75" customHeight="1">
      <c r="C884" s="33"/>
      <c r="D884" s="33"/>
      <c r="E884" s="33"/>
      <c r="F884" s="33"/>
    </row>
    <row r="885" ht="15.75" customHeight="1">
      <c r="C885" s="33"/>
      <c r="D885" s="33"/>
      <c r="E885" s="33"/>
      <c r="F885" s="33"/>
    </row>
    <row r="886" ht="15.75" customHeight="1">
      <c r="C886" s="33"/>
      <c r="D886" s="33"/>
      <c r="E886" s="33"/>
      <c r="F886" s="33"/>
    </row>
    <row r="887" ht="15.75" customHeight="1">
      <c r="C887" s="33"/>
      <c r="D887" s="33"/>
      <c r="E887" s="33"/>
      <c r="F887" s="33"/>
    </row>
    <row r="888" ht="15.75" customHeight="1">
      <c r="C888" s="33"/>
      <c r="D888" s="33"/>
      <c r="E888" s="33"/>
      <c r="F888" s="33"/>
    </row>
    <row r="889" ht="15.75" customHeight="1">
      <c r="C889" s="33"/>
      <c r="D889" s="33"/>
      <c r="E889" s="33"/>
      <c r="F889" s="33"/>
    </row>
    <row r="890" ht="15.75" customHeight="1">
      <c r="C890" s="33"/>
      <c r="D890" s="33"/>
      <c r="E890" s="33"/>
      <c r="F890" s="33"/>
    </row>
    <row r="891" ht="15.75" customHeight="1">
      <c r="C891" s="33"/>
      <c r="D891" s="33"/>
      <c r="E891" s="33"/>
      <c r="F891" s="33"/>
    </row>
    <row r="892" ht="15.75" customHeight="1">
      <c r="C892" s="33"/>
      <c r="D892" s="33"/>
      <c r="E892" s="33"/>
      <c r="F892" s="33"/>
    </row>
    <row r="893" ht="15.75" customHeight="1">
      <c r="C893" s="33"/>
      <c r="D893" s="33"/>
      <c r="E893" s="33"/>
      <c r="F893" s="33"/>
    </row>
    <row r="894" ht="15.75" customHeight="1">
      <c r="C894" s="33"/>
      <c r="D894" s="33"/>
      <c r="E894" s="33"/>
      <c r="F894" s="33"/>
    </row>
    <row r="895" ht="15.75" customHeight="1">
      <c r="C895" s="33"/>
      <c r="D895" s="33"/>
      <c r="E895" s="33"/>
      <c r="F895" s="33"/>
    </row>
    <row r="896" ht="15.75" customHeight="1">
      <c r="C896" s="33"/>
      <c r="D896" s="33"/>
      <c r="E896" s="33"/>
      <c r="F896" s="33"/>
    </row>
    <row r="897" ht="15.75" customHeight="1">
      <c r="C897" s="33"/>
      <c r="D897" s="33"/>
      <c r="E897" s="33"/>
      <c r="F897" s="33"/>
    </row>
    <row r="898" ht="15.75" customHeight="1">
      <c r="C898" s="33"/>
      <c r="D898" s="33"/>
      <c r="E898" s="33"/>
      <c r="F898" s="33"/>
    </row>
    <row r="899" ht="15.75" customHeight="1">
      <c r="C899" s="33"/>
      <c r="D899" s="33"/>
      <c r="E899" s="33"/>
      <c r="F899" s="33"/>
    </row>
    <row r="900" ht="15.75" customHeight="1">
      <c r="C900" s="33"/>
      <c r="D900" s="33"/>
      <c r="E900" s="33"/>
      <c r="F900" s="33"/>
    </row>
    <row r="901" ht="15.75" customHeight="1">
      <c r="C901" s="33"/>
      <c r="D901" s="33"/>
      <c r="E901" s="33"/>
      <c r="F901" s="33"/>
    </row>
    <row r="902" ht="15.75" customHeight="1">
      <c r="C902" s="33"/>
      <c r="D902" s="33"/>
      <c r="E902" s="33"/>
      <c r="F902" s="33"/>
    </row>
    <row r="903" ht="15.75" customHeight="1">
      <c r="C903" s="33"/>
      <c r="D903" s="33"/>
      <c r="E903" s="33"/>
      <c r="F903" s="33"/>
    </row>
    <row r="904" ht="15.75" customHeight="1">
      <c r="C904" s="33"/>
      <c r="D904" s="33"/>
      <c r="E904" s="33"/>
      <c r="F904" s="33"/>
    </row>
    <row r="905" ht="15.75" customHeight="1">
      <c r="C905" s="33"/>
      <c r="D905" s="33"/>
      <c r="E905" s="33"/>
      <c r="F905" s="33"/>
    </row>
    <row r="906" ht="15.75" customHeight="1">
      <c r="C906" s="33"/>
      <c r="D906" s="33"/>
      <c r="E906" s="33"/>
      <c r="F906" s="33"/>
    </row>
    <row r="907" ht="15.75" customHeight="1">
      <c r="C907" s="33"/>
      <c r="D907" s="33"/>
      <c r="E907" s="33"/>
      <c r="F907" s="33"/>
    </row>
    <row r="908" ht="15.75" customHeight="1">
      <c r="C908" s="33"/>
      <c r="D908" s="33"/>
      <c r="E908" s="33"/>
      <c r="F908" s="33"/>
    </row>
    <row r="909" ht="15.75" customHeight="1">
      <c r="C909" s="33"/>
      <c r="D909" s="33"/>
      <c r="E909" s="33"/>
      <c r="F909" s="33"/>
    </row>
    <row r="910" ht="15.75" customHeight="1">
      <c r="C910" s="33"/>
      <c r="D910" s="33"/>
      <c r="E910" s="33"/>
      <c r="F910" s="33"/>
    </row>
    <row r="911" ht="15.75" customHeight="1">
      <c r="C911" s="33"/>
      <c r="D911" s="33"/>
      <c r="E911" s="33"/>
      <c r="F911" s="33"/>
    </row>
    <row r="912" ht="15.75" customHeight="1">
      <c r="C912" s="33"/>
      <c r="D912" s="33"/>
      <c r="E912" s="33"/>
      <c r="F912" s="33"/>
    </row>
    <row r="913" ht="15.75" customHeight="1">
      <c r="C913" s="33"/>
      <c r="D913" s="33"/>
      <c r="E913" s="33"/>
      <c r="F913" s="33"/>
    </row>
    <row r="914" ht="15.75" customHeight="1">
      <c r="C914" s="33"/>
      <c r="D914" s="33"/>
      <c r="E914" s="33"/>
      <c r="F914" s="33"/>
    </row>
    <row r="915" ht="15.75" customHeight="1">
      <c r="C915" s="33"/>
      <c r="D915" s="33"/>
      <c r="E915" s="33"/>
      <c r="F915" s="33"/>
    </row>
    <row r="916" ht="15.75" customHeight="1">
      <c r="C916" s="33"/>
      <c r="D916" s="33"/>
      <c r="E916" s="33"/>
      <c r="F916" s="33"/>
    </row>
    <row r="917" ht="15.75" customHeight="1">
      <c r="C917" s="33"/>
      <c r="D917" s="33"/>
      <c r="E917" s="33"/>
      <c r="F917" s="33"/>
    </row>
    <row r="918" ht="15.75" customHeight="1">
      <c r="C918" s="33"/>
      <c r="D918" s="33"/>
      <c r="E918" s="33"/>
      <c r="F918" s="33"/>
    </row>
    <row r="919" ht="15.75" customHeight="1">
      <c r="C919" s="33"/>
      <c r="D919" s="33"/>
      <c r="E919" s="33"/>
      <c r="F919" s="33"/>
    </row>
    <row r="920" ht="15.75" customHeight="1">
      <c r="C920" s="33"/>
      <c r="D920" s="33"/>
      <c r="E920" s="33"/>
      <c r="F920" s="33"/>
    </row>
    <row r="921" ht="15.75" customHeight="1">
      <c r="C921" s="33"/>
      <c r="D921" s="33"/>
      <c r="E921" s="33"/>
      <c r="F921" s="33"/>
    </row>
    <row r="922" ht="15.75" customHeight="1">
      <c r="C922" s="33"/>
      <c r="D922" s="33"/>
      <c r="E922" s="33"/>
      <c r="F922" s="33"/>
    </row>
    <row r="923" ht="15.75" customHeight="1">
      <c r="C923" s="33"/>
      <c r="D923" s="33"/>
      <c r="E923" s="33"/>
      <c r="F923" s="33"/>
    </row>
    <row r="924" ht="15.75" customHeight="1">
      <c r="C924" s="33"/>
      <c r="D924" s="33"/>
      <c r="E924" s="33"/>
      <c r="F924" s="33"/>
    </row>
    <row r="925" ht="15.75" customHeight="1">
      <c r="C925" s="33"/>
      <c r="D925" s="33"/>
      <c r="E925" s="33"/>
      <c r="F925" s="33"/>
    </row>
    <row r="926" ht="15.75" customHeight="1">
      <c r="C926" s="33"/>
      <c r="D926" s="33"/>
      <c r="E926" s="33"/>
      <c r="F926" s="33"/>
    </row>
    <row r="927" ht="15.75" customHeight="1">
      <c r="C927" s="33"/>
      <c r="D927" s="33"/>
      <c r="E927" s="33"/>
      <c r="F927" s="33"/>
    </row>
    <row r="928" ht="15.75" customHeight="1">
      <c r="C928" s="33"/>
      <c r="D928" s="33"/>
      <c r="E928" s="33"/>
      <c r="F928" s="33"/>
    </row>
    <row r="929" ht="15.75" customHeight="1">
      <c r="C929" s="33"/>
      <c r="D929" s="33"/>
      <c r="E929" s="33"/>
      <c r="F929" s="33"/>
    </row>
    <row r="930" ht="15.75" customHeight="1">
      <c r="C930" s="33"/>
      <c r="D930" s="33"/>
      <c r="E930" s="33"/>
      <c r="F930" s="33"/>
    </row>
    <row r="931" ht="15.75" customHeight="1">
      <c r="C931" s="33"/>
      <c r="D931" s="33"/>
      <c r="E931" s="33"/>
      <c r="F931" s="33"/>
    </row>
    <row r="932" ht="15.75" customHeight="1">
      <c r="C932" s="33"/>
      <c r="D932" s="33"/>
      <c r="E932" s="33"/>
      <c r="F932" s="33"/>
    </row>
    <row r="933" ht="15.75" customHeight="1">
      <c r="C933" s="33"/>
      <c r="D933" s="33"/>
      <c r="E933" s="33"/>
      <c r="F933" s="33"/>
    </row>
    <row r="934" ht="15.75" customHeight="1">
      <c r="C934" s="33"/>
      <c r="D934" s="33"/>
      <c r="E934" s="33"/>
      <c r="F934" s="33"/>
    </row>
    <row r="935" ht="15.75" customHeight="1">
      <c r="C935" s="33"/>
      <c r="D935" s="33"/>
      <c r="E935" s="33"/>
      <c r="F935" s="33"/>
    </row>
    <row r="936" ht="15.75" customHeight="1">
      <c r="C936" s="33"/>
      <c r="D936" s="33"/>
      <c r="E936" s="33"/>
      <c r="F936" s="33"/>
    </row>
    <row r="937" ht="15.75" customHeight="1">
      <c r="C937" s="33"/>
      <c r="D937" s="33"/>
      <c r="E937" s="33"/>
      <c r="F937" s="33"/>
    </row>
    <row r="938" ht="15.75" customHeight="1">
      <c r="C938" s="33"/>
      <c r="D938" s="33"/>
      <c r="E938" s="33"/>
      <c r="F938" s="33"/>
    </row>
    <row r="939" ht="15.75" customHeight="1">
      <c r="C939" s="33"/>
      <c r="D939" s="33"/>
      <c r="E939" s="33"/>
      <c r="F939" s="33"/>
    </row>
    <row r="940" ht="15.75" customHeight="1">
      <c r="C940" s="33"/>
      <c r="D940" s="33"/>
      <c r="E940" s="33"/>
      <c r="F940" s="33"/>
    </row>
    <row r="941" ht="15.75" customHeight="1">
      <c r="C941" s="33"/>
      <c r="D941" s="33"/>
      <c r="E941" s="33"/>
      <c r="F941" s="33"/>
    </row>
    <row r="942" ht="15.75" customHeight="1">
      <c r="C942" s="33"/>
      <c r="D942" s="33"/>
      <c r="E942" s="33"/>
      <c r="F942" s="33"/>
    </row>
    <row r="943" ht="15.75" customHeight="1">
      <c r="C943" s="33"/>
      <c r="D943" s="33"/>
      <c r="E943" s="33"/>
      <c r="F943" s="33"/>
    </row>
    <row r="944" ht="15.75" customHeight="1">
      <c r="C944" s="33"/>
      <c r="D944" s="33"/>
      <c r="E944" s="33"/>
      <c r="F944" s="33"/>
    </row>
    <row r="945" ht="15.75" customHeight="1">
      <c r="C945" s="33"/>
      <c r="D945" s="33"/>
      <c r="E945" s="33"/>
      <c r="F945" s="33"/>
    </row>
    <row r="946" ht="15.75" customHeight="1">
      <c r="C946" s="33"/>
      <c r="D946" s="33"/>
      <c r="E946" s="33"/>
      <c r="F946" s="33"/>
    </row>
    <row r="947" ht="15.75" customHeight="1">
      <c r="C947" s="33"/>
      <c r="D947" s="33"/>
      <c r="E947" s="33"/>
      <c r="F947" s="33"/>
    </row>
    <row r="948" ht="15.75" customHeight="1">
      <c r="C948" s="33"/>
      <c r="D948" s="33"/>
      <c r="E948" s="33"/>
      <c r="F948" s="33"/>
    </row>
    <row r="949" ht="15.75" customHeight="1">
      <c r="C949" s="33"/>
      <c r="D949" s="33"/>
      <c r="E949" s="33"/>
      <c r="F949" s="33"/>
    </row>
    <row r="950" ht="15.75" customHeight="1">
      <c r="C950" s="33"/>
      <c r="D950" s="33"/>
      <c r="E950" s="33"/>
      <c r="F950" s="33"/>
    </row>
    <row r="951" ht="15.75" customHeight="1">
      <c r="C951" s="33"/>
      <c r="D951" s="33"/>
      <c r="E951" s="33"/>
      <c r="F951" s="33"/>
    </row>
    <row r="952" ht="15.75" customHeight="1">
      <c r="C952" s="33"/>
      <c r="D952" s="33"/>
      <c r="E952" s="33"/>
      <c r="F952" s="33"/>
    </row>
    <row r="953" ht="15.75" customHeight="1">
      <c r="C953" s="33"/>
      <c r="D953" s="33"/>
      <c r="E953" s="33"/>
      <c r="F953" s="33"/>
    </row>
    <row r="954" ht="15.75" customHeight="1">
      <c r="C954" s="33"/>
      <c r="D954" s="33"/>
      <c r="E954" s="33"/>
      <c r="F954" s="33"/>
    </row>
    <row r="955" ht="15.75" customHeight="1">
      <c r="C955" s="33"/>
      <c r="D955" s="33"/>
      <c r="E955" s="33"/>
      <c r="F955" s="33"/>
    </row>
    <row r="956" ht="15.75" customHeight="1">
      <c r="C956" s="33"/>
      <c r="D956" s="33"/>
      <c r="E956" s="33"/>
      <c r="F956" s="33"/>
    </row>
    <row r="957" ht="15.75" customHeight="1">
      <c r="C957" s="33"/>
      <c r="D957" s="33"/>
      <c r="E957" s="33"/>
      <c r="F957" s="33"/>
    </row>
    <row r="958" ht="15.75" customHeight="1">
      <c r="C958" s="33"/>
      <c r="D958" s="33"/>
      <c r="E958" s="33"/>
      <c r="F958" s="33"/>
    </row>
    <row r="959" ht="15.75" customHeight="1">
      <c r="C959" s="33"/>
      <c r="D959" s="33"/>
      <c r="E959" s="33"/>
      <c r="F959" s="33"/>
    </row>
    <row r="960" ht="15.75" customHeight="1">
      <c r="C960" s="33"/>
      <c r="D960" s="33"/>
      <c r="E960" s="33"/>
      <c r="F960" s="33"/>
    </row>
    <row r="961" ht="15.75" customHeight="1">
      <c r="C961" s="33"/>
      <c r="D961" s="33"/>
      <c r="E961" s="33"/>
      <c r="F961" s="33"/>
    </row>
    <row r="962" ht="15.75" customHeight="1">
      <c r="C962" s="33"/>
      <c r="D962" s="33"/>
      <c r="E962" s="33"/>
      <c r="F962" s="33"/>
    </row>
    <row r="963" ht="15.75" customHeight="1">
      <c r="C963" s="33"/>
      <c r="D963" s="33"/>
      <c r="E963" s="33"/>
      <c r="F963" s="33"/>
    </row>
    <row r="964" ht="15.75" customHeight="1">
      <c r="C964" s="33"/>
      <c r="D964" s="33"/>
      <c r="E964" s="33"/>
      <c r="F964" s="33"/>
    </row>
    <row r="965" ht="15.75" customHeight="1">
      <c r="C965" s="33"/>
      <c r="D965" s="33"/>
      <c r="E965" s="33"/>
      <c r="F965" s="33"/>
    </row>
    <row r="966" ht="15.75" customHeight="1">
      <c r="C966" s="33"/>
      <c r="D966" s="33"/>
      <c r="E966" s="33"/>
      <c r="F966" s="33"/>
    </row>
    <row r="967" ht="15.75" customHeight="1">
      <c r="C967" s="33"/>
      <c r="D967" s="33"/>
      <c r="E967" s="33"/>
      <c r="F967" s="33"/>
    </row>
    <row r="968" ht="15.75" customHeight="1">
      <c r="C968" s="33"/>
      <c r="D968" s="33"/>
      <c r="E968" s="33"/>
      <c r="F968" s="33"/>
    </row>
    <row r="969" ht="15.75" customHeight="1">
      <c r="C969" s="33"/>
      <c r="D969" s="33"/>
      <c r="E969" s="33"/>
      <c r="F969" s="33"/>
    </row>
    <row r="970" ht="15.75" customHeight="1">
      <c r="C970" s="33"/>
      <c r="D970" s="33"/>
      <c r="E970" s="33"/>
      <c r="F970" s="33"/>
    </row>
    <row r="971" ht="15.75" customHeight="1">
      <c r="C971" s="33"/>
      <c r="D971" s="33"/>
      <c r="E971" s="33"/>
      <c r="F971" s="33"/>
    </row>
    <row r="972" ht="15.75" customHeight="1">
      <c r="C972" s="33"/>
      <c r="D972" s="33"/>
      <c r="E972" s="33"/>
      <c r="F972" s="33"/>
    </row>
    <row r="973" ht="15.75" customHeight="1">
      <c r="C973" s="33"/>
      <c r="D973" s="33"/>
      <c r="E973" s="33"/>
      <c r="F973" s="33"/>
    </row>
    <row r="974" ht="15.75" customHeight="1">
      <c r="C974" s="33"/>
      <c r="D974" s="33"/>
      <c r="E974" s="33"/>
      <c r="F974" s="33"/>
    </row>
    <row r="975" ht="15.75" customHeight="1">
      <c r="C975" s="33"/>
      <c r="D975" s="33"/>
      <c r="E975" s="33"/>
      <c r="F975" s="33"/>
    </row>
    <row r="976" ht="15.75" customHeight="1">
      <c r="C976" s="33"/>
      <c r="D976" s="33"/>
      <c r="E976" s="33"/>
      <c r="F976" s="33"/>
    </row>
    <row r="977" ht="15.75" customHeight="1">
      <c r="C977" s="33"/>
      <c r="D977" s="33"/>
      <c r="E977" s="33"/>
      <c r="F977" s="33"/>
    </row>
    <row r="978" ht="15.75" customHeight="1">
      <c r="C978" s="33"/>
      <c r="D978" s="33"/>
      <c r="E978" s="33"/>
      <c r="F978" s="33"/>
    </row>
    <row r="979" ht="15.75" customHeight="1">
      <c r="C979" s="33"/>
      <c r="D979" s="33"/>
      <c r="E979" s="33"/>
      <c r="F979" s="33"/>
    </row>
    <row r="980" ht="15.75" customHeight="1">
      <c r="C980" s="33"/>
      <c r="D980" s="33"/>
      <c r="E980" s="33"/>
      <c r="F980" s="33"/>
    </row>
    <row r="981" ht="15.75" customHeight="1">
      <c r="C981" s="33"/>
      <c r="D981" s="33"/>
      <c r="E981" s="33"/>
      <c r="F981" s="33"/>
    </row>
    <row r="982" ht="15.75" customHeight="1">
      <c r="C982" s="33"/>
      <c r="D982" s="33"/>
      <c r="E982" s="33"/>
      <c r="F982" s="33"/>
    </row>
    <row r="983" ht="15.75" customHeight="1">
      <c r="C983" s="33"/>
      <c r="D983" s="33"/>
      <c r="E983" s="33"/>
      <c r="F983" s="33"/>
    </row>
    <row r="984" ht="15.75" customHeight="1">
      <c r="C984" s="33"/>
      <c r="D984" s="33"/>
      <c r="E984" s="33"/>
      <c r="F984" s="33"/>
    </row>
    <row r="985" ht="15.75" customHeight="1">
      <c r="C985" s="33"/>
      <c r="D985" s="33"/>
      <c r="E985" s="33"/>
      <c r="F985" s="33"/>
    </row>
    <row r="986" ht="15.75" customHeight="1">
      <c r="C986" s="33"/>
      <c r="D986" s="33"/>
      <c r="E986" s="33"/>
      <c r="F986" s="33"/>
    </row>
    <row r="987" ht="15.75" customHeight="1">
      <c r="C987" s="33"/>
      <c r="D987" s="33"/>
      <c r="E987" s="33"/>
      <c r="F987" s="33"/>
    </row>
    <row r="988" ht="15.75" customHeight="1">
      <c r="C988" s="33"/>
      <c r="D988" s="33"/>
      <c r="E988" s="33"/>
      <c r="F988" s="33"/>
    </row>
    <row r="989" ht="15.75" customHeight="1">
      <c r="C989" s="33"/>
      <c r="D989" s="33"/>
      <c r="E989" s="33"/>
      <c r="F989" s="33"/>
    </row>
    <row r="990" ht="15.75" customHeight="1">
      <c r="C990" s="33"/>
      <c r="D990" s="33"/>
      <c r="E990" s="33"/>
      <c r="F990" s="33"/>
    </row>
    <row r="991" ht="15.75" customHeight="1">
      <c r="C991" s="33"/>
      <c r="D991" s="33"/>
      <c r="E991" s="33"/>
      <c r="F991" s="33"/>
    </row>
    <row r="992" ht="15.75" customHeight="1">
      <c r="C992" s="33"/>
      <c r="D992" s="33"/>
      <c r="E992" s="33"/>
      <c r="F992" s="33"/>
    </row>
    <row r="993" ht="15.75" customHeight="1">
      <c r="C993" s="33"/>
      <c r="D993" s="33"/>
      <c r="E993" s="33"/>
      <c r="F993" s="33"/>
    </row>
    <row r="994" ht="15.75" customHeight="1">
      <c r="C994" s="33"/>
      <c r="D994" s="33"/>
      <c r="E994" s="33"/>
      <c r="F994" s="33"/>
    </row>
    <row r="995" ht="15.75" customHeight="1">
      <c r="C995" s="33"/>
      <c r="D995" s="33"/>
      <c r="E995" s="33"/>
      <c r="F995" s="33"/>
    </row>
    <row r="996" ht="15.75" customHeight="1">
      <c r="C996" s="33"/>
      <c r="D996" s="33"/>
      <c r="E996" s="33"/>
      <c r="F996" s="33"/>
    </row>
    <row r="997" ht="15.75" customHeight="1">
      <c r="C997" s="33"/>
      <c r="D997" s="33"/>
      <c r="E997" s="33"/>
      <c r="F997" s="33"/>
    </row>
    <row r="998" ht="15.75" customHeight="1">
      <c r="C998" s="33"/>
      <c r="D998" s="33"/>
      <c r="E998" s="33"/>
      <c r="F998" s="33"/>
    </row>
    <row r="999" ht="15.75" customHeight="1">
      <c r="C999" s="33"/>
      <c r="D999" s="33"/>
      <c r="E999" s="33"/>
      <c r="F999" s="33"/>
    </row>
    <row r="1000" ht="15.75" customHeight="1">
      <c r="C1000" s="33"/>
      <c r="D1000" s="33"/>
      <c r="E1000" s="33"/>
      <c r="F1000" s="33"/>
    </row>
    <row r="1001" ht="15.75" customHeight="1">
      <c r="C1001" s="33"/>
      <c r="D1001" s="33"/>
      <c r="E1001" s="33"/>
      <c r="F1001" s="33"/>
    </row>
    <row r="1002" ht="15.75" customHeight="1">
      <c r="C1002" s="33"/>
      <c r="D1002" s="33"/>
      <c r="E1002" s="33"/>
      <c r="F1002" s="33"/>
    </row>
    <row r="1003" ht="15.75" customHeight="1">
      <c r="C1003" s="33"/>
      <c r="D1003" s="33"/>
      <c r="E1003" s="33"/>
      <c r="F1003" s="33"/>
    </row>
    <row r="1004" ht="15.75" customHeight="1">
      <c r="C1004" s="33"/>
      <c r="D1004" s="33"/>
      <c r="E1004" s="33"/>
      <c r="F1004" s="33"/>
    </row>
    <row r="1005" ht="15.75" customHeight="1">
      <c r="C1005" s="33"/>
      <c r="D1005" s="33"/>
      <c r="E1005" s="33"/>
      <c r="F1005" s="33"/>
    </row>
    <row r="1006" ht="15.75" customHeight="1">
      <c r="C1006" s="33"/>
      <c r="D1006" s="33"/>
      <c r="E1006" s="33"/>
      <c r="F1006" s="33"/>
    </row>
    <row r="1007" ht="15.75" customHeight="1">
      <c r="C1007" s="33"/>
      <c r="D1007" s="33"/>
      <c r="E1007" s="33"/>
      <c r="F1007" s="33"/>
    </row>
    <row r="1008" ht="15.75" customHeight="1">
      <c r="C1008" s="33"/>
      <c r="D1008" s="33"/>
      <c r="E1008" s="33"/>
      <c r="F1008" s="33"/>
    </row>
    <row r="1009" ht="15.75" customHeight="1">
      <c r="C1009" s="33"/>
      <c r="D1009" s="33"/>
      <c r="E1009" s="33"/>
      <c r="F1009" s="33"/>
    </row>
    <row r="1010" ht="15.75" customHeight="1">
      <c r="C1010" s="33"/>
      <c r="D1010" s="33"/>
      <c r="E1010" s="33"/>
      <c r="F1010" s="33"/>
    </row>
    <row r="1011" ht="15.75" customHeight="1">
      <c r="C1011" s="33"/>
      <c r="D1011" s="33"/>
      <c r="E1011" s="33"/>
      <c r="F1011" s="33"/>
    </row>
    <row r="1012" ht="15.75" customHeight="1">
      <c r="C1012" s="33"/>
      <c r="D1012" s="33"/>
      <c r="E1012" s="33"/>
      <c r="F1012" s="33"/>
    </row>
    <row r="1013" ht="15.75" customHeight="1">
      <c r="C1013" s="33"/>
      <c r="D1013" s="33"/>
      <c r="E1013" s="33"/>
      <c r="F1013" s="33"/>
    </row>
    <row r="1014" ht="15.75" customHeight="1">
      <c r="C1014" s="33"/>
      <c r="D1014" s="33"/>
      <c r="E1014" s="33"/>
      <c r="F1014" s="33"/>
    </row>
    <row r="1015" ht="15.75" customHeight="1">
      <c r="C1015" s="33"/>
      <c r="D1015" s="33"/>
      <c r="E1015" s="33"/>
      <c r="F1015" s="33"/>
    </row>
    <row r="1016" ht="15.75" customHeight="1">
      <c r="C1016" s="33"/>
      <c r="D1016" s="33"/>
      <c r="E1016" s="33"/>
      <c r="F1016" s="33"/>
    </row>
    <row r="1017" ht="15.75" customHeight="1">
      <c r="C1017" s="33"/>
      <c r="D1017" s="33"/>
      <c r="E1017" s="33"/>
      <c r="F1017" s="33"/>
    </row>
    <row r="1018" ht="15.75" customHeight="1">
      <c r="C1018" s="33"/>
      <c r="D1018" s="33"/>
      <c r="E1018" s="33"/>
      <c r="F1018" s="33"/>
    </row>
    <row r="1019" ht="15.75" customHeight="1">
      <c r="C1019" s="33"/>
      <c r="D1019" s="33"/>
      <c r="E1019" s="33"/>
      <c r="F1019" s="33"/>
    </row>
    <row r="1020" ht="15.75" customHeight="1">
      <c r="C1020" s="33"/>
      <c r="D1020" s="33"/>
      <c r="E1020" s="33"/>
      <c r="F1020" s="33"/>
    </row>
    <row r="1021" ht="15.75" customHeight="1">
      <c r="C1021" s="33"/>
      <c r="D1021" s="33"/>
      <c r="E1021" s="33"/>
      <c r="F1021" s="33"/>
    </row>
    <row r="1022" ht="15.75" customHeight="1">
      <c r="C1022" s="33"/>
      <c r="D1022" s="33"/>
      <c r="E1022" s="33"/>
      <c r="F1022" s="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6.13"/>
    <col customWidth="1" min="3" max="4" width="13.38"/>
    <col customWidth="1" min="5" max="5" width="12.63"/>
  </cols>
  <sheetData>
    <row r="1" ht="15.75" customHeight="1">
      <c r="A1" s="5" t="s">
        <v>3</v>
      </c>
      <c r="B1" s="5" t="s">
        <v>4</v>
      </c>
      <c r="C1" s="4" t="s">
        <v>5</v>
      </c>
      <c r="D1" s="28" t="s">
        <v>102</v>
      </c>
      <c r="E1" s="29"/>
      <c r="F1" s="29"/>
      <c r="G1" s="30"/>
    </row>
    <row r="2" ht="15.75" customHeight="1">
      <c r="A2" s="14" t="s">
        <v>11</v>
      </c>
      <c r="B2" s="14" t="s">
        <v>25</v>
      </c>
      <c r="C2" s="15" t="s">
        <v>26</v>
      </c>
      <c r="D2" s="37">
        <v>0.5</v>
      </c>
      <c r="E2" s="32"/>
      <c r="F2" s="32"/>
    </row>
    <row r="3" ht="15.75" customHeight="1">
      <c r="A3" s="14" t="s">
        <v>11</v>
      </c>
      <c r="B3" s="14" t="s">
        <v>27</v>
      </c>
      <c r="C3" s="15" t="s">
        <v>28</v>
      </c>
      <c r="D3" s="37">
        <v>0.31002551887238755</v>
      </c>
      <c r="E3" s="32"/>
      <c r="F3" s="32"/>
    </row>
    <row r="4" ht="15.75" customHeight="1">
      <c r="A4" s="14" t="s">
        <v>11</v>
      </c>
      <c r="B4" s="14" t="s">
        <v>29</v>
      </c>
      <c r="C4" s="15" t="s">
        <v>30</v>
      </c>
      <c r="D4" s="37">
        <v>0.6899744811276125</v>
      </c>
      <c r="E4" s="32"/>
      <c r="F4" s="32"/>
    </row>
    <row r="5" ht="15.75" customHeight="1">
      <c r="A5" s="14" t="s">
        <v>11</v>
      </c>
      <c r="B5" s="14" t="s">
        <v>31</v>
      </c>
      <c r="C5" s="15" t="s">
        <v>32</v>
      </c>
      <c r="D5" s="37">
        <v>0.31002551887238755</v>
      </c>
      <c r="E5" s="32"/>
      <c r="F5" s="32"/>
    </row>
    <row r="6" ht="15.75" customHeight="1">
      <c r="A6" s="14" t="s">
        <v>18</v>
      </c>
      <c r="B6" s="14" t="s">
        <v>33</v>
      </c>
      <c r="C6" s="15" t="s">
        <v>30</v>
      </c>
      <c r="D6" s="37">
        <v>0.31002551887238755</v>
      </c>
      <c r="E6" s="32"/>
      <c r="F6" s="32"/>
    </row>
    <row r="7" ht="15.75" customHeight="1">
      <c r="A7" s="14" t="s">
        <v>18</v>
      </c>
      <c r="B7" s="14" t="s">
        <v>34</v>
      </c>
      <c r="C7" s="15" t="s">
        <v>26</v>
      </c>
      <c r="D7" s="37">
        <v>0.45016600268752216</v>
      </c>
      <c r="E7" s="32"/>
      <c r="F7" s="32"/>
    </row>
    <row r="8" ht="15.75" customHeight="1">
      <c r="A8" s="14" t="s">
        <v>18</v>
      </c>
      <c r="B8" s="14" t="s">
        <v>35</v>
      </c>
      <c r="C8" s="15" t="s">
        <v>26</v>
      </c>
      <c r="D8" s="37">
        <v>0.598687660112452</v>
      </c>
      <c r="E8" s="32"/>
      <c r="F8" s="32"/>
    </row>
    <row r="9" ht="15.75" customHeight="1">
      <c r="A9" s="14" t="s">
        <v>18</v>
      </c>
      <c r="B9" s="14" t="s">
        <v>36</v>
      </c>
      <c r="C9" s="15" t="s">
        <v>37</v>
      </c>
      <c r="D9" s="37">
        <v>0.598687660112452</v>
      </c>
      <c r="E9" s="32"/>
      <c r="F9" s="32"/>
    </row>
    <row r="10" ht="15.75" customHeight="1">
      <c r="A10" s="14" t="s">
        <v>18</v>
      </c>
      <c r="B10" s="14" t="s">
        <v>38</v>
      </c>
      <c r="C10" s="15" t="s">
        <v>39</v>
      </c>
      <c r="D10" s="37">
        <v>0.7685247834990175</v>
      </c>
      <c r="E10" s="32"/>
      <c r="F10" s="32"/>
    </row>
    <row r="11" ht="15.75" customHeight="1">
      <c r="A11" s="14" t="s">
        <v>8</v>
      </c>
      <c r="B11" s="14" t="s">
        <v>40</v>
      </c>
      <c r="C11" s="15" t="s">
        <v>39</v>
      </c>
      <c r="D11" s="37">
        <v>0.19781611144141825</v>
      </c>
      <c r="E11" s="32"/>
      <c r="F11" s="32"/>
    </row>
    <row r="12" ht="15.75" customHeight="1">
      <c r="A12" s="14" t="s">
        <v>8</v>
      </c>
      <c r="B12" s="14" t="s">
        <v>41</v>
      </c>
      <c r="C12" s="15" t="s">
        <v>42</v>
      </c>
      <c r="D12" s="37">
        <v>0.598687660112452</v>
      </c>
      <c r="E12" s="32"/>
      <c r="F12" s="32"/>
    </row>
    <row r="13" ht="15.75" customHeight="1">
      <c r="A13" s="14" t="s">
        <v>8</v>
      </c>
      <c r="B13" s="14" t="s">
        <v>43</v>
      </c>
      <c r="C13" s="15" t="s">
        <v>28</v>
      </c>
      <c r="D13" s="37">
        <v>0.11920292202211757</v>
      </c>
      <c r="E13" s="32"/>
      <c r="F13" s="32"/>
    </row>
    <row r="14" ht="15.75" customHeight="1">
      <c r="A14" s="14" t="s">
        <v>8</v>
      </c>
      <c r="B14" s="14" t="s">
        <v>44</v>
      </c>
      <c r="C14" s="15" t="s">
        <v>45</v>
      </c>
      <c r="D14" s="37">
        <v>0.31002551887238755</v>
      </c>
      <c r="E14" s="32"/>
      <c r="F14" s="32"/>
    </row>
    <row r="15" ht="15.75" customHeight="1">
      <c r="A15" s="14" t="s">
        <v>8</v>
      </c>
      <c r="B15" s="14" t="s">
        <v>46</v>
      </c>
      <c r="C15" s="15" t="s">
        <v>45</v>
      </c>
      <c r="D15" s="37">
        <v>0.19781611144141825</v>
      </c>
      <c r="E15" s="32"/>
      <c r="F15" s="32"/>
    </row>
    <row r="16" ht="15.75" customHeight="1">
      <c r="A16" s="14" t="s">
        <v>16</v>
      </c>
      <c r="B16" s="14" t="s">
        <v>47</v>
      </c>
      <c r="C16" s="15" t="s">
        <v>30</v>
      </c>
      <c r="D16" s="37">
        <v>0.23147521650098238</v>
      </c>
      <c r="E16" s="32"/>
      <c r="F16" s="32"/>
    </row>
    <row r="17" ht="15.75" customHeight="1">
      <c r="A17" s="14" t="s">
        <v>16</v>
      </c>
      <c r="B17" s="14" t="s">
        <v>48</v>
      </c>
      <c r="C17" s="15" t="s">
        <v>30</v>
      </c>
      <c r="D17" s="37">
        <v>0.7310585786300049</v>
      </c>
      <c r="E17" s="32"/>
      <c r="F17" s="32"/>
    </row>
    <row r="18" ht="15.75" customHeight="1">
      <c r="A18" s="14" t="s">
        <v>16</v>
      </c>
      <c r="B18" s="14" t="s">
        <v>49</v>
      </c>
      <c r="C18" s="15" t="s">
        <v>50</v>
      </c>
      <c r="D18" s="37">
        <v>0.19781611144141825</v>
      </c>
      <c r="E18" s="32"/>
      <c r="F18" s="32"/>
    </row>
    <row r="19" ht="15.75" customHeight="1">
      <c r="A19" s="14" t="s">
        <v>16</v>
      </c>
      <c r="B19" s="14" t="s">
        <v>51</v>
      </c>
      <c r="C19" s="15" t="s">
        <v>30</v>
      </c>
      <c r="D19" s="37">
        <v>0.598687660112452</v>
      </c>
      <c r="E19" s="32"/>
      <c r="F19" s="32"/>
    </row>
    <row r="20" ht="15.75" customHeight="1">
      <c r="A20" s="14" t="s">
        <v>16</v>
      </c>
      <c r="B20" s="14" t="s">
        <v>52</v>
      </c>
      <c r="C20" s="15" t="s">
        <v>42</v>
      </c>
      <c r="D20" s="37">
        <v>0.598687660112452</v>
      </c>
      <c r="E20" s="32"/>
      <c r="F20" s="32"/>
    </row>
    <row r="21" ht="15.75" customHeight="1">
      <c r="A21" s="14" t="s">
        <v>14</v>
      </c>
      <c r="B21" s="14" t="s">
        <v>53</v>
      </c>
      <c r="C21" s="15" t="s">
        <v>28</v>
      </c>
      <c r="D21" s="37">
        <v>0.598687660112452</v>
      </c>
      <c r="E21" s="32"/>
      <c r="F21" s="32"/>
    </row>
    <row r="22" ht="15.75" customHeight="1">
      <c r="A22" s="14" t="s">
        <v>14</v>
      </c>
      <c r="B22" s="14" t="s">
        <v>54</v>
      </c>
      <c r="C22" s="15" t="s">
        <v>39</v>
      </c>
      <c r="D22" s="37">
        <v>0.31002551887238755</v>
      </c>
      <c r="E22" s="32"/>
      <c r="F22" s="32"/>
    </row>
    <row r="23" ht="15.75" customHeight="1">
      <c r="A23" s="14" t="s">
        <v>14</v>
      </c>
      <c r="B23" s="14" t="s">
        <v>55</v>
      </c>
      <c r="C23" s="15" t="s">
        <v>32</v>
      </c>
      <c r="D23" s="37">
        <v>0.45016600268752216</v>
      </c>
      <c r="E23" s="32"/>
      <c r="F23" s="32"/>
    </row>
    <row r="24" ht="15.75" customHeight="1">
      <c r="A24" s="14" t="s">
        <v>14</v>
      </c>
      <c r="B24" s="14" t="s">
        <v>57</v>
      </c>
      <c r="C24" s="15" t="s">
        <v>32</v>
      </c>
      <c r="D24" s="37">
        <v>0.31002551887238755</v>
      </c>
      <c r="E24" s="32"/>
      <c r="F24" s="32"/>
    </row>
    <row r="25" ht="15.75" customHeight="1">
      <c r="A25" s="14" t="s">
        <v>14</v>
      </c>
      <c r="B25" s="14" t="s">
        <v>58</v>
      </c>
      <c r="C25" s="15" t="s">
        <v>37</v>
      </c>
      <c r="D25" s="37">
        <v>0.19781611144141825</v>
      </c>
      <c r="E25" s="32"/>
      <c r="F25" s="32"/>
    </row>
    <row r="26" ht="15.75" customHeight="1">
      <c r="A26" s="14" t="s">
        <v>9</v>
      </c>
      <c r="B26" s="14" t="s">
        <v>59</v>
      </c>
      <c r="C26" s="15" t="s">
        <v>30</v>
      </c>
      <c r="D26" s="37">
        <v>0.2689414213699951</v>
      </c>
      <c r="E26" s="32"/>
      <c r="F26" s="32"/>
    </row>
    <row r="27" ht="15.75" customHeight="1">
      <c r="A27" s="14" t="s">
        <v>9</v>
      </c>
      <c r="B27" s="14" t="s">
        <v>60</v>
      </c>
      <c r="C27" s="15" t="s">
        <v>32</v>
      </c>
      <c r="D27" s="37">
        <v>0.6456563062257954</v>
      </c>
      <c r="E27" s="32"/>
      <c r="F27" s="32"/>
    </row>
    <row r="28" ht="15.75" customHeight="1">
      <c r="A28" s="14" t="s">
        <v>9</v>
      </c>
      <c r="B28" s="14" t="s">
        <v>61</v>
      </c>
      <c r="C28" s="15" t="s">
        <v>28</v>
      </c>
      <c r="D28" s="37">
        <v>0.598687660112452</v>
      </c>
      <c r="E28" s="32"/>
      <c r="F28" s="32"/>
    </row>
    <row r="29" ht="15.75" customHeight="1">
      <c r="A29" s="14" t="s">
        <v>9</v>
      </c>
      <c r="B29" s="14" t="s">
        <v>62</v>
      </c>
      <c r="C29" s="15" t="s">
        <v>28</v>
      </c>
      <c r="D29" s="37">
        <v>0.6899744811276125</v>
      </c>
      <c r="E29" s="32"/>
      <c r="F29" s="32"/>
    </row>
    <row r="30" ht="15.75" customHeight="1">
      <c r="A30" s="14" t="s">
        <v>9</v>
      </c>
      <c r="B30" s="14" t="s">
        <v>63</v>
      </c>
      <c r="C30" s="15" t="s">
        <v>28</v>
      </c>
      <c r="D30" s="37">
        <v>0.8021838885585817</v>
      </c>
      <c r="E30" s="32"/>
      <c r="F30" s="32"/>
    </row>
    <row r="31" ht="15.75" customHeight="1">
      <c r="A31" s="14" t="s">
        <v>64</v>
      </c>
      <c r="B31" s="14" t="s">
        <v>65</v>
      </c>
      <c r="C31" s="15" t="s">
        <v>32</v>
      </c>
      <c r="D31" s="37">
        <v>0.19781611144141825</v>
      </c>
      <c r="E31" s="32"/>
      <c r="F31" s="32"/>
    </row>
    <row r="32" ht="15.75" customHeight="1">
      <c r="A32" s="14" t="s">
        <v>64</v>
      </c>
      <c r="B32" s="14" t="s">
        <v>66</v>
      </c>
      <c r="C32" s="15" t="s">
        <v>26</v>
      </c>
      <c r="D32" s="37">
        <v>0.6899744811276125</v>
      </c>
      <c r="E32" s="32"/>
      <c r="F32" s="32"/>
    </row>
    <row r="33" ht="15.75" customHeight="1">
      <c r="A33" s="14" t="s">
        <v>64</v>
      </c>
      <c r="B33" s="14" t="s">
        <v>67</v>
      </c>
      <c r="C33" s="15" t="s">
        <v>32</v>
      </c>
      <c r="D33" s="37">
        <v>0.19781611144141825</v>
      </c>
      <c r="E33" s="32"/>
      <c r="F33" s="32"/>
    </row>
    <row r="34" ht="15.75" customHeight="1">
      <c r="A34" s="14" t="s">
        <v>64</v>
      </c>
      <c r="B34" s="14" t="s">
        <v>68</v>
      </c>
      <c r="C34" s="15" t="s">
        <v>39</v>
      </c>
      <c r="D34" s="37">
        <v>0.19781611144141825</v>
      </c>
      <c r="E34" s="32"/>
      <c r="F34" s="32"/>
    </row>
    <row r="35" ht="15.75" customHeight="1">
      <c r="A35" s="14" t="s">
        <v>64</v>
      </c>
      <c r="B35" s="14" t="s">
        <v>69</v>
      </c>
      <c r="C35" s="15" t="s">
        <v>28</v>
      </c>
      <c r="D35" s="37">
        <v>0.8021838885585817</v>
      </c>
      <c r="E35" s="32"/>
      <c r="F35" s="32"/>
    </row>
    <row r="36" ht="15.75" customHeight="1">
      <c r="A36" s="14" t="s">
        <v>7</v>
      </c>
      <c r="B36" s="14" t="s">
        <v>70</v>
      </c>
      <c r="C36" s="15" t="s">
        <v>32</v>
      </c>
      <c r="D36" s="37">
        <v>0.31002551887238755</v>
      </c>
      <c r="E36" s="32"/>
      <c r="F36" s="32"/>
    </row>
    <row r="37" ht="15.75" customHeight="1">
      <c r="A37" s="14" t="s">
        <v>7</v>
      </c>
      <c r="B37" s="14" t="s">
        <v>71</v>
      </c>
      <c r="C37" s="15" t="s">
        <v>28</v>
      </c>
      <c r="D37" s="37">
        <v>0.598687660112452</v>
      </c>
      <c r="E37" s="32"/>
      <c r="F37" s="32"/>
    </row>
    <row r="38" ht="15.75" customHeight="1">
      <c r="A38" s="14" t="s">
        <v>7</v>
      </c>
      <c r="B38" s="14" t="s">
        <v>72</v>
      </c>
      <c r="C38" s="15" t="s">
        <v>42</v>
      </c>
      <c r="D38" s="37">
        <v>0.31002551887238755</v>
      </c>
      <c r="E38" s="32"/>
      <c r="F38" s="32"/>
    </row>
    <row r="39" ht="15.75" customHeight="1">
      <c r="A39" s="14" t="s">
        <v>7</v>
      </c>
      <c r="B39" s="14" t="s">
        <v>73</v>
      </c>
      <c r="C39" s="15" t="s">
        <v>45</v>
      </c>
      <c r="D39" s="37">
        <v>0.19781611144141825</v>
      </c>
      <c r="E39" s="32"/>
      <c r="F39" s="32"/>
    </row>
    <row r="40" ht="15.75" customHeight="1">
      <c r="A40" s="14" t="s">
        <v>7</v>
      </c>
      <c r="B40" s="14" t="s">
        <v>74</v>
      </c>
      <c r="C40" s="15" t="s">
        <v>30</v>
      </c>
      <c r="D40" s="37">
        <v>0.11920292202211757</v>
      </c>
      <c r="E40" s="32"/>
      <c r="F40" s="32"/>
    </row>
    <row r="41" ht="15.75" customHeight="1">
      <c r="A41" s="14" t="s">
        <v>75</v>
      </c>
      <c r="B41" s="14" t="s">
        <v>76</v>
      </c>
      <c r="C41" s="15" t="s">
        <v>28</v>
      </c>
      <c r="D41" s="37">
        <v>0.31002551887238755</v>
      </c>
      <c r="E41" s="32"/>
      <c r="F41" s="32"/>
    </row>
    <row r="42" ht="15.75" customHeight="1">
      <c r="A42" s="14" t="s">
        <v>75</v>
      </c>
      <c r="B42" s="14" t="s">
        <v>77</v>
      </c>
      <c r="C42" s="15" t="s">
        <v>32</v>
      </c>
      <c r="D42" s="37">
        <v>0.6899744811276125</v>
      </c>
      <c r="E42" s="32"/>
      <c r="F42" s="32"/>
    </row>
    <row r="43" ht="15.75" customHeight="1">
      <c r="A43" s="14" t="s">
        <v>75</v>
      </c>
      <c r="B43" s="14" t="s">
        <v>78</v>
      </c>
      <c r="C43" s="15" t="s">
        <v>32</v>
      </c>
      <c r="D43" s="37">
        <v>0.598687660112452</v>
      </c>
      <c r="E43" s="32"/>
      <c r="F43" s="32"/>
    </row>
    <row r="44" ht="15.75" customHeight="1">
      <c r="A44" s="14" t="s">
        <v>75</v>
      </c>
      <c r="B44" s="14" t="s">
        <v>79</v>
      </c>
      <c r="C44" s="15" t="s">
        <v>28</v>
      </c>
      <c r="D44" s="37">
        <v>0.6456563062257954</v>
      </c>
      <c r="E44" s="32"/>
      <c r="F44" s="32"/>
    </row>
    <row r="45" ht="15.75" customHeight="1">
      <c r="A45" s="14" t="s">
        <v>75</v>
      </c>
      <c r="B45" s="14" t="s">
        <v>80</v>
      </c>
      <c r="C45" s="15" t="s">
        <v>45</v>
      </c>
      <c r="D45" s="37">
        <v>0.35434369377420455</v>
      </c>
      <c r="E45" s="32"/>
      <c r="F45" s="32"/>
    </row>
    <row r="46" ht="15.75" customHeight="1">
      <c r="A46" s="14" t="s">
        <v>13</v>
      </c>
      <c r="B46" s="14" t="s">
        <v>82</v>
      </c>
      <c r="C46" s="15" t="s">
        <v>32</v>
      </c>
      <c r="D46" s="37">
        <v>0.7310585786300049</v>
      </c>
      <c r="E46" s="32"/>
      <c r="F46" s="32"/>
    </row>
    <row r="47" ht="15.75" customHeight="1">
      <c r="A47" s="14" t="s">
        <v>13</v>
      </c>
      <c r="B47" s="14" t="s">
        <v>83</v>
      </c>
      <c r="C47" s="15" t="s">
        <v>39</v>
      </c>
      <c r="D47" s="37">
        <v>0.401312339887548</v>
      </c>
      <c r="E47" s="32"/>
      <c r="F47" s="32"/>
    </row>
    <row r="48" ht="15.75" customHeight="1">
      <c r="A48" s="14" t="s">
        <v>13</v>
      </c>
      <c r="B48" s="14" t="s">
        <v>84</v>
      </c>
      <c r="C48" s="15" t="s">
        <v>30</v>
      </c>
      <c r="D48" s="37">
        <v>0.31002551887238755</v>
      </c>
      <c r="E48" s="32"/>
      <c r="F48" s="32"/>
    </row>
    <row r="49" ht="15.75" customHeight="1">
      <c r="A49" s="14" t="s">
        <v>13</v>
      </c>
      <c r="B49" s="14" t="s">
        <v>85</v>
      </c>
      <c r="C49" s="15" t="s">
        <v>30</v>
      </c>
      <c r="D49" s="37">
        <v>0.7310585786300049</v>
      </c>
      <c r="E49" s="32"/>
      <c r="F49" s="32"/>
    </row>
    <row r="50" ht="15.75" customHeight="1">
      <c r="A50" s="14" t="s">
        <v>13</v>
      </c>
      <c r="B50" s="14" t="s">
        <v>86</v>
      </c>
      <c r="C50" s="15" t="s">
        <v>32</v>
      </c>
      <c r="D50" s="37">
        <v>0.31002551887238755</v>
      </c>
      <c r="E50" s="32"/>
      <c r="F50" s="32"/>
    </row>
    <row r="51" ht="15.75" customHeight="1">
      <c r="A51" s="14" t="s">
        <v>10</v>
      </c>
      <c r="B51" s="14" t="s">
        <v>87</v>
      </c>
      <c r="C51" s="15" t="s">
        <v>30</v>
      </c>
      <c r="D51" s="37">
        <v>0.6456563062257954</v>
      </c>
      <c r="E51" s="32"/>
      <c r="F51" s="32"/>
    </row>
    <row r="52" ht="15.75" customHeight="1">
      <c r="A52" s="14" t="s">
        <v>10</v>
      </c>
      <c r="B52" s="14" t="s">
        <v>88</v>
      </c>
      <c r="C52" s="15" t="s">
        <v>30</v>
      </c>
      <c r="D52" s="37">
        <v>0.598687660112452</v>
      </c>
      <c r="E52" s="32"/>
      <c r="F52" s="32"/>
    </row>
    <row r="53" ht="15.75" customHeight="1">
      <c r="A53" s="14" t="s">
        <v>10</v>
      </c>
      <c r="B53" s="14" t="s">
        <v>89</v>
      </c>
      <c r="C53" s="15" t="s">
        <v>26</v>
      </c>
      <c r="D53" s="37">
        <v>0.8021838885585817</v>
      </c>
      <c r="E53" s="32"/>
      <c r="F53" s="32"/>
    </row>
    <row r="54" ht="15.75" customHeight="1">
      <c r="A54" s="14" t="s">
        <v>10</v>
      </c>
      <c r="B54" s="14" t="s">
        <v>90</v>
      </c>
      <c r="C54" s="15" t="s">
        <v>32</v>
      </c>
      <c r="D54" s="37">
        <v>0.5</v>
      </c>
      <c r="E54" s="32"/>
      <c r="F54" s="32"/>
    </row>
    <row r="55" ht="15.75" customHeight="1">
      <c r="A55" s="14" t="s">
        <v>10</v>
      </c>
      <c r="B55" s="20" t="s">
        <v>91</v>
      </c>
      <c r="C55" s="15" t="s">
        <v>50</v>
      </c>
      <c r="D55" s="37">
        <v>0.6899744811276125</v>
      </c>
      <c r="E55" s="32"/>
      <c r="F55" s="32"/>
    </row>
    <row r="56" ht="15.75" customHeight="1">
      <c r="A56" s="14" t="s">
        <v>17</v>
      </c>
      <c r="B56" s="14" t="s">
        <v>92</v>
      </c>
      <c r="C56" s="15" t="s">
        <v>32</v>
      </c>
      <c r="D56" s="37">
        <v>0.35434369377420455</v>
      </c>
      <c r="E56" s="32"/>
      <c r="F56" s="32"/>
    </row>
    <row r="57" ht="15.75" customHeight="1">
      <c r="A57" s="14" t="s">
        <v>17</v>
      </c>
      <c r="B57" s="14" t="s">
        <v>93</v>
      </c>
      <c r="C57" s="15" t="s">
        <v>32</v>
      </c>
      <c r="D57" s="37">
        <v>0.35434369377420455</v>
      </c>
      <c r="E57" s="32"/>
      <c r="F57" s="32"/>
    </row>
    <row r="58" ht="15.75" customHeight="1">
      <c r="A58" s="14" t="s">
        <v>17</v>
      </c>
      <c r="B58" s="14" t="s">
        <v>94</v>
      </c>
      <c r="C58" s="15" t="s">
        <v>30</v>
      </c>
      <c r="D58" s="37">
        <v>0.19781611144141825</v>
      </c>
      <c r="E58" s="32"/>
      <c r="F58" s="32"/>
    </row>
    <row r="59" ht="15.75" customHeight="1">
      <c r="A59" s="14" t="s">
        <v>17</v>
      </c>
      <c r="B59" s="14" t="s">
        <v>95</v>
      </c>
      <c r="C59" s="15" t="s">
        <v>32</v>
      </c>
      <c r="D59" s="37">
        <v>0.35434369377420455</v>
      </c>
      <c r="E59" s="32"/>
      <c r="F59" s="32"/>
    </row>
    <row r="60" ht="15.75" customHeight="1">
      <c r="A60" s="14" t="s">
        <v>17</v>
      </c>
      <c r="B60" s="14" t="s">
        <v>96</v>
      </c>
      <c r="C60" s="15" t="s">
        <v>32</v>
      </c>
      <c r="D60" s="37">
        <v>0.35434369377420455</v>
      </c>
      <c r="E60" s="32"/>
      <c r="F60" s="32"/>
    </row>
    <row r="61">
      <c r="C61" s="33"/>
      <c r="D61" s="33"/>
      <c r="E61" s="33"/>
      <c r="F61" s="33"/>
    </row>
    <row r="62">
      <c r="C62" s="33"/>
      <c r="D62" s="33"/>
      <c r="E62" s="33"/>
      <c r="F62" s="33"/>
    </row>
    <row r="63">
      <c r="C63" s="33"/>
      <c r="D63" s="33"/>
      <c r="E63" s="33"/>
      <c r="F63" s="33"/>
    </row>
    <row r="64">
      <c r="C64" s="33"/>
      <c r="D64" s="33"/>
      <c r="E64" s="33"/>
      <c r="F64" s="33"/>
    </row>
    <row r="65">
      <c r="C65" s="33"/>
      <c r="D65" s="33"/>
      <c r="E65" s="33"/>
      <c r="F65" s="33"/>
    </row>
    <row r="66">
      <c r="C66" s="33"/>
      <c r="D66" s="33"/>
      <c r="E66" s="33"/>
      <c r="F66" s="33"/>
    </row>
    <row r="67">
      <c r="C67" s="33"/>
      <c r="D67" s="33"/>
      <c r="E67" s="33"/>
      <c r="F67" s="33"/>
    </row>
    <row r="68">
      <c r="C68" s="33"/>
      <c r="D68" s="33"/>
      <c r="E68" s="33"/>
      <c r="F68" s="33"/>
    </row>
    <row r="69">
      <c r="C69" s="33"/>
      <c r="D69" s="33"/>
      <c r="E69" s="33"/>
      <c r="F69" s="33"/>
    </row>
    <row r="70">
      <c r="C70" s="33"/>
      <c r="D70" s="33"/>
      <c r="E70" s="33"/>
      <c r="F70" s="33"/>
    </row>
    <row r="71">
      <c r="C71" s="33"/>
      <c r="D71" s="33"/>
      <c r="E71" s="33"/>
      <c r="F71" s="33"/>
    </row>
    <row r="72">
      <c r="C72" s="33"/>
      <c r="D72" s="33"/>
      <c r="E72" s="33"/>
      <c r="F72" s="33"/>
    </row>
    <row r="73">
      <c r="C73" s="33"/>
      <c r="D73" s="33"/>
      <c r="E73" s="33"/>
      <c r="F73" s="33"/>
    </row>
    <row r="74">
      <c r="C74" s="33"/>
      <c r="D74" s="33"/>
      <c r="E74" s="33"/>
      <c r="F74" s="33"/>
    </row>
    <row r="75">
      <c r="C75" s="33"/>
      <c r="D75" s="33"/>
      <c r="E75" s="33"/>
      <c r="F75" s="33"/>
    </row>
    <row r="76">
      <c r="C76" s="33"/>
      <c r="D76" s="33"/>
      <c r="E76" s="33"/>
      <c r="F76" s="33"/>
    </row>
    <row r="77">
      <c r="C77" s="33"/>
      <c r="D77" s="33"/>
      <c r="E77" s="33"/>
      <c r="F77" s="33"/>
    </row>
    <row r="78">
      <c r="C78" s="33"/>
      <c r="D78" s="33"/>
      <c r="E78" s="33"/>
      <c r="F78" s="33"/>
    </row>
    <row r="79">
      <c r="C79" s="33"/>
      <c r="D79" s="33"/>
      <c r="E79" s="33"/>
      <c r="F79" s="33"/>
    </row>
    <row r="80">
      <c r="C80" s="33"/>
      <c r="D80" s="33"/>
      <c r="E80" s="33"/>
      <c r="F80" s="33"/>
    </row>
    <row r="81">
      <c r="C81" s="33"/>
      <c r="D81" s="33"/>
      <c r="E81" s="33"/>
      <c r="F81" s="33"/>
    </row>
    <row r="82" ht="15.75" customHeight="1">
      <c r="C82" s="33"/>
      <c r="D82" s="33"/>
      <c r="E82" s="33"/>
      <c r="F82" s="33"/>
    </row>
    <row r="83" ht="15.75" customHeight="1">
      <c r="C83" s="33"/>
      <c r="D83" s="33"/>
      <c r="E83" s="33"/>
      <c r="F83" s="33"/>
    </row>
    <row r="84" ht="15.75" customHeight="1">
      <c r="C84" s="33"/>
      <c r="D84" s="33"/>
      <c r="E84" s="33"/>
      <c r="F84" s="33"/>
    </row>
    <row r="85" ht="15.75" customHeight="1">
      <c r="C85" s="33"/>
      <c r="D85" s="33"/>
      <c r="E85" s="33"/>
      <c r="F85" s="33"/>
    </row>
    <row r="86" ht="15.75" customHeight="1">
      <c r="C86" s="33"/>
      <c r="D86" s="33"/>
      <c r="E86" s="33"/>
      <c r="F86" s="33"/>
    </row>
    <row r="87" ht="15.75" customHeight="1">
      <c r="C87" s="33"/>
      <c r="D87" s="33"/>
      <c r="E87" s="33"/>
      <c r="F87" s="33"/>
    </row>
    <row r="88" ht="15.75" customHeight="1">
      <c r="C88" s="33"/>
      <c r="D88" s="33"/>
      <c r="E88" s="33"/>
      <c r="F88" s="33"/>
    </row>
    <row r="89" ht="15.75" customHeight="1">
      <c r="C89" s="33"/>
      <c r="D89" s="33"/>
      <c r="E89" s="33"/>
      <c r="F89" s="33"/>
    </row>
    <row r="90" ht="15.75" customHeight="1">
      <c r="C90" s="33"/>
      <c r="D90" s="33"/>
      <c r="E90" s="33"/>
      <c r="F90" s="33"/>
    </row>
    <row r="91" ht="15.75" customHeight="1">
      <c r="C91" s="33"/>
      <c r="D91" s="33"/>
      <c r="E91" s="33"/>
      <c r="F91" s="33"/>
    </row>
    <row r="92" ht="15.75" customHeight="1">
      <c r="C92" s="33"/>
      <c r="D92" s="33"/>
      <c r="E92" s="33"/>
      <c r="F92" s="33"/>
    </row>
    <row r="93" ht="15.75" customHeight="1">
      <c r="C93" s="33"/>
      <c r="D93" s="33"/>
      <c r="E93" s="33"/>
      <c r="F93" s="33"/>
    </row>
    <row r="94" ht="15.75" customHeight="1">
      <c r="C94" s="33"/>
      <c r="D94" s="33"/>
      <c r="E94" s="33"/>
      <c r="F94" s="33"/>
    </row>
    <row r="95" ht="15.75" customHeight="1">
      <c r="C95" s="33"/>
      <c r="D95" s="33"/>
      <c r="E95" s="33"/>
      <c r="F95" s="33"/>
    </row>
    <row r="96" ht="15.75" customHeight="1">
      <c r="C96" s="33"/>
      <c r="D96" s="33"/>
      <c r="E96" s="33"/>
      <c r="F96" s="33"/>
    </row>
    <row r="97" ht="15.75" customHeight="1">
      <c r="C97" s="33"/>
      <c r="D97" s="33"/>
      <c r="E97" s="33"/>
      <c r="F97" s="33"/>
    </row>
    <row r="98" ht="15.75" customHeight="1">
      <c r="C98" s="33"/>
      <c r="D98" s="33"/>
      <c r="E98" s="33"/>
      <c r="F98" s="33"/>
    </row>
    <row r="99" ht="15.75" customHeight="1">
      <c r="C99" s="33"/>
      <c r="D99" s="33"/>
      <c r="E99" s="33"/>
      <c r="F99" s="33"/>
    </row>
    <row r="100" ht="15.75" customHeight="1">
      <c r="C100" s="33"/>
      <c r="D100" s="33"/>
      <c r="E100" s="33"/>
      <c r="F100" s="33"/>
    </row>
    <row r="101" ht="15.75" customHeight="1">
      <c r="C101" s="33"/>
      <c r="D101" s="33"/>
      <c r="E101" s="33"/>
      <c r="F101" s="33"/>
    </row>
    <row r="102" ht="15.75" customHeight="1">
      <c r="C102" s="33"/>
      <c r="D102" s="33"/>
      <c r="E102" s="33"/>
      <c r="F102" s="33"/>
    </row>
    <row r="103" ht="15.75" customHeight="1">
      <c r="C103" s="33"/>
      <c r="D103" s="33"/>
      <c r="E103" s="33"/>
      <c r="F103" s="33"/>
    </row>
    <row r="104" ht="15.75" customHeight="1">
      <c r="C104" s="33"/>
      <c r="D104" s="33"/>
      <c r="E104" s="33"/>
      <c r="F104" s="33"/>
    </row>
    <row r="105" ht="15.75" customHeight="1">
      <c r="C105" s="33"/>
      <c r="D105" s="33"/>
      <c r="E105" s="33"/>
      <c r="F105" s="33"/>
    </row>
    <row r="106" ht="15.75" customHeight="1">
      <c r="C106" s="33"/>
      <c r="D106" s="33"/>
      <c r="E106" s="33"/>
      <c r="F106" s="33"/>
    </row>
    <row r="107" ht="15.75" customHeight="1">
      <c r="C107" s="33"/>
      <c r="D107" s="33"/>
      <c r="E107" s="33"/>
      <c r="F107" s="33"/>
    </row>
    <row r="108" ht="15.75" customHeight="1">
      <c r="C108" s="33"/>
      <c r="D108" s="33"/>
      <c r="E108" s="33"/>
      <c r="F108" s="33"/>
    </row>
    <row r="109" ht="15.75" customHeight="1">
      <c r="C109" s="33"/>
      <c r="D109" s="33"/>
      <c r="E109" s="33"/>
      <c r="F109" s="33"/>
    </row>
    <row r="110" ht="15.75" customHeight="1">
      <c r="C110" s="33"/>
      <c r="D110" s="33"/>
      <c r="E110" s="33"/>
      <c r="F110" s="33"/>
    </row>
    <row r="111" ht="15.75" customHeight="1">
      <c r="C111" s="33"/>
      <c r="D111" s="33"/>
      <c r="E111" s="33"/>
      <c r="F111" s="33"/>
    </row>
    <row r="112" ht="15.75" customHeight="1">
      <c r="C112" s="33"/>
      <c r="D112" s="33"/>
      <c r="E112" s="33"/>
      <c r="F112" s="33"/>
    </row>
    <row r="113" ht="15.75" customHeight="1">
      <c r="C113" s="33"/>
      <c r="D113" s="33"/>
      <c r="E113" s="33"/>
      <c r="F113" s="33"/>
    </row>
    <row r="114" ht="15.75" customHeight="1">
      <c r="C114" s="33"/>
      <c r="D114" s="33"/>
      <c r="E114" s="33"/>
      <c r="F114" s="33"/>
    </row>
    <row r="115" ht="15.75" customHeight="1">
      <c r="C115" s="33"/>
      <c r="D115" s="33"/>
      <c r="E115" s="33"/>
      <c r="F115" s="33"/>
    </row>
    <row r="116" ht="15.75" customHeight="1">
      <c r="C116" s="33"/>
      <c r="D116" s="33"/>
      <c r="E116" s="33"/>
      <c r="F116" s="33"/>
    </row>
    <row r="117" ht="15.75" customHeight="1">
      <c r="C117" s="33"/>
      <c r="D117" s="33"/>
      <c r="E117" s="33"/>
      <c r="F117" s="33"/>
    </row>
    <row r="118" ht="15.75" customHeight="1">
      <c r="C118" s="33"/>
      <c r="D118" s="33"/>
      <c r="E118" s="33"/>
      <c r="F118" s="33"/>
    </row>
    <row r="119" ht="15.75" customHeight="1">
      <c r="C119" s="33"/>
      <c r="D119" s="33"/>
      <c r="E119" s="33"/>
      <c r="F119" s="33"/>
    </row>
    <row r="120" ht="15.75" customHeight="1">
      <c r="C120" s="33"/>
      <c r="D120" s="33"/>
      <c r="E120" s="33"/>
      <c r="F120" s="33"/>
    </row>
    <row r="121" ht="15.75" customHeight="1">
      <c r="C121" s="33"/>
      <c r="D121" s="33"/>
      <c r="E121" s="33"/>
      <c r="F121" s="33"/>
    </row>
    <row r="122" ht="15.75" customHeight="1">
      <c r="C122" s="33"/>
      <c r="D122" s="33"/>
      <c r="E122" s="33"/>
      <c r="F122" s="33"/>
    </row>
    <row r="123" ht="15.75" customHeight="1">
      <c r="C123" s="33"/>
      <c r="D123" s="33"/>
      <c r="E123" s="33"/>
      <c r="F123" s="33"/>
    </row>
    <row r="124" ht="15.75" customHeight="1">
      <c r="C124" s="33"/>
      <c r="D124" s="33"/>
      <c r="E124" s="33"/>
      <c r="F124" s="33"/>
    </row>
    <row r="125" ht="15.75" customHeight="1">
      <c r="C125" s="33"/>
      <c r="D125" s="33"/>
      <c r="E125" s="33"/>
      <c r="F125" s="33"/>
    </row>
    <row r="126" ht="15.75" customHeight="1">
      <c r="C126" s="33"/>
      <c r="D126" s="33"/>
      <c r="E126" s="33"/>
      <c r="F126" s="33"/>
    </row>
    <row r="127" ht="15.75" customHeight="1">
      <c r="C127" s="33"/>
      <c r="D127" s="33"/>
      <c r="E127" s="33"/>
      <c r="F127" s="33"/>
    </row>
    <row r="128" ht="15.75" customHeight="1">
      <c r="C128" s="33"/>
      <c r="D128" s="33"/>
      <c r="E128" s="33"/>
      <c r="F128" s="33"/>
    </row>
    <row r="129" ht="15.75" customHeight="1">
      <c r="C129" s="33"/>
      <c r="D129" s="33"/>
      <c r="E129" s="33"/>
      <c r="F129" s="33"/>
    </row>
    <row r="130" ht="15.75" customHeight="1">
      <c r="C130" s="33"/>
      <c r="D130" s="33"/>
      <c r="E130" s="33"/>
      <c r="F130" s="33"/>
    </row>
    <row r="131" ht="15.75" customHeight="1">
      <c r="C131" s="33"/>
      <c r="D131" s="33"/>
      <c r="E131" s="33"/>
      <c r="F131" s="33"/>
    </row>
    <row r="132" ht="15.75" customHeight="1">
      <c r="C132" s="33"/>
      <c r="D132" s="33"/>
      <c r="E132" s="33"/>
      <c r="F132" s="33"/>
    </row>
    <row r="133" ht="15.75" customHeight="1">
      <c r="C133" s="33"/>
      <c r="D133" s="33"/>
      <c r="E133" s="33"/>
      <c r="F133" s="33"/>
    </row>
    <row r="134" ht="15.75" customHeight="1">
      <c r="C134" s="33"/>
      <c r="D134" s="33"/>
      <c r="E134" s="33"/>
      <c r="F134" s="33"/>
    </row>
    <row r="135" ht="15.75" customHeight="1">
      <c r="C135" s="33"/>
      <c r="D135" s="33"/>
      <c r="E135" s="33"/>
      <c r="F135" s="33"/>
    </row>
    <row r="136" ht="15.75" customHeight="1">
      <c r="C136" s="33"/>
      <c r="D136" s="33"/>
      <c r="E136" s="33"/>
      <c r="F136" s="33"/>
    </row>
    <row r="137" ht="15.75" customHeight="1">
      <c r="C137" s="33"/>
      <c r="D137" s="33"/>
      <c r="E137" s="33"/>
      <c r="F137" s="33"/>
    </row>
    <row r="138" ht="15.75" customHeight="1">
      <c r="C138" s="33"/>
      <c r="D138" s="33"/>
      <c r="E138" s="33"/>
      <c r="F138" s="33"/>
    </row>
    <row r="139" ht="15.75" customHeight="1">
      <c r="C139" s="33"/>
      <c r="D139" s="33"/>
      <c r="E139" s="33"/>
      <c r="F139" s="33"/>
    </row>
    <row r="140" ht="15.75" customHeight="1">
      <c r="C140" s="33"/>
      <c r="D140" s="33"/>
      <c r="E140" s="33"/>
      <c r="F140" s="33"/>
    </row>
    <row r="141" ht="15.75" customHeight="1">
      <c r="C141" s="33"/>
      <c r="D141" s="33"/>
      <c r="E141" s="33"/>
      <c r="F141" s="33"/>
    </row>
    <row r="142" ht="15.75" customHeight="1">
      <c r="C142" s="33"/>
      <c r="D142" s="33"/>
      <c r="E142" s="33"/>
      <c r="F142" s="33"/>
    </row>
    <row r="143" ht="15.75" customHeight="1">
      <c r="C143" s="33"/>
      <c r="D143" s="33"/>
      <c r="E143" s="33"/>
      <c r="F143" s="33"/>
    </row>
    <row r="144" ht="15.75" customHeight="1">
      <c r="C144" s="33"/>
      <c r="D144" s="33"/>
      <c r="E144" s="33"/>
      <c r="F144" s="33"/>
    </row>
    <row r="145" ht="15.75" customHeight="1">
      <c r="C145" s="33"/>
      <c r="D145" s="33"/>
      <c r="E145" s="33"/>
      <c r="F145" s="33"/>
    </row>
    <row r="146" ht="15.75" customHeight="1">
      <c r="C146" s="33"/>
      <c r="D146" s="33"/>
      <c r="E146" s="33"/>
      <c r="F146" s="33"/>
    </row>
    <row r="147" ht="15.75" customHeight="1">
      <c r="C147" s="33"/>
      <c r="D147" s="33"/>
      <c r="E147" s="33"/>
      <c r="F147" s="33"/>
    </row>
    <row r="148" ht="15.75" customHeight="1">
      <c r="C148" s="33"/>
      <c r="D148" s="33"/>
      <c r="E148" s="33"/>
      <c r="F148" s="33"/>
    </row>
    <row r="149" ht="15.75" customHeight="1">
      <c r="C149" s="33"/>
      <c r="D149" s="33"/>
      <c r="E149" s="33"/>
      <c r="F149" s="33"/>
    </row>
    <row r="150" ht="15.75" customHeight="1">
      <c r="C150" s="33"/>
      <c r="D150" s="33"/>
      <c r="E150" s="33"/>
      <c r="F150" s="33"/>
    </row>
    <row r="151" ht="15.75" customHeight="1">
      <c r="C151" s="33"/>
      <c r="D151" s="33"/>
      <c r="E151" s="33"/>
      <c r="F151" s="33"/>
    </row>
    <row r="152" ht="15.75" customHeight="1">
      <c r="C152" s="33"/>
      <c r="D152" s="33"/>
      <c r="E152" s="33"/>
      <c r="F152" s="33"/>
    </row>
    <row r="153" ht="15.75" customHeight="1">
      <c r="C153" s="33"/>
      <c r="D153" s="33"/>
      <c r="E153" s="33"/>
      <c r="F153" s="33"/>
    </row>
    <row r="154" ht="15.75" customHeight="1">
      <c r="C154" s="33"/>
      <c r="D154" s="33"/>
      <c r="E154" s="33"/>
      <c r="F154" s="33"/>
    </row>
    <row r="155" ht="15.75" customHeight="1">
      <c r="C155" s="33"/>
      <c r="D155" s="33"/>
      <c r="E155" s="33"/>
      <c r="F155" s="33"/>
    </row>
    <row r="156" ht="15.75" customHeight="1">
      <c r="C156" s="33"/>
      <c r="D156" s="33"/>
      <c r="E156" s="33"/>
      <c r="F156" s="33"/>
    </row>
    <row r="157" ht="15.75" customHeight="1">
      <c r="C157" s="33"/>
      <c r="D157" s="33"/>
      <c r="E157" s="33"/>
      <c r="F157" s="33"/>
    </row>
    <row r="158" ht="15.75" customHeight="1">
      <c r="C158" s="33"/>
      <c r="D158" s="33"/>
      <c r="E158" s="33"/>
      <c r="F158" s="33"/>
    </row>
    <row r="159" ht="15.75" customHeight="1">
      <c r="C159" s="33"/>
      <c r="D159" s="33"/>
      <c r="E159" s="33"/>
      <c r="F159" s="33"/>
    </row>
    <row r="160" ht="15.75" customHeight="1">
      <c r="C160" s="33"/>
      <c r="D160" s="33"/>
      <c r="E160" s="33"/>
      <c r="F160" s="33"/>
    </row>
    <row r="161" ht="15.75" customHeight="1">
      <c r="C161" s="33"/>
      <c r="D161" s="33"/>
      <c r="E161" s="33"/>
      <c r="F161" s="33"/>
    </row>
    <row r="162" ht="15.75" customHeight="1">
      <c r="C162" s="33"/>
      <c r="D162" s="33"/>
      <c r="E162" s="33"/>
      <c r="F162" s="33"/>
    </row>
    <row r="163" ht="15.75" customHeight="1">
      <c r="C163" s="33"/>
      <c r="D163" s="33"/>
      <c r="E163" s="33"/>
      <c r="F163" s="33"/>
    </row>
    <row r="164" ht="15.75" customHeight="1">
      <c r="C164" s="33"/>
      <c r="D164" s="33"/>
      <c r="E164" s="33"/>
      <c r="F164" s="33"/>
    </row>
    <row r="165" ht="15.75" customHeight="1">
      <c r="C165" s="33"/>
      <c r="D165" s="33"/>
      <c r="E165" s="33"/>
      <c r="F165" s="33"/>
    </row>
    <row r="166" ht="15.75" customHeight="1">
      <c r="C166" s="33"/>
      <c r="D166" s="33"/>
      <c r="E166" s="33"/>
      <c r="F166" s="33"/>
    </row>
    <row r="167" ht="15.75" customHeight="1">
      <c r="C167" s="33"/>
      <c r="D167" s="33"/>
      <c r="E167" s="33"/>
      <c r="F167" s="33"/>
    </row>
    <row r="168" ht="15.75" customHeight="1">
      <c r="C168" s="33"/>
      <c r="D168" s="33"/>
      <c r="E168" s="33"/>
      <c r="F168" s="33"/>
    </row>
    <row r="169" ht="15.75" customHeight="1">
      <c r="C169" s="33"/>
      <c r="D169" s="33"/>
      <c r="E169" s="33"/>
      <c r="F169" s="33"/>
    </row>
    <row r="170" ht="15.75" customHeight="1">
      <c r="C170" s="33"/>
      <c r="D170" s="33"/>
      <c r="E170" s="33"/>
      <c r="F170" s="33"/>
    </row>
    <row r="171" ht="15.75" customHeight="1">
      <c r="C171" s="33"/>
      <c r="D171" s="33"/>
      <c r="E171" s="33"/>
      <c r="F171" s="33"/>
    </row>
    <row r="172" ht="15.75" customHeight="1">
      <c r="C172" s="33"/>
      <c r="D172" s="33"/>
      <c r="E172" s="33"/>
      <c r="F172" s="33"/>
    </row>
    <row r="173" ht="15.75" customHeight="1">
      <c r="C173" s="33"/>
      <c r="D173" s="33"/>
      <c r="E173" s="33"/>
      <c r="F173" s="33"/>
    </row>
    <row r="174" ht="15.75" customHeight="1">
      <c r="C174" s="33"/>
      <c r="D174" s="33"/>
      <c r="E174" s="33"/>
      <c r="F174" s="33"/>
    </row>
    <row r="175" ht="15.75" customHeight="1">
      <c r="C175" s="33"/>
      <c r="D175" s="33"/>
      <c r="E175" s="33"/>
      <c r="F175" s="33"/>
    </row>
    <row r="176" ht="15.75" customHeight="1">
      <c r="C176" s="33"/>
      <c r="D176" s="33"/>
      <c r="E176" s="33"/>
      <c r="F176" s="33"/>
    </row>
    <row r="177" ht="15.75" customHeight="1">
      <c r="C177" s="33"/>
      <c r="D177" s="33"/>
      <c r="E177" s="33"/>
      <c r="F177" s="33"/>
    </row>
    <row r="178" ht="15.75" customHeight="1">
      <c r="C178" s="33"/>
      <c r="D178" s="33"/>
      <c r="E178" s="33"/>
      <c r="F178" s="33"/>
    </row>
    <row r="179" ht="15.75" customHeight="1">
      <c r="C179" s="33"/>
      <c r="D179" s="33"/>
      <c r="E179" s="33"/>
      <c r="F179" s="33"/>
    </row>
    <row r="180" ht="15.75" customHeight="1">
      <c r="C180" s="33"/>
      <c r="D180" s="33"/>
      <c r="E180" s="33"/>
      <c r="F180" s="33"/>
    </row>
    <row r="181" ht="15.75" customHeight="1">
      <c r="C181" s="33"/>
      <c r="D181" s="33"/>
      <c r="E181" s="33"/>
      <c r="F181" s="33"/>
    </row>
    <row r="182" ht="15.75" customHeight="1">
      <c r="C182" s="33"/>
      <c r="D182" s="33"/>
      <c r="E182" s="33"/>
      <c r="F182" s="33"/>
    </row>
    <row r="183" ht="15.75" customHeight="1">
      <c r="C183" s="33"/>
      <c r="D183" s="33"/>
      <c r="E183" s="33"/>
      <c r="F183" s="33"/>
    </row>
    <row r="184" ht="15.75" customHeight="1">
      <c r="C184" s="33"/>
      <c r="D184" s="33"/>
      <c r="E184" s="33"/>
      <c r="F184" s="33"/>
    </row>
    <row r="185" ht="15.75" customHeight="1">
      <c r="C185" s="33"/>
      <c r="D185" s="33"/>
      <c r="E185" s="33"/>
      <c r="F185" s="33"/>
    </row>
    <row r="186" ht="15.75" customHeight="1">
      <c r="C186" s="33"/>
      <c r="D186" s="33"/>
      <c r="E186" s="33"/>
      <c r="F186" s="33"/>
    </row>
    <row r="187" ht="15.75" customHeight="1">
      <c r="C187" s="33"/>
      <c r="D187" s="33"/>
      <c r="E187" s="33"/>
      <c r="F187" s="33"/>
    </row>
    <row r="188" ht="15.75" customHeight="1">
      <c r="C188" s="33"/>
      <c r="D188" s="33"/>
      <c r="E188" s="33"/>
      <c r="F188" s="33"/>
    </row>
    <row r="189" ht="15.75" customHeight="1">
      <c r="C189" s="33"/>
      <c r="D189" s="33"/>
      <c r="E189" s="33"/>
      <c r="F189" s="33"/>
    </row>
    <row r="190" ht="15.75" customHeight="1">
      <c r="C190" s="33"/>
      <c r="D190" s="33"/>
      <c r="E190" s="33"/>
      <c r="F190" s="33"/>
    </row>
    <row r="191" ht="15.75" customHeight="1">
      <c r="C191" s="33"/>
      <c r="D191" s="33"/>
      <c r="E191" s="33"/>
      <c r="F191" s="33"/>
    </row>
    <row r="192" ht="15.75" customHeight="1">
      <c r="C192" s="33"/>
      <c r="D192" s="33"/>
      <c r="E192" s="33"/>
      <c r="F192" s="33"/>
    </row>
    <row r="193" ht="15.75" customHeight="1">
      <c r="C193" s="33"/>
      <c r="D193" s="33"/>
      <c r="E193" s="33"/>
      <c r="F193" s="33"/>
    </row>
    <row r="194" ht="15.75" customHeight="1">
      <c r="C194" s="33"/>
      <c r="D194" s="33"/>
      <c r="E194" s="33"/>
      <c r="F194" s="33"/>
    </row>
    <row r="195" ht="15.75" customHeight="1">
      <c r="C195" s="33"/>
      <c r="D195" s="33"/>
      <c r="E195" s="33"/>
      <c r="F195" s="33"/>
    </row>
    <row r="196" ht="15.75" customHeight="1">
      <c r="C196" s="33"/>
      <c r="D196" s="33"/>
      <c r="E196" s="33"/>
      <c r="F196" s="33"/>
    </row>
    <row r="197" ht="15.75" customHeight="1">
      <c r="C197" s="33"/>
      <c r="D197" s="33"/>
      <c r="E197" s="33"/>
      <c r="F197" s="33"/>
    </row>
    <row r="198" ht="15.75" customHeight="1">
      <c r="C198" s="33"/>
      <c r="D198" s="33"/>
      <c r="E198" s="33"/>
      <c r="F198" s="33"/>
    </row>
    <row r="199" ht="15.75" customHeight="1">
      <c r="C199" s="33"/>
      <c r="D199" s="33"/>
      <c r="E199" s="33"/>
      <c r="F199" s="33"/>
    </row>
    <row r="200" ht="15.75" customHeight="1">
      <c r="C200" s="33"/>
      <c r="D200" s="33"/>
      <c r="E200" s="33"/>
      <c r="F200" s="33"/>
    </row>
    <row r="201" ht="15.75" customHeight="1">
      <c r="C201" s="33"/>
      <c r="D201" s="33"/>
      <c r="E201" s="33"/>
      <c r="F201" s="33"/>
    </row>
    <row r="202" ht="15.75" customHeight="1">
      <c r="C202" s="33"/>
      <c r="D202" s="33"/>
      <c r="E202" s="33"/>
      <c r="F202" s="33"/>
    </row>
    <row r="203" ht="15.75" customHeight="1">
      <c r="C203" s="33"/>
      <c r="D203" s="33"/>
      <c r="E203" s="33"/>
      <c r="F203" s="33"/>
    </row>
    <row r="204" ht="15.75" customHeight="1">
      <c r="C204" s="33"/>
      <c r="D204" s="33"/>
      <c r="E204" s="33"/>
      <c r="F204" s="33"/>
    </row>
    <row r="205" ht="15.75" customHeight="1">
      <c r="C205" s="33"/>
      <c r="D205" s="33"/>
      <c r="E205" s="33"/>
      <c r="F205" s="33"/>
    </row>
    <row r="206" ht="15.75" customHeight="1">
      <c r="C206" s="33"/>
      <c r="D206" s="33"/>
      <c r="E206" s="33"/>
      <c r="F206" s="33"/>
    </row>
    <row r="207" ht="15.75" customHeight="1">
      <c r="C207" s="33"/>
      <c r="D207" s="33"/>
      <c r="E207" s="33"/>
      <c r="F207" s="33"/>
    </row>
    <row r="208" ht="15.75" customHeight="1">
      <c r="C208" s="33"/>
      <c r="D208" s="33"/>
      <c r="E208" s="33"/>
      <c r="F208" s="33"/>
    </row>
    <row r="209" ht="15.75" customHeight="1">
      <c r="C209" s="33"/>
      <c r="D209" s="33"/>
      <c r="E209" s="33"/>
      <c r="F209" s="33"/>
    </row>
    <row r="210" ht="15.75" customHeight="1">
      <c r="C210" s="33"/>
      <c r="D210" s="33"/>
      <c r="E210" s="33"/>
      <c r="F210" s="33"/>
    </row>
    <row r="211" ht="15.75" customHeight="1">
      <c r="C211" s="33"/>
      <c r="D211" s="33"/>
      <c r="E211" s="33"/>
      <c r="F211" s="33"/>
    </row>
    <row r="212" ht="15.75" customHeight="1">
      <c r="C212" s="33"/>
      <c r="D212" s="33"/>
      <c r="E212" s="33"/>
      <c r="F212" s="33"/>
    </row>
    <row r="213" ht="15.75" customHeight="1">
      <c r="C213" s="33"/>
      <c r="D213" s="33"/>
      <c r="E213" s="33"/>
      <c r="F213" s="33"/>
    </row>
    <row r="214" ht="15.75" customHeight="1">
      <c r="C214" s="33"/>
      <c r="D214" s="33"/>
      <c r="E214" s="33"/>
      <c r="F214" s="33"/>
    </row>
    <row r="215" ht="15.75" customHeight="1">
      <c r="C215" s="33"/>
      <c r="D215" s="33"/>
      <c r="E215" s="33"/>
      <c r="F215" s="33"/>
    </row>
    <row r="216" ht="15.75" customHeight="1">
      <c r="C216" s="33"/>
      <c r="D216" s="33"/>
      <c r="E216" s="33"/>
      <c r="F216" s="33"/>
    </row>
    <row r="217" ht="15.75" customHeight="1">
      <c r="C217" s="33"/>
      <c r="D217" s="33"/>
      <c r="E217" s="33"/>
      <c r="F217" s="33"/>
    </row>
    <row r="218" ht="15.75" customHeight="1">
      <c r="C218" s="33"/>
      <c r="D218" s="33"/>
      <c r="E218" s="33"/>
      <c r="F218" s="33"/>
    </row>
    <row r="219" ht="15.75" customHeight="1">
      <c r="C219" s="33"/>
      <c r="D219" s="33"/>
      <c r="E219" s="33"/>
      <c r="F219" s="33"/>
    </row>
    <row r="220" ht="15.75" customHeight="1">
      <c r="C220" s="33"/>
      <c r="D220" s="33"/>
      <c r="E220" s="33"/>
      <c r="F220" s="33"/>
    </row>
    <row r="221" ht="15.75" customHeight="1">
      <c r="C221" s="33"/>
      <c r="D221" s="33"/>
      <c r="E221" s="33"/>
      <c r="F221" s="33"/>
    </row>
    <row r="222" ht="15.75" customHeight="1">
      <c r="C222" s="33"/>
      <c r="D222" s="33"/>
      <c r="E222" s="33"/>
      <c r="F222" s="33"/>
    </row>
    <row r="223" ht="15.75" customHeight="1">
      <c r="C223" s="33"/>
      <c r="D223" s="33"/>
      <c r="E223" s="33"/>
      <c r="F223" s="33"/>
    </row>
    <row r="224" ht="15.75" customHeight="1">
      <c r="C224" s="33"/>
      <c r="D224" s="33"/>
      <c r="E224" s="33"/>
      <c r="F224" s="33"/>
    </row>
    <row r="225" ht="15.75" customHeight="1">
      <c r="C225" s="33"/>
      <c r="D225" s="33"/>
      <c r="E225" s="33"/>
      <c r="F225" s="33"/>
    </row>
    <row r="226" ht="15.75" customHeight="1">
      <c r="C226" s="33"/>
      <c r="D226" s="33"/>
      <c r="E226" s="33"/>
      <c r="F226" s="33"/>
    </row>
    <row r="227" ht="15.75" customHeight="1">
      <c r="C227" s="33"/>
      <c r="D227" s="33"/>
      <c r="E227" s="33"/>
      <c r="F227" s="33"/>
    </row>
    <row r="228" ht="15.75" customHeight="1">
      <c r="C228" s="33"/>
      <c r="D228" s="33"/>
      <c r="E228" s="33"/>
      <c r="F228" s="33"/>
    </row>
    <row r="229" ht="15.75" customHeight="1">
      <c r="C229" s="33"/>
      <c r="D229" s="33"/>
      <c r="E229" s="33"/>
      <c r="F229" s="33"/>
    </row>
    <row r="230" ht="15.75" customHeight="1">
      <c r="C230" s="33"/>
      <c r="D230" s="33"/>
      <c r="E230" s="33"/>
      <c r="F230" s="33"/>
    </row>
    <row r="231" ht="15.75" customHeight="1">
      <c r="C231" s="33"/>
      <c r="D231" s="33"/>
      <c r="E231" s="33"/>
      <c r="F231" s="33"/>
    </row>
    <row r="232" ht="15.75" customHeight="1">
      <c r="C232" s="33"/>
      <c r="D232" s="33"/>
      <c r="E232" s="33"/>
      <c r="F232" s="33"/>
    </row>
    <row r="233" ht="15.75" customHeight="1">
      <c r="C233" s="33"/>
      <c r="D233" s="33"/>
      <c r="E233" s="33"/>
      <c r="F233" s="33"/>
    </row>
    <row r="234" ht="15.75" customHeight="1">
      <c r="C234" s="33"/>
      <c r="D234" s="33"/>
      <c r="E234" s="33"/>
      <c r="F234" s="33"/>
    </row>
    <row r="235" ht="15.75" customHeight="1">
      <c r="C235" s="33"/>
      <c r="D235" s="33"/>
      <c r="E235" s="33"/>
      <c r="F235" s="33"/>
    </row>
    <row r="236" ht="15.75" customHeight="1">
      <c r="C236" s="33"/>
      <c r="D236" s="33"/>
      <c r="E236" s="33"/>
      <c r="F236" s="33"/>
    </row>
    <row r="237" ht="15.75" customHeight="1">
      <c r="C237" s="33"/>
      <c r="D237" s="33"/>
      <c r="E237" s="33"/>
      <c r="F237" s="33"/>
    </row>
    <row r="238" ht="15.75" customHeight="1">
      <c r="C238" s="33"/>
      <c r="D238" s="33"/>
      <c r="E238" s="33"/>
      <c r="F238" s="33"/>
    </row>
    <row r="239" ht="15.75" customHeight="1">
      <c r="C239" s="33"/>
      <c r="D239" s="33"/>
      <c r="E239" s="33"/>
      <c r="F239" s="33"/>
    </row>
    <row r="240" ht="15.75" customHeight="1">
      <c r="C240" s="33"/>
      <c r="D240" s="33"/>
      <c r="E240" s="33"/>
      <c r="F240" s="33"/>
    </row>
    <row r="241" ht="15.75" customHeight="1">
      <c r="C241" s="33"/>
      <c r="D241" s="33"/>
      <c r="E241" s="33"/>
      <c r="F241" s="33"/>
    </row>
    <row r="242" ht="15.75" customHeight="1">
      <c r="C242" s="33"/>
      <c r="D242" s="33"/>
      <c r="E242" s="33"/>
      <c r="F242" s="33"/>
    </row>
    <row r="243" ht="15.75" customHeight="1">
      <c r="C243" s="33"/>
      <c r="D243" s="33"/>
      <c r="E243" s="33"/>
      <c r="F243" s="33"/>
    </row>
    <row r="244" ht="15.75" customHeight="1">
      <c r="C244" s="33"/>
      <c r="D244" s="33"/>
      <c r="E244" s="33"/>
      <c r="F244" s="33"/>
    </row>
    <row r="245" ht="15.75" customHeight="1">
      <c r="C245" s="33"/>
      <c r="D245" s="33"/>
      <c r="E245" s="33"/>
      <c r="F245" s="33"/>
    </row>
    <row r="246" ht="15.75" customHeight="1">
      <c r="C246" s="33"/>
      <c r="D246" s="33"/>
      <c r="E246" s="33"/>
      <c r="F246" s="33"/>
    </row>
    <row r="247" ht="15.75" customHeight="1">
      <c r="C247" s="33"/>
      <c r="D247" s="33"/>
      <c r="E247" s="33"/>
      <c r="F247" s="33"/>
    </row>
    <row r="248" ht="15.75" customHeight="1">
      <c r="C248" s="33"/>
      <c r="D248" s="33"/>
      <c r="E248" s="33"/>
      <c r="F248" s="33"/>
    </row>
    <row r="249" ht="15.75" customHeight="1">
      <c r="C249" s="33"/>
      <c r="D249" s="33"/>
      <c r="E249" s="33"/>
      <c r="F249" s="33"/>
    </row>
    <row r="250" ht="15.75" customHeight="1">
      <c r="C250" s="33"/>
      <c r="D250" s="33"/>
      <c r="E250" s="33"/>
      <c r="F250" s="33"/>
    </row>
    <row r="251" ht="15.75" customHeight="1">
      <c r="C251" s="33"/>
      <c r="D251" s="33"/>
      <c r="E251" s="33"/>
      <c r="F251" s="33"/>
    </row>
    <row r="252" ht="15.75" customHeight="1">
      <c r="C252" s="33"/>
      <c r="D252" s="33"/>
      <c r="E252" s="33"/>
      <c r="F252" s="33"/>
    </row>
    <row r="253" ht="15.75" customHeight="1">
      <c r="C253" s="33"/>
      <c r="D253" s="33"/>
      <c r="E253" s="33"/>
      <c r="F253" s="33"/>
    </row>
    <row r="254" ht="15.75" customHeight="1">
      <c r="C254" s="33"/>
      <c r="D254" s="33"/>
      <c r="E254" s="33"/>
      <c r="F254" s="33"/>
    </row>
    <row r="255" ht="15.75" customHeight="1">
      <c r="C255" s="33"/>
      <c r="D255" s="33"/>
      <c r="E255" s="33"/>
      <c r="F255" s="33"/>
    </row>
    <row r="256" ht="15.75" customHeight="1">
      <c r="C256" s="33"/>
      <c r="D256" s="33"/>
      <c r="E256" s="33"/>
      <c r="F256" s="33"/>
    </row>
    <row r="257" ht="15.75" customHeight="1">
      <c r="C257" s="33"/>
      <c r="D257" s="33"/>
      <c r="E257" s="33"/>
      <c r="F257" s="33"/>
    </row>
    <row r="258" ht="15.75" customHeight="1">
      <c r="C258" s="33"/>
      <c r="D258" s="33"/>
      <c r="E258" s="33"/>
      <c r="F258" s="33"/>
    </row>
    <row r="259" ht="15.75" customHeight="1">
      <c r="C259" s="33"/>
      <c r="D259" s="33"/>
      <c r="E259" s="33"/>
      <c r="F259" s="33"/>
    </row>
    <row r="260" ht="15.75" customHeight="1">
      <c r="C260" s="33"/>
      <c r="D260" s="33"/>
      <c r="E260" s="33"/>
      <c r="F260" s="33"/>
    </row>
    <row r="261" ht="15.75" customHeight="1">
      <c r="C261" s="33"/>
      <c r="D261" s="33"/>
      <c r="E261" s="33"/>
      <c r="F261" s="33"/>
    </row>
    <row r="262" ht="15.75" customHeight="1">
      <c r="C262" s="33"/>
      <c r="D262" s="33"/>
      <c r="E262" s="33"/>
      <c r="F262" s="33"/>
    </row>
    <row r="263" ht="15.75" customHeight="1">
      <c r="C263" s="33"/>
      <c r="D263" s="33"/>
      <c r="E263" s="33"/>
      <c r="F263" s="33"/>
    </row>
    <row r="264" ht="15.75" customHeight="1">
      <c r="C264" s="33"/>
      <c r="D264" s="33"/>
      <c r="E264" s="33"/>
      <c r="F264" s="33"/>
    </row>
    <row r="265" ht="15.75" customHeight="1">
      <c r="C265" s="33"/>
      <c r="D265" s="33"/>
      <c r="E265" s="33"/>
      <c r="F265" s="33"/>
    </row>
    <row r="266" ht="15.75" customHeight="1">
      <c r="C266" s="33"/>
      <c r="D266" s="33"/>
      <c r="E266" s="33"/>
      <c r="F266" s="33"/>
    </row>
    <row r="267" ht="15.75" customHeight="1">
      <c r="C267" s="33"/>
      <c r="D267" s="33"/>
      <c r="E267" s="33"/>
      <c r="F267" s="33"/>
    </row>
    <row r="268" ht="15.75" customHeight="1">
      <c r="C268" s="33"/>
      <c r="D268" s="33"/>
      <c r="E268" s="33"/>
      <c r="F268" s="33"/>
    </row>
    <row r="269" ht="15.75" customHeight="1">
      <c r="C269" s="33"/>
      <c r="D269" s="33"/>
      <c r="E269" s="33"/>
      <c r="F269" s="33"/>
    </row>
    <row r="270" ht="15.75" customHeight="1">
      <c r="C270" s="33"/>
      <c r="D270" s="33"/>
      <c r="E270" s="33"/>
      <c r="F270" s="33"/>
    </row>
    <row r="271" ht="15.75" customHeight="1">
      <c r="C271" s="33"/>
      <c r="D271" s="33"/>
      <c r="E271" s="33"/>
      <c r="F271" s="33"/>
    </row>
    <row r="272" ht="15.75" customHeight="1">
      <c r="C272" s="33"/>
      <c r="D272" s="33"/>
      <c r="E272" s="33"/>
      <c r="F272" s="33"/>
    </row>
    <row r="273" ht="15.75" customHeight="1">
      <c r="C273" s="33"/>
      <c r="D273" s="33"/>
      <c r="E273" s="33"/>
      <c r="F273" s="33"/>
    </row>
    <row r="274" ht="15.75" customHeight="1">
      <c r="C274" s="33"/>
      <c r="D274" s="33"/>
      <c r="E274" s="33"/>
      <c r="F274" s="33"/>
    </row>
    <row r="275" ht="15.75" customHeight="1">
      <c r="C275" s="33"/>
      <c r="D275" s="33"/>
      <c r="E275" s="33"/>
      <c r="F275" s="33"/>
    </row>
    <row r="276" ht="15.75" customHeight="1">
      <c r="C276" s="33"/>
      <c r="D276" s="33"/>
      <c r="E276" s="33"/>
      <c r="F276" s="33"/>
    </row>
    <row r="277" ht="15.75" customHeight="1">
      <c r="C277" s="33"/>
      <c r="D277" s="33"/>
      <c r="E277" s="33"/>
      <c r="F277" s="33"/>
    </row>
    <row r="278" ht="15.75" customHeight="1">
      <c r="C278" s="33"/>
      <c r="D278" s="33"/>
      <c r="E278" s="33"/>
      <c r="F278" s="33"/>
    </row>
    <row r="279" ht="15.75" customHeight="1">
      <c r="C279" s="33"/>
      <c r="D279" s="33"/>
      <c r="E279" s="33"/>
      <c r="F279" s="33"/>
    </row>
    <row r="280" ht="15.75" customHeight="1">
      <c r="C280" s="33"/>
      <c r="D280" s="33"/>
      <c r="E280" s="33"/>
      <c r="F280" s="33"/>
    </row>
    <row r="281" ht="15.75" customHeight="1">
      <c r="C281" s="33"/>
      <c r="D281" s="33"/>
      <c r="E281" s="33"/>
      <c r="F281" s="33"/>
    </row>
    <row r="282" ht="15.75" customHeight="1">
      <c r="C282" s="33"/>
      <c r="D282" s="33"/>
      <c r="E282" s="33"/>
      <c r="F282" s="33"/>
    </row>
    <row r="283" ht="15.75" customHeight="1">
      <c r="C283" s="33"/>
      <c r="D283" s="33"/>
      <c r="E283" s="33"/>
      <c r="F283" s="33"/>
    </row>
    <row r="284" ht="15.75" customHeight="1">
      <c r="C284" s="33"/>
      <c r="D284" s="33"/>
      <c r="E284" s="33"/>
      <c r="F284" s="33"/>
    </row>
    <row r="285" ht="15.75" customHeight="1">
      <c r="C285" s="33"/>
      <c r="D285" s="33"/>
      <c r="E285" s="33"/>
      <c r="F285" s="33"/>
    </row>
    <row r="286" ht="15.75" customHeight="1">
      <c r="C286" s="33"/>
      <c r="D286" s="33"/>
      <c r="E286" s="33"/>
      <c r="F286" s="33"/>
    </row>
    <row r="287" ht="15.75" customHeight="1">
      <c r="C287" s="33"/>
      <c r="D287" s="33"/>
      <c r="E287" s="33"/>
      <c r="F287" s="33"/>
    </row>
    <row r="288" ht="15.75" customHeight="1">
      <c r="C288" s="33"/>
      <c r="D288" s="33"/>
      <c r="E288" s="33"/>
      <c r="F288" s="33"/>
    </row>
    <row r="289" ht="15.75" customHeight="1">
      <c r="C289" s="33"/>
      <c r="D289" s="33"/>
      <c r="E289" s="33"/>
      <c r="F289" s="33"/>
    </row>
    <row r="290" ht="15.75" customHeight="1">
      <c r="C290" s="33"/>
      <c r="D290" s="33"/>
      <c r="E290" s="33"/>
      <c r="F290" s="33"/>
    </row>
    <row r="291" ht="15.75" customHeight="1">
      <c r="C291" s="33"/>
      <c r="D291" s="33"/>
      <c r="E291" s="33"/>
      <c r="F291" s="33"/>
    </row>
    <row r="292" ht="15.75" customHeight="1">
      <c r="C292" s="33"/>
      <c r="D292" s="33"/>
      <c r="E292" s="33"/>
      <c r="F292" s="33"/>
    </row>
    <row r="293" ht="15.75" customHeight="1">
      <c r="C293" s="33"/>
      <c r="D293" s="33"/>
      <c r="E293" s="33"/>
      <c r="F293" s="33"/>
    </row>
    <row r="294" ht="15.75" customHeight="1">
      <c r="C294" s="33"/>
      <c r="D294" s="33"/>
      <c r="E294" s="33"/>
      <c r="F294" s="33"/>
    </row>
    <row r="295" ht="15.75" customHeight="1">
      <c r="C295" s="33"/>
      <c r="D295" s="33"/>
      <c r="E295" s="33"/>
      <c r="F295" s="33"/>
    </row>
    <row r="296" ht="15.75" customHeight="1">
      <c r="C296" s="33"/>
      <c r="D296" s="33"/>
      <c r="E296" s="33"/>
      <c r="F296" s="33"/>
    </row>
    <row r="297" ht="15.75" customHeight="1">
      <c r="C297" s="33"/>
      <c r="D297" s="33"/>
      <c r="E297" s="33"/>
      <c r="F297" s="33"/>
    </row>
    <row r="298" ht="15.75" customHeight="1">
      <c r="C298" s="33"/>
      <c r="D298" s="33"/>
      <c r="E298" s="33"/>
      <c r="F298" s="33"/>
    </row>
    <row r="299" ht="15.75" customHeight="1">
      <c r="C299" s="33"/>
      <c r="D299" s="33"/>
      <c r="E299" s="33"/>
      <c r="F299" s="33"/>
    </row>
    <row r="300" ht="15.75" customHeight="1">
      <c r="C300" s="33"/>
      <c r="D300" s="33"/>
      <c r="E300" s="33"/>
      <c r="F300" s="33"/>
    </row>
    <row r="301" ht="15.75" customHeight="1">
      <c r="C301" s="33"/>
      <c r="D301" s="33"/>
      <c r="E301" s="33"/>
      <c r="F301" s="33"/>
    </row>
    <row r="302" ht="15.75" customHeight="1">
      <c r="C302" s="33"/>
      <c r="D302" s="33"/>
      <c r="E302" s="33"/>
      <c r="F302" s="33"/>
    </row>
    <row r="303" ht="15.75" customHeight="1">
      <c r="C303" s="33"/>
      <c r="D303" s="33"/>
      <c r="E303" s="33"/>
      <c r="F303" s="33"/>
    </row>
    <row r="304" ht="15.75" customHeight="1">
      <c r="C304" s="33"/>
      <c r="D304" s="33"/>
      <c r="E304" s="33"/>
      <c r="F304" s="33"/>
    </row>
    <row r="305" ht="15.75" customHeight="1">
      <c r="C305" s="33"/>
      <c r="D305" s="33"/>
      <c r="E305" s="33"/>
      <c r="F305" s="33"/>
    </row>
    <row r="306" ht="15.75" customHeight="1">
      <c r="C306" s="33"/>
      <c r="D306" s="33"/>
      <c r="E306" s="33"/>
      <c r="F306" s="33"/>
    </row>
    <row r="307" ht="15.75" customHeight="1">
      <c r="C307" s="33"/>
      <c r="D307" s="33"/>
      <c r="E307" s="33"/>
      <c r="F307" s="33"/>
    </row>
    <row r="308" ht="15.75" customHeight="1">
      <c r="C308" s="33"/>
      <c r="D308" s="33"/>
      <c r="E308" s="33"/>
      <c r="F308" s="33"/>
    </row>
    <row r="309" ht="15.75" customHeight="1">
      <c r="C309" s="33"/>
      <c r="D309" s="33"/>
      <c r="E309" s="33"/>
      <c r="F309" s="33"/>
    </row>
    <row r="310" ht="15.75" customHeight="1">
      <c r="C310" s="33"/>
      <c r="D310" s="33"/>
      <c r="E310" s="33"/>
      <c r="F310" s="33"/>
    </row>
    <row r="311" ht="15.75" customHeight="1">
      <c r="C311" s="33"/>
      <c r="D311" s="33"/>
      <c r="E311" s="33"/>
      <c r="F311" s="33"/>
    </row>
    <row r="312" ht="15.75" customHeight="1">
      <c r="C312" s="33"/>
      <c r="D312" s="33"/>
      <c r="E312" s="33"/>
      <c r="F312" s="33"/>
    </row>
    <row r="313" ht="15.75" customHeight="1">
      <c r="C313" s="33"/>
      <c r="D313" s="33"/>
      <c r="E313" s="33"/>
      <c r="F313" s="33"/>
    </row>
    <row r="314" ht="15.75" customHeight="1">
      <c r="C314" s="33"/>
      <c r="D314" s="33"/>
      <c r="E314" s="33"/>
      <c r="F314" s="33"/>
    </row>
    <row r="315" ht="15.75" customHeight="1">
      <c r="C315" s="33"/>
      <c r="D315" s="33"/>
      <c r="E315" s="33"/>
      <c r="F315" s="33"/>
    </row>
    <row r="316" ht="15.75" customHeight="1">
      <c r="C316" s="33"/>
      <c r="D316" s="33"/>
      <c r="E316" s="33"/>
      <c r="F316" s="33"/>
    </row>
    <row r="317" ht="15.75" customHeight="1">
      <c r="C317" s="33"/>
      <c r="D317" s="33"/>
      <c r="E317" s="33"/>
      <c r="F317" s="33"/>
    </row>
    <row r="318" ht="15.75" customHeight="1">
      <c r="C318" s="33"/>
      <c r="D318" s="33"/>
      <c r="E318" s="33"/>
      <c r="F318" s="33"/>
    </row>
    <row r="319" ht="15.75" customHeight="1">
      <c r="C319" s="33"/>
      <c r="D319" s="33"/>
      <c r="E319" s="33"/>
      <c r="F319" s="33"/>
    </row>
    <row r="320" ht="15.75" customHeight="1">
      <c r="C320" s="33"/>
      <c r="D320" s="33"/>
      <c r="E320" s="33"/>
      <c r="F320" s="33"/>
    </row>
    <row r="321" ht="15.75" customHeight="1">
      <c r="C321" s="33"/>
      <c r="D321" s="33"/>
      <c r="E321" s="33"/>
      <c r="F321" s="33"/>
    </row>
    <row r="322" ht="15.75" customHeight="1">
      <c r="C322" s="33"/>
      <c r="D322" s="33"/>
      <c r="E322" s="33"/>
      <c r="F322" s="33"/>
    </row>
    <row r="323" ht="15.75" customHeight="1">
      <c r="C323" s="33"/>
      <c r="D323" s="33"/>
      <c r="E323" s="33"/>
      <c r="F323" s="33"/>
    </row>
    <row r="324" ht="15.75" customHeight="1">
      <c r="C324" s="33"/>
      <c r="D324" s="33"/>
      <c r="E324" s="33"/>
      <c r="F324" s="33"/>
    </row>
    <row r="325" ht="15.75" customHeight="1">
      <c r="C325" s="33"/>
      <c r="D325" s="33"/>
      <c r="E325" s="33"/>
      <c r="F325" s="33"/>
    </row>
    <row r="326" ht="15.75" customHeight="1">
      <c r="C326" s="33"/>
      <c r="D326" s="33"/>
      <c r="E326" s="33"/>
      <c r="F326" s="33"/>
    </row>
    <row r="327" ht="15.75" customHeight="1">
      <c r="C327" s="33"/>
      <c r="D327" s="33"/>
      <c r="E327" s="33"/>
      <c r="F327" s="33"/>
    </row>
    <row r="328" ht="15.75" customHeight="1">
      <c r="C328" s="33"/>
      <c r="D328" s="33"/>
      <c r="E328" s="33"/>
      <c r="F328" s="33"/>
    </row>
    <row r="329" ht="15.75" customHeight="1">
      <c r="C329" s="33"/>
      <c r="D329" s="33"/>
      <c r="E329" s="33"/>
      <c r="F329" s="33"/>
    </row>
    <row r="330" ht="15.75" customHeight="1">
      <c r="C330" s="33"/>
      <c r="D330" s="33"/>
      <c r="E330" s="33"/>
      <c r="F330" s="33"/>
    </row>
    <row r="331" ht="15.75" customHeight="1">
      <c r="C331" s="33"/>
      <c r="D331" s="33"/>
      <c r="E331" s="33"/>
      <c r="F331" s="33"/>
    </row>
    <row r="332" ht="15.75" customHeight="1">
      <c r="C332" s="33"/>
      <c r="D332" s="33"/>
      <c r="E332" s="33"/>
      <c r="F332" s="33"/>
    </row>
    <row r="333" ht="15.75" customHeight="1">
      <c r="C333" s="33"/>
      <c r="D333" s="33"/>
      <c r="E333" s="33"/>
      <c r="F333" s="33"/>
    </row>
    <row r="334" ht="15.75" customHeight="1">
      <c r="C334" s="33"/>
      <c r="D334" s="33"/>
      <c r="E334" s="33"/>
      <c r="F334" s="33"/>
    </row>
    <row r="335" ht="15.75" customHeight="1">
      <c r="C335" s="33"/>
      <c r="D335" s="33"/>
      <c r="E335" s="33"/>
      <c r="F335" s="33"/>
    </row>
    <row r="336" ht="15.75" customHeight="1">
      <c r="C336" s="33"/>
      <c r="D336" s="33"/>
      <c r="E336" s="33"/>
      <c r="F336" s="33"/>
    </row>
    <row r="337" ht="15.75" customHeight="1">
      <c r="C337" s="33"/>
      <c r="D337" s="33"/>
      <c r="E337" s="33"/>
      <c r="F337" s="33"/>
    </row>
    <row r="338" ht="15.75" customHeight="1">
      <c r="C338" s="33"/>
      <c r="D338" s="33"/>
      <c r="E338" s="33"/>
      <c r="F338" s="33"/>
    </row>
    <row r="339" ht="15.75" customHeight="1">
      <c r="C339" s="33"/>
      <c r="D339" s="33"/>
      <c r="E339" s="33"/>
      <c r="F339" s="33"/>
    </row>
    <row r="340" ht="15.75" customHeight="1">
      <c r="C340" s="33"/>
      <c r="D340" s="33"/>
      <c r="E340" s="33"/>
      <c r="F340" s="33"/>
    </row>
    <row r="341" ht="15.75" customHeight="1">
      <c r="C341" s="33"/>
      <c r="D341" s="33"/>
      <c r="E341" s="33"/>
      <c r="F341" s="33"/>
    </row>
    <row r="342" ht="15.75" customHeight="1">
      <c r="C342" s="33"/>
      <c r="D342" s="33"/>
      <c r="E342" s="33"/>
      <c r="F342" s="33"/>
    </row>
    <row r="343" ht="15.75" customHeight="1">
      <c r="C343" s="33"/>
      <c r="D343" s="33"/>
      <c r="E343" s="33"/>
      <c r="F343" s="33"/>
    </row>
    <row r="344" ht="15.75" customHeight="1">
      <c r="C344" s="33"/>
      <c r="D344" s="33"/>
      <c r="E344" s="33"/>
      <c r="F344" s="33"/>
    </row>
    <row r="345" ht="15.75" customHeight="1">
      <c r="C345" s="33"/>
      <c r="D345" s="33"/>
      <c r="E345" s="33"/>
      <c r="F345" s="33"/>
    </row>
    <row r="346" ht="15.75" customHeight="1">
      <c r="C346" s="33"/>
      <c r="D346" s="33"/>
      <c r="E346" s="33"/>
      <c r="F346" s="33"/>
    </row>
    <row r="347" ht="15.75" customHeight="1">
      <c r="C347" s="33"/>
      <c r="D347" s="33"/>
      <c r="E347" s="33"/>
      <c r="F347" s="33"/>
    </row>
    <row r="348" ht="15.75" customHeight="1">
      <c r="C348" s="33"/>
      <c r="D348" s="33"/>
      <c r="E348" s="33"/>
      <c r="F348" s="33"/>
    </row>
    <row r="349" ht="15.75" customHeight="1">
      <c r="C349" s="33"/>
      <c r="D349" s="33"/>
      <c r="E349" s="33"/>
      <c r="F349" s="33"/>
    </row>
    <row r="350" ht="15.75" customHeight="1">
      <c r="C350" s="33"/>
      <c r="D350" s="33"/>
      <c r="E350" s="33"/>
      <c r="F350" s="33"/>
    </row>
    <row r="351" ht="15.75" customHeight="1">
      <c r="C351" s="33"/>
      <c r="D351" s="33"/>
      <c r="E351" s="33"/>
      <c r="F351" s="33"/>
    </row>
    <row r="352" ht="15.75" customHeight="1">
      <c r="C352" s="33"/>
      <c r="D352" s="33"/>
      <c r="E352" s="33"/>
      <c r="F352" s="33"/>
    </row>
    <row r="353" ht="15.75" customHeight="1">
      <c r="C353" s="33"/>
      <c r="D353" s="33"/>
      <c r="E353" s="33"/>
      <c r="F353" s="33"/>
    </row>
    <row r="354" ht="15.75" customHeight="1">
      <c r="C354" s="33"/>
      <c r="D354" s="33"/>
      <c r="E354" s="33"/>
      <c r="F354" s="33"/>
    </row>
    <row r="355" ht="15.75" customHeight="1">
      <c r="C355" s="33"/>
      <c r="D355" s="33"/>
      <c r="E355" s="33"/>
      <c r="F355" s="33"/>
    </row>
    <row r="356" ht="15.75" customHeight="1">
      <c r="C356" s="33"/>
      <c r="D356" s="33"/>
      <c r="E356" s="33"/>
      <c r="F356" s="33"/>
    </row>
    <row r="357" ht="15.75" customHeight="1">
      <c r="C357" s="33"/>
      <c r="D357" s="33"/>
      <c r="E357" s="33"/>
      <c r="F357" s="33"/>
    </row>
    <row r="358" ht="15.75" customHeight="1">
      <c r="C358" s="33"/>
      <c r="D358" s="33"/>
      <c r="E358" s="33"/>
      <c r="F358" s="33"/>
    </row>
    <row r="359" ht="15.75" customHeight="1">
      <c r="C359" s="33"/>
      <c r="D359" s="33"/>
      <c r="E359" s="33"/>
      <c r="F359" s="33"/>
    </row>
    <row r="360" ht="15.75" customHeight="1">
      <c r="C360" s="33"/>
      <c r="D360" s="33"/>
      <c r="E360" s="33"/>
      <c r="F360" s="33"/>
    </row>
    <row r="361" ht="15.75" customHeight="1">
      <c r="C361" s="33"/>
      <c r="D361" s="33"/>
      <c r="E361" s="33"/>
      <c r="F361" s="33"/>
    </row>
    <row r="362" ht="15.75" customHeight="1">
      <c r="C362" s="33"/>
      <c r="D362" s="33"/>
      <c r="E362" s="33"/>
      <c r="F362" s="33"/>
    </row>
    <row r="363" ht="15.75" customHeight="1">
      <c r="C363" s="33"/>
      <c r="D363" s="33"/>
      <c r="E363" s="33"/>
      <c r="F363" s="33"/>
    </row>
    <row r="364" ht="15.75" customHeight="1">
      <c r="C364" s="33"/>
      <c r="D364" s="33"/>
      <c r="E364" s="33"/>
      <c r="F364" s="33"/>
    </row>
    <row r="365" ht="15.75" customHeight="1">
      <c r="C365" s="33"/>
      <c r="D365" s="33"/>
      <c r="E365" s="33"/>
      <c r="F365" s="33"/>
    </row>
    <row r="366" ht="15.75" customHeight="1">
      <c r="C366" s="33"/>
      <c r="D366" s="33"/>
      <c r="E366" s="33"/>
      <c r="F366" s="33"/>
    </row>
    <row r="367" ht="15.75" customHeight="1">
      <c r="C367" s="33"/>
      <c r="D367" s="33"/>
      <c r="E367" s="33"/>
      <c r="F367" s="33"/>
    </row>
    <row r="368" ht="15.75" customHeight="1">
      <c r="C368" s="33"/>
      <c r="D368" s="33"/>
      <c r="E368" s="33"/>
      <c r="F368" s="33"/>
    </row>
    <row r="369" ht="15.75" customHeight="1">
      <c r="C369" s="33"/>
      <c r="D369" s="33"/>
      <c r="E369" s="33"/>
      <c r="F369" s="33"/>
    </row>
    <row r="370" ht="15.75" customHeight="1">
      <c r="C370" s="33"/>
      <c r="D370" s="33"/>
      <c r="E370" s="33"/>
      <c r="F370" s="33"/>
    </row>
    <row r="371" ht="15.75" customHeight="1">
      <c r="C371" s="33"/>
      <c r="D371" s="33"/>
      <c r="E371" s="33"/>
      <c r="F371" s="33"/>
    </row>
    <row r="372" ht="15.75" customHeight="1">
      <c r="C372" s="33"/>
      <c r="D372" s="33"/>
      <c r="E372" s="33"/>
      <c r="F372" s="33"/>
    </row>
    <row r="373" ht="15.75" customHeight="1">
      <c r="C373" s="33"/>
      <c r="D373" s="33"/>
      <c r="E373" s="33"/>
      <c r="F373" s="33"/>
    </row>
    <row r="374" ht="15.75" customHeight="1">
      <c r="C374" s="33"/>
      <c r="D374" s="33"/>
      <c r="E374" s="33"/>
      <c r="F374" s="33"/>
    </row>
    <row r="375" ht="15.75" customHeight="1">
      <c r="C375" s="33"/>
      <c r="D375" s="33"/>
      <c r="E375" s="33"/>
      <c r="F375" s="33"/>
    </row>
    <row r="376" ht="15.75" customHeight="1">
      <c r="C376" s="33"/>
      <c r="D376" s="33"/>
      <c r="E376" s="33"/>
      <c r="F376" s="33"/>
    </row>
    <row r="377" ht="15.75" customHeight="1">
      <c r="C377" s="33"/>
      <c r="D377" s="33"/>
      <c r="E377" s="33"/>
      <c r="F377" s="33"/>
    </row>
    <row r="378" ht="15.75" customHeight="1">
      <c r="C378" s="33"/>
      <c r="D378" s="33"/>
      <c r="E378" s="33"/>
      <c r="F378" s="33"/>
    </row>
    <row r="379" ht="15.75" customHeight="1">
      <c r="C379" s="33"/>
      <c r="D379" s="33"/>
      <c r="E379" s="33"/>
      <c r="F379" s="33"/>
    </row>
    <row r="380" ht="15.75" customHeight="1">
      <c r="C380" s="33"/>
      <c r="D380" s="33"/>
      <c r="E380" s="33"/>
      <c r="F380" s="33"/>
    </row>
    <row r="381" ht="15.75" customHeight="1">
      <c r="C381" s="33"/>
      <c r="D381" s="33"/>
      <c r="E381" s="33"/>
      <c r="F381" s="33"/>
    </row>
    <row r="382" ht="15.75" customHeight="1">
      <c r="C382" s="33"/>
      <c r="D382" s="33"/>
      <c r="E382" s="33"/>
      <c r="F382" s="33"/>
    </row>
    <row r="383" ht="15.75" customHeight="1">
      <c r="C383" s="33"/>
      <c r="D383" s="33"/>
      <c r="E383" s="33"/>
      <c r="F383" s="33"/>
    </row>
    <row r="384" ht="15.75" customHeight="1">
      <c r="C384" s="33"/>
      <c r="D384" s="33"/>
      <c r="E384" s="33"/>
      <c r="F384" s="33"/>
    </row>
    <row r="385" ht="15.75" customHeight="1">
      <c r="C385" s="33"/>
      <c r="D385" s="33"/>
      <c r="E385" s="33"/>
      <c r="F385" s="33"/>
    </row>
    <row r="386" ht="15.75" customHeight="1">
      <c r="C386" s="33"/>
      <c r="D386" s="33"/>
      <c r="E386" s="33"/>
      <c r="F386" s="33"/>
    </row>
    <row r="387" ht="15.75" customHeight="1">
      <c r="C387" s="33"/>
      <c r="D387" s="33"/>
      <c r="E387" s="33"/>
      <c r="F387" s="33"/>
    </row>
    <row r="388" ht="15.75" customHeight="1">
      <c r="C388" s="33"/>
      <c r="D388" s="33"/>
      <c r="E388" s="33"/>
      <c r="F388" s="33"/>
    </row>
    <row r="389" ht="15.75" customHeight="1">
      <c r="C389" s="33"/>
      <c r="D389" s="33"/>
      <c r="E389" s="33"/>
      <c r="F389" s="33"/>
    </row>
    <row r="390" ht="15.75" customHeight="1">
      <c r="C390" s="33"/>
      <c r="D390" s="33"/>
      <c r="E390" s="33"/>
      <c r="F390" s="33"/>
    </row>
    <row r="391" ht="15.75" customHeight="1">
      <c r="C391" s="33"/>
      <c r="D391" s="33"/>
      <c r="E391" s="33"/>
      <c r="F391" s="33"/>
    </row>
    <row r="392" ht="15.75" customHeight="1">
      <c r="C392" s="33"/>
      <c r="D392" s="33"/>
      <c r="E392" s="33"/>
      <c r="F392" s="33"/>
    </row>
    <row r="393" ht="15.75" customHeight="1">
      <c r="C393" s="33"/>
      <c r="D393" s="33"/>
      <c r="E393" s="33"/>
      <c r="F393" s="33"/>
    </row>
    <row r="394" ht="15.75" customHeight="1">
      <c r="C394" s="33"/>
      <c r="D394" s="33"/>
      <c r="E394" s="33"/>
      <c r="F394" s="33"/>
    </row>
    <row r="395" ht="15.75" customHeight="1">
      <c r="C395" s="33"/>
      <c r="D395" s="33"/>
      <c r="E395" s="33"/>
      <c r="F395" s="33"/>
    </row>
    <row r="396" ht="15.75" customHeight="1">
      <c r="C396" s="33"/>
      <c r="D396" s="33"/>
      <c r="E396" s="33"/>
      <c r="F396" s="33"/>
    </row>
    <row r="397" ht="15.75" customHeight="1">
      <c r="C397" s="33"/>
      <c r="D397" s="33"/>
      <c r="E397" s="33"/>
      <c r="F397" s="33"/>
    </row>
    <row r="398" ht="15.75" customHeight="1">
      <c r="C398" s="33"/>
      <c r="D398" s="33"/>
      <c r="E398" s="33"/>
      <c r="F398" s="33"/>
    </row>
    <row r="399" ht="15.75" customHeight="1">
      <c r="C399" s="33"/>
      <c r="D399" s="33"/>
      <c r="E399" s="33"/>
      <c r="F399" s="33"/>
    </row>
    <row r="400" ht="15.75" customHeight="1">
      <c r="C400" s="33"/>
      <c r="D400" s="33"/>
      <c r="E400" s="33"/>
      <c r="F400" s="33"/>
    </row>
    <row r="401" ht="15.75" customHeight="1">
      <c r="C401" s="33"/>
      <c r="D401" s="33"/>
      <c r="E401" s="33"/>
      <c r="F401" s="33"/>
    </row>
    <row r="402" ht="15.75" customHeight="1">
      <c r="C402" s="33"/>
      <c r="D402" s="33"/>
      <c r="E402" s="33"/>
      <c r="F402" s="33"/>
    </row>
    <row r="403" ht="15.75" customHeight="1">
      <c r="C403" s="33"/>
      <c r="D403" s="33"/>
      <c r="E403" s="33"/>
      <c r="F403" s="33"/>
    </row>
    <row r="404" ht="15.75" customHeight="1">
      <c r="C404" s="33"/>
      <c r="D404" s="33"/>
      <c r="E404" s="33"/>
      <c r="F404" s="33"/>
    </row>
    <row r="405" ht="15.75" customHeight="1">
      <c r="C405" s="33"/>
      <c r="D405" s="33"/>
      <c r="E405" s="33"/>
      <c r="F405" s="33"/>
    </row>
    <row r="406" ht="15.75" customHeight="1">
      <c r="C406" s="33"/>
      <c r="D406" s="33"/>
      <c r="E406" s="33"/>
      <c r="F406" s="33"/>
    </row>
    <row r="407" ht="15.75" customHeight="1">
      <c r="C407" s="33"/>
      <c r="D407" s="33"/>
      <c r="E407" s="33"/>
      <c r="F407" s="33"/>
    </row>
    <row r="408" ht="15.75" customHeight="1">
      <c r="C408" s="33"/>
      <c r="D408" s="33"/>
      <c r="E408" s="33"/>
      <c r="F408" s="33"/>
    </row>
    <row r="409" ht="15.75" customHeight="1">
      <c r="C409" s="33"/>
      <c r="D409" s="33"/>
      <c r="E409" s="33"/>
      <c r="F409" s="33"/>
    </row>
    <row r="410" ht="15.75" customHeight="1">
      <c r="C410" s="33"/>
      <c r="D410" s="33"/>
      <c r="E410" s="33"/>
      <c r="F410" s="33"/>
    </row>
    <row r="411" ht="15.75" customHeight="1">
      <c r="C411" s="33"/>
      <c r="D411" s="33"/>
      <c r="E411" s="33"/>
      <c r="F411" s="33"/>
    </row>
    <row r="412" ht="15.75" customHeight="1">
      <c r="C412" s="33"/>
      <c r="D412" s="33"/>
      <c r="E412" s="33"/>
      <c r="F412" s="33"/>
    </row>
    <row r="413" ht="15.75" customHeight="1">
      <c r="C413" s="33"/>
      <c r="D413" s="33"/>
      <c r="E413" s="33"/>
      <c r="F413" s="33"/>
    </row>
    <row r="414" ht="15.75" customHeight="1">
      <c r="C414" s="33"/>
      <c r="D414" s="33"/>
      <c r="E414" s="33"/>
      <c r="F414" s="33"/>
    </row>
    <row r="415" ht="15.75" customHeight="1">
      <c r="C415" s="33"/>
      <c r="D415" s="33"/>
      <c r="E415" s="33"/>
      <c r="F415" s="33"/>
    </row>
    <row r="416" ht="15.75" customHeight="1">
      <c r="C416" s="33"/>
      <c r="D416" s="33"/>
      <c r="E416" s="33"/>
      <c r="F416" s="33"/>
    </row>
    <row r="417" ht="15.75" customHeight="1">
      <c r="C417" s="33"/>
      <c r="D417" s="33"/>
      <c r="E417" s="33"/>
      <c r="F417" s="33"/>
    </row>
    <row r="418" ht="15.75" customHeight="1">
      <c r="C418" s="33"/>
      <c r="D418" s="33"/>
      <c r="E418" s="33"/>
      <c r="F418" s="33"/>
    </row>
    <row r="419" ht="15.75" customHeight="1">
      <c r="C419" s="33"/>
      <c r="D419" s="33"/>
      <c r="E419" s="33"/>
      <c r="F419" s="33"/>
    </row>
    <row r="420" ht="15.75" customHeight="1">
      <c r="C420" s="33"/>
      <c r="D420" s="33"/>
      <c r="E420" s="33"/>
      <c r="F420" s="33"/>
    </row>
    <row r="421" ht="15.75" customHeight="1">
      <c r="C421" s="33"/>
      <c r="D421" s="33"/>
      <c r="E421" s="33"/>
      <c r="F421" s="33"/>
    </row>
    <row r="422" ht="15.75" customHeight="1">
      <c r="C422" s="33"/>
      <c r="D422" s="33"/>
      <c r="E422" s="33"/>
      <c r="F422" s="33"/>
    </row>
    <row r="423" ht="15.75" customHeight="1">
      <c r="C423" s="33"/>
      <c r="D423" s="33"/>
      <c r="E423" s="33"/>
      <c r="F423" s="33"/>
    </row>
    <row r="424" ht="15.75" customHeight="1">
      <c r="C424" s="33"/>
      <c r="D424" s="33"/>
      <c r="E424" s="33"/>
      <c r="F424" s="33"/>
    </row>
    <row r="425" ht="15.75" customHeight="1">
      <c r="C425" s="33"/>
      <c r="D425" s="33"/>
      <c r="E425" s="33"/>
      <c r="F425" s="33"/>
    </row>
    <row r="426" ht="15.75" customHeight="1">
      <c r="C426" s="33"/>
      <c r="D426" s="33"/>
      <c r="E426" s="33"/>
      <c r="F426" s="33"/>
    </row>
    <row r="427" ht="15.75" customHeight="1">
      <c r="C427" s="33"/>
      <c r="D427" s="33"/>
      <c r="E427" s="33"/>
      <c r="F427" s="33"/>
    </row>
    <row r="428" ht="15.75" customHeight="1">
      <c r="C428" s="33"/>
      <c r="D428" s="33"/>
      <c r="E428" s="33"/>
      <c r="F428" s="33"/>
    </row>
    <row r="429" ht="15.75" customHeight="1">
      <c r="C429" s="33"/>
      <c r="D429" s="33"/>
      <c r="E429" s="33"/>
      <c r="F429" s="33"/>
    </row>
    <row r="430" ht="15.75" customHeight="1">
      <c r="C430" s="33"/>
      <c r="D430" s="33"/>
      <c r="E430" s="33"/>
      <c r="F430" s="33"/>
    </row>
    <row r="431" ht="15.75" customHeight="1">
      <c r="C431" s="33"/>
      <c r="D431" s="33"/>
      <c r="E431" s="33"/>
      <c r="F431" s="33"/>
    </row>
    <row r="432" ht="15.75" customHeight="1">
      <c r="C432" s="33"/>
      <c r="D432" s="33"/>
      <c r="E432" s="33"/>
      <c r="F432" s="33"/>
    </row>
    <row r="433" ht="15.75" customHeight="1">
      <c r="C433" s="33"/>
      <c r="D433" s="33"/>
      <c r="E433" s="33"/>
      <c r="F433" s="33"/>
    </row>
    <row r="434" ht="15.75" customHeight="1">
      <c r="C434" s="33"/>
      <c r="D434" s="33"/>
      <c r="E434" s="33"/>
      <c r="F434" s="33"/>
    </row>
    <row r="435" ht="15.75" customHeight="1">
      <c r="C435" s="33"/>
      <c r="D435" s="33"/>
      <c r="E435" s="33"/>
      <c r="F435" s="33"/>
    </row>
    <row r="436" ht="15.75" customHeight="1">
      <c r="C436" s="33"/>
      <c r="D436" s="33"/>
      <c r="E436" s="33"/>
      <c r="F436" s="33"/>
    </row>
    <row r="437" ht="15.75" customHeight="1">
      <c r="C437" s="33"/>
      <c r="D437" s="33"/>
      <c r="E437" s="33"/>
      <c r="F437" s="33"/>
    </row>
    <row r="438" ht="15.75" customHeight="1">
      <c r="C438" s="33"/>
      <c r="D438" s="33"/>
      <c r="E438" s="33"/>
      <c r="F438" s="33"/>
    </row>
    <row r="439" ht="15.75" customHeight="1">
      <c r="C439" s="33"/>
      <c r="D439" s="33"/>
      <c r="E439" s="33"/>
      <c r="F439" s="33"/>
    </row>
    <row r="440" ht="15.75" customHeight="1">
      <c r="C440" s="33"/>
      <c r="D440" s="33"/>
      <c r="E440" s="33"/>
      <c r="F440" s="33"/>
    </row>
    <row r="441" ht="15.75" customHeight="1">
      <c r="C441" s="33"/>
      <c r="D441" s="33"/>
      <c r="E441" s="33"/>
      <c r="F441" s="33"/>
    </row>
    <row r="442" ht="15.75" customHeight="1">
      <c r="C442" s="33"/>
      <c r="D442" s="33"/>
      <c r="E442" s="33"/>
      <c r="F442" s="33"/>
    </row>
    <row r="443" ht="15.75" customHeight="1">
      <c r="C443" s="33"/>
      <c r="D443" s="33"/>
      <c r="E443" s="33"/>
      <c r="F443" s="33"/>
    </row>
    <row r="444" ht="15.75" customHeight="1">
      <c r="C444" s="33"/>
      <c r="D444" s="33"/>
      <c r="E444" s="33"/>
      <c r="F444" s="33"/>
    </row>
    <row r="445" ht="15.75" customHeight="1">
      <c r="C445" s="33"/>
      <c r="D445" s="33"/>
      <c r="E445" s="33"/>
      <c r="F445" s="33"/>
    </row>
    <row r="446" ht="15.75" customHeight="1">
      <c r="C446" s="33"/>
      <c r="D446" s="33"/>
      <c r="E446" s="33"/>
      <c r="F446" s="33"/>
    </row>
    <row r="447" ht="15.75" customHeight="1">
      <c r="C447" s="33"/>
      <c r="D447" s="33"/>
      <c r="E447" s="33"/>
      <c r="F447" s="33"/>
    </row>
    <row r="448" ht="15.75" customHeight="1">
      <c r="C448" s="33"/>
      <c r="D448" s="33"/>
      <c r="E448" s="33"/>
      <c r="F448" s="33"/>
    </row>
    <row r="449" ht="15.75" customHeight="1">
      <c r="C449" s="33"/>
      <c r="D449" s="33"/>
      <c r="E449" s="33"/>
      <c r="F449" s="33"/>
    </row>
    <row r="450" ht="15.75" customHeight="1">
      <c r="C450" s="33"/>
      <c r="D450" s="33"/>
      <c r="E450" s="33"/>
      <c r="F450" s="33"/>
    </row>
    <row r="451" ht="15.75" customHeight="1">
      <c r="C451" s="33"/>
      <c r="D451" s="33"/>
      <c r="E451" s="33"/>
      <c r="F451" s="33"/>
    </row>
    <row r="452" ht="15.75" customHeight="1">
      <c r="C452" s="33"/>
      <c r="D452" s="33"/>
      <c r="E452" s="33"/>
      <c r="F452" s="33"/>
    </row>
    <row r="453" ht="15.75" customHeight="1">
      <c r="C453" s="33"/>
      <c r="D453" s="33"/>
      <c r="E453" s="33"/>
      <c r="F453" s="33"/>
    </row>
    <row r="454" ht="15.75" customHeight="1">
      <c r="C454" s="33"/>
      <c r="D454" s="33"/>
      <c r="E454" s="33"/>
      <c r="F454" s="33"/>
    </row>
    <row r="455" ht="15.75" customHeight="1">
      <c r="C455" s="33"/>
      <c r="D455" s="33"/>
      <c r="E455" s="33"/>
      <c r="F455" s="33"/>
    </row>
    <row r="456" ht="15.75" customHeight="1">
      <c r="C456" s="33"/>
      <c r="D456" s="33"/>
      <c r="E456" s="33"/>
      <c r="F456" s="33"/>
    </row>
    <row r="457" ht="15.75" customHeight="1">
      <c r="C457" s="33"/>
      <c r="D457" s="33"/>
      <c r="E457" s="33"/>
      <c r="F457" s="33"/>
    </row>
    <row r="458" ht="15.75" customHeight="1">
      <c r="C458" s="33"/>
      <c r="D458" s="33"/>
      <c r="E458" s="33"/>
      <c r="F458" s="33"/>
    </row>
    <row r="459" ht="15.75" customHeight="1">
      <c r="C459" s="33"/>
      <c r="D459" s="33"/>
      <c r="E459" s="33"/>
      <c r="F459" s="33"/>
    </row>
    <row r="460" ht="15.75" customHeight="1">
      <c r="C460" s="33"/>
      <c r="D460" s="33"/>
      <c r="E460" s="33"/>
      <c r="F460" s="33"/>
    </row>
    <row r="461" ht="15.75" customHeight="1">
      <c r="C461" s="33"/>
      <c r="D461" s="33"/>
      <c r="E461" s="33"/>
      <c r="F461" s="33"/>
    </row>
    <row r="462" ht="15.75" customHeight="1">
      <c r="C462" s="33"/>
      <c r="D462" s="33"/>
      <c r="E462" s="33"/>
      <c r="F462" s="33"/>
    </row>
    <row r="463" ht="15.75" customHeight="1">
      <c r="C463" s="33"/>
      <c r="D463" s="33"/>
      <c r="E463" s="33"/>
      <c r="F463" s="33"/>
    </row>
    <row r="464" ht="15.75" customHeight="1">
      <c r="C464" s="33"/>
      <c r="D464" s="33"/>
      <c r="E464" s="33"/>
      <c r="F464" s="33"/>
    </row>
    <row r="465" ht="15.75" customHeight="1">
      <c r="C465" s="33"/>
      <c r="D465" s="33"/>
      <c r="E465" s="33"/>
      <c r="F465" s="33"/>
    </row>
    <row r="466" ht="15.75" customHeight="1">
      <c r="C466" s="33"/>
      <c r="D466" s="33"/>
      <c r="E466" s="33"/>
      <c r="F466" s="33"/>
    </row>
    <row r="467" ht="15.75" customHeight="1">
      <c r="C467" s="33"/>
      <c r="D467" s="33"/>
      <c r="E467" s="33"/>
      <c r="F467" s="33"/>
    </row>
    <row r="468" ht="15.75" customHeight="1">
      <c r="C468" s="33"/>
      <c r="D468" s="33"/>
      <c r="E468" s="33"/>
      <c r="F468" s="33"/>
    </row>
    <row r="469" ht="15.75" customHeight="1">
      <c r="C469" s="33"/>
      <c r="D469" s="33"/>
      <c r="E469" s="33"/>
      <c r="F469" s="33"/>
    </row>
    <row r="470" ht="15.75" customHeight="1">
      <c r="C470" s="33"/>
      <c r="D470" s="33"/>
      <c r="E470" s="33"/>
      <c r="F470" s="33"/>
    </row>
    <row r="471" ht="15.75" customHeight="1">
      <c r="C471" s="33"/>
      <c r="D471" s="33"/>
      <c r="E471" s="33"/>
      <c r="F471" s="33"/>
    </row>
    <row r="472" ht="15.75" customHeight="1">
      <c r="C472" s="33"/>
      <c r="D472" s="33"/>
      <c r="E472" s="33"/>
      <c r="F472" s="33"/>
    </row>
    <row r="473" ht="15.75" customHeight="1">
      <c r="C473" s="33"/>
      <c r="D473" s="33"/>
      <c r="E473" s="33"/>
      <c r="F473" s="33"/>
    </row>
    <row r="474" ht="15.75" customHeight="1">
      <c r="C474" s="33"/>
      <c r="D474" s="33"/>
      <c r="E474" s="33"/>
      <c r="F474" s="33"/>
    </row>
    <row r="475" ht="15.75" customHeight="1">
      <c r="C475" s="33"/>
      <c r="D475" s="33"/>
      <c r="E475" s="33"/>
      <c r="F475" s="33"/>
    </row>
    <row r="476" ht="15.75" customHeight="1">
      <c r="C476" s="33"/>
      <c r="D476" s="33"/>
      <c r="E476" s="33"/>
      <c r="F476" s="33"/>
    </row>
    <row r="477" ht="15.75" customHeight="1">
      <c r="C477" s="33"/>
      <c r="D477" s="33"/>
      <c r="E477" s="33"/>
      <c r="F477" s="33"/>
    </row>
    <row r="478" ht="15.75" customHeight="1">
      <c r="C478" s="33"/>
      <c r="D478" s="33"/>
      <c r="E478" s="33"/>
      <c r="F478" s="33"/>
    </row>
    <row r="479" ht="15.75" customHeight="1">
      <c r="C479" s="33"/>
      <c r="D479" s="33"/>
      <c r="E479" s="33"/>
      <c r="F479" s="33"/>
    </row>
    <row r="480" ht="15.75" customHeight="1">
      <c r="C480" s="33"/>
      <c r="D480" s="33"/>
      <c r="E480" s="33"/>
      <c r="F480" s="33"/>
    </row>
    <row r="481" ht="15.75" customHeight="1">
      <c r="C481" s="33"/>
      <c r="D481" s="33"/>
      <c r="E481" s="33"/>
      <c r="F481" s="33"/>
    </row>
    <row r="482" ht="15.75" customHeight="1">
      <c r="C482" s="33"/>
      <c r="D482" s="33"/>
      <c r="E482" s="33"/>
      <c r="F482" s="33"/>
    </row>
    <row r="483" ht="15.75" customHeight="1">
      <c r="C483" s="33"/>
      <c r="D483" s="33"/>
      <c r="E483" s="33"/>
      <c r="F483" s="33"/>
    </row>
    <row r="484" ht="15.75" customHeight="1">
      <c r="C484" s="33"/>
      <c r="D484" s="33"/>
      <c r="E484" s="33"/>
      <c r="F484" s="33"/>
    </row>
    <row r="485" ht="15.75" customHeight="1">
      <c r="C485" s="33"/>
      <c r="D485" s="33"/>
      <c r="E485" s="33"/>
      <c r="F485" s="33"/>
    </row>
    <row r="486" ht="15.75" customHeight="1">
      <c r="C486" s="33"/>
      <c r="D486" s="33"/>
      <c r="E486" s="33"/>
      <c r="F486" s="33"/>
    </row>
    <row r="487" ht="15.75" customHeight="1">
      <c r="C487" s="33"/>
      <c r="D487" s="33"/>
      <c r="E487" s="33"/>
      <c r="F487" s="33"/>
    </row>
    <row r="488" ht="15.75" customHeight="1">
      <c r="C488" s="33"/>
      <c r="D488" s="33"/>
      <c r="E488" s="33"/>
      <c r="F488" s="33"/>
    </row>
    <row r="489" ht="15.75" customHeight="1">
      <c r="C489" s="33"/>
      <c r="D489" s="33"/>
      <c r="E489" s="33"/>
      <c r="F489" s="33"/>
    </row>
    <row r="490" ht="15.75" customHeight="1">
      <c r="C490" s="33"/>
      <c r="D490" s="33"/>
      <c r="E490" s="33"/>
      <c r="F490" s="33"/>
    </row>
    <row r="491" ht="15.75" customHeight="1">
      <c r="C491" s="33"/>
      <c r="D491" s="33"/>
      <c r="E491" s="33"/>
      <c r="F491" s="33"/>
    </row>
    <row r="492" ht="15.75" customHeight="1">
      <c r="C492" s="33"/>
      <c r="D492" s="33"/>
      <c r="E492" s="33"/>
      <c r="F492" s="33"/>
    </row>
    <row r="493" ht="15.75" customHeight="1">
      <c r="C493" s="33"/>
      <c r="D493" s="33"/>
      <c r="E493" s="33"/>
      <c r="F493" s="33"/>
    </row>
    <row r="494" ht="15.75" customHeight="1">
      <c r="C494" s="33"/>
      <c r="D494" s="33"/>
      <c r="E494" s="33"/>
      <c r="F494" s="33"/>
    </row>
    <row r="495" ht="15.75" customHeight="1">
      <c r="C495" s="33"/>
      <c r="D495" s="33"/>
      <c r="E495" s="33"/>
      <c r="F495" s="33"/>
    </row>
    <row r="496" ht="15.75" customHeight="1">
      <c r="C496" s="33"/>
      <c r="D496" s="33"/>
      <c r="E496" s="33"/>
      <c r="F496" s="33"/>
    </row>
    <row r="497" ht="15.75" customHeight="1">
      <c r="C497" s="33"/>
      <c r="D497" s="33"/>
      <c r="E497" s="33"/>
      <c r="F497" s="33"/>
    </row>
    <row r="498" ht="15.75" customHeight="1">
      <c r="C498" s="33"/>
      <c r="D498" s="33"/>
      <c r="E498" s="33"/>
      <c r="F498" s="33"/>
    </row>
    <row r="499" ht="15.75" customHeight="1">
      <c r="C499" s="33"/>
      <c r="D499" s="33"/>
      <c r="E499" s="33"/>
      <c r="F499" s="33"/>
    </row>
    <row r="500" ht="15.75" customHeight="1">
      <c r="C500" s="33"/>
      <c r="D500" s="33"/>
      <c r="E500" s="33"/>
      <c r="F500" s="33"/>
    </row>
    <row r="501" ht="15.75" customHeight="1">
      <c r="C501" s="33"/>
      <c r="D501" s="33"/>
      <c r="E501" s="33"/>
      <c r="F501" s="33"/>
    </row>
    <row r="502" ht="15.75" customHeight="1">
      <c r="C502" s="33"/>
      <c r="D502" s="33"/>
      <c r="E502" s="33"/>
      <c r="F502" s="33"/>
    </row>
    <row r="503" ht="15.75" customHeight="1">
      <c r="C503" s="33"/>
      <c r="D503" s="33"/>
      <c r="E503" s="33"/>
      <c r="F503" s="33"/>
    </row>
    <row r="504" ht="15.75" customHeight="1">
      <c r="C504" s="33"/>
      <c r="D504" s="33"/>
      <c r="E504" s="33"/>
      <c r="F504" s="33"/>
    </row>
    <row r="505" ht="15.75" customHeight="1">
      <c r="C505" s="33"/>
      <c r="D505" s="33"/>
      <c r="E505" s="33"/>
      <c r="F505" s="33"/>
    </row>
    <row r="506" ht="15.75" customHeight="1">
      <c r="C506" s="33"/>
      <c r="D506" s="33"/>
      <c r="E506" s="33"/>
      <c r="F506" s="33"/>
    </row>
    <row r="507" ht="15.75" customHeight="1">
      <c r="C507" s="33"/>
      <c r="D507" s="33"/>
      <c r="E507" s="33"/>
      <c r="F507" s="33"/>
    </row>
    <row r="508" ht="15.75" customHeight="1">
      <c r="C508" s="33"/>
      <c r="D508" s="33"/>
      <c r="E508" s="33"/>
      <c r="F508" s="33"/>
    </row>
    <row r="509" ht="15.75" customHeight="1">
      <c r="C509" s="33"/>
      <c r="D509" s="33"/>
      <c r="E509" s="33"/>
      <c r="F509" s="33"/>
    </row>
    <row r="510" ht="15.75" customHeight="1">
      <c r="C510" s="33"/>
      <c r="D510" s="33"/>
      <c r="E510" s="33"/>
      <c r="F510" s="33"/>
    </row>
    <row r="511" ht="15.75" customHeight="1">
      <c r="C511" s="33"/>
      <c r="D511" s="33"/>
      <c r="E511" s="33"/>
      <c r="F511" s="33"/>
    </row>
    <row r="512" ht="15.75" customHeight="1">
      <c r="C512" s="33"/>
      <c r="D512" s="33"/>
      <c r="E512" s="33"/>
      <c r="F512" s="33"/>
    </row>
    <row r="513" ht="15.75" customHeight="1">
      <c r="C513" s="33"/>
      <c r="D513" s="33"/>
      <c r="E513" s="33"/>
      <c r="F513" s="33"/>
    </row>
    <row r="514" ht="15.75" customHeight="1">
      <c r="C514" s="33"/>
      <c r="D514" s="33"/>
      <c r="E514" s="33"/>
      <c r="F514" s="33"/>
    </row>
    <row r="515" ht="15.75" customHeight="1">
      <c r="C515" s="33"/>
      <c r="D515" s="33"/>
      <c r="E515" s="33"/>
      <c r="F515" s="33"/>
    </row>
    <row r="516" ht="15.75" customHeight="1">
      <c r="C516" s="33"/>
      <c r="D516" s="33"/>
      <c r="E516" s="33"/>
      <c r="F516" s="33"/>
    </row>
    <row r="517" ht="15.75" customHeight="1">
      <c r="C517" s="33"/>
      <c r="D517" s="33"/>
      <c r="E517" s="33"/>
      <c r="F517" s="33"/>
    </row>
    <row r="518" ht="15.75" customHeight="1">
      <c r="C518" s="33"/>
      <c r="D518" s="33"/>
      <c r="E518" s="33"/>
      <c r="F518" s="33"/>
    </row>
    <row r="519" ht="15.75" customHeight="1">
      <c r="C519" s="33"/>
      <c r="D519" s="33"/>
      <c r="E519" s="33"/>
      <c r="F519" s="33"/>
    </row>
    <row r="520" ht="15.75" customHeight="1">
      <c r="C520" s="33"/>
      <c r="D520" s="33"/>
      <c r="E520" s="33"/>
      <c r="F520" s="33"/>
    </row>
    <row r="521" ht="15.75" customHeight="1">
      <c r="C521" s="33"/>
      <c r="D521" s="33"/>
      <c r="E521" s="33"/>
      <c r="F521" s="33"/>
    </row>
    <row r="522" ht="15.75" customHeight="1">
      <c r="C522" s="33"/>
      <c r="D522" s="33"/>
      <c r="E522" s="33"/>
      <c r="F522" s="33"/>
    </row>
    <row r="523" ht="15.75" customHeight="1">
      <c r="C523" s="33"/>
      <c r="D523" s="33"/>
      <c r="E523" s="33"/>
      <c r="F523" s="33"/>
    </row>
    <row r="524" ht="15.75" customHeight="1">
      <c r="C524" s="33"/>
      <c r="D524" s="33"/>
      <c r="E524" s="33"/>
      <c r="F524" s="33"/>
    </row>
    <row r="525" ht="15.75" customHeight="1">
      <c r="C525" s="33"/>
      <c r="D525" s="33"/>
      <c r="E525" s="33"/>
      <c r="F525" s="33"/>
    </row>
    <row r="526" ht="15.75" customHeight="1">
      <c r="C526" s="33"/>
      <c r="D526" s="33"/>
      <c r="E526" s="33"/>
      <c r="F526" s="33"/>
    </row>
    <row r="527" ht="15.75" customHeight="1">
      <c r="C527" s="33"/>
      <c r="D527" s="33"/>
      <c r="E527" s="33"/>
      <c r="F527" s="33"/>
    </row>
    <row r="528" ht="15.75" customHeight="1">
      <c r="C528" s="33"/>
      <c r="D528" s="33"/>
      <c r="E528" s="33"/>
      <c r="F528" s="33"/>
    </row>
    <row r="529" ht="15.75" customHeight="1">
      <c r="C529" s="33"/>
      <c r="D529" s="33"/>
      <c r="E529" s="33"/>
      <c r="F529" s="33"/>
    </row>
    <row r="530" ht="15.75" customHeight="1">
      <c r="C530" s="33"/>
      <c r="D530" s="33"/>
      <c r="E530" s="33"/>
      <c r="F530" s="33"/>
    </row>
    <row r="531" ht="15.75" customHeight="1">
      <c r="C531" s="33"/>
      <c r="D531" s="33"/>
      <c r="E531" s="33"/>
      <c r="F531" s="33"/>
    </row>
    <row r="532" ht="15.75" customHeight="1">
      <c r="C532" s="33"/>
      <c r="D532" s="33"/>
      <c r="E532" s="33"/>
      <c r="F532" s="33"/>
    </row>
    <row r="533" ht="15.75" customHeight="1">
      <c r="C533" s="33"/>
      <c r="D533" s="33"/>
      <c r="E533" s="33"/>
      <c r="F533" s="33"/>
    </row>
    <row r="534" ht="15.75" customHeight="1">
      <c r="C534" s="33"/>
      <c r="D534" s="33"/>
      <c r="E534" s="33"/>
      <c r="F534" s="33"/>
    </row>
    <row r="535" ht="15.75" customHeight="1">
      <c r="C535" s="33"/>
      <c r="D535" s="33"/>
      <c r="E535" s="33"/>
      <c r="F535" s="33"/>
    </row>
    <row r="536" ht="15.75" customHeight="1">
      <c r="C536" s="33"/>
      <c r="D536" s="33"/>
      <c r="E536" s="33"/>
      <c r="F536" s="33"/>
    </row>
    <row r="537" ht="15.75" customHeight="1">
      <c r="C537" s="33"/>
      <c r="D537" s="33"/>
      <c r="E537" s="33"/>
      <c r="F537" s="33"/>
    </row>
    <row r="538" ht="15.75" customHeight="1">
      <c r="C538" s="33"/>
      <c r="D538" s="33"/>
      <c r="E538" s="33"/>
      <c r="F538" s="33"/>
    </row>
    <row r="539" ht="15.75" customHeight="1">
      <c r="C539" s="33"/>
      <c r="D539" s="33"/>
      <c r="E539" s="33"/>
      <c r="F539" s="33"/>
    </row>
    <row r="540" ht="15.75" customHeight="1">
      <c r="C540" s="33"/>
      <c r="D540" s="33"/>
      <c r="E540" s="33"/>
      <c r="F540" s="33"/>
    </row>
    <row r="541" ht="15.75" customHeight="1">
      <c r="C541" s="33"/>
      <c r="D541" s="33"/>
      <c r="E541" s="33"/>
      <c r="F541" s="33"/>
    </row>
    <row r="542" ht="15.75" customHeight="1">
      <c r="C542" s="33"/>
      <c r="D542" s="33"/>
      <c r="E542" s="33"/>
      <c r="F542" s="33"/>
    </row>
    <row r="543" ht="15.75" customHeight="1">
      <c r="C543" s="33"/>
      <c r="D543" s="33"/>
      <c r="E543" s="33"/>
      <c r="F543" s="33"/>
    </row>
    <row r="544" ht="15.75" customHeight="1">
      <c r="C544" s="33"/>
      <c r="D544" s="33"/>
      <c r="E544" s="33"/>
      <c r="F544" s="33"/>
    </row>
    <row r="545" ht="15.75" customHeight="1">
      <c r="C545" s="33"/>
      <c r="D545" s="33"/>
      <c r="E545" s="33"/>
      <c r="F545" s="33"/>
    </row>
    <row r="546" ht="15.75" customHeight="1">
      <c r="C546" s="33"/>
      <c r="D546" s="33"/>
      <c r="E546" s="33"/>
      <c r="F546" s="33"/>
    </row>
    <row r="547" ht="15.75" customHeight="1">
      <c r="C547" s="33"/>
      <c r="D547" s="33"/>
      <c r="E547" s="33"/>
      <c r="F547" s="33"/>
    </row>
    <row r="548" ht="15.75" customHeight="1">
      <c r="C548" s="33"/>
      <c r="D548" s="33"/>
      <c r="E548" s="33"/>
      <c r="F548" s="33"/>
    </row>
    <row r="549" ht="15.75" customHeight="1">
      <c r="C549" s="33"/>
      <c r="D549" s="33"/>
      <c r="E549" s="33"/>
      <c r="F549" s="33"/>
    </row>
    <row r="550" ht="15.75" customHeight="1">
      <c r="C550" s="33"/>
      <c r="D550" s="33"/>
      <c r="E550" s="33"/>
      <c r="F550" s="33"/>
    </row>
    <row r="551" ht="15.75" customHeight="1">
      <c r="C551" s="33"/>
      <c r="D551" s="33"/>
      <c r="E551" s="33"/>
      <c r="F551" s="33"/>
    </row>
    <row r="552" ht="15.75" customHeight="1">
      <c r="C552" s="33"/>
      <c r="D552" s="33"/>
      <c r="E552" s="33"/>
      <c r="F552" s="33"/>
    </row>
    <row r="553" ht="15.75" customHeight="1">
      <c r="C553" s="33"/>
      <c r="D553" s="33"/>
      <c r="E553" s="33"/>
      <c r="F553" s="33"/>
    </row>
    <row r="554" ht="15.75" customHeight="1">
      <c r="C554" s="33"/>
      <c r="D554" s="33"/>
      <c r="E554" s="33"/>
      <c r="F554" s="33"/>
    </row>
    <row r="555" ht="15.75" customHeight="1">
      <c r="C555" s="33"/>
      <c r="D555" s="33"/>
      <c r="E555" s="33"/>
      <c r="F555" s="33"/>
    </row>
    <row r="556" ht="15.75" customHeight="1">
      <c r="C556" s="33"/>
      <c r="D556" s="33"/>
      <c r="E556" s="33"/>
      <c r="F556" s="33"/>
    </row>
    <row r="557" ht="15.75" customHeight="1">
      <c r="C557" s="33"/>
      <c r="D557" s="33"/>
      <c r="E557" s="33"/>
      <c r="F557" s="33"/>
    </row>
    <row r="558" ht="15.75" customHeight="1">
      <c r="C558" s="33"/>
      <c r="D558" s="33"/>
      <c r="E558" s="33"/>
      <c r="F558" s="33"/>
    </row>
    <row r="559" ht="15.75" customHeight="1">
      <c r="C559" s="33"/>
      <c r="D559" s="33"/>
      <c r="E559" s="33"/>
      <c r="F559" s="33"/>
    </row>
    <row r="560" ht="15.75" customHeight="1">
      <c r="C560" s="33"/>
      <c r="D560" s="33"/>
      <c r="E560" s="33"/>
      <c r="F560" s="33"/>
    </row>
    <row r="561" ht="15.75" customHeight="1">
      <c r="C561" s="33"/>
      <c r="D561" s="33"/>
      <c r="E561" s="33"/>
      <c r="F561" s="33"/>
    </row>
    <row r="562" ht="15.75" customHeight="1">
      <c r="C562" s="33"/>
      <c r="D562" s="33"/>
      <c r="E562" s="33"/>
      <c r="F562" s="33"/>
    </row>
    <row r="563" ht="15.75" customHeight="1">
      <c r="C563" s="33"/>
      <c r="D563" s="33"/>
      <c r="E563" s="33"/>
      <c r="F563" s="33"/>
    </row>
    <row r="564" ht="15.75" customHeight="1">
      <c r="C564" s="33"/>
      <c r="D564" s="33"/>
      <c r="E564" s="33"/>
      <c r="F564" s="33"/>
    </row>
    <row r="565" ht="15.75" customHeight="1">
      <c r="C565" s="33"/>
      <c r="D565" s="33"/>
      <c r="E565" s="33"/>
      <c r="F565" s="33"/>
    </row>
    <row r="566" ht="15.75" customHeight="1">
      <c r="C566" s="33"/>
      <c r="D566" s="33"/>
      <c r="E566" s="33"/>
      <c r="F566" s="33"/>
    </row>
    <row r="567" ht="15.75" customHeight="1">
      <c r="C567" s="33"/>
      <c r="D567" s="33"/>
      <c r="E567" s="33"/>
      <c r="F567" s="33"/>
    </row>
    <row r="568" ht="15.75" customHeight="1">
      <c r="C568" s="33"/>
      <c r="D568" s="33"/>
      <c r="E568" s="33"/>
      <c r="F568" s="33"/>
    </row>
    <row r="569" ht="15.75" customHeight="1">
      <c r="C569" s="33"/>
      <c r="D569" s="33"/>
      <c r="E569" s="33"/>
      <c r="F569" s="33"/>
    </row>
    <row r="570" ht="15.75" customHeight="1">
      <c r="C570" s="33"/>
      <c r="D570" s="33"/>
      <c r="E570" s="33"/>
      <c r="F570" s="33"/>
    </row>
    <row r="571" ht="15.75" customHeight="1">
      <c r="C571" s="33"/>
      <c r="D571" s="33"/>
      <c r="E571" s="33"/>
      <c r="F571" s="33"/>
    </row>
    <row r="572" ht="15.75" customHeight="1">
      <c r="C572" s="33"/>
      <c r="D572" s="33"/>
      <c r="E572" s="33"/>
      <c r="F572" s="33"/>
    </row>
    <row r="573" ht="15.75" customHeight="1">
      <c r="C573" s="33"/>
      <c r="D573" s="33"/>
      <c r="E573" s="33"/>
      <c r="F573" s="33"/>
    </row>
    <row r="574" ht="15.75" customHeight="1">
      <c r="C574" s="33"/>
      <c r="D574" s="33"/>
      <c r="E574" s="33"/>
      <c r="F574" s="33"/>
    </row>
    <row r="575" ht="15.75" customHeight="1">
      <c r="C575" s="33"/>
      <c r="D575" s="33"/>
      <c r="E575" s="33"/>
      <c r="F575" s="33"/>
    </row>
    <row r="576" ht="15.75" customHeight="1">
      <c r="C576" s="33"/>
      <c r="D576" s="33"/>
      <c r="E576" s="33"/>
      <c r="F576" s="33"/>
    </row>
    <row r="577" ht="15.75" customHeight="1">
      <c r="C577" s="33"/>
      <c r="D577" s="33"/>
      <c r="E577" s="33"/>
      <c r="F577" s="33"/>
    </row>
    <row r="578" ht="15.75" customHeight="1">
      <c r="C578" s="33"/>
      <c r="D578" s="33"/>
      <c r="E578" s="33"/>
      <c r="F578" s="33"/>
    </row>
    <row r="579" ht="15.75" customHeight="1">
      <c r="C579" s="33"/>
      <c r="D579" s="33"/>
      <c r="E579" s="33"/>
      <c r="F579" s="33"/>
    </row>
    <row r="580" ht="15.75" customHeight="1">
      <c r="C580" s="33"/>
      <c r="D580" s="33"/>
      <c r="E580" s="33"/>
      <c r="F580" s="33"/>
    </row>
    <row r="581" ht="15.75" customHeight="1">
      <c r="C581" s="33"/>
      <c r="D581" s="33"/>
      <c r="E581" s="33"/>
      <c r="F581" s="33"/>
    </row>
    <row r="582" ht="15.75" customHeight="1">
      <c r="C582" s="33"/>
      <c r="D582" s="33"/>
      <c r="E582" s="33"/>
      <c r="F582" s="33"/>
    </row>
    <row r="583" ht="15.75" customHeight="1">
      <c r="C583" s="33"/>
      <c r="D583" s="33"/>
      <c r="E583" s="33"/>
      <c r="F583" s="33"/>
    </row>
    <row r="584" ht="15.75" customHeight="1">
      <c r="C584" s="33"/>
      <c r="D584" s="33"/>
      <c r="E584" s="33"/>
      <c r="F584" s="33"/>
    </row>
    <row r="585" ht="15.75" customHeight="1">
      <c r="C585" s="33"/>
      <c r="D585" s="33"/>
      <c r="E585" s="33"/>
      <c r="F585" s="33"/>
    </row>
    <row r="586" ht="15.75" customHeight="1">
      <c r="C586" s="33"/>
      <c r="D586" s="33"/>
      <c r="E586" s="33"/>
      <c r="F586" s="33"/>
    </row>
    <row r="587" ht="15.75" customHeight="1">
      <c r="C587" s="33"/>
      <c r="D587" s="33"/>
      <c r="E587" s="33"/>
      <c r="F587" s="33"/>
    </row>
    <row r="588" ht="15.75" customHeight="1">
      <c r="C588" s="33"/>
      <c r="D588" s="33"/>
      <c r="E588" s="33"/>
      <c r="F588" s="33"/>
    </row>
    <row r="589" ht="15.75" customHeight="1">
      <c r="C589" s="33"/>
      <c r="D589" s="33"/>
      <c r="E589" s="33"/>
      <c r="F589" s="33"/>
    </row>
    <row r="590" ht="15.75" customHeight="1">
      <c r="C590" s="33"/>
      <c r="D590" s="33"/>
      <c r="E590" s="33"/>
      <c r="F590" s="33"/>
    </row>
    <row r="591" ht="15.75" customHeight="1">
      <c r="C591" s="33"/>
      <c r="D591" s="33"/>
      <c r="E591" s="33"/>
      <c r="F591" s="33"/>
    </row>
    <row r="592" ht="15.75" customHeight="1">
      <c r="C592" s="33"/>
      <c r="D592" s="33"/>
      <c r="E592" s="33"/>
      <c r="F592" s="33"/>
    </row>
    <row r="593" ht="15.75" customHeight="1">
      <c r="C593" s="33"/>
      <c r="D593" s="33"/>
      <c r="E593" s="33"/>
      <c r="F593" s="33"/>
    </row>
    <row r="594" ht="15.75" customHeight="1">
      <c r="C594" s="33"/>
      <c r="D594" s="33"/>
      <c r="E594" s="33"/>
      <c r="F594" s="33"/>
    </row>
    <row r="595" ht="15.75" customHeight="1">
      <c r="C595" s="33"/>
      <c r="D595" s="33"/>
      <c r="E595" s="33"/>
      <c r="F595" s="33"/>
    </row>
    <row r="596" ht="15.75" customHeight="1">
      <c r="C596" s="33"/>
      <c r="D596" s="33"/>
      <c r="E596" s="33"/>
      <c r="F596" s="33"/>
    </row>
    <row r="597" ht="15.75" customHeight="1">
      <c r="C597" s="33"/>
      <c r="D597" s="33"/>
      <c r="E597" s="33"/>
      <c r="F597" s="33"/>
    </row>
    <row r="598" ht="15.75" customHeight="1">
      <c r="C598" s="33"/>
      <c r="D598" s="33"/>
      <c r="E598" s="33"/>
      <c r="F598" s="33"/>
    </row>
    <row r="599" ht="15.75" customHeight="1">
      <c r="C599" s="33"/>
      <c r="D599" s="33"/>
      <c r="E599" s="33"/>
      <c r="F599" s="33"/>
    </row>
    <row r="600" ht="15.75" customHeight="1">
      <c r="C600" s="33"/>
      <c r="D600" s="33"/>
      <c r="E600" s="33"/>
      <c r="F600" s="33"/>
    </row>
    <row r="601" ht="15.75" customHeight="1">
      <c r="C601" s="33"/>
      <c r="D601" s="33"/>
      <c r="E601" s="33"/>
      <c r="F601" s="33"/>
    </row>
    <row r="602" ht="15.75" customHeight="1">
      <c r="C602" s="33"/>
      <c r="D602" s="33"/>
      <c r="E602" s="33"/>
      <c r="F602" s="33"/>
    </row>
    <row r="603" ht="15.75" customHeight="1">
      <c r="C603" s="33"/>
      <c r="D603" s="33"/>
      <c r="E603" s="33"/>
      <c r="F603" s="33"/>
    </row>
    <row r="604" ht="15.75" customHeight="1">
      <c r="C604" s="33"/>
      <c r="D604" s="33"/>
      <c r="E604" s="33"/>
      <c r="F604" s="33"/>
    </row>
    <row r="605" ht="15.75" customHeight="1">
      <c r="C605" s="33"/>
      <c r="D605" s="33"/>
      <c r="E605" s="33"/>
      <c r="F605" s="33"/>
    </row>
    <row r="606" ht="15.75" customHeight="1">
      <c r="C606" s="33"/>
      <c r="D606" s="33"/>
      <c r="E606" s="33"/>
      <c r="F606" s="33"/>
    </row>
    <row r="607" ht="15.75" customHeight="1">
      <c r="C607" s="33"/>
      <c r="D607" s="33"/>
      <c r="E607" s="33"/>
      <c r="F607" s="33"/>
    </row>
    <row r="608" ht="15.75" customHeight="1">
      <c r="C608" s="33"/>
      <c r="D608" s="33"/>
      <c r="E608" s="33"/>
      <c r="F608" s="33"/>
    </row>
    <row r="609" ht="15.75" customHeight="1">
      <c r="C609" s="33"/>
      <c r="D609" s="33"/>
      <c r="E609" s="33"/>
      <c r="F609" s="33"/>
    </row>
    <row r="610" ht="15.75" customHeight="1">
      <c r="C610" s="33"/>
      <c r="D610" s="33"/>
      <c r="E610" s="33"/>
      <c r="F610" s="33"/>
    </row>
    <row r="611" ht="15.75" customHeight="1">
      <c r="C611" s="33"/>
      <c r="D611" s="33"/>
      <c r="E611" s="33"/>
      <c r="F611" s="33"/>
    </row>
    <row r="612" ht="15.75" customHeight="1">
      <c r="C612" s="33"/>
      <c r="D612" s="33"/>
      <c r="E612" s="33"/>
      <c r="F612" s="33"/>
    </row>
    <row r="613" ht="15.75" customHeight="1">
      <c r="C613" s="33"/>
      <c r="D613" s="33"/>
      <c r="E613" s="33"/>
      <c r="F613" s="33"/>
    </row>
    <row r="614" ht="15.75" customHeight="1">
      <c r="C614" s="33"/>
      <c r="D614" s="33"/>
      <c r="E614" s="33"/>
      <c r="F614" s="33"/>
    </row>
    <row r="615" ht="15.75" customHeight="1">
      <c r="C615" s="33"/>
      <c r="D615" s="33"/>
      <c r="E615" s="33"/>
      <c r="F615" s="33"/>
    </row>
    <row r="616" ht="15.75" customHeight="1">
      <c r="C616" s="33"/>
      <c r="D616" s="33"/>
      <c r="E616" s="33"/>
      <c r="F616" s="33"/>
    </row>
    <row r="617" ht="15.75" customHeight="1">
      <c r="C617" s="33"/>
      <c r="D617" s="33"/>
      <c r="E617" s="33"/>
      <c r="F617" s="33"/>
    </row>
    <row r="618" ht="15.75" customHeight="1">
      <c r="C618" s="33"/>
      <c r="D618" s="33"/>
      <c r="E618" s="33"/>
      <c r="F618" s="33"/>
    </row>
    <row r="619" ht="15.75" customHeight="1">
      <c r="C619" s="33"/>
      <c r="D619" s="33"/>
      <c r="E619" s="33"/>
      <c r="F619" s="33"/>
    </row>
    <row r="620" ht="15.75" customHeight="1">
      <c r="C620" s="33"/>
      <c r="D620" s="33"/>
      <c r="E620" s="33"/>
      <c r="F620" s="33"/>
    </row>
    <row r="621" ht="15.75" customHeight="1">
      <c r="C621" s="33"/>
      <c r="D621" s="33"/>
      <c r="E621" s="33"/>
      <c r="F621" s="33"/>
    </row>
    <row r="622" ht="15.75" customHeight="1">
      <c r="C622" s="33"/>
      <c r="D622" s="33"/>
      <c r="E622" s="33"/>
      <c r="F622" s="33"/>
    </row>
    <row r="623" ht="15.75" customHeight="1">
      <c r="C623" s="33"/>
      <c r="D623" s="33"/>
      <c r="E623" s="33"/>
      <c r="F623" s="33"/>
    </row>
    <row r="624" ht="15.75" customHeight="1">
      <c r="C624" s="33"/>
      <c r="D624" s="33"/>
      <c r="E624" s="33"/>
      <c r="F624" s="33"/>
    </row>
    <row r="625" ht="15.75" customHeight="1">
      <c r="C625" s="33"/>
      <c r="D625" s="33"/>
      <c r="E625" s="33"/>
      <c r="F625" s="33"/>
    </row>
    <row r="626" ht="15.75" customHeight="1">
      <c r="C626" s="33"/>
      <c r="D626" s="33"/>
      <c r="E626" s="33"/>
      <c r="F626" s="33"/>
    </row>
    <row r="627" ht="15.75" customHeight="1">
      <c r="C627" s="33"/>
      <c r="D627" s="33"/>
      <c r="E627" s="33"/>
      <c r="F627" s="33"/>
    </row>
    <row r="628" ht="15.75" customHeight="1">
      <c r="C628" s="33"/>
      <c r="D628" s="33"/>
      <c r="E628" s="33"/>
      <c r="F628" s="33"/>
    </row>
    <row r="629" ht="15.75" customHeight="1">
      <c r="C629" s="33"/>
      <c r="D629" s="33"/>
      <c r="E629" s="33"/>
      <c r="F629" s="33"/>
    </row>
    <row r="630" ht="15.75" customHeight="1">
      <c r="C630" s="33"/>
      <c r="D630" s="33"/>
      <c r="E630" s="33"/>
      <c r="F630" s="33"/>
    </row>
    <row r="631" ht="15.75" customHeight="1">
      <c r="C631" s="33"/>
      <c r="D631" s="33"/>
      <c r="E631" s="33"/>
      <c r="F631" s="33"/>
    </row>
    <row r="632" ht="15.75" customHeight="1">
      <c r="C632" s="33"/>
      <c r="D632" s="33"/>
      <c r="E632" s="33"/>
      <c r="F632" s="33"/>
    </row>
    <row r="633" ht="15.75" customHeight="1">
      <c r="C633" s="33"/>
      <c r="D633" s="33"/>
      <c r="E633" s="33"/>
      <c r="F633" s="33"/>
    </row>
    <row r="634" ht="15.75" customHeight="1">
      <c r="C634" s="33"/>
      <c r="D634" s="33"/>
      <c r="E634" s="33"/>
      <c r="F634" s="33"/>
    </row>
    <row r="635" ht="15.75" customHeight="1">
      <c r="C635" s="33"/>
      <c r="D635" s="33"/>
      <c r="E635" s="33"/>
      <c r="F635" s="33"/>
    </row>
    <row r="636" ht="15.75" customHeight="1">
      <c r="C636" s="33"/>
      <c r="D636" s="33"/>
      <c r="E636" s="33"/>
      <c r="F636" s="33"/>
    </row>
    <row r="637" ht="15.75" customHeight="1">
      <c r="C637" s="33"/>
      <c r="D637" s="33"/>
      <c r="E637" s="33"/>
      <c r="F637" s="33"/>
    </row>
    <row r="638" ht="15.75" customHeight="1">
      <c r="C638" s="33"/>
      <c r="D638" s="33"/>
      <c r="E638" s="33"/>
      <c r="F638" s="33"/>
    </row>
    <row r="639" ht="15.75" customHeight="1">
      <c r="C639" s="33"/>
      <c r="D639" s="33"/>
      <c r="E639" s="33"/>
      <c r="F639" s="33"/>
    </row>
    <row r="640" ht="15.75" customHeight="1">
      <c r="C640" s="33"/>
      <c r="D640" s="33"/>
      <c r="E640" s="33"/>
      <c r="F640" s="33"/>
    </row>
    <row r="641" ht="15.75" customHeight="1">
      <c r="C641" s="33"/>
      <c r="D641" s="33"/>
      <c r="E641" s="33"/>
      <c r="F641" s="33"/>
    </row>
    <row r="642" ht="15.75" customHeight="1">
      <c r="C642" s="33"/>
      <c r="D642" s="33"/>
      <c r="E642" s="33"/>
      <c r="F642" s="33"/>
    </row>
    <row r="643" ht="15.75" customHeight="1">
      <c r="C643" s="33"/>
      <c r="D643" s="33"/>
      <c r="E643" s="33"/>
      <c r="F643" s="33"/>
    </row>
    <row r="644" ht="15.75" customHeight="1">
      <c r="C644" s="33"/>
      <c r="D644" s="33"/>
      <c r="E644" s="33"/>
      <c r="F644" s="33"/>
    </row>
    <row r="645" ht="15.75" customHeight="1">
      <c r="C645" s="33"/>
      <c r="D645" s="33"/>
      <c r="E645" s="33"/>
      <c r="F645" s="33"/>
    </row>
    <row r="646" ht="15.75" customHeight="1">
      <c r="C646" s="33"/>
      <c r="D646" s="33"/>
      <c r="E646" s="33"/>
      <c r="F646" s="33"/>
    </row>
    <row r="647" ht="15.75" customHeight="1">
      <c r="C647" s="33"/>
      <c r="D647" s="33"/>
      <c r="E647" s="33"/>
      <c r="F647" s="33"/>
    </row>
    <row r="648" ht="15.75" customHeight="1">
      <c r="C648" s="33"/>
      <c r="D648" s="33"/>
      <c r="E648" s="33"/>
      <c r="F648" s="33"/>
    </row>
    <row r="649" ht="15.75" customHeight="1">
      <c r="C649" s="33"/>
      <c r="D649" s="33"/>
      <c r="E649" s="33"/>
      <c r="F649" s="33"/>
    </row>
    <row r="650" ht="15.75" customHeight="1">
      <c r="C650" s="33"/>
      <c r="D650" s="33"/>
      <c r="E650" s="33"/>
      <c r="F650" s="33"/>
    </row>
    <row r="651" ht="15.75" customHeight="1">
      <c r="C651" s="33"/>
      <c r="D651" s="33"/>
      <c r="E651" s="33"/>
      <c r="F651" s="33"/>
    </row>
    <row r="652" ht="15.75" customHeight="1">
      <c r="C652" s="33"/>
      <c r="D652" s="33"/>
      <c r="E652" s="33"/>
      <c r="F652" s="33"/>
    </row>
    <row r="653" ht="15.75" customHeight="1">
      <c r="C653" s="33"/>
      <c r="D653" s="33"/>
      <c r="E653" s="33"/>
      <c r="F653" s="33"/>
    </row>
    <row r="654" ht="15.75" customHeight="1">
      <c r="C654" s="33"/>
      <c r="D654" s="33"/>
      <c r="E654" s="33"/>
      <c r="F654" s="33"/>
    </row>
    <row r="655" ht="15.75" customHeight="1">
      <c r="C655" s="33"/>
      <c r="D655" s="33"/>
      <c r="E655" s="33"/>
      <c r="F655" s="33"/>
    </row>
    <row r="656" ht="15.75" customHeight="1">
      <c r="C656" s="33"/>
      <c r="D656" s="33"/>
      <c r="E656" s="33"/>
      <c r="F656" s="33"/>
    </row>
    <row r="657" ht="15.75" customHeight="1">
      <c r="C657" s="33"/>
      <c r="D657" s="33"/>
      <c r="E657" s="33"/>
      <c r="F657" s="33"/>
    </row>
    <row r="658" ht="15.75" customHeight="1">
      <c r="C658" s="33"/>
      <c r="D658" s="33"/>
      <c r="E658" s="33"/>
      <c r="F658" s="33"/>
    </row>
    <row r="659" ht="15.75" customHeight="1">
      <c r="C659" s="33"/>
      <c r="D659" s="33"/>
      <c r="E659" s="33"/>
      <c r="F659" s="33"/>
    </row>
    <row r="660" ht="15.75" customHeight="1">
      <c r="C660" s="33"/>
      <c r="D660" s="33"/>
      <c r="E660" s="33"/>
      <c r="F660" s="33"/>
    </row>
    <row r="661" ht="15.75" customHeight="1">
      <c r="C661" s="33"/>
      <c r="D661" s="33"/>
      <c r="E661" s="33"/>
      <c r="F661" s="33"/>
    </row>
    <row r="662" ht="15.75" customHeight="1">
      <c r="C662" s="33"/>
      <c r="D662" s="33"/>
      <c r="E662" s="33"/>
      <c r="F662" s="33"/>
    </row>
    <row r="663" ht="15.75" customHeight="1">
      <c r="C663" s="33"/>
      <c r="D663" s="33"/>
      <c r="E663" s="33"/>
      <c r="F663" s="33"/>
    </row>
    <row r="664" ht="15.75" customHeight="1">
      <c r="C664" s="33"/>
      <c r="D664" s="33"/>
      <c r="E664" s="33"/>
      <c r="F664" s="33"/>
    </row>
    <row r="665" ht="15.75" customHeight="1">
      <c r="C665" s="33"/>
      <c r="D665" s="33"/>
      <c r="E665" s="33"/>
      <c r="F665" s="33"/>
    </row>
    <row r="666" ht="15.75" customHeight="1">
      <c r="C666" s="33"/>
      <c r="D666" s="33"/>
      <c r="E666" s="33"/>
      <c r="F666" s="33"/>
    </row>
    <row r="667" ht="15.75" customHeight="1">
      <c r="C667" s="33"/>
      <c r="D667" s="33"/>
      <c r="E667" s="33"/>
      <c r="F667" s="33"/>
    </row>
    <row r="668" ht="15.75" customHeight="1">
      <c r="C668" s="33"/>
      <c r="D668" s="33"/>
      <c r="E668" s="33"/>
      <c r="F668" s="33"/>
    </row>
    <row r="669" ht="15.75" customHeight="1">
      <c r="C669" s="33"/>
      <c r="D669" s="33"/>
      <c r="E669" s="33"/>
      <c r="F669" s="33"/>
    </row>
    <row r="670" ht="15.75" customHeight="1">
      <c r="C670" s="33"/>
      <c r="D670" s="33"/>
      <c r="E670" s="33"/>
      <c r="F670" s="33"/>
    </row>
    <row r="671" ht="15.75" customHeight="1">
      <c r="C671" s="33"/>
      <c r="D671" s="33"/>
      <c r="E671" s="33"/>
      <c r="F671" s="33"/>
    </row>
    <row r="672" ht="15.75" customHeight="1">
      <c r="C672" s="33"/>
      <c r="D672" s="33"/>
      <c r="E672" s="33"/>
      <c r="F672" s="33"/>
    </row>
    <row r="673" ht="15.75" customHeight="1">
      <c r="C673" s="33"/>
      <c r="D673" s="33"/>
      <c r="E673" s="33"/>
      <c r="F673" s="33"/>
    </row>
    <row r="674" ht="15.75" customHeight="1">
      <c r="C674" s="33"/>
      <c r="D674" s="33"/>
      <c r="E674" s="33"/>
      <c r="F674" s="33"/>
    </row>
    <row r="675" ht="15.75" customHeight="1">
      <c r="C675" s="33"/>
      <c r="D675" s="33"/>
      <c r="E675" s="33"/>
      <c r="F675" s="33"/>
    </row>
    <row r="676" ht="15.75" customHeight="1">
      <c r="C676" s="33"/>
      <c r="D676" s="33"/>
      <c r="E676" s="33"/>
      <c r="F676" s="33"/>
    </row>
    <row r="677" ht="15.75" customHeight="1">
      <c r="C677" s="33"/>
      <c r="D677" s="33"/>
      <c r="E677" s="33"/>
      <c r="F677" s="33"/>
    </row>
    <row r="678" ht="15.75" customHeight="1">
      <c r="C678" s="33"/>
      <c r="D678" s="33"/>
      <c r="E678" s="33"/>
      <c r="F678" s="33"/>
    </row>
    <row r="679" ht="15.75" customHeight="1">
      <c r="C679" s="33"/>
      <c r="D679" s="33"/>
      <c r="E679" s="33"/>
      <c r="F679" s="33"/>
    </row>
    <row r="680" ht="15.75" customHeight="1">
      <c r="C680" s="33"/>
      <c r="D680" s="33"/>
      <c r="E680" s="33"/>
      <c r="F680" s="33"/>
    </row>
    <row r="681" ht="15.75" customHeight="1">
      <c r="C681" s="33"/>
      <c r="D681" s="33"/>
      <c r="E681" s="33"/>
      <c r="F681" s="33"/>
    </row>
    <row r="682" ht="15.75" customHeight="1">
      <c r="C682" s="33"/>
      <c r="D682" s="33"/>
      <c r="E682" s="33"/>
      <c r="F682" s="33"/>
    </row>
    <row r="683" ht="15.75" customHeight="1">
      <c r="C683" s="33"/>
      <c r="D683" s="33"/>
      <c r="E683" s="33"/>
      <c r="F683" s="33"/>
    </row>
    <row r="684" ht="15.75" customHeight="1">
      <c r="C684" s="33"/>
      <c r="D684" s="33"/>
      <c r="E684" s="33"/>
      <c r="F684" s="33"/>
    </row>
    <row r="685" ht="15.75" customHeight="1">
      <c r="C685" s="33"/>
      <c r="D685" s="33"/>
      <c r="E685" s="33"/>
      <c r="F685" s="33"/>
    </row>
    <row r="686" ht="15.75" customHeight="1">
      <c r="C686" s="33"/>
      <c r="D686" s="33"/>
      <c r="E686" s="33"/>
      <c r="F686" s="33"/>
    </row>
    <row r="687" ht="15.75" customHeight="1">
      <c r="C687" s="33"/>
      <c r="D687" s="33"/>
      <c r="E687" s="33"/>
      <c r="F687" s="33"/>
    </row>
    <row r="688" ht="15.75" customHeight="1">
      <c r="C688" s="33"/>
      <c r="D688" s="33"/>
      <c r="E688" s="33"/>
      <c r="F688" s="33"/>
    </row>
    <row r="689" ht="15.75" customHeight="1">
      <c r="C689" s="33"/>
      <c r="D689" s="33"/>
      <c r="E689" s="33"/>
      <c r="F689" s="33"/>
    </row>
    <row r="690" ht="15.75" customHeight="1">
      <c r="C690" s="33"/>
      <c r="D690" s="33"/>
      <c r="E690" s="33"/>
      <c r="F690" s="33"/>
    </row>
    <row r="691" ht="15.75" customHeight="1">
      <c r="C691" s="33"/>
      <c r="D691" s="33"/>
      <c r="E691" s="33"/>
      <c r="F691" s="33"/>
    </row>
    <row r="692" ht="15.75" customHeight="1">
      <c r="C692" s="33"/>
      <c r="D692" s="33"/>
      <c r="E692" s="33"/>
      <c r="F692" s="33"/>
    </row>
    <row r="693" ht="15.75" customHeight="1">
      <c r="C693" s="33"/>
      <c r="D693" s="33"/>
      <c r="E693" s="33"/>
      <c r="F693" s="33"/>
    </row>
    <row r="694" ht="15.75" customHeight="1">
      <c r="C694" s="33"/>
      <c r="D694" s="33"/>
      <c r="E694" s="33"/>
      <c r="F694" s="33"/>
    </row>
    <row r="695" ht="15.75" customHeight="1">
      <c r="C695" s="33"/>
      <c r="D695" s="33"/>
      <c r="E695" s="33"/>
      <c r="F695" s="33"/>
    </row>
    <row r="696" ht="15.75" customHeight="1">
      <c r="C696" s="33"/>
      <c r="D696" s="33"/>
      <c r="E696" s="33"/>
      <c r="F696" s="33"/>
    </row>
    <row r="697" ht="15.75" customHeight="1">
      <c r="C697" s="33"/>
      <c r="D697" s="33"/>
      <c r="E697" s="33"/>
      <c r="F697" s="33"/>
    </row>
    <row r="698" ht="15.75" customHeight="1">
      <c r="C698" s="33"/>
      <c r="D698" s="33"/>
      <c r="E698" s="33"/>
      <c r="F698" s="33"/>
    </row>
    <row r="699" ht="15.75" customHeight="1">
      <c r="C699" s="33"/>
      <c r="D699" s="33"/>
      <c r="E699" s="33"/>
      <c r="F699" s="33"/>
    </row>
    <row r="700" ht="15.75" customHeight="1">
      <c r="C700" s="33"/>
      <c r="D700" s="33"/>
      <c r="E700" s="33"/>
      <c r="F700" s="33"/>
    </row>
    <row r="701" ht="15.75" customHeight="1">
      <c r="C701" s="33"/>
      <c r="D701" s="33"/>
      <c r="E701" s="33"/>
      <c r="F701" s="33"/>
    </row>
    <row r="702" ht="15.75" customHeight="1">
      <c r="C702" s="33"/>
      <c r="D702" s="33"/>
      <c r="E702" s="33"/>
      <c r="F702" s="33"/>
    </row>
    <row r="703" ht="15.75" customHeight="1">
      <c r="C703" s="33"/>
      <c r="D703" s="33"/>
      <c r="E703" s="33"/>
      <c r="F703" s="33"/>
    </row>
    <row r="704" ht="15.75" customHeight="1">
      <c r="C704" s="33"/>
      <c r="D704" s="33"/>
      <c r="E704" s="33"/>
      <c r="F704" s="33"/>
    </row>
    <row r="705" ht="15.75" customHeight="1">
      <c r="C705" s="33"/>
      <c r="D705" s="33"/>
      <c r="E705" s="33"/>
      <c r="F705" s="33"/>
    </row>
    <row r="706" ht="15.75" customHeight="1">
      <c r="C706" s="33"/>
      <c r="D706" s="33"/>
      <c r="E706" s="33"/>
      <c r="F706" s="33"/>
    </row>
    <row r="707" ht="15.75" customHeight="1">
      <c r="C707" s="33"/>
      <c r="D707" s="33"/>
      <c r="E707" s="33"/>
      <c r="F707" s="33"/>
    </row>
    <row r="708" ht="15.75" customHeight="1">
      <c r="C708" s="33"/>
      <c r="D708" s="33"/>
      <c r="E708" s="33"/>
      <c r="F708" s="33"/>
    </row>
    <row r="709" ht="15.75" customHeight="1">
      <c r="C709" s="33"/>
      <c r="D709" s="33"/>
      <c r="E709" s="33"/>
      <c r="F709" s="33"/>
    </row>
    <row r="710" ht="15.75" customHeight="1">
      <c r="C710" s="33"/>
      <c r="D710" s="33"/>
      <c r="E710" s="33"/>
      <c r="F710" s="33"/>
    </row>
    <row r="711" ht="15.75" customHeight="1">
      <c r="C711" s="33"/>
      <c r="D711" s="33"/>
      <c r="E711" s="33"/>
      <c r="F711" s="33"/>
    </row>
    <row r="712" ht="15.75" customHeight="1">
      <c r="C712" s="33"/>
      <c r="D712" s="33"/>
      <c r="E712" s="33"/>
      <c r="F712" s="33"/>
    </row>
    <row r="713" ht="15.75" customHeight="1">
      <c r="C713" s="33"/>
      <c r="D713" s="33"/>
      <c r="E713" s="33"/>
      <c r="F713" s="33"/>
    </row>
    <row r="714" ht="15.75" customHeight="1">
      <c r="C714" s="33"/>
      <c r="D714" s="33"/>
      <c r="E714" s="33"/>
      <c r="F714" s="33"/>
    </row>
    <row r="715" ht="15.75" customHeight="1">
      <c r="C715" s="33"/>
      <c r="D715" s="33"/>
      <c r="E715" s="33"/>
      <c r="F715" s="33"/>
    </row>
    <row r="716" ht="15.75" customHeight="1">
      <c r="C716" s="33"/>
      <c r="D716" s="33"/>
      <c r="E716" s="33"/>
      <c r="F716" s="33"/>
    </row>
    <row r="717" ht="15.75" customHeight="1">
      <c r="C717" s="33"/>
      <c r="D717" s="33"/>
      <c r="E717" s="33"/>
      <c r="F717" s="33"/>
    </row>
    <row r="718" ht="15.75" customHeight="1">
      <c r="C718" s="33"/>
      <c r="D718" s="33"/>
      <c r="E718" s="33"/>
      <c r="F718" s="33"/>
    </row>
    <row r="719" ht="15.75" customHeight="1">
      <c r="C719" s="33"/>
      <c r="D719" s="33"/>
      <c r="E719" s="33"/>
      <c r="F719" s="33"/>
    </row>
    <row r="720" ht="15.75" customHeight="1">
      <c r="C720" s="33"/>
      <c r="D720" s="33"/>
      <c r="E720" s="33"/>
      <c r="F720" s="33"/>
    </row>
    <row r="721" ht="15.75" customHeight="1">
      <c r="C721" s="33"/>
      <c r="D721" s="33"/>
      <c r="E721" s="33"/>
      <c r="F721" s="33"/>
    </row>
    <row r="722" ht="15.75" customHeight="1">
      <c r="C722" s="33"/>
      <c r="D722" s="33"/>
      <c r="E722" s="33"/>
      <c r="F722" s="33"/>
    </row>
    <row r="723" ht="15.75" customHeight="1">
      <c r="C723" s="33"/>
      <c r="D723" s="33"/>
      <c r="E723" s="33"/>
      <c r="F723" s="33"/>
    </row>
    <row r="724" ht="15.75" customHeight="1">
      <c r="C724" s="33"/>
      <c r="D724" s="33"/>
      <c r="E724" s="33"/>
      <c r="F724" s="33"/>
    </row>
    <row r="725" ht="15.75" customHeight="1">
      <c r="C725" s="33"/>
      <c r="D725" s="33"/>
      <c r="E725" s="33"/>
      <c r="F725" s="33"/>
    </row>
    <row r="726" ht="15.75" customHeight="1">
      <c r="C726" s="33"/>
      <c r="D726" s="33"/>
      <c r="E726" s="33"/>
      <c r="F726" s="33"/>
    </row>
    <row r="727" ht="15.75" customHeight="1">
      <c r="C727" s="33"/>
      <c r="D727" s="33"/>
      <c r="E727" s="33"/>
      <c r="F727" s="33"/>
    </row>
    <row r="728" ht="15.75" customHeight="1">
      <c r="C728" s="33"/>
      <c r="D728" s="33"/>
      <c r="E728" s="33"/>
      <c r="F728" s="33"/>
    </row>
    <row r="729" ht="15.75" customHeight="1">
      <c r="C729" s="33"/>
      <c r="D729" s="33"/>
      <c r="E729" s="33"/>
      <c r="F729" s="33"/>
    </row>
    <row r="730" ht="15.75" customHeight="1">
      <c r="C730" s="33"/>
      <c r="D730" s="33"/>
      <c r="E730" s="33"/>
      <c r="F730" s="33"/>
    </row>
    <row r="731" ht="15.75" customHeight="1">
      <c r="C731" s="33"/>
      <c r="D731" s="33"/>
      <c r="E731" s="33"/>
      <c r="F731" s="33"/>
    </row>
    <row r="732" ht="15.75" customHeight="1">
      <c r="C732" s="33"/>
      <c r="D732" s="33"/>
      <c r="E732" s="33"/>
      <c r="F732" s="33"/>
    </row>
    <row r="733" ht="15.75" customHeight="1">
      <c r="C733" s="33"/>
      <c r="D733" s="33"/>
      <c r="E733" s="33"/>
      <c r="F733" s="33"/>
    </row>
    <row r="734" ht="15.75" customHeight="1">
      <c r="C734" s="33"/>
      <c r="D734" s="33"/>
      <c r="E734" s="33"/>
      <c r="F734" s="33"/>
    </row>
    <row r="735" ht="15.75" customHeight="1">
      <c r="C735" s="33"/>
      <c r="D735" s="33"/>
      <c r="E735" s="33"/>
      <c r="F735" s="33"/>
    </row>
    <row r="736" ht="15.75" customHeight="1">
      <c r="C736" s="33"/>
      <c r="D736" s="33"/>
      <c r="E736" s="33"/>
      <c r="F736" s="33"/>
    </row>
    <row r="737" ht="15.75" customHeight="1">
      <c r="C737" s="33"/>
      <c r="D737" s="33"/>
      <c r="E737" s="33"/>
      <c r="F737" s="33"/>
    </row>
    <row r="738" ht="15.75" customHeight="1">
      <c r="C738" s="33"/>
      <c r="D738" s="33"/>
      <c r="E738" s="33"/>
      <c r="F738" s="33"/>
    </row>
    <row r="739" ht="15.75" customHeight="1">
      <c r="C739" s="33"/>
      <c r="D739" s="33"/>
      <c r="E739" s="33"/>
      <c r="F739" s="33"/>
    </row>
    <row r="740" ht="15.75" customHeight="1">
      <c r="C740" s="33"/>
      <c r="D740" s="33"/>
      <c r="E740" s="33"/>
      <c r="F740" s="33"/>
    </row>
    <row r="741" ht="15.75" customHeight="1">
      <c r="C741" s="33"/>
      <c r="D741" s="33"/>
      <c r="E741" s="33"/>
      <c r="F741" s="33"/>
    </row>
    <row r="742" ht="15.75" customHeight="1">
      <c r="C742" s="33"/>
      <c r="D742" s="33"/>
      <c r="E742" s="33"/>
      <c r="F742" s="33"/>
    </row>
    <row r="743" ht="15.75" customHeight="1">
      <c r="C743" s="33"/>
      <c r="D743" s="33"/>
      <c r="E743" s="33"/>
      <c r="F743" s="33"/>
    </row>
    <row r="744" ht="15.75" customHeight="1">
      <c r="C744" s="33"/>
      <c r="D744" s="33"/>
      <c r="E744" s="33"/>
      <c r="F744" s="33"/>
    </row>
    <row r="745" ht="15.75" customHeight="1">
      <c r="C745" s="33"/>
      <c r="D745" s="33"/>
      <c r="E745" s="33"/>
      <c r="F745" s="33"/>
    </row>
    <row r="746" ht="15.75" customHeight="1">
      <c r="C746" s="33"/>
      <c r="D746" s="33"/>
      <c r="E746" s="33"/>
      <c r="F746" s="33"/>
    </row>
    <row r="747" ht="15.75" customHeight="1">
      <c r="C747" s="33"/>
      <c r="D747" s="33"/>
      <c r="E747" s="33"/>
      <c r="F747" s="33"/>
    </row>
    <row r="748" ht="15.75" customHeight="1">
      <c r="C748" s="33"/>
      <c r="D748" s="33"/>
      <c r="E748" s="33"/>
      <c r="F748" s="33"/>
    </row>
    <row r="749" ht="15.75" customHeight="1">
      <c r="C749" s="33"/>
      <c r="D749" s="33"/>
      <c r="E749" s="33"/>
      <c r="F749" s="33"/>
    </row>
    <row r="750" ht="15.75" customHeight="1">
      <c r="C750" s="33"/>
      <c r="D750" s="33"/>
      <c r="E750" s="33"/>
      <c r="F750" s="33"/>
    </row>
    <row r="751" ht="15.75" customHeight="1">
      <c r="C751" s="33"/>
      <c r="D751" s="33"/>
      <c r="E751" s="33"/>
      <c r="F751" s="33"/>
    </row>
    <row r="752" ht="15.75" customHeight="1">
      <c r="C752" s="33"/>
      <c r="D752" s="33"/>
      <c r="E752" s="33"/>
      <c r="F752" s="33"/>
    </row>
    <row r="753" ht="15.75" customHeight="1">
      <c r="C753" s="33"/>
      <c r="D753" s="33"/>
      <c r="E753" s="33"/>
      <c r="F753" s="33"/>
    </row>
    <row r="754" ht="15.75" customHeight="1">
      <c r="C754" s="33"/>
      <c r="D754" s="33"/>
      <c r="E754" s="33"/>
      <c r="F754" s="33"/>
    </row>
    <row r="755" ht="15.75" customHeight="1">
      <c r="C755" s="33"/>
      <c r="D755" s="33"/>
      <c r="E755" s="33"/>
      <c r="F755" s="33"/>
    </row>
    <row r="756" ht="15.75" customHeight="1">
      <c r="C756" s="33"/>
      <c r="D756" s="33"/>
      <c r="E756" s="33"/>
      <c r="F756" s="33"/>
    </row>
    <row r="757" ht="15.75" customHeight="1">
      <c r="C757" s="33"/>
      <c r="D757" s="33"/>
      <c r="E757" s="33"/>
      <c r="F757" s="33"/>
    </row>
    <row r="758" ht="15.75" customHeight="1">
      <c r="C758" s="33"/>
      <c r="D758" s="33"/>
      <c r="E758" s="33"/>
      <c r="F758" s="33"/>
    </row>
    <row r="759" ht="15.75" customHeight="1">
      <c r="C759" s="33"/>
      <c r="D759" s="33"/>
      <c r="E759" s="33"/>
      <c r="F759" s="33"/>
    </row>
    <row r="760" ht="15.75" customHeight="1">
      <c r="C760" s="33"/>
      <c r="D760" s="33"/>
      <c r="E760" s="33"/>
      <c r="F760" s="33"/>
    </row>
    <row r="761" ht="15.75" customHeight="1">
      <c r="C761" s="33"/>
      <c r="D761" s="33"/>
      <c r="E761" s="33"/>
      <c r="F761" s="33"/>
    </row>
    <row r="762" ht="15.75" customHeight="1">
      <c r="C762" s="33"/>
      <c r="D762" s="33"/>
      <c r="E762" s="33"/>
      <c r="F762" s="33"/>
    </row>
    <row r="763" ht="15.75" customHeight="1">
      <c r="C763" s="33"/>
      <c r="D763" s="33"/>
      <c r="E763" s="33"/>
      <c r="F763" s="33"/>
    </row>
    <row r="764" ht="15.75" customHeight="1">
      <c r="C764" s="33"/>
      <c r="D764" s="33"/>
      <c r="E764" s="33"/>
      <c r="F764" s="33"/>
    </row>
    <row r="765" ht="15.75" customHeight="1">
      <c r="C765" s="33"/>
      <c r="D765" s="33"/>
      <c r="E765" s="33"/>
      <c r="F765" s="33"/>
    </row>
    <row r="766" ht="15.75" customHeight="1">
      <c r="C766" s="33"/>
      <c r="D766" s="33"/>
      <c r="E766" s="33"/>
      <c r="F766" s="33"/>
    </row>
    <row r="767" ht="15.75" customHeight="1">
      <c r="C767" s="33"/>
      <c r="D767" s="33"/>
      <c r="E767" s="33"/>
      <c r="F767" s="33"/>
    </row>
    <row r="768" ht="15.75" customHeight="1">
      <c r="C768" s="33"/>
      <c r="D768" s="33"/>
      <c r="E768" s="33"/>
      <c r="F768" s="33"/>
    </row>
    <row r="769" ht="15.75" customHeight="1">
      <c r="C769" s="33"/>
      <c r="D769" s="33"/>
      <c r="E769" s="33"/>
      <c r="F769" s="33"/>
    </row>
    <row r="770" ht="15.75" customHeight="1">
      <c r="C770" s="33"/>
      <c r="D770" s="33"/>
      <c r="E770" s="33"/>
      <c r="F770" s="33"/>
    </row>
    <row r="771" ht="15.75" customHeight="1">
      <c r="C771" s="33"/>
      <c r="D771" s="33"/>
      <c r="E771" s="33"/>
      <c r="F771" s="33"/>
    </row>
    <row r="772" ht="15.75" customHeight="1">
      <c r="C772" s="33"/>
      <c r="D772" s="33"/>
      <c r="E772" s="33"/>
      <c r="F772" s="33"/>
    </row>
    <row r="773" ht="15.75" customHeight="1">
      <c r="C773" s="33"/>
      <c r="D773" s="33"/>
      <c r="E773" s="33"/>
      <c r="F773" s="33"/>
    </row>
    <row r="774" ht="15.75" customHeight="1">
      <c r="C774" s="33"/>
      <c r="D774" s="33"/>
      <c r="E774" s="33"/>
      <c r="F774" s="33"/>
    </row>
    <row r="775" ht="15.75" customHeight="1">
      <c r="C775" s="33"/>
      <c r="D775" s="33"/>
      <c r="E775" s="33"/>
      <c r="F775" s="33"/>
    </row>
    <row r="776" ht="15.75" customHeight="1">
      <c r="C776" s="33"/>
      <c r="D776" s="33"/>
      <c r="E776" s="33"/>
      <c r="F776" s="33"/>
    </row>
    <row r="777" ht="15.75" customHeight="1">
      <c r="C777" s="33"/>
      <c r="D777" s="33"/>
      <c r="E777" s="33"/>
      <c r="F777" s="33"/>
    </row>
    <row r="778" ht="15.75" customHeight="1">
      <c r="C778" s="33"/>
      <c r="D778" s="33"/>
      <c r="E778" s="33"/>
      <c r="F778" s="33"/>
    </row>
    <row r="779" ht="15.75" customHeight="1">
      <c r="C779" s="33"/>
      <c r="D779" s="33"/>
      <c r="E779" s="33"/>
      <c r="F779" s="33"/>
    </row>
    <row r="780" ht="15.75" customHeight="1">
      <c r="C780" s="33"/>
      <c r="D780" s="33"/>
      <c r="E780" s="33"/>
      <c r="F780" s="33"/>
    </row>
    <row r="781" ht="15.75" customHeight="1">
      <c r="C781" s="33"/>
      <c r="D781" s="33"/>
      <c r="E781" s="33"/>
      <c r="F781" s="33"/>
    </row>
    <row r="782" ht="15.75" customHeight="1">
      <c r="C782" s="33"/>
      <c r="D782" s="33"/>
      <c r="E782" s="33"/>
      <c r="F782" s="33"/>
    </row>
    <row r="783" ht="15.75" customHeight="1">
      <c r="C783" s="33"/>
      <c r="D783" s="33"/>
      <c r="E783" s="33"/>
      <c r="F783" s="33"/>
    </row>
    <row r="784" ht="15.75" customHeight="1">
      <c r="C784" s="33"/>
      <c r="D784" s="33"/>
      <c r="E784" s="33"/>
      <c r="F784" s="33"/>
    </row>
    <row r="785" ht="15.75" customHeight="1">
      <c r="C785" s="33"/>
      <c r="D785" s="33"/>
      <c r="E785" s="33"/>
      <c r="F785" s="33"/>
    </row>
    <row r="786" ht="15.75" customHeight="1">
      <c r="C786" s="33"/>
      <c r="D786" s="33"/>
      <c r="E786" s="33"/>
      <c r="F786" s="33"/>
    </row>
    <row r="787" ht="15.75" customHeight="1">
      <c r="C787" s="33"/>
      <c r="D787" s="33"/>
      <c r="E787" s="33"/>
      <c r="F787" s="33"/>
    </row>
    <row r="788" ht="15.75" customHeight="1">
      <c r="C788" s="33"/>
      <c r="D788" s="33"/>
      <c r="E788" s="33"/>
      <c r="F788" s="33"/>
    </row>
    <row r="789" ht="15.75" customHeight="1">
      <c r="C789" s="33"/>
      <c r="D789" s="33"/>
      <c r="E789" s="33"/>
      <c r="F789" s="33"/>
    </row>
    <row r="790" ht="15.75" customHeight="1">
      <c r="C790" s="33"/>
      <c r="D790" s="33"/>
      <c r="E790" s="33"/>
      <c r="F790" s="33"/>
    </row>
    <row r="791" ht="15.75" customHeight="1">
      <c r="C791" s="33"/>
      <c r="D791" s="33"/>
      <c r="E791" s="33"/>
      <c r="F791" s="33"/>
    </row>
    <row r="792" ht="15.75" customHeight="1">
      <c r="C792" s="33"/>
      <c r="D792" s="33"/>
      <c r="E792" s="33"/>
      <c r="F792" s="33"/>
    </row>
    <row r="793" ht="15.75" customHeight="1">
      <c r="C793" s="33"/>
      <c r="D793" s="33"/>
      <c r="E793" s="33"/>
      <c r="F793" s="33"/>
    </row>
    <row r="794" ht="15.75" customHeight="1">
      <c r="C794" s="33"/>
      <c r="D794" s="33"/>
      <c r="E794" s="33"/>
      <c r="F794" s="33"/>
    </row>
    <row r="795" ht="15.75" customHeight="1">
      <c r="C795" s="33"/>
      <c r="D795" s="33"/>
      <c r="E795" s="33"/>
      <c r="F795" s="33"/>
    </row>
    <row r="796" ht="15.75" customHeight="1">
      <c r="C796" s="33"/>
      <c r="D796" s="33"/>
      <c r="E796" s="33"/>
      <c r="F796" s="33"/>
    </row>
    <row r="797" ht="15.75" customHeight="1">
      <c r="C797" s="33"/>
      <c r="D797" s="33"/>
      <c r="E797" s="33"/>
      <c r="F797" s="33"/>
    </row>
    <row r="798" ht="15.75" customHeight="1">
      <c r="C798" s="33"/>
      <c r="D798" s="33"/>
      <c r="E798" s="33"/>
      <c r="F798" s="33"/>
    </row>
    <row r="799" ht="15.75" customHeight="1">
      <c r="C799" s="33"/>
      <c r="D799" s="33"/>
      <c r="E799" s="33"/>
      <c r="F799" s="33"/>
    </row>
    <row r="800" ht="15.75" customHeight="1">
      <c r="C800" s="33"/>
      <c r="D800" s="33"/>
      <c r="E800" s="33"/>
      <c r="F800" s="33"/>
    </row>
    <row r="801" ht="15.75" customHeight="1">
      <c r="C801" s="33"/>
      <c r="D801" s="33"/>
      <c r="E801" s="33"/>
      <c r="F801" s="33"/>
    </row>
    <row r="802" ht="15.75" customHeight="1">
      <c r="C802" s="33"/>
      <c r="D802" s="33"/>
      <c r="E802" s="33"/>
      <c r="F802" s="33"/>
    </row>
    <row r="803" ht="15.75" customHeight="1">
      <c r="C803" s="33"/>
      <c r="D803" s="33"/>
      <c r="E803" s="33"/>
      <c r="F803" s="33"/>
    </row>
    <row r="804" ht="15.75" customHeight="1">
      <c r="C804" s="33"/>
      <c r="D804" s="33"/>
      <c r="E804" s="33"/>
      <c r="F804" s="33"/>
    </row>
    <row r="805" ht="15.75" customHeight="1">
      <c r="C805" s="33"/>
      <c r="D805" s="33"/>
      <c r="E805" s="33"/>
      <c r="F805" s="33"/>
    </row>
    <row r="806" ht="15.75" customHeight="1">
      <c r="C806" s="33"/>
      <c r="D806" s="33"/>
      <c r="E806" s="33"/>
      <c r="F806" s="33"/>
    </row>
    <row r="807" ht="15.75" customHeight="1">
      <c r="C807" s="33"/>
      <c r="D807" s="33"/>
      <c r="E807" s="33"/>
      <c r="F807" s="33"/>
    </row>
    <row r="808" ht="15.75" customHeight="1">
      <c r="C808" s="33"/>
      <c r="D808" s="33"/>
      <c r="E808" s="33"/>
      <c r="F808" s="33"/>
    </row>
    <row r="809" ht="15.75" customHeight="1">
      <c r="C809" s="33"/>
      <c r="D809" s="33"/>
      <c r="E809" s="33"/>
      <c r="F809" s="33"/>
    </row>
    <row r="810" ht="15.75" customHeight="1">
      <c r="C810" s="33"/>
      <c r="D810" s="33"/>
      <c r="E810" s="33"/>
      <c r="F810" s="33"/>
    </row>
    <row r="811" ht="15.75" customHeight="1">
      <c r="C811" s="33"/>
      <c r="D811" s="33"/>
      <c r="E811" s="33"/>
      <c r="F811" s="33"/>
    </row>
    <row r="812" ht="15.75" customHeight="1">
      <c r="C812" s="33"/>
      <c r="D812" s="33"/>
      <c r="E812" s="33"/>
      <c r="F812" s="33"/>
    </row>
    <row r="813" ht="15.75" customHeight="1">
      <c r="C813" s="33"/>
      <c r="D813" s="33"/>
      <c r="E813" s="33"/>
      <c r="F813" s="33"/>
    </row>
    <row r="814" ht="15.75" customHeight="1">
      <c r="C814" s="33"/>
      <c r="D814" s="33"/>
      <c r="E814" s="33"/>
      <c r="F814" s="33"/>
    </row>
    <row r="815" ht="15.75" customHeight="1">
      <c r="C815" s="33"/>
      <c r="D815" s="33"/>
      <c r="E815" s="33"/>
      <c r="F815" s="33"/>
    </row>
    <row r="816" ht="15.75" customHeight="1">
      <c r="C816" s="33"/>
      <c r="D816" s="33"/>
      <c r="E816" s="33"/>
      <c r="F816" s="33"/>
    </row>
    <row r="817" ht="15.75" customHeight="1">
      <c r="C817" s="33"/>
      <c r="D817" s="33"/>
      <c r="E817" s="33"/>
      <c r="F817" s="33"/>
    </row>
    <row r="818" ht="15.75" customHeight="1">
      <c r="C818" s="33"/>
      <c r="D818" s="33"/>
      <c r="E818" s="33"/>
      <c r="F818" s="33"/>
    </row>
    <row r="819" ht="15.75" customHeight="1">
      <c r="C819" s="33"/>
      <c r="D819" s="33"/>
      <c r="E819" s="33"/>
      <c r="F819" s="33"/>
    </row>
    <row r="820" ht="15.75" customHeight="1">
      <c r="C820" s="33"/>
      <c r="D820" s="33"/>
      <c r="E820" s="33"/>
      <c r="F820" s="33"/>
    </row>
    <row r="821" ht="15.75" customHeight="1">
      <c r="C821" s="33"/>
      <c r="D821" s="33"/>
      <c r="E821" s="33"/>
      <c r="F821" s="33"/>
    </row>
    <row r="822" ht="15.75" customHeight="1">
      <c r="C822" s="33"/>
      <c r="D822" s="33"/>
      <c r="E822" s="33"/>
      <c r="F822" s="33"/>
    </row>
    <row r="823" ht="15.75" customHeight="1">
      <c r="C823" s="33"/>
      <c r="D823" s="33"/>
      <c r="E823" s="33"/>
      <c r="F823" s="33"/>
    </row>
    <row r="824" ht="15.75" customHeight="1">
      <c r="C824" s="33"/>
      <c r="D824" s="33"/>
      <c r="E824" s="33"/>
      <c r="F824" s="33"/>
    </row>
    <row r="825" ht="15.75" customHeight="1">
      <c r="C825" s="33"/>
      <c r="D825" s="33"/>
      <c r="E825" s="33"/>
      <c r="F825" s="33"/>
    </row>
    <row r="826" ht="15.75" customHeight="1">
      <c r="C826" s="33"/>
      <c r="D826" s="33"/>
      <c r="E826" s="33"/>
      <c r="F826" s="33"/>
    </row>
    <row r="827" ht="15.75" customHeight="1">
      <c r="C827" s="33"/>
      <c r="D827" s="33"/>
      <c r="E827" s="33"/>
      <c r="F827" s="33"/>
    </row>
    <row r="828" ht="15.75" customHeight="1">
      <c r="C828" s="33"/>
      <c r="D828" s="33"/>
      <c r="E828" s="33"/>
      <c r="F828" s="33"/>
    </row>
    <row r="829" ht="15.75" customHeight="1">
      <c r="C829" s="33"/>
      <c r="D829" s="33"/>
      <c r="E829" s="33"/>
      <c r="F829" s="33"/>
    </row>
    <row r="830" ht="15.75" customHeight="1">
      <c r="C830" s="33"/>
      <c r="D830" s="33"/>
      <c r="E830" s="33"/>
      <c r="F830" s="33"/>
    </row>
    <row r="831" ht="15.75" customHeight="1">
      <c r="C831" s="33"/>
      <c r="D831" s="33"/>
      <c r="E831" s="33"/>
      <c r="F831" s="33"/>
    </row>
    <row r="832" ht="15.75" customHeight="1">
      <c r="C832" s="33"/>
      <c r="D832" s="33"/>
      <c r="E832" s="33"/>
      <c r="F832" s="33"/>
    </row>
    <row r="833" ht="15.75" customHeight="1">
      <c r="C833" s="33"/>
      <c r="D833" s="33"/>
      <c r="E833" s="33"/>
      <c r="F833" s="33"/>
    </row>
    <row r="834" ht="15.75" customHeight="1">
      <c r="C834" s="33"/>
      <c r="D834" s="33"/>
      <c r="E834" s="33"/>
      <c r="F834" s="33"/>
    </row>
    <row r="835" ht="15.75" customHeight="1">
      <c r="C835" s="33"/>
      <c r="D835" s="33"/>
      <c r="E835" s="33"/>
      <c r="F835" s="33"/>
    </row>
    <row r="836" ht="15.75" customHeight="1">
      <c r="C836" s="33"/>
      <c r="D836" s="33"/>
      <c r="E836" s="33"/>
      <c r="F836" s="33"/>
    </row>
    <row r="837" ht="15.75" customHeight="1">
      <c r="C837" s="33"/>
      <c r="D837" s="33"/>
      <c r="E837" s="33"/>
      <c r="F837" s="33"/>
    </row>
    <row r="838" ht="15.75" customHeight="1">
      <c r="C838" s="33"/>
      <c r="D838" s="33"/>
      <c r="E838" s="33"/>
      <c r="F838" s="33"/>
    </row>
    <row r="839" ht="15.75" customHeight="1">
      <c r="C839" s="33"/>
      <c r="D839" s="33"/>
      <c r="E839" s="33"/>
      <c r="F839" s="33"/>
    </row>
    <row r="840" ht="15.75" customHeight="1">
      <c r="C840" s="33"/>
      <c r="D840" s="33"/>
      <c r="E840" s="33"/>
      <c r="F840" s="33"/>
    </row>
    <row r="841" ht="15.75" customHeight="1">
      <c r="C841" s="33"/>
      <c r="D841" s="33"/>
      <c r="E841" s="33"/>
      <c r="F841" s="33"/>
    </row>
    <row r="842" ht="15.75" customHeight="1">
      <c r="C842" s="33"/>
      <c r="D842" s="33"/>
      <c r="E842" s="33"/>
      <c r="F842" s="33"/>
    </row>
    <row r="843" ht="15.75" customHeight="1">
      <c r="C843" s="33"/>
      <c r="D843" s="33"/>
      <c r="E843" s="33"/>
      <c r="F843" s="33"/>
    </row>
    <row r="844" ht="15.75" customHeight="1">
      <c r="C844" s="33"/>
      <c r="D844" s="33"/>
      <c r="E844" s="33"/>
      <c r="F844" s="33"/>
    </row>
    <row r="845" ht="15.75" customHeight="1">
      <c r="C845" s="33"/>
      <c r="D845" s="33"/>
      <c r="E845" s="33"/>
      <c r="F845" s="33"/>
    </row>
    <row r="846" ht="15.75" customHeight="1">
      <c r="C846" s="33"/>
      <c r="D846" s="33"/>
      <c r="E846" s="33"/>
      <c r="F846" s="33"/>
    </row>
    <row r="847" ht="15.75" customHeight="1">
      <c r="C847" s="33"/>
      <c r="D847" s="33"/>
      <c r="E847" s="33"/>
      <c r="F847" s="33"/>
    </row>
    <row r="848" ht="15.75" customHeight="1">
      <c r="C848" s="33"/>
      <c r="D848" s="33"/>
      <c r="E848" s="33"/>
      <c r="F848" s="33"/>
    </row>
    <row r="849" ht="15.75" customHeight="1">
      <c r="C849" s="33"/>
      <c r="D849" s="33"/>
      <c r="E849" s="33"/>
      <c r="F849" s="33"/>
    </row>
    <row r="850" ht="15.75" customHeight="1">
      <c r="C850" s="33"/>
      <c r="D850" s="33"/>
      <c r="E850" s="33"/>
      <c r="F850" s="33"/>
    </row>
    <row r="851" ht="15.75" customHeight="1">
      <c r="C851" s="33"/>
      <c r="D851" s="33"/>
      <c r="E851" s="33"/>
      <c r="F851" s="33"/>
    </row>
    <row r="852" ht="15.75" customHeight="1">
      <c r="C852" s="33"/>
      <c r="D852" s="33"/>
      <c r="E852" s="33"/>
      <c r="F852" s="33"/>
    </row>
    <row r="853" ht="15.75" customHeight="1">
      <c r="C853" s="33"/>
      <c r="D853" s="33"/>
      <c r="E853" s="33"/>
      <c r="F853" s="33"/>
    </row>
    <row r="854" ht="15.75" customHeight="1">
      <c r="C854" s="33"/>
      <c r="D854" s="33"/>
      <c r="E854" s="33"/>
      <c r="F854" s="33"/>
    </row>
    <row r="855" ht="15.75" customHeight="1">
      <c r="C855" s="33"/>
      <c r="D855" s="33"/>
      <c r="E855" s="33"/>
      <c r="F855" s="33"/>
    </row>
    <row r="856" ht="15.75" customHeight="1">
      <c r="C856" s="33"/>
      <c r="D856" s="33"/>
      <c r="E856" s="33"/>
      <c r="F856" s="33"/>
    </row>
    <row r="857" ht="15.75" customHeight="1">
      <c r="C857" s="33"/>
      <c r="D857" s="33"/>
      <c r="E857" s="33"/>
      <c r="F857" s="33"/>
    </row>
    <row r="858" ht="15.75" customHeight="1">
      <c r="C858" s="33"/>
      <c r="D858" s="33"/>
      <c r="E858" s="33"/>
      <c r="F858" s="33"/>
    </row>
    <row r="859" ht="15.75" customHeight="1">
      <c r="C859" s="33"/>
      <c r="D859" s="33"/>
      <c r="E859" s="33"/>
      <c r="F859" s="33"/>
    </row>
    <row r="860" ht="15.75" customHeight="1">
      <c r="C860" s="33"/>
      <c r="D860" s="33"/>
      <c r="E860" s="33"/>
      <c r="F860" s="33"/>
    </row>
    <row r="861" ht="15.75" customHeight="1">
      <c r="C861" s="33"/>
      <c r="D861" s="33"/>
      <c r="E861" s="33"/>
      <c r="F861" s="33"/>
    </row>
    <row r="862" ht="15.75" customHeight="1">
      <c r="C862" s="33"/>
      <c r="D862" s="33"/>
      <c r="E862" s="33"/>
      <c r="F862" s="33"/>
    </row>
    <row r="863" ht="15.75" customHeight="1">
      <c r="C863" s="33"/>
      <c r="D863" s="33"/>
      <c r="E863" s="33"/>
      <c r="F863" s="33"/>
    </row>
    <row r="864" ht="15.75" customHeight="1">
      <c r="C864" s="33"/>
      <c r="D864" s="33"/>
      <c r="E864" s="33"/>
      <c r="F864" s="33"/>
    </row>
    <row r="865" ht="15.75" customHeight="1">
      <c r="C865" s="33"/>
      <c r="D865" s="33"/>
      <c r="E865" s="33"/>
      <c r="F865" s="33"/>
    </row>
    <row r="866" ht="15.75" customHeight="1">
      <c r="C866" s="33"/>
      <c r="D866" s="33"/>
      <c r="E866" s="33"/>
      <c r="F866" s="33"/>
    </row>
    <row r="867" ht="15.75" customHeight="1">
      <c r="C867" s="33"/>
      <c r="D867" s="33"/>
      <c r="E867" s="33"/>
      <c r="F867" s="33"/>
    </row>
    <row r="868" ht="15.75" customHeight="1">
      <c r="C868" s="33"/>
      <c r="D868" s="33"/>
      <c r="E868" s="33"/>
      <c r="F868" s="33"/>
    </row>
    <row r="869" ht="15.75" customHeight="1">
      <c r="C869" s="33"/>
      <c r="D869" s="33"/>
      <c r="E869" s="33"/>
      <c r="F869" s="33"/>
    </row>
    <row r="870" ht="15.75" customHeight="1">
      <c r="C870" s="33"/>
      <c r="D870" s="33"/>
      <c r="E870" s="33"/>
      <c r="F870" s="33"/>
    </row>
    <row r="871" ht="15.75" customHeight="1">
      <c r="C871" s="33"/>
      <c r="D871" s="33"/>
      <c r="E871" s="33"/>
      <c r="F871" s="33"/>
    </row>
    <row r="872" ht="15.75" customHeight="1">
      <c r="C872" s="33"/>
      <c r="D872" s="33"/>
      <c r="E872" s="33"/>
      <c r="F872" s="33"/>
    </row>
    <row r="873" ht="15.75" customHeight="1">
      <c r="C873" s="33"/>
      <c r="D873" s="33"/>
      <c r="E873" s="33"/>
      <c r="F873" s="33"/>
    </row>
    <row r="874" ht="15.75" customHeight="1">
      <c r="C874" s="33"/>
      <c r="D874" s="33"/>
      <c r="E874" s="33"/>
      <c r="F874" s="33"/>
    </row>
    <row r="875" ht="15.75" customHeight="1">
      <c r="C875" s="33"/>
      <c r="D875" s="33"/>
      <c r="E875" s="33"/>
      <c r="F875" s="33"/>
    </row>
    <row r="876" ht="15.75" customHeight="1">
      <c r="C876" s="33"/>
      <c r="D876" s="33"/>
      <c r="E876" s="33"/>
      <c r="F876" s="33"/>
    </row>
    <row r="877" ht="15.75" customHeight="1">
      <c r="C877" s="33"/>
      <c r="D877" s="33"/>
      <c r="E877" s="33"/>
      <c r="F877" s="33"/>
    </row>
    <row r="878" ht="15.75" customHeight="1">
      <c r="C878" s="33"/>
      <c r="D878" s="33"/>
      <c r="E878" s="33"/>
      <c r="F878" s="33"/>
    </row>
    <row r="879" ht="15.75" customHeight="1">
      <c r="C879" s="33"/>
      <c r="D879" s="33"/>
      <c r="E879" s="33"/>
      <c r="F879" s="33"/>
    </row>
    <row r="880" ht="15.75" customHeight="1">
      <c r="C880" s="33"/>
      <c r="D880" s="33"/>
      <c r="E880" s="33"/>
      <c r="F880" s="33"/>
    </row>
    <row r="881" ht="15.75" customHeight="1">
      <c r="C881" s="33"/>
      <c r="D881" s="33"/>
      <c r="E881" s="33"/>
      <c r="F881" s="33"/>
    </row>
    <row r="882" ht="15.75" customHeight="1">
      <c r="C882" s="33"/>
      <c r="D882" s="33"/>
      <c r="E882" s="33"/>
      <c r="F882" s="33"/>
    </row>
    <row r="883" ht="15.75" customHeight="1">
      <c r="C883" s="33"/>
      <c r="D883" s="33"/>
      <c r="E883" s="33"/>
      <c r="F883" s="33"/>
    </row>
    <row r="884" ht="15.75" customHeight="1">
      <c r="C884" s="33"/>
      <c r="D884" s="33"/>
      <c r="E884" s="33"/>
      <c r="F884" s="33"/>
    </row>
    <row r="885" ht="15.75" customHeight="1">
      <c r="C885" s="33"/>
      <c r="D885" s="33"/>
      <c r="E885" s="33"/>
      <c r="F885" s="33"/>
    </row>
    <row r="886" ht="15.75" customHeight="1">
      <c r="C886" s="33"/>
      <c r="D886" s="33"/>
      <c r="E886" s="33"/>
      <c r="F886" s="33"/>
    </row>
    <row r="887" ht="15.75" customHeight="1">
      <c r="C887" s="33"/>
      <c r="D887" s="33"/>
      <c r="E887" s="33"/>
      <c r="F887" s="33"/>
    </row>
    <row r="888" ht="15.75" customHeight="1">
      <c r="C888" s="33"/>
      <c r="D888" s="33"/>
      <c r="E888" s="33"/>
      <c r="F888" s="33"/>
    </row>
    <row r="889" ht="15.75" customHeight="1">
      <c r="C889" s="33"/>
      <c r="D889" s="33"/>
      <c r="E889" s="33"/>
      <c r="F889" s="33"/>
    </row>
    <row r="890" ht="15.75" customHeight="1">
      <c r="C890" s="33"/>
      <c r="D890" s="33"/>
      <c r="E890" s="33"/>
      <c r="F890" s="33"/>
    </row>
    <row r="891" ht="15.75" customHeight="1">
      <c r="C891" s="33"/>
      <c r="D891" s="33"/>
      <c r="E891" s="33"/>
      <c r="F891" s="33"/>
    </row>
    <row r="892" ht="15.75" customHeight="1">
      <c r="C892" s="33"/>
      <c r="D892" s="33"/>
      <c r="E892" s="33"/>
      <c r="F892" s="33"/>
    </row>
    <row r="893" ht="15.75" customHeight="1">
      <c r="C893" s="33"/>
      <c r="D893" s="33"/>
      <c r="E893" s="33"/>
      <c r="F893" s="33"/>
    </row>
    <row r="894" ht="15.75" customHeight="1">
      <c r="C894" s="33"/>
      <c r="D894" s="33"/>
      <c r="E894" s="33"/>
      <c r="F894" s="33"/>
    </row>
    <row r="895" ht="15.75" customHeight="1">
      <c r="C895" s="33"/>
      <c r="D895" s="33"/>
      <c r="E895" s="33"/>
      <c r="F895" s="33"/>
    </row>
    <row r="896" ht="15.75" customHeight="1">
      <c r="C896" s="33"/>
      <c r="D896" s="33"/>
      <c r="E896" s="33"/>
      <c r="F896" s="33"/>
    </row>
    <row r="897" ht="15.75" customHeight="1">
      <c r="C897" s="33"/>
      <c r="D897" s="33"/>
      <c r="E897" s="33"/>
      <c r="F897" s="33"/>
    </row>
    <row r="898" ht="15.75" customHeight="1">
      <c r="C898" s="33"/>
      <c r="D898" s="33"/>
      <c r="E898" s="33"/>
      <c r="F898" s="33"/>
    </row>
    <row r="899" ht="15.75" customHeight="1">
      <c r="C899" s="33"/>
      <c r="D899" s="33"/>
      <c r="E899" s="33"/>
      <c r="F899" s="33"/>
    </row>
    <row r="900" ht="15.75" customHeight="1">
      <c r="C900" s="33"/>
      <c r="D900" s="33"/>
      <c r="E900" s="33"/>
      <c r="F900" s="33"/>
    </row>
    <row r="901" ht="15.75" customHeight="1">
      <c r="C901" s="33"/>
      <c r="D901" s="33"/>
      <c r="E901" s="33"/>
      <c r="F901" s="33"/>
    </row>
    <row r="902" ht="15.75" customHeight="1">
      <c r="C902" s="33"/>
      <c r="D902" s="33"/>
      <c r="E902" s="33"/>
      <c r="F902" s="33"/>
    </row>
    <row r="903" ht="15.75" customHeight="1">
      <c r="C903" s="33"/>
      <c r="D903" s="33"/>
      <c r="E903" s="33"/>
      <c r="F903" s="33"/>
    </row>
    <row r="904" ht="15.75" customHeight="1">
      <c r="C904" s="33"/>
      <c r="D904" s="33"/>
      <c r="E904" s="33"/>
      <c r="F904" s="33"/>
    </row>
    <row r="905" ht="15.75" customHeight="1">
      <c r="C905" s="33"/>
      <c r="D905" s="33"/>
      <c r="E905" s="33"/>
      <c r="F905" s="33"/>
    </row>
    <row r="906" ht="15.75" customHeight="1">
      <c r="C906" s="33"/>
      <c r="D906" s="33"/>
      <c r="E906" s="33"/>
      <c r="F906" s="33"/>
    </row>
    <row r="907" ht="15.75" customHeight="1">
      <c r="C907" s="33"/>
      <c r="D907" s="33"/>
      <c r="E907" s="33"/>
      <c r="F907" s="33"/>
    </row>
    <row r="908" ht="15.75" customHeight="1">
      <c r="C908" s="33"/>
      <c r="D908" s="33"/>
      <c r="E908" s="33"/>
      <c r="F908" s="33"/>
    </row>
    <row r="909" ht="15.75" customHeight="1">
      <c r="C909" s="33"/>
      <c r="D909" s="33"/>
      <c r="E909" s="33"/>
      <c r="F909" s="33"/>
    </row>
    <row r="910" ht="15.75" customHeight="1">
      <c r="C910" s="33"/>
      <c r="D910" s="33"/>
      <c r="E910" s="33"/>
      <c r="F910" s="33"/>
    </row>
    <row r="911" ht="15.75" customHeight="1">
      <c r="C911" s="33"/>
      <c r="D911" s="33"/>
      <c r="E911" s="33"/>
      <c r="F911" s="33"/>
    </row>
    <row r="912" ht="15.75" customHeight="1">
      <c r="C912" s="33"/>
      <c r="D912" s="33"/>
      <c r="E912" s="33"/>
      <c r="F912" s="33"/>
    </row>
    <row r="913" ht="15.75" customHeight="1">
      <c r="C913" s="33"/>
      <c r="D913" s="33"/>
      <c r="E913" s="33"/>
      <c r="F913" s="33"/>
    </row>
    <row r="914" ht="15.75" customHeight="1">
      <c r="C914" s="33"/>
      <c r="D914" s="33"/>
      <c r="E914" s="33"/>
      <c r="F914" s="33"/>
    </row>
    <row r="915" ht="15.75" customHeight="1">
      <c r="C915" s="33"/>
      <c r="D915" s="33"/>
      <c r="E915" s="33"/>
      <c r="F915" s="33"/>
    </row>
    <row r="916" ht="15.75" customHeight="1">
      <c r="C916" s="33"/>
      <c r="D916" s="33"/>
      <c r="E916" s="33"/>
      <c r="F916" s="33"/>
    </row>
    <row r="917" ht="15.75" customHeight="1">
      <c r="C917" s="33"/>
      <c r="D917" s="33"/>
      <c r="E917" s="33"/>
      <c r="F917" s="33"/>
    </row>
    <row r="918" ht="15.75" customHeight="1">
      <c r="C918" s="33"/>
      <c r="D918" s="33"/>
      <c r="E918" s="33"/>
      <c r="F918" s="33"/>
    </row>
    <row r="919" ht="15.75" customHeight="1">
      <c r="C919" s="33"/>
      <c r="D919" s="33"/>
      <c r="E919" s="33"/>
      <c r="F919" s="33"/>
    </row>
    <row r="920" ht="15.75" customHeight="1">
      <c r="C920" s="33"/>
      <c r="D920" s="33"/>
      <c r="E920" s="33"/>
      <c r="F920" s="33"/>
    </row>
    <row r="921" ht="15.75" customHeight="1">
      <c r="C921" s="33"/>
      <c r="D921" s="33"/>
      <c r="E921" s="33"/>
      <c r="F921" s="33"/>
    </row>
    <row r="922" ht="15.75" customHeight="1">
      <c r="C922" s="33"/>
      <c r="D922" s="33"/>
      <c r="E922" s="33"/>
      <c r="F922" s="33"/>
    </row>
    <row r="923" ht="15.75" customHeight="1">
      <c r="C923" s="33"/>
      <c r="D923" s="33"/>
      <c r="E923" s="33"/>
      <c r="F923" s="33"/>
    </row>
    <row r="924" ht="15.75" customHeight="1">
      <c r="C924" s="33"/>
      <c r="D924" s="33"/>
      <c r="E924" s="33"/>
      <c r="F924" s="33"/>
    </row>
    <row r="925" ht="15.75" customHeight="1">
      <c r="C925" s="33"/>
      <c r="D925" s="33"/>
      <c r="E925" s="33"/>
      <c r="F925" s="33"/>
    </row>
    <row r="926" ht="15.75" customHeight="1">
      <c r="C926" s="33"/>
      <c r="D926" s="33"/>
      <c r="E926" s="33"/>
      <c r="F926" s="33"/>
    </row>
    <row r="927" ht="15.75" customHeight="1">
      <c r="C927" s="33"/>
      <c r="D927" s="33"/>
      <c r="E927" s="33"/>
      <c r="F927" s="33"/>
    </row>
    <row r="928" ht="15.75" customHeight="1">
      <c r="C928" s="33"/>
      <c r="D928" s="33"/>
      <c r="E928" s="33"/>
      <c r="F928" s="33"/>
    </row>
    <row r="929" ht="15.75" customHeight="1">
      <c r="C929" s="33"/>
      <c r="D929" s="33"/>
      <c r="E929" s="33"/>
      <c r="F929" s="33"/>
    </row>
    <row r="930" ht="15.75" customHeight="1">
      <c r="C930" s="33"/>
      <c r="D930" s="33"/>
      <c r="E930" s="33"/>
      <c r="F930" s="33"/>
    </row>
    <row r="931" ht="15.75" customHeight="1">
      <c r="C931" s="33"/>
      <c r="D931" s="33"/>
      <c r="E931" s="33"/>
      <c r="F931" s="33"/>
    </row>
    <row r="932" ht="15.75" customHeight="1">
      <c r="C932" s="33"/>
      <c r="D932" s="33"/>
      <c r="E932" s="33"/>
      <c r="F932" s="33"/>
    </row>
    <row r="933" ht="15.75" customHeight="1">
      <c r="C933" s="33"/>
      <c r="D933" s="33"/>
      <c r="E933" s="33"/>
      <c r="F933" s="33"/>
    </row>
    <row r="934" ht="15.75" customHeight="1">
      <c r="C934" s="33"/>
      <c r="D934" s="33"/>
      <c r="E934" s="33"/>
      <c r="F934" s="33"/>
    </row>
    <row r="935" ht="15.75" customHeight="1">
      <c r="C935" s="33"/>
      <c r="D935" s="33"/>
      <c r="E935" s="33"/>
      <c r="F935" s="33"/>
    </row>
    <row r="936" ht="15.75" customHeight="1">
      <c r="C936" s="33"/>
      <c r="D936" s="33"/>
      <c r="E936" s="33"/>
      <c r="F936" s="33"/>
    </row>
    <row r="937" ht="15.75" customHeight="1">
      <c r="C937" s="33"/>
      <c r="D937" s="33"/>
      <c r="E937" s="33"/>
      <c r="F937" s="33"/>
    </row>
    <row r="938" ht="15.75" customHeight="1">
      <c r="C938" s="33"/>
      <c r="D938" s="33"/>
      <c r="E938" s="33"/>
      <c r="F938" s="33"/>
    </row>
    <row r="939" ht="15.75" customHeight="1">
      <c r="C939" s="33"/>
      <c r="D939" s="33"/>
      <c r="E939" s="33"/>
      <c r="F939" s="33"/>
    </row>
    <row r="940" ht="15.75" customHeight="1">
      <c r="C940" s="33"/>
      <c r="D940" s="33"/>
      <c r="E940" s="33"/>
      <c r="F940" s="33"/>
    </row>
    <row r="941" ht="15.75" customHeight="1">
      <c r="C941" s="33"/>
      <c r="D941" s="33"/>
      <c r="E941" s="33"/>
      <c r="F941" s="33"/>
    </row>
    <row r="942" ht="15.75" customHeight="1">
      <c r="C942" s="33"/>
      <c r="D942" s="33"/>
      <c r="E942" s="33"/>
      <c r="F942" s="33"/>
    </row>
    <row r="943" ht="15.75" customHeight="1">
      <c r="C943" s="33"/>
      <c r="D943" s="33"/>
      <c r="E943" s="33"/>
      <c r="F943" s="33"/>
    </row>
    <row r="944" ht="15.75" customHeight="1">
      <c r="C944" s="33"/>
      <c r="D944" s="33"/>
      <c r="E944" s="33"/>
      <c r="F944" s="33"/>
    </row>
    <row r="945" ht="15.75" customHeight="1">
      <c r="C945" s="33"/>
      <c r="D945" s="33"/>
      <c r="E945" s="33"/>
      <c r="F945" s="33"/>
    </row>
    <row r="946" ht="15.75" customHeight="1">
      <c r="C946" s="33"/>
      <c r="D946" s="33"/>
      <c r="E946" s="33"/>
      <c r="F946" s="33"/>
    </row>
    <row r="947" ht="15.75" customHeight="1">
      <c r="C947" s="33"/>
      <c r="D947" s="33"/>
      <c r="E947" s="33"/>
      <c r="F947" s="33"/>
    </row>
    <row r="948" ht="15.75" customHeight="1">
      <c r="C948" s="33"/>
      <c r="D948" s="33"/>
      <c r="E948" s="33"/>
      <c r="F948" s="33"/>
    </row>
    <row r="949" ht="15.75" customHeight="1">
      <c r="C949" s="33"/>
      <c r="D949" s="33"/>
      <c r="E949" s="33"/>
      <c r="F949" s="33"/>
    </row>
    <row r="950" ht="15.75" customHeight="1">
      <c r="C950" s="33"/>
      <c r="D950" s="33"/>
      <c r="E950" s="33"/>
      <c r="F950" s="33"/>
    </row>
    <row r="951" ht="15.75" customHeight="1">
      <c r="C951" s="33"/>
      <c r="D951" s="33"/>
      <c r="E951" s="33"/>
      <c r="F951" s="33"/>
    </row>
    <row r="952" ht="15.75" customHeight="1">
      <c r="C952" s="33"/>
      <c r="D952" s="33"/>
      <c r="E952" s="33"/>
      <c r="F952" s="33"/>
    </row>
    <row r="953" ht="15.75" customHeight="1">
      <c r="C953" s="33"/>
      <c r="D953" s="33"/>
      <c r="E953" s="33"/>
      <c r="F953" s="33"/>
    </row>
    <row r="954" ht="15.75" customHeight="1">
      <c r="C954" s="33"/>
      <c r="D954" s="33"/>
      <c r="E954" s="33"/>
      <c r="F954" s="33"/>
    </row>
    <row r="955" ht="15.75" customHeight="1">
      <c r="C955" s="33"/>
      <c r="D955" s="33"/>
      <c r="E955" s="33"/>
      <c r="F955" s="33"/>
    </row>
    <row r="956" ht="15.75" customHeight="1">
      <c r="C956" s="33"/>
      <c r="D956" s="33"/>
      <c r="E956" s="33"/>
      <c r="F956" s="33"/>
    </row>
    <row r="957" ht="15.75" customHeight="1">
      <c r="C957" s="33"/>
      <c r="D957" s="33"/>
      <c r="E957" s="33"/>
      <c r="F957" s="33"/>
    </row>
    <row r="958" ht="15.75" customHeight="1">
      <c r="C958" s="33"/>
      <c r="D958" s="33"/>
      <c r="E958" s="33"/>
      <c r="F958" s="33"/>
    </row>
    <row r="959" ht="15.75" customHeight="1">
      <c r="C959" s="33"/>
      <c r="D959" s="33"/>
      <c r="E959" s="33"/>
      <c r="F959" s="33"/>
    </row>
    <row r="960" ht="15.75" customHeight="1">
      <c r="C960" s="33"/>
      <c r="D960" s="33"/>
      <c r="E960" s="33"/>
      <c r="F960" s="33"/>
    </row>
    <row r="961" ht="15.75" customHeight="1">
      <c r="C961" s="33"/>
      <c r="D961" s="33"/>
      <c r="E961" s="33"/>
      <c r="F961" s="33"/>
    </row>
    <row r="962" ht="15.75" customHeight="1">
      <c r="C962" s="33"/>
      <c r="D962" s="33"/>
      <c r="E962" s="33"/>
      <c r="F962" s="33"/>
    </row>
    <row r="963" ht="15.75" customHeight="1">
      <c r="C963" s="33"/>
      <c r="D963" s="33"/>
      <c r="E963" s="33"/>
      <c r="F963" s="33"/>
    </row>
    <row r="964" ht="15.75" customHeight="1">
      <c r="C964" s="33"/>
      <c r="D964" s="33"/>
      <c r="E964" s="33"/>
      <c r="F964" s="33"/>
    </row>
    <row r="965" ht="15.75" customHeight="1">
      <c r="C965" s="33"/>
      <c r="D965" s="33"/>
      <c r="E965" s="33"/>
      <c r="F965" s="33"/>
    </row>
    <row r="966" ht="15.75" customHeight="1">
      <c r="C966" s="33"/>
      <c r="D966" s="33"/>
      <c r="E966" s="33"/>
      <c r="F966" s="33"/>
    </row>
    <row r="967" ht="15.75" customHeight="1">
      <c r="C967" s="33"/>
      <c r="D967" s="33"/>
      <c r="E967" s="33"/>
      <c r="F967" s="33"/>
    </row>
    <row r="968" ht="15.75" customHeight="1">
      <c r="C968" s="33"/>
      <c r="D968" s="33"/>
      <c r="E968" s="33"/>
      <c r="F968" s="33"/>
    </row>
    <row r="969" ht="15.75" customHeight="1">
      <c r="C969" s="33"/>
      <c r="D969" s="33"/>
      <c r="E969" s="33"/>
      <c r="F969" s="33"/>
    </row>
    <row r="970" ht="15.75" customHeight="1">
      <c r="C970" s="33"/>
      <c r="D970" s="33"/>
      <c r="E970" s="33"/>
      <c r="F970" s="33"/>
    </row>
    <row r="971" ht="15.75" customHeight="1">
      <c r="C971" s="33"/>
      <c r="D971" s="33"/>
      <c r="E971" s="33"/>
      <c r="F971" s="33"/>
    </row>
    <row r="972" ht="15.75" customHeight="1">
      <c r="C972" s="33"/>
      <c r="D972" s="33"/>
      <c r="E972" s="33"/>
      <c r="F972" s="33"/>
    </row>
    <row r="973" ht="15.75" customHeight="1">
      <c r="C973" s="33"/>
      <c r="D973" s="33"/>
      <c r="E973" s="33"/>
      <c r="F973" s="33"/>
    </row>
    <row r="974" ht="15.75" customHeight="1">
      <c r="C974" s="33"/>
      <c r="D974" s="33"/>
      <c r="E974" s="33"/>
      <c r="F974" s="33"/>
    </row>
    <row r="975" ht="15.75" customHeight="1">
      <c r="C975" s="33"/>
      <c r="D975" s="33"/>
      <c r="E975" s="33"/>
      <c r="F975" s="33"/>
    </row>
    <row r="976" ht="15.75" customHeight="1">
      <c r="C976" s="33"/>
      <c r="D976" s="33"/>
      <c r="E976" s="33"/>
      <c r="F976" s="33"/>
    </row>
    <row r="977" ht="15.75" customHeight="1">
      <c r="C977" s="33"/>
      <c r="D977" s="33"/>
      <c r="E977" s="33"/>
      <c r="F977" s="33"/>
    </row>
    <row r="978" ht="15.75" customHeight="1">
      <c r="C978" s="33"/>
      <c r="D978" s="33"/>
      <c r="E978" s="33"/>
      <c r="F978" s="33"/>
    </row>
    <row r="979" ht="15.75" customHeight="1">
      <c r="C979" s="33"/>
      <c r="D979" s="33"/>
      <c r="E979" s="33"/>
      <c r="F979" s="33"/>
    </row>
    <row r="980" ht="15.75" customHeight="1">
      <c r="C980" s="33"/>
      <c r="D980" s="33"/>
      <c r="E980" s="33"/>
      <c r="F980" s="33"/>
    </row>
    <row r="981" ht="15.75" customHeight="1">
      <c r="C981" s="33"/>
      <c r="D981" s="33"/>
      <c r="E981" s="33"/>
      <c r="F981" s="33"/>
    </row>
    <row r="982" ht="15.75" customHeight="1">
      <c r="C982" s="33"/>
      <c r="D982" s="33"/>
      <c r="E982" s="33"/>
      <c r="F982" s="33"/>
    </row>
    <row r="983" ht="15.75" customHeight="1">
      <c r="C983" s="33"/>
      <c r="D983" s="33"/>
      <c r="E983" s="33"/>
      <c r="F983" s="33"/>
    </row>
    <row r="984" ht="15.75" customHeight="1">
      <c r="C984" s="33"/>
      <c r="D984" s="33"/>
      <c r="E984" s="33"/>
      <c r="F984" s="33"/>
    </row>
    <row r="985" ht="15.75" customHeight="1">
      <c r="C985" s="33"/>
      <c r="D985" s="33"/>
      <c r="E985" s="33"/>
      <c r="F985" s="33"/>
    </row>
    <row r="986" ht="15.75" customHeight="1">
      <c r="C986" s="33"/>
      <c r="D986" s="33"/>
      <c r="E986" s="33"/>
      <c r="F986" s="33"/>
    </row>
    <row r="987" ht="15.75" customHeight="1">
      <c r="C987" s="33"/>
      <c r="D987" s="33"/>
      <c r="E987" s="33"/>
      <c r="F987" s="33"/>
    </row>
    <row r="988" ht="15.75" customHeight="1">
      <c r="C988" s="33"/>
      <c r="D988" s="33"/>
      <c r="E988" s="33"/>
      <c r="F988" s="33"/>
    </row>
    <row r="989" ht="15.75" customHeight="1">
      <c r="C989" s="33"/>
      <c r="D989" s="33"/>
      <c r="E989" s="33"/>
      <c r="F989" s="33"/>
    </row>
    <row r="990" ht="15.75" customHeight="1">
      <c r="C990" s="33"/>
      <c r="D990" s="33"/>
      <c r="E990" s="33"/>
      <c r="F990" s="33"/>
    </row>
    <row r="991" ht="15.75" customHeight="1">
      <c r="C991" s="33"/>
      <c r="D991" s="33"/>
      <c r="E991" s="33"/>
      <c r="F991" s="33"/>
    </row>
    <row r="992" ht="15.75" customHeight="1">
      <c r="C992" s="33"/>
      <c r="D992" s="33"/>
      <c r="E992" s="33"/>
      <c r="F992" s="33"/>
    </row>
    <row r="993" ht="15.75" customHeight="1">
      <c r="C993" s="33"/>
      <c r="D993" s="33"/>
      <c r="E993" s="33"/>
      <c r="F993" s="33"/>
    </row>
    <row r="994" ht="15.75" customHeight="1">
      <c r="C994" s="33"/>
      <c r="D994" s="33"/>
      <c r="E994" s="33"/>
      <c r="F994" s="33"/>
    </row>
    <row r="995" ht="15.75" customHeight="1">
      <c r="C995" s="33"/>
      <c r="D995" s="33"/>
      <c r="E995" s="33"/>
      <c r="F995" s="33"/>
    </row>
    <row r="996" ht="15.75" customHeight="1">
      <c r="C996" s="33"/>
      <c r="D996" s="33"/>
      <c r="E996" s="33"/>
      <c r="F996" s="33"/>
    </row>
    <row r="997" ht="15.75" customHeight="1">
      <c r="C997" s="33"/>
      <c r="D997" s="33"/>
      <c r="E997" s="33"/>
      <c r="F997" s="33"/>
    </row>
    <row r="998" ht="15.75" customHeight="1">
      <c r="C998" s="33"/>
      <c r="D998" s="33"/>
      <c r="E998" s="33"/>
      <c r="F998" s="33"/>
    </row>
    <row r="999" ht="15.75" customHeight="1">
      <c r="C999" s="33"/>
      <c r="D999" s="33"/>
      <c r="E999" s="33"/>
      <c r="F999" s="33"/>
    </row>
    <row r="1000" ht="15.75" customHeight="1">
      <c r="C1000" s="33"/>
      <c r="D1000" s="33"/>
      <c r="E1000" s="33"/>
      <c r="F1000" s="33"/>
    </row>
    <row r="1001" ht="15.75" customHeight="1">
      <c r="C1001" s="33"/>
      <c r="D1001" s="33"/>
      <c r="E1001" s="33"/>
      <c r="F1001" s="33"/>
    </row>
    <row r="1002" ht="15.75" customHeight="1">
      <c r="C1002" s="33"/>
      <c r="D1002" s="33"/>
      <c r="E1002" s="33"/>
      <c r="F1002" s="33"/>
    </row>
    <row r="1003" ht="15.75" customHeight="1">
      <c r="C1003" s="33"/>
      <c r="D1003" s="33"/>
      <c r="E1003" s="33"/>
      <c r="F1003" s="33"/>
    </row>
    <row r="1004" ht="15.75" customHeight="1">
      <c r="C1004" s="33"/>
      <c r="D1004" s="33"/>
      <c r="E1004" s="33"/>
      <c r="F1004" s="33"/>
    </row>
    <row r="1005" ht="15.75" customHeight="1">
      <c r="C1005" s="33"/>
      <c r="D1005" s="33"/>
      <c r="E1005" s="33"/>
      <c r="F1005" s="33"/>
    </row>
    <row r="1006" ht="15.75" customHeight="1">
      <c r="C1006" s="33"/>
      <c r="D1006" s="33"/>
      <c r="E1006" s="33"/>
      <c r="F1006" s="33"/>
    </row>
    <row r="1007" ht="15.75" customHeight="1">
      <c r="C1007" s="33"/>
      <c r="D1007" s="33"/>
      <c r="E1007" s="33"/>
      <c r="F1007" s="33"/>
    </row>
    <row r="1008" ht="15.75" customHeight="1">
      <c r="C1008" s="33"/>
      <c r="D1008" s="33"/>
      <c r="E1008" s="33"/>
      <c r="F1008" s="33"/>
    </row>
    <row r="1009" ht="15.75" customHeight="1">
      <c r="C1009" s="33"/>
      <c r="D1009" s="33"/>
      <c r="E1009" s="33"/>
      <c r="F1009" s="33"/>
    </row>
    <row r="1010" ht="15.75" customHeight="1">
      <c r="C1010" s="33"/>
      <c r="D1010" s="33"/>
      <c r="E1010" s="33"/>
      <c r="F1010" s="33"/>
    </row>
    <row r="1011" ht="15.75" customHeight="1">
      <c r="C1011" s="33"/>
      <c r="D1011" s="33"/>
      <c r="E1011" s="33"/>
      <c r="F1011" s="33"/>
    </row>
    <row r="1012" ht="15.75" customHeight="1">
      <c r="C1012" s="33"/>
      <c r="D1012" s="33"/>
      <c r="E1012" s="33"/>
      <c r="F1012" s="33"/>
    </row>
    <row r="1013" ht="15.75" customHeight="1">
      <c r="C1013" s="33"/>
      <c r="D1013" s="33"/>
      <c r="E1013" s="33"/>
      <c r="F1013" s="33"/>
    </row>
    <row r="1014" ht="15.75" customHeight="1">
      <c r="C1014" s="33"/>
      <c r="D1014" s="33"/>
      <c r="E1014" s="33"/>
      <c r="F1014" s="33"/>
    </row>
    <row r="1015" ht="15.75" customHeight="1">
      <c r="C1015" s="33"/>
      <c r="D1015" s="33"/>
      <c r="E1015" s="33"/>
      <c r="F1015" s="33"/>
    </row>
    <row r="1016" ht="15.75" customHeight="1">
      <c r="C1016" s="33"/>
      <c r="D1016" s="33"/>
      <c r="E1016" s="33"/>
      <c r="F1016" s="33"/>
    </row>
    <row r="1017" ht="15.75" customHeight="1">
      <c r="C1017" s="33"/>
      <c r="D1017" s="33"/>
      <c r="E1017" s="33"/>
      <c r="F1017" s="33"/>
    </row>
    <row r="1018" ht="15.75" customHeight="1">
      <c r="C1018" s="33"/>
      <c r="D1018" s="33"/>
      <c r="E1018" s="33"/>
      <c r="F1018" s="33"/>
    </row>
    <row r="1019" ht="15.75" customHeight="1">
      <c r="C1019" s="33"/>
      <c r="D1019" s="33"/>
      <c r="E1019" s="33"/>
      <c r="F1019" s="33"/>
    </row>
    <row r="1020" ht="15.75" customHeight="1">
      <c r="C1020" s="33"/>
      <c r="D1020" s="33"/>
      <c r="E1020" s="33"/>
      <c r="F1020" s="33"/>
    </row>
    <row r="1021" ht="15.75" customHeight="1">
      <c r="C1021" s="33"/>
      <c r="D1021" s="33"/>
      <c r="E1021" s="33"/>
      <c r="F1021" s="33"/>
    </row>
    <row r="1022" ht="15.75" customHeight="1">
      <c r="C1022" s="33"/>
      <c r="D1022" s="33"/>
      <c r="E1022" s="33"/>
      <c r="F1022" s="3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6.13"/>
    <col customWidth="1" min="3" max="4" width="13.38"/>
    <col customWidth="1" min="5" max="5" width="12.63"/>
  </cols>
  <sheetData>
    <row r="1" ht="15.75" customHeight="1">
      <c r="A1" s="5" t="s">
        <v>3</v>
      </c>
      <c r="B1" s="5" t="s">
        <v>4</v>
      </c>
      <c r="C1" s="4" t="s">
        <v>5</v>
      </c>
      <c r="D1" s="28" t="s">
        <v>102</v>
      </c>
      <c r="E1" s="29"/>
      <c r="F1" s="29"/>
      <c r="G1" s="30"/>
    </row>
    <row r="2" ht="15.75" customHeight="1">
      <c r="A2" s="14" t="s">
        <v>11</v>
      </c>
      <c r="B2" s="14" t="s">
        <v>25</v>
      </c>
      <c r="C2" s="15" t="s">
        <v>26</v>
      </c>
      <c r="D2" s="31">
        <v>0.3</v>
      </c>
      <c r="E2" s="32"/>
      <c r="F2" s="32"/>
    </row>
    <row r="3" ht="15.75" customHeight="1">
      <c r="A3" s="14" t="s">
        <v>11</v>
      </c>
      <c r="B3" s="14" t="s">
        <v>27</v>
      </c>
      <c r="C3" s="15" t="s">
        <v>28</v>
      </c>
      <c r="D3" s="31">
        <v>0.4</v>
      </c>
      <c r="E3" s="32"/>
      <c r="F3" s="32"/>
    </row>
    <row r="4" ht="15.75" customHeight="1">
      <c r="A4" s="14" t="s">
        <v>11</v>
      </c>
      <c r="B4" s="14" t="s">
        <v>29</v>
      </c>
      <c r="C4" s="15" t="s">
        <v>30</v>
      </c>
      <c r="D4" s="31">
        <v>0.3</v>
      </c>
      <c r="E4" s="32"/>
      <c r="F4" s="32"/>
    </row>
    <row r="5" ht="15.75" customHeight="1">
      <c r="A5" s="14" t="s">
        <v>11</v>
      </c>
      <c r="B5" s="14" t="s">
        <v>31</v>
      </c>
      <c r="C5" s="15" t="s">
        <v>32</v>
      </c>
      <c r="D5" s="31">
        <v>0.8</v>
      </c>
      <c r="E5" s="32"/>
      <c r="F5" s="32"/>
    </row>
    <row r="6" ht="15.75" customHeight="1">
      <c r="A6" s="14" t="s">
        <v>18</v>
      </c>
      <c r="B6" s="14" t="s">
        <v>33</v>
      </c>
      <c r="C6" s="15" t="s">
        <v>30</v>
      </c>
      <c r="D6" s="31">
        <v>0.6</v>
      </c>
      <c r="E6" s="32"/>
      <c r="F6" s="32"/>
    </row>
    <row r="7" ht="15.75" customHeight="1">
      <c r="A7" s="14" t="s">
        <v>18</v>
      </c>
      <c r="B7" s="14" t="s">
        <v>34</v>
      </c>
      <c r="C7" s="15" t="s">
        <v>26</v>
      </c>
      <c r="D7" s="31">
        <v>0.4</v>
      </c>
      <c r="E7" s="32"/>
      <c r="F7" s="32"/>
    </row>
    <row r="8" ht="15.75" customHeight="1">
      <c r="A8" s="14" t="s">
        <v>18</v>
      </c>
      <c r="B8" s="14" t="s">
        <v>35</v>
      </c>
      <c r="C8" s="15" t="s">
        <v>26</v>
      </c>
      <c r="D8" s="31">
        <v>0.7</v>
      </c>
      <c r="E8" s="32"/>
      <c r="F8" s="32"/>
    </row>
    <row r="9" ht="15.75" customHeight="1">
      <c r="A9" s="14" t="s">
        <v>18</v>
      </c>
      <c r="B9" s="14" t="s">
        <v>36</v>
      </c>
      <c r="C9" s="15" t="s">
        <v>37</v>
      </c>
      <c r="D9" s="31">
        <v>0.2</v>
      </c>
      <c r="E9" s="32"/>
      <c r="F9" s="32"/>
    </row>
    <row r="10" ht="15.75" customHeight="1">
      <c r="A10" s="14" t="s">
        <v>18</v>
      </c>
      <c r="B10" s="14" t="s">
        <v>38</v>
      </c>
      <c r="C10" s="15" t="s">
        <v>39</v>
      </c>
      <c r="D10" s="31">
        <v>0.7</v>
      </c>
      <c r="E10" s="32"/>
      <c r="F10" s="32"/>
    </row>
    <row r="11" ht="15.75" customHeight="1">
      <c r="A11" s="14" t="s">
        <v>8</v>
      </c>
      <c r="B11" s="14" t="s">
        <v>40</v>
      </c>
      <c r="C11" s="15" t="s">
        <v>39</v>
      </c>
      <c r="D11" s="31">
        <v>0.4</v>
      </c>
      <c r="E11" s="32"/>
      <c r="F11" s="32"/>
    </row>
    <row r="12" ht="15.75" customHeight="1">
      <c r="A12" s="14" t="s">
        <v>8</v>
      </c>
      <c r="B12" s="14" t="s">
        <v>41</v>
      </c>
      <c r="C12" s="15" t="s">
        <v>42</v>
      </c>
      <c r="D12" s="31">
        <v>0.6</v>
      </c>
      <c r="E12" s="32"/>
      <c r="F12" s="32"/>
    </row>
    <row r="13" ht="15.75" customHeight="1">
      <c r="A13" s="14" t="s">
        <v>8</v>
      </c>
      <c r="B13" s="14" t="s">
        <v>43</v>
      </c>
      <c r="C13" s="15" t="s">
        <v>28</v>
      </c>
      <c r="D13" s="31">
        <v>0.2</v>
      </c>
      <c r="E13" s="32"/>
      <c r="F13" s="32"/>
    </row>
    <row r="14" ht="15.75" customHeight="1">
      <c r="A14" s="14" t="s">
        <v>8</v>
      </c>
      <c r="B14" s="14" t="s">
        <v>44</v>
      </c>
      <c r="C14" s="15" t="s">
        <v>45</v>
      </c>
      <c r="D14" s="31">
        <v>0.9</v>
      </c>
      <c r="E14" s="32"/>
      <c r="F14" s="32"/>
    </row>
    <row r="15" ht="15.75" customHeight="1">
      <c r="A15" s="14" t="s">
        <v>8</v>
      </c>
      <c r="B15" s="14" t="s">
        <v>46</v>
      </c>
      <c r="C15" s="15" t="s">
        <v>45</v>
      </c>
      <c r="D15" s="31">
        <v>0.7</v>
      </c>
      <c r="E15" s="32"/>
      <c r="F15" s="32"/>
    </row>
    <row r="16" ht="15.75" customHeight="1">
      <c r="A16" s="14" t="s">
        <v>16</v>
      </c>
      <c r="B16" s="14" t="s">
        <v>47</v>
      </c>
      <c r="C16" s="15" t="s">
        <v>30</v>
      </c>
      <c r="D16" s="31">
        <v>0.8</v>
      </c>
      <c r="E16" s="32"/>
      <c r="F16" s="32"/>
    </row>
    <row r="17" ht="15.75" customHeight="1">
      <c r="A17" s="14" t="s">
        <v>16</v>
      </c>
      <c r="B17" s="14" t="s">
        <v>48</v>
      </c>
      <c r="C17" s="15" t="s">
        <v>30</v>
      </c>
      <c r="D17" s="31">
        <v>0.75</v>
      </c>
      <c r="E17" s="32"/>
      <c r="F17" s="32"/>
    </row>
    <row r="18" ht="15.75" customHeight="1">
      <c r="A18" s="14" t="s">
        <v>16</v>
      </c>
      <c r="B18" s="14" t="s">
        <v>49</v>
      </c>
      <c r="C18" s="15" t="s">
        <v>50</v>
      </c>
      <c r="D18" s="31">
        <v>0.8</v>
      </c>
      <c r="E18" s="32"/>
      <c r="F18" s="32"/>
    </row>
    <row r="19" ht="15.75" customHeight="1">
      <c r="A19" s="14" t="s">
        <v>16</v>
      </c>
      <c r="B19" s="14" t="s">
        <v>51</v>
      </c>
      <c r="C19" s="15" t="s">
        <v>30</v>
      </c>
      <c r="D19" s="31">
        <v>0.7</v>
      </c>
      <c r="E19" s="32"/>
      <c r="F19" s="32"/>
    </row>
    <row r="20" ht="15.75" customHeight="1">
      <c r="A20" s="14" t="s">
        <v>16</v>
      </c>
      <c r="B20" s="14" t="s">
        <v>52</v>
      </c>
      <c r="C20" s="15" t="s">
        <v>42</v>
      </c>
      <c r="D20" s="31">
        <v>0.7</v>
      </c>
      <c r="E20" s="32"/>
      <c r="F20" s="32"/>
    </row>
    <row r="21" ht="15.75" customHeight="1">
      <c r="A21" s="14" t="s">
        <v>14</v>
      </c>
      <c r="B21" s="14" t="s">
        <v>53</v>
      </c>
      <c r="C21" s="15" t="s">
        <v>28</v>
      </c>
      <c r="D21" s="31">
        <v>0.8</v>
      </c>
      <c r="E21" s="32"/>
      <c r="F21" s="32"/>
    </row>
    <row r="22" ht="15.75" customHeight="1">
      <c r="A22" s="14" t="s">
        <v>14</v>
      </c>
      <c r="B22" s="14" t="s">
        <v>54</v>
      </c>
      <c r="C22" s="15" t="s">
        <v>39</v>
      </c>
      <c r="D22" s="31">
        <v>0.4</v>
      </c>
      <c r="E22" s="32"/>
      <c r="F22" s="32"/>
    </row>
    <row r="23" ht="15.75" customHeight="1">
      <c r="A23" s="14" t="s">
        <v>14</v>
      </c>
      <c r="B23" s="14" t="s">
        <v>55</v>
      </c>
      <c r="C23" s="15" t="s">
        <v>32</v>
      </c>
      <c r="D23" s="31">
        <v>0.6</v>
      </c>
      <c r="E23" s="32"/>
      <c r="F23" s="32"/>
    </row>
    <row r="24" ht="15.75" customHeight="1">
      <c r="A24" s="14" t="s">
        <v>14</v>
      </c>
      <c r="B24" s="14" t="s">
        <v>57</v>
      </c>
      <c r="C24" s="15" t="s">
        <v>32</v>
      </c>
      <c r="D24" s="31">
        <v>0.5</v>
      </c>
      <c r="E24" s="32"/>
      <c r="F24" s="32"/>
    </row>
    <row r="25" ht="15.75" customHeight="1">
      <c r="A25" s="14" t="s">
        <v>14</v>
      </c>
      <c r="B25" s="14" t="s">
        <v>58</v>
      </c>
      <c r="C25" s="15" t="s">
        <v>37</v>
      </c>
      <c r="D25" s="31">
        <v>0.6</v>
      </c>
      <c r="E25" s="32"/>
      <c r="F25" s="32"/>
    </row>
    <row r="26" ht="15.75" customHeight="1">
      <c r="A26" s="14" t="s">
        <v>9</v>
      </c>
      <c r="B26" s="14" t="s">
        <v>59</v>
      </c>
      <c r="C26" s="15" t="s">
        <v>30</v>
      </c>
      <c r="D26" s="31">
        <v>0.65</v>
      </c>
      <c r="E26" s="32"/>
      <c r="F26" s="32"/>
    </row>
    <row r="27" ht="15.75" customHeight="1">
      <c r="A27" s="14" t="s">
        <v>9</v>
      </c>
      <c r="B27" s="14" t="s">
        <v>60</v>
      </c>
      <c r="C27" s="15" t="s">
        <v>32</v>
      </c>
      <c r="D27" s="31">
        <v>0.78</v>
      </c>
      <c r="E27" s="32"/>
      <c r="F27" s="32"/>
    </row>
    <row r="28" ht="15.75" customHeight="1">
      <c r="A28" s="14" t="s">
        <v>9</v>
      </c>
      <c r="B28" s="14" t="s">
        <v>61</v>
      </c>
      <c r="C28" s="15" t="s">
        <v>28</v>
      </c>
      <c r="D28" s="31">
        <v>0.65</v>
      </c>
      <c r="E28" s="32"/>
      <c r="F28" s="32"/>
    </row>
    <row r="29" ht="15.75" customHeight="1">
      <c r="A29" s="14" t="s">
        <v>9</v>
      </c>
      <c r="B29" s="14" t="s">
        <v>62</v>
      </c>
      <c r="C29" s="15" t="s">
        <v>28</v>
      </c>
      <c r="D29" s="31">
        <v>0.6</v>
      </c>
      <c r="E29" s="32"/>
      <c r="F29" s="32"/>
    </row>
    <row r="30" ht="15.75" customHeight="1">
      <c r="A30" s="14" t="s">
        <v>9</v>
      </c>
      <c r="B30" s="14" t="s">
        <v>63</v>
      </c>
      <c r="C30" s="15" t="s">
        <v>28</v>
      </c>
      <c r="D30" s="31">
        <v>0.7</v>
      </c>
      <c r="E30" s="32"/>
      <c r="F30" s="32"/>
    </row>
    <row r="31" ht="15.75" customHeight="1">
      <c r="A31" s="14" t="s">
        <v>64</v>
      </c>
      <c r="B31" s="14" t="s">
        <v>65</v>
      </c>
      <c r="C31" s="15" t="s">
        <v>32</v>
      </c>
      <c r="D31" s="31">
        <v>0.8</v>
      </c>
      <c r="E31" s="32"/>
      <c r="F31" s="32"/>
    </row>
    <row r="32" ht="15.75" customHeight="1">
      <c r="A32" s="14" t="s">
        <v>64</v>
      </c>
      <c r="B32" s="14" t="s">
        <v>66</v>
      </c>
      <c r="C32" s="15" t="s">
        <v>26</v>
      </c>
      <c r="D32" s="31">
        <v>0.7</v>
      </c>
      <c r="E32" s="32"/>
      <c r="F32" s="32"/>
    </row>
    <row r="33" ht="15.75" customHeight="1">
      <c r="A33" s="14" t="s">
        <v>64</v>
      </c>
      <c r="B33" s="14" t="s">
        <v>67</v>
      </c>
      <c r="C33" s="15" t="s">
        <v>32</v>
      </c>
      <c r="D33" s="31">
        <v>0.8</v>
      </c>
      <c r="E33" s="32"/>
      <c r="F33" s="32"/>
    </row>
    <row r="34" ht="15.75" customHeight="1">
      <c r="A34" s="14" t="s">
        <v>64</v>
      </c>
      <c r="B34" s="14" t="s">
        <v>68</v>
      </c>
      <c r="C34" s="15" t="s">
        <v>39</v>
      </c>
      <c r="D34" s="31">
        <v>0.7</v>
      </c>
      <c r="E34" s="32"/>
      <c r="F34" s="32"/>
    </row>
    <row r="35" ht="15.75" customHeight="1">
      <c r="A35" s="14" t="s">
        <v>64</v>
      </c>
      <c r="B35" s="14" t="s">
        <v>69</v>
      </c>
      <c r="C35" s="15" t="s">
        <v>28</v>
      </c>
      <c r="D35" s="31">
        <v>0.8</v>
      </c>
      <c r="E35" s="32"/>
      <c r="F35" s="32"/>
    </row>
    <row r="36" ht="15.75" customHeight="1">
      <c r="A36" s="14" t="s">
        <v>7</v>
      </c>
      <c r="B36" s="14" t="s">
        <v>70</v>
      </c>
      <c r="C36" s="15" t="s">
        <v>32</v>
      </c>
      <c r="D36" s="31">
        <v>0.65</v>
      </c>
      <c r="E36" s="32"/>
      <c r="F36" s="32"/>
    </row>
    <row r="37" ht="15.75" customHeight="1">
      <c r="A37" s="14" t="s">
        <v>7</v>
      </c>
      <c r="B37" s="14" t="s">
        <v>71</v>
      </c>
      <c r="C37" s="15" t="s">
        <v>28</v>
      </c>
      <c r="D37" s="31">
        <v>0.8</v>
      </c>
      <c r="E37" s="32"/>
      <c r="F37" s="32"/>
    </row>
    <row r="38" ht="15.75" customHeight="1">
      <c r="A38" s="14" t="s">
        <v>7</v>
      </c>
      <c r="B38" s="14" t="s">
        <v>72</v>
      </c>
      <c r="C38" s="15" t="s">
        <v>42</v>
      </c>
      <c r="D38" s="31">
        <v>0.55</v>
      </c>
      <c r="E38" s="32"/>
      <c r="F38" s="32"/>
    </row>
    <row r="39" ht="15.75" customHeight="1">
      <c r="A39" s="14" t="s">
        <v>7</v>
      </c>
      <c r="B39" s="14" t="s">
        <v>73</v>
      </c>
      <c r="C39" s="15" t="s">
        <v>45</v>
      </c>
      <c r="D39" s="31">
        <v>0.7</v>
      </c>
      <c r="E39" s="32"/>
      <c r="F39" s="32"/>
    </row>
    <row r="40" ht="15.75" customHeight="1">
      <c r="A40" s="14" t="s">
        <v>7</v>
      </c>
      <c r="B40" s="14" t="s">
        <v>74</v>
      </c>
      <c r="C40" s="15" t="s">
        <v>30</v>
      </c>
      <c r="D40" s="31">
        <v>0.1</v>
      </c>
      <c r="E40" s="32"/>
      <c r="F40" s="32"/>
    </row>
    <row r="41" ht="15.75" customHeight="1">
      <c r="A41" s="14" t="s">
        <v>75</v>
      </c>
      <c r="B41" s="14" t="s">
        <v>76</v>
      </c>
      <c r="C41" s="15" t="s">
        <v>28</v>
      </c>
      <c r="D41" s="31">
        <v>0.4</v>
      </c>
      <c r="E41" s="32"/>
      <c r="F41" s="32"/>
    </row>
    <row r="42" ht="15.75" customHeight="1">
      <c r="A42" s="14" t="s">
        <v>75</v>
      </c>
      <c r="B42" s="14" t="s">
        <v>77</v>
      </c>
      <c r="C42" s="15" t="s">
        <v>32</v>
      </c>
      <c r="D42" s="31">
        <v>0.75</v>
      </c>
      <c r="E42" s="32"/>
      <c r="F42" s="32"/>
    </row>
    <row r="43" ht="15.75" customHeight="1">
      <c r="A43" s="14" t="s">
        <v>75</v>
      </c>
      <c r="B43" s="14" t="s">
        <v>78</v>
      </c>
      <c r="C43" s="15" t="s">
        <v>32</v>
      </c>
      <c r="D43" s="31">
        <v>0.4</v>
      </c>
      <c r="E43" s="32"/>
      <c r="F43" s="32"/>
    </row>
    <row r="44" ht="15.75" customHeight="1">
      <c r="A44" s="14" t="s">
        <v>75</v>
      </c>
      <c r="B44" s="14" t="s">
        <v>79</v>
      </c>
      <c r="C44" s="15" t="s">
        <v>28</v>
      </c>
      <c r="D44" s="31">
        <v>0.7</v>
      </c>
      <c r="E44" s="32"/>
      <c r="F44" s="32"/>
    </row>
    <row r="45" ht="15.75" customHeight="1">
      <c r="A45" s="14" t="s">
        <v>75</v>
      </c>
      <c r="B45" s="14" t="s">
        <v>80</v>
      </c>
      <c r="C45" s="15" t="s">
        <v>45</v>
      </c>
      <c r="D45" s="31">
        <v>0.68</v>
      </c>
      <c r="E45" s="32"/>
      <c r="F45" s="32"/>
    </row>
    <row r="46" ht="15.75" customHeight="1">
      <c r="A46" s="14" t="s">
        <v>13</v>
      </c>
      <c r="B46" s="14" t="s">
        <v>82</v>
      </c>
      <c r="C46" s="15" t="s">
        <v>32</v>
      </c>
      <c r="D46" s="31">
        <v>0.65</v>
      </c>
      <c r="E46" s="32"/>
      <c r="F46" s="32"/>
    </row>
    <row r="47" ht="15.75" customHeight="1">
      <c r="A47" s="14" t="s">
        <v>13</v>
      </c>
      <c r="B47" s="14" t="s">
        <v>83</v>
      </c>
      <c r="C47" s="15" t="s">
        <v>39</v>
      </c>
      <c r="D47" s="31">
        <v>0.3</v>
      </c>
      <c r="E47" s="32"/>
      <c r="F47" s="32"/>
    </row>
    <row r="48" ht="15.75" customHeight="1">
      <c r="A48" s="14" t="s">
        <v>13</v>
      </c>
      <c r="B48" s="14" t="s">
        <v>84</v>
      </c>
      <c r="C48" s="15" t="s">
        <v>30</v>
      </c>
      <c r="D48" s="31">
        <v>0.6</v>
      </c>
      <c r="E48" s="32"/>
      <c r="F48" s="32"/>
    </row>
    <row r="49" ht="15.75" customHeight="1">
      <c r="A49" s="14" t="s">
        <v>13</v>
      </c>
      <c r="B49" s="14" t="s">
        <v>85</v>
      </c>
      <c r="C49" s="15" t="s">
        <v>30</v>
      </c>
      <c r="D49" s="31">
        <v>0.7</v>
      </c>
      <c r="E49" s="32"/>
      <c r="F49" s="32"/>
    </row>
    <row r="50" ht="15.75" customHeight="1">
      <c r="A50" s="14" t="s">
        <v>13</v>
      </c>
      <c r="B50" s="14" t="s">
        <v>86</v>
      </c>
      <c r="C50" s="15" t="s">
        <v>32</v>
      </c>
      <c r="D50" s="31">
        <v>0.4</v>
      </c>
      <c r="E50" s="32"/>
      <c r="F50" s="32"/>
    </row>
    <row r="51" ht="15.75" customHeight="1">
      <c r="A51" s="14" t="s">
        <v>10</v>
      </c>
      <c r="B51" s="14" t="s">
        <v>87</v>
      </c>
      <c r="C51" s="15" t="s">
        <v>30</v>
      </c>
      <c r="D51" s="31">
        <v>0.7</v>
      </c>
      <c r="E51" s="32"/>
      <c r="F51" s="32"/>
    </row>
    <row r="52" ht="15.75" customHeight="1">
      <c r="A52" s="14" t="s">
        <v>10</v>
      </c>
      <c r="B52" s="14" t="s">
        <v>88</v>
      </c>
      <c r="C52" s="15" t="s">
        <v>30</v>
      </c>
      <c r="D52" s="31">
        <v>0.7</v>
      </c>
      <c r="E52" s="32"/>
      <c r="F52" s="32"/>
    </row>
    <row r="53" ht="15.75" customHeight="1">
      <c r="A53" s="14" t="s">
        <v>10</v>
      </c>
      <c r="B53" s="14" t="s">
        <v>89</v>
      </c>
      <c r="C53" s="15" t="s">
        <v>26</v>
      </c>
      <c r="D53" s="31">
        <v>0.9</v>
      </c>
      <c r="E53" s="32"/>
      <c r="F53" s="32"/>
    </row>
    <row r="54" ht="15.75" customHeight="1">
      <c r="A54" s="14" t="s">
        <v>10</v>
      </c>
      <c r="B54" s="14" t="s">
        <v>90</v>
      </c>
      <c r="C54" s="15" t="s">
        <v>32</v>
      </c>
      <c r="D54" s="31">
        <v>0.7</v>
      </c>
      <c r="E54" s="32"/>
      <c r="F54" s="32"/>
    </row>
    <row r="55" ht="15.75" customHeight="1">
      <c r="A55" s="14" t="s">
        <v>10</v>
      </c>
      <c r="B55" s="20" t="s">
        <v>91</v>
      </c>
      <c r="C55" s="15" t="s">
        <v>50</v>
      </c>
      <c r="D55" s="31">
        <v>0.9</v>
      </c>
      <c r="E55" s="32"/>
      <c r="F55" s="32"/>
    </row>
    <row r="56" ht="15.75" customHeight="1">
      <c r="A56" s="14" t="s">
        <v>17</v>
      </c>
      <c r="B56" s="14" t="s">
        <v>92</v>
      </c>
      <c r="C56" s="15" t="s">
        <v>32</v>
      </c>
      <c r="D56" s="31">
        <v>0.85</v>
      </c>
      <c r="E56" s="32"/>
      <c r="F56" s="32"/>
    </row>
    <row r="57" ht="15.75" customHeight="1">
      <c r="A57" s="14" t="s">
        <v>17</v>
      </c>
      <c r="B57" s="14" t="s">
        <v>93</v>
      </c>
      <c r="C57" s="15" t="s">
        <v>32</v>
      </c>
      <c r="D57" s="31">
        <v>0.6</v>
      </c>
      <c r="E57" s="32"/>
      <c r="F57" s="32"/>
    </row>
    <row r="58" ht="15.75" customHeight="1">
      <c r="A58" s="14" t="s">
        <v>17</v>
      </c>
      <c r="B58" s="14" t="s">
        <v>94</v>
      </c>
      <c r="C58" s="15" t="s">
        <v>30</v>
      </c>
      <c r="D58" s="31">
        <v>0.8</v>
      </c>
      <c r="E58" s="32"/>
      <c r="F58" s="32"/>
    </row>
    <row r="59" ht="15.75" customHeight="1">
      <c r="A59" s="14" t="s">
        <v>17</v>
      </c>
      <c r="B59" s="14" t="s">
        <v>95</v>
      </c>
      <c r="C59" s="15" t="s">
        <v>32</v>
      </c>
      <c r="D59" s="31">
        <v>0.8</v>
      </c>
      <c r="E59" s="32"/>
      <c r="F59" s="32"/>
    </row>
    <row r="60" ht="15.75" customHeight="1">
      <c r="A60" s="14" t="s">
        <v>17</v>
      </c>
      <c r="B60" s="14" t="s">
        <v>96</v>
      </c>
      <c r="C60" s="15" t="s">
        <v>32</v>
      </c>
      <c r="D60" s="31">
        <v>0.75</v>
      </c>
      <c r="E60" s="32"/>
      <c r="F60" s="32"/>
    </row>
    <row r="61">
      <c r="C61" s="33"/>
      <c r="D61" s="33"/>
      <c r="E61" s="33"/>
      <c r="F61" s="33"/>
    </row>
    <row r="62">
      <c r="C62" s="33"/>
      <c r="D62" s="33"/>
      <c r="E62" s="33"/>
      <c r="F62" s="33"/>
    </row>
    <row r="63">
      <c r="C63" s="33"/>
      <c r="D63" s="33"/>
      <c r="E63" s="33"/>
      <c r="F63" s="33"/>
    </row>
    <row r="64">
      <c r="C64" s="33"/>
      <c r="D64" s="33"/>
      <c r="E64" s="33"/>
      <c r="F64" s="33"/>
    </row>
    <row r="65">
      <c r="C65" s="33"/>
      <c r="D65" s="33"/>
      <c r="E65" s="33"/>
      <c r="F65" s="33"/>
    </row>
    <row r="66">
      <c r="C66" s="33"/>
      <c r="D66" s="33"/>
      <c r="E66" s="33"/>
      <c r="F66" s="33"/>
    </row>
    <row r="67">
      <c r="C67" s="33"/>
      <c r="D67" s="33"/>
      <c r="E67" s="33"/>
      <c r="F67" s="33"/>
    </row>
    <row r="68">
      <c r="C68" s="33"/>
      <c r="D68" s="33"/>
      <c r="E68" s="33"/>
      <c r="F68" s="33"/>
    </row>
    <row r="69">
      <c r="C69" s="33"/>
      <c r="D69" s="33"/>
      <c r="E69" s="33"/>
      <c r="F69" s="33"/>
    </row>
    <row r="70">
      <c r="C70" s="33"/>
      <c r="D70" s="33"/>
      <c r="E70" s="33"/>
      <c r="F70" s="33"/>
    </row>
    <row r="71">
      <c r="C71" s="33"/>
      <c r="D71" s="33"/>
      <c r="E71" s="33"/>
      <c r="F71" s="33"/>
    </row>
    <row r="72">
      <c r="C72" s="33"/>
      <c r="D72" s="33"/>
      <c r="E72" s="33"/>
      <c r="F72" s="33"/>
    </row>
    <row r="73">
      <c r="C73" s="33"/>
      <c r="D73" s="33"/>
      <c r="E73" s="33"/>
      <c r="F73" s="33"/>
    </row>
    <row r="74">
      <c r="C74" s="33"/>
      <c r="D74" s="33"/>
      <c r="E74" s="33"/>
      <c r="F74" s="33"/>
    </row>
    <row r="75">
      <c r="C75" s="33"/>
      <c r="D75" s="33"/>
      <c r="E75" s="33"/>
      <c r="F75" s="33"/>
    </row>
    <row r="76">
      <c r="C76" s="33"/>
      <c r="D76" s="33"/>
      <c r="E76" s="33"/>
      <c r="F76" s="33"/>
    </row>
    <row r="77">
      <c r="C77" s="33"/>
      <c r="D77" s="33"/>
      <c r="E77" s="33"/>
      <c r="F77" s="33"/>
    </row>
    <row r="78">
      <c r="C78" s="33"/>
      <c r="D78" s="33"/>
      <c r="E78" s="33"/>
      <c r="F78" s="33"/>
    </row>
    <row r="79">
      <c r="C79" s="33"/>
      <c r="D79" s="33"/>
      <c r="E79" s="33"/>
      <c r="F79" s="33"/>
    </row>
    <row r="80">
      <c r="C80" s="33"/>
      <c r="D80" s="33"/>
      <c r="E80" s="33"/>
      <c r="F80" s="33"/>
    </row>
    <row r="81">
      <c r="C81" s="33"/>
      <c r="D81" s="33"/>
      <c r="E81" s="33"/>
      <c r="F81" s="33"/>
    </row>
    <row r="82" ht="15.75" customHeight="1">
      <c r="C82" s="33"/>
      <c r="D82" s="33"/>
      <c r="E82" s="33"/>
      <c r="F82" s="33"/>
    </row>
    <row r="83" ht="15.75" customHeight="1">
      <c r="C83" s="33"/>
      <c r="D83" s="33"/>
      <c r="E83" s="33"/>
      <c r="F83" s="33"/>
    </row>
    <row r="84" ht="15.75" customHeight="1">
      <c r="C84" s="33"/>
      <c r="D84" s="33"/>
      <c r="E84" s="33"/>
      <c r="F84" s="33"/>
    </row>
    <row r="85" ht="15.75" customHeight="1">
      <c r="C85" s="33"/>
      <c r="D85" s="33"/>
      <c r="E85" s="33"/>
      <c r="F85" s="33"/>
    </row>
    <row r="86" ht="15.75" customHeight="1">
      <c r="C86" s="33"/>
      <c r="D86" s="33"/>
      <c r="E86" s="33"/>
      <c r="F86" s="33"/>
    </row>
    <row r="87" ht="15.75" customHeight="1">
      <c r="C87" s="33"/>
      <c r="D87" s="33"/>
      <c r="E87" s="33"/>
      <c r="F87" s="33"/>
    </row>
    <row r="88" ht="15.75" customHeight="1">
      <c r="C88" s="33"/>
      <c r="D88" s="33"/>
      <c r="E88" s="33"/>
      <c r="F88" s="33"/>
    </row>
    <row r="89" ht="15.75" customHeight="1">
      <c r="C89" s="33"/>
      <c r="D89" s="33"/>
      <c r="E89" s="33"/>
      <c r="F89" s="33"/>
    </row>
    <row r="90" ht="15.75" customHeight="1">
      <c r="C90" s="33"/>
      <c r="D90" s="33"/>
      <c r="E90" s="33"/>
      <c r="F90" s="33"/>
    </row>
    <row r="91" ht="15.75" customHeight="1">
      <c r="C91" s="33"/>
      <c r="D91" s="33"/>
      <c r="E91" s="33"/>
      <c r="F91" s="33"/>
    </row>
    <row r="92" ht="15.75" customHeight="1">
      <c r="C92" s="33"/>
      <c r="D92" s="33"/>
      <c r="E92" s="33"/>
      <c r="F92" s="33"/>
    </row>
    <row r="93" ht="15.75" customHeight="1">
      <c r="C93" s="33"/>
      <c r="D93" s="33"/>
      <c r="E93" s="33"/>
      <c r="F93" s="33"/>
    </row>
    <row r="94" ht="15.75" customHeight="1">
      <c r="C94" s="33"/>
      <c r="D94" s="33"/>
      <c r="E94" s="33"/>
      <c r="F94" s="33"/>
    </row>
    <row r="95" ht="15.75" customHeight="1">
      <c r="C95" s="33"/>
      <c r="D95" s="33"/>
      <c r="E95" s="33"/>
      <c r="F95" s="33"/>
    </row>
    <row r="96" ht="15.75" customHeight="1">
      <c r="C96" s="33"/>
      <c r="D96" s="33"/>
      <c r="E96" s="33"/>
      <c r="F96" s="33"/>
    </row>
    <row r="97" ht="15.75" customHeight="1">
      <c r="C97" s="33"/>
      <c r="D97" s="33"/>
      <c r="E97" s="33"/>
      <c r="F97" s="33"/>
    </row>
    <row r="98" ht="15.75" customHeight="1">
      <c r="C98" s="33"/>
      <c r="D98" s="33"/>
      <c r="E98" s="33"/>
      <c r="F98" s="33"/>
    </row>
    <row r="99" ht="15.75" customHeight="1">
      <c r="C99" s="33"/>
      <c r="D99" s="33"/>
      <c r="E99" s="33"/>
      <c r="F99" s="33"/>
    </row>
    <row r="100" ht="15.75" customHeight="1">
      <c r="C100" s="33"/>
      <c r="D100" s="33"/>
      <c r="E100" s="33"/>
      <c r="F100" s="33"/>
    </row>
    <row r="101" ht="15.75" customHeight="1">
      <c r="C101" s="33"/>
      <c r="D101" s="33"/>
      <c r="E101" s="33"/>
      <c r="F101" s="33"/>
    </row>
    <row r="102" ht="15.75" customHeight="1">
      <c r="C102" s="33"/>
      <c r="D102" s="33"/>
      <c r="E102" s="33"/>
      <c r="F102" s="33"/>
    </row>
    <row r="103" ht="15.75" customHeight="1">
      <c r="C103" s="33"/>
      <c r="D103" s="33"/>
      <c r="E103" s="33"/>
      <c r="F103" s="33"/>
    </row>
    <row r="104" ht="15.75" customHeight="1">
      <c r="C104" s="33"/>
      <c r="D104" s="33"/>
      <c r="E104" s="33"/>
      <c r="F104" s="33"/>
    </row>
    <row r="105" ht="15.75" customHeight="1">
      <c r="C105" s="33"/>
      <c r="D105" s="33"/>
      <c r="E105" s="33"/>
      <c r="F105" s="33"/>
    </row>
    <row r="106" ht="15.75" customHeight="1">
      <c r="C106" s="33"/>
      <c r="D106" s="33"/>
      <c r="E106" s="33"/>
      <c r="F106" s="33"/>
    </row>
    <row r="107" ht="15.75" customHeight="1">
      <c r="C107" s="33"/>
      <c r="D107" s="33"/>
      <c r="E107" s="33"/>
      <c r="F107" s="33"/>
    </row>
    <row r="108" ht="15.75" customHeight="1">
      <c r="C108" s="33"/>
      <c r="D108" s="33"/>
      <c r="E108" s="33"/>
      <c r="F108" s="33"/>
    </row>
    <row r="109" ht="15.75" customHeight="1">
      <c r="C109" s="33"/>
      <c r="D109" s="33"/>
      <c r="E109" s="33"/>
      <c r="F109" s="33"/>
    </row>
    <row r="110" ht="15.75" customHeight="1">
      <c r="C110" s="33"/>
      <c r="D110" s="33"/>
      <c r="E110" s="33"/>
      <c r="F110" s="33"/>
    </row>
    <row r="111" ht="15.75" customHeight="1">
      <c r="C111" s="33"/>
      <c r="D111" s="33"/>
      <c r="E111" s="33"/>
      <c r="F111" s="33"/>
    </row>
    <row r="112" ht="15.75" customHeight="1">
      <c r="C112" s="33"/>
      <c r="D112" s="33"/>
      <c r="E112" s="33"/>
      <c r="F112" s="33"/>
    </row>
    <row r="113" ht="15.75" customHeight="1">
      <c r="C113" s="33"/>
      <c r="D113" s="33"/>
      <c r="E113" s="33"/>
      <c r="F113" s="33"/>
    </row>
    <row r="114" ht="15.75" customHeight="1">
      <c r="C114" s="33"/>
      <c r="D114" s="33"/>
      <c r="E114" s="33"/>
      <c r="F114" s="33"/>
    </row>
    <row r="115" ht="15.75" customHeight="1">
      <c r="C115" s="33"/>
      <c r="D115" s="33"/>
      <c r="E115" s="33"/>
      <c r="F115" s="33"/>
    </row>
    <row r="116" ht="15.75" customHeight="1">
      <c r="C116" s="33"/>
      <c r="D116" s="33"/>
      <c r="E116" s="33"/>
      <c r="F116" s="33"/>
    </row>
    <row r="117" ht="15.75" customHeight="1">
      <c r="C117" s="33"/>
      <c r="D117" s="33"/>
      <c r="E117" s="33"/>
      <c r="F117" s="33"/>
    </row>
    <row r="118" ht="15.75" customHeight="1">
      <c r="C118" s="33"/>
      <c r="D118" s="33"/>
      <c r="E118" s="33"/>
      <c r="F118" s="33"/>
    </row>
    <row r="119" ht="15.75" customHeight="1">
      <c r="C119" s="33"/>
      <c r="D119" s="33"/>
      <c r="E119" s="33"/>
      <c r="F119" s="33"/>
    </row>
    <row r="120" ht="15.75" customHeight="1">
      <c r="C120" s="33"/>
      <c r="D120" s="33"/>
      <c r="E120" s="33"/>
      <c r="F120" s="33"/>
    </row>
    <row r="121" ht="15.75" customHeight="1">
      <c r="C121" s="33"/>
      <c r="D121" s="33"/>
      <c r="E121" s="33"/>
      <c r="F121" s="33"/>
    </row>
    <row r="122" ht="15.75" customHeight="1">
      <c r="C122" s="33"/>
      <c r="D122" s="33"/>
      <c r="E122" s="33"/>
      <c r="F122" s="33"/>
    </row>
    <row r="123" ht="15.75" customHeight="1">
      <c r="C123" s="33"/>
      <c r="D123" s="33"/>
      <c r="E123" s="33"/>
      <c r="F123" s="33"/>
    </row>
    <row r="124" ht="15.75" customHeight="1">
      <c r="C124" s="33"/>
      <c r="D124" s="33"/>
      <c r="E124" s="33"/>
      <c r="F124" s="33"/>
    </row>
    <row r="125" ht="15.75" customHeight="1">
      <c r="C125" s="33"/>
      <c r="D125" s="33"/>
      <c r="E125" s="33"/>
      <c r="F125" s="33"/>
    </row>
    <row r="126" ht="15.75" customHeight="1">
      <c r="C126" s="33"/>
      <c r="D126" s="33"/>
      <c r="E126" s="33"/>
      <c r="F126" s="33"/>
    </row>
    <row r="127" ht="15.75" customHeight="1">
      <c r="C127" s="33"/>
      <c r="D127" s="33"/>
      <c r="E127" s="33"/>
      <c r="F127" s="33"/>
    </row>
    <row r="128" ht="15.75" customHeight="1">
      <c r="C128" s="33"/>
      <c r="D128" s="33"/>
      <c r="E128" s="33"/>
      <c r="F128" s="33"/>
    </row>
    <row r="129" ht="15.75" customHeight="1">
      <c r="C129" s="33"/>
      <c r="D129" s="33"/>
      <c r="E129" s="33"/>
      <c r="F129" s="33"/>
    </row>
    <row r="130" ht="15.75" customHeight="1">
      <c r="C130" s="33"/>
      <c r="D130" s="33"/>
      <c r="E130" s="33"/>
      <c r="F130" s="33"/>
    </row>
    <row r="131" ht="15.75" customHeight="1">
      <c r="C131" s="33"/>
      <c r="D131" s="33"/>
      <c r="E131" s="33"/>
      <c r="F131" s="33"/>
    </row>
    <row r="132" ht="15.75" customHeight="1">
      <c r="C132" s="33"/>
      <c r="D132" s="33"/>
      <c r="E132" s="33"/>
      <c r="F132" s="33"/>
    </row>
    <row r="133" ht="15.75" customHeight="1">
      <c r="C133" s="33"/>
      <c r="D133" s="33"/>
      <c r="E133" s="33"/>
      <c r="F133" s="33"/>
    </row>
    <row r="134" ht="15.75" customHeight="1">
      <c r="C134" s="33"/>
      <c r="D134" s="33"/>
      <c r="E134" s="33"/>
      <c r="F134" s="33"/>
    </row>
    <row r="135" ht="15.75" customHeight="1">
      <c r="C135" s="33"/>
      <c r="D135" s="33"/>
      <c r="E135" s="33"/>
      <c r="F135" s="33"/>
    </row>
    <row r="136" ht="15.75" customHeight="1">
      <c r="C136" s="33"/>
      <c r="D136" s="33"/>
      <c r="E136" s="33"/>
      <c r="F136" s="33"/>
    </row>
    <row r="137" ht="15.75" customHeight="1">
      <c r="C137" s="33"/>
      <c r="D137" s="33"/>
      <c r="E137" s="33"/>
      <c r="F137" s="33"/>
    </row>
    <row r="138" ht="15.75" customHeight="1">
      <c r="C138" s="33"/>
      <c r="D138" s="33"/>
      <c r="E138" s="33"/>
      <c r="F138" s="33"/>
    </row>
    <row r="139" ht="15.75" customHeight="1">
      <c r="C139" s="33"/>
      <c r="D139" s="33"/>
      <c r="E139" s="33"/>
      <c r="F139" s="33"/>
    </row>
    <row r="140" ht="15.75" customHeight="1">
      <c r="C140" s="33"/>
      <c r="D140" s="33"/>
      <c r="E140" s="33"/>
      <c r="F140" s="33"/>
    </row>
    <row r="141" ht="15.75" customHeight="1">
      <c r="C141" s="33"/>
      <c r="D141" s="33"/>
      <c r="E141" s="33"/>
      <c r="F141" s="33"/>
    </row>
    <row r="142" ht="15.75" customHeight="1">
      <c r="C142" s="33"/>
      <c r="D142" s="33"/>
      <c r="E142" s="33"/>
      <c r="F142" s="33"/>
    </row>
    <row r="143" ht="15.75" customHeight="1">
      <c r="C143" s="33"/>
      <c r="D143" s="33"/>
      <c r="E143" s="33"/>
      <c r="F143" s="33"/>
    </row>
    <row r="144" ht="15.75" customHeight="1">
      <c r="C144" s="33"/>
      <c r="D144" s="33"/>
      <c r="E144" s="33"/>
      <c r="F144" s="33"/>
    </row>
    <row r="145" ht="15.75" customHeight="1">
      <c r="C145" s="33"/>
      <c r="D145" s="33"/>
      <c r="E145" s="33"/>
      <c r="F145" s="33"/>
    </row>
    <row r="146" ht="15.75" customHeight="1">
      <c r="C146" s="33"/>
      <c r="D146" s="33"/>
      <c r="E146" s="33"/>
      <c r="F146" s="33"/>
    </row>
    <row r="147" ht="15.75" customHeight="1">
      <c r="C147" s="33"/>
      <c r="D147" s="33"/>
      <c r="E147" s="33"/>
      <c r="F147" s="33"/>
    </row>
    <row r="148" ht="15.75" customHeight="1">
      <c r="C148" s="33"/>
      <c r="D148" s="33"/>
      <c r="E148" s="33"/>
      <c r="F148" s="33"/>
    </row>
    <row r="149" ht="15.75" customHeight="1">
      <c r="C149" s="33"/>
      <c r="D149" s="33"/>
      <c r="E149" s="33"/>
      <c r="F149" s="33"/>
    </row>
    <row r="150" ht="15.75" customHeight="1">
      <c r="C150" s="33"/>
      <c r="D150" s="33"/>
      <c r="E150" s="33"/>
      <c r="F150" s="33"/>
    </row>
    <row r="151" ht="15.75" customHeight="1">
      <c r="C151" s="33"/>
      <c r="D151" s="33"/>
      <c r="E151" s="33"/>
      <c r="F151" s="33"/>
    </row>
    <row r="152" ht="15.75" customHeight="1">
      <c r="C152" s="33"/>
      <c r="D152" s="33"/>
      <c r="E152" s="33"/>
      <c r="F152" s="33"/>
    </row>
    <row r="153" ht="15.75" customHeight="1">
      <c r="C153" s="33"/>
      <c r="D153" s="33"/>
      <c r="E153" s="33"/>
      <c r="F153" s="33"/>
    </row>
    <row r="154" ht="15.75" customHeight="1">
      <c r="C154" s="33"/>
      <c r="D154" s="33"/>
      <c r="E154" s="33"/>
      <c r="F154" s="33"/>
    </row>
    <row r="155" ht="15.75" customHeight="1">
      <c r="C155" s="33"/>
      <c r="D155" s="33"/>
      <c r="E155" s="33"/>
      <c r="F155" s="33"/>
    </row>
    <row r="156" ht="15.75" customHeight="1">
      <c r="C156" s="33"/>
      <c r="D156" s="33"/>
      <c r="E156" s="33"/>
      <c r="F156" s="33"/>
    </row>
    <row r="157" ht="15.75" customHeight="1">
      <c r="C157" s="33"/>
      <c r="D157" s="33"/>
      <c r="E157" s="33"/>
      <c r="F157" s="33"/>
    </row>
    <row r="158" ht="15.75" customHeight="1">
      <c r="C158" s="33"/>
      <c r="D158" s="33"/>
      <c r="E158" s="33"/>
      <c r="F158" s="33"/>
    </row>
    <row r="159" ht="15.75" customHeight="1">
      <c r="C159" s="33"/>
      <c r="D159" s="33"/>
      <c r="E159" s="33"/>
      <c r="F159" s="33"/>
    </row>
    <row r="160" ht="15.75" customHeight="1">
      <c r="C160" s="33"/>
      <c r="D160" s="33"/>
      <c r="E160" s="33"/>
      <c r="F160" s="33"/>
    </row>
    <row r="161" ht="15.75" customHeight="1">
      <c r="C161" s="33"/>
      <c r="D161" s="33"/>
      <c r="E161" s="33"/>
      <c r="F161" s="33"/>
    </row>
    <row r="162" ht="15.75" customHeight="1">
      <c r="C162" s="33"/>
      <c r="D162" s="33"/>
      <c r="E162" s="33"/>
      <c r="F162" s="33"/>
    </row>
    <row r="163" ht="15.75" customHeight="1">
      <c r="C163" s="33"/>
      <c r="D163" s="33"/>
      <c r="E163" s="33"/>
      <c r="F163" s="33"/>
    </row>
    <row r="164" ht="15.75" customHeight="1">
      <c r="C164" s="33"/>
      <c r="D164" s="33"/>
      <c r="E164" s="33"/>
      <c r="F164" s="33"/>
    </row>
    <row r="165" ht="15.75" customHeight="1">
      <c r="C165" s="33"/>
      <c r="D165" s="33"/>
      <c r="E165" s="33"/>
      <c r="F165" s="33"/>
    </row>
    <row r="166" ht="15.75" customHeight="1">
      <c r="C166" s="33"/>
      <c r="D166" s="33"/>
      <c r="E166" s="33"/>
      <c r="F166" s="33"/>
    </row>
    <row r="167" ht="15.75" customHeight="1">
      <c r="C167" s="33"/>
      <c r="D167" s="33"/>
      <c r="E167" s="33"/>
      <c r="F167" s="33"/>
    </row>
    <row r="168" ht="15.75" customHeight="1">
      <c r="C168" s="33"/>
      <c r="D168" s="33"/>
      <c r="E168" s="33"/>
      <c r="F168" s="33"/>
    </row>
    <row r="169" ht="15.75" customHeight="1">
      <c r="C169" s="33"/>
      <c r="D169" s="33"/>
      <c r="E169" s="33"/>
      <c r="F169" s="33"/>
    </row>
    <row r="170" ht="15.75" customHeight="1">
      <c r="C170" s="33"/>
      <c r="D170" s="33"/>
      <c r="E170" s="33"/>
      <c r="F170" s="33"/>
    </row>
    <row r="171" ht="15.75" customHeight="1">
      <c r="C171" s="33"/>
      <c r="D171" s="33"/>
      <c r="E171" s="33"/>
      <c r="F171" s="33"/>
    </row>
    <row r="172" ht="15.75" customHeight="1">
      <c r="C172" s="33"/>
      <c r="D172" s="33"/>
      <c r="E172" s="33"/>
      <c r="F172" s="33"/>
    </row>
    <row r="173" ht="15.75" customHeight="1">
      <c r="C173" s="33"/>
      <c r="D173" s="33"/>
      <c r="E173" s="33"/>
      <c r="F173" s="33"/>
    </row>
    <row r="174" ht="15.75" customHeight="1">
      <c r="C174" s="33"/>
      <c r="D174" s="33"/>
      <c r="E174" s="33"/>
      <c r="F174" s="33"/>
    </row>
    <row r="175" ht="15.75" customHeight="1">
      <c r="C175" s="33"/>
      <c r="D175" s="33"/>
      <c r="E175" s="33"/>
      <c r="F175" s="33"/>
    </row>
    <row r="176" ht="15.75" customHeight="1">
      <c r="C176" s="33"/>
      <c r="D176" s="33"/>
      <c r="E176" s="33"/>
      <c r="F176" s="33"/>
    </row>
    <row r="177" ht="15.75" customHeight="1">
      <c r="C177" s="33"/>
      <c r="D177" s="33"/>
      <c r="E177" s="33"/>
      <c r="F177" s="33"/>
    </row>
    <row r="178" ht="15.75" customHeight="1">
      <c r="C178" s="33"/>
      <c r="D178" s="33"/>
      <c r="E178" s="33"/>
      <c r="F178" s="33"/>
    </row>
    <row r="179" ht="15.75" customHeight="1">
      <c r="C179" s="33"/>
      <c r="D179" s="33"/>
      <c r="E179" s="33"/>
      <c r="F179" s="33"/>
    </row>
    <row r="180" ht="15.75" customHeight="1">
      <c r="C180" s="33"/>
      <c r="D180" s="33"/>
      <c r="E180" s="33"/>
      <c r="F180" s="33"/>
    </row>
    <row r="181" ht="15.75" customHeight="1">
      <c r="C181" s="33"/>
      <c r="D181" s="33"/>
      <c r="E181" s="33"/>
      <c r="F181" s="33"/>
    </row>
    <row r="182" ht="15.75" customHeight="1">
      <c r="C182" s="33"/>
      <c r="D182" s="33"/>
      <c r="E182" s="33"/>
      <c r="F182" s="33"/>
    </row>
    <row r="183" ht="15.75" customHeight="1">
      <c r="C183" s="33"/>
      <c r="D183" s="33"/>
      <c r="E183" s="33"/>
      <c r="F183" s="33"/>
    </row>
    <row r="184" ht="15.75" customHeight="1">
      <c r="C184" s="33"/>
      <c r="D184" s="33"/>
      <c r="E184" s="33"/>
      <c r="F184" s="33"/>
    </row>
    <row r="185" ht="15.75" customHeight="1">
      <c r="C185" s="33"/>
      <c r="D185" s="33"/>
      <c r="E185" s="33"/>
      <c r="F185" s="33"/>
    </row>
    <row r="186" ht="15.75" customHeight="1">
      <c r="C186" s="33"/>
      <c r="D186" s="33"/>
      <c r="E186" s="33"/>
      <c r="F186" s="33"/>
    </row>
    <row r="187" ht="15.75" customHeight="1">
      <c r="C187" s="33"/>
      <c r="D187" s="33"/>
      <c r="E187" s="33"/>
      <c r="F187" s="33"/>
    </row>
    <row r="188" ht="15.75" customHeight="1">
      <c r="C188" s="33"/>
      <c r="D188" s="33"/>
      <c r="E188" s="33"/>
      <c r="F188" s="33"/>
    </row>
    <row r="189" ht="15.75" customHeight="1">
      <c r="C189" s="33"/>
      <c r="D189" s="33"/>
      <c r="E189" s="33"/>
      <c r="F189" s="33"/>
    </row>
    <row r="190" ht="15.75" customHeight="1">
      <c r="C190" s="33"/>
      <c r="D190" s="33"/>
      <c r="E190" s="33"/>
      <c r="F190" s="33"/>
    </row>
    <row r="191" ht="15.75" customHeight="1">
      <c r="C191" s="33"/>
      <c r="D191" s="33"/>
      <c r="E191" s="33"/>
      <c r="F191" s="33"/>
    </row>
    <row r="192" ht="15.75" customHeight="1">
      <c r="C192" s="33"/>
      <c r="D192" s="33"/>
      <c r="E192" s="33"/>
      <c r="F192" s="33"/>
    </row>
    <row r="193" ht="15.75" customHeight="1">
      <c r="C193" s="33"/>
      <c r="D193" s="33"/>
      <c r="E193" s="33"/>
      <c r="F193" s="33"/>
    </row>
    <row r="194" ht="15.75" customHeight="1">
      <c r="C194" s="33"/>
      <c r="D194" s="33"/>
      <c r="E194" s="33"/>
      <c r="F194" s="33"/>
    </row>
    <row r="195" ht="15.75" customHeight="1">
      <c r="C195" s="33"/>
      <c r="D195" s="33"/>
      <c r="E195" s="33"/>
      <c r="F195" s="33"/>
    </row>
    <row r="196" ht="15.75" customHeight="1">
      <c r="C196" s="33"/>
      <c r="D196" s="33"/>
      <c r="E196" s="33"/>
      <c r="F196" s="33"/>
    </row>
    <row r="197" ht="15.75" customHeight="1">
      <c r="C197" s="33"/>
      <c r="D197" s="33"/>
      <c r="E197" s="33"/>
      <c r="F197" s="33"/>
    </row>
    <row r="198" ht="15.75" customHeight="1">
      <c r="C198" s="33"/>
      <c r="D198" s="33"/>
      <c r="E198" s="33"/>
      <c r="F198" s="33"/>
    </row>
    <row r="199" ht="15.75" customHeight="1">
      <c r="C199" s="33"/>
      <c r="D199" s="33"/>
      <c r="E199" s="33"/>
      <c r="F199" s="33"/>
    </row>
    <row r="200" ht="15.75" customHeight="1">
      <c r="C200" s="33"/>
      <c r="D200" s="33"/>
      <c r="E200" s="33"/>
      <c r="F200" s="33"/>
    </row>
    <row r="201" ht="15.75" customHeight="1">
      <c r="C201" s="33"/>
      <c r="D201" s="33"/>
      <c r="E201" s="33"/>
      <c r="F201" s="33"/>
    </row>
    <row r="202" ht="15.75" customHeight="1">
      <c r="C202" s="33"/>
      <c r="D202" s="33"/>
      <c r="E202" s="33"/>
      <c r="F202" s="33"/>
    </row>
    <row r="203" ht="15.75" customHeight="1">
      <c r="C203" s="33"/>
      <c r="D203" s="33"/>
      <c r="E203" s="33"/>
      <c r="F203" s="33"/>
    </row>
    <row r="204" ht="15.75" customHeight="1">
      <c r="C204" s="33"/>
      <c r="D204" s="33"/>
      <c r="E204" s="33"/>
      <c r="F204" s="33"/>
    </row>
    <row r="205" ht="15.75" customHeight="1">
      <c r="C205" s="33"/>
      <c r="D205" s="33"/>
      <c r="E205" s="33"/>
      <c r="F205" s="33"/>
    </row>
    <row r="206" ht="15.75" customHeight="1">
      <c r="C206" s="33"/>
      <c r="D206" s="33"/>
      <c r="E206" s="33"/>
      <c r="F206" s="33"/>
    </row>
    <row r="207" ht="15.75" customHeight="1">
      <c r="C207" s="33"/>
      <c r="D207" s="33"/>
      <c r="E207" s="33"/>
      <c r="F207" s="33"/>
    </row>
    <row r="208" ht="15.75" customHeight="1">
      <c r="C208" s="33"/>
      <c r="D208" s="33"/>
      <c r="E208" s="33"/>
      <c r="F208" s="33"/>
    </row>
    <row r="209" ht="15.75" customHeight="1">
      <c r="C209" s="33"/>
      <c r="D209" s="33"/>
      <c r="E209" s="33"/>
      <c r="F209" s="33"/>
    </row>
    <row r="210" ht="15.75" customHeight="1">
      <c r="C210" s="33"/>
      <c r="D210" s="33"/>
      <c r="E210" s="33"/>
      <c r="F210" s="33"/>
    </row>
    <row r="211" ht="15.75" customHeight="1">
      <c r="C211" s="33"/>
      <c r="D211" s="33"/>
      <c r="E211" s="33"/>
      <c r="F211" s="33"/>
    </row>
    <row r="212" ht="15.75" customHeight="1">
      <c r="C212" s="33"/>
      <c r="D212" s="33"/>
      <c r="E212" s="33"/>
      <c r="F212" s="33"/>
    </row>
    <row r="213" ht="15.75" customHeight="1">
      <c r="C213" s="33"/>
      <c r="D213" s="33"/>
      <c r="E213" s="33"/>
      <c r="F213" s="33"/>
    </row>
    <row r="214" ht="15.75" customHeight="1">
      <c r="C214" s="33"/>
      <c r="D214" s="33"/>
      <c r="E214" s="33"/>
      <c r="F214" s="33"/>
    </row>
    <row r="215" ht="15.75" customHeight="1">
      <c r="C215" s="33"/>
      <c r="D215" s="33"/>
      <c r="E215" s="33"/>
      <c r="F215" s="33"/>
    </row>
    <row r="216" ht="15.75" customHeight="1">
      <c r="C216" s="33"/>
      <c r="D216" s="33"/>
      <c r="E216" s="33"/>
      <c r="F216" s="33"/>
    </row>
    <row r="217" ht="15.75" customHeight="1">
      <c r="C217" s="33"/>
      <c r="D217" s="33"/>
      <c r="E217" s="33"/>
      <c r="F217" s="33"/>
    </row>
    <row r="218" ht="15.75" customHeight="1">
      <c r="C218" s="33"/>
      <c r="D218" s="33"/>
      <c r="E218" s="33"/>
      <c r="F218" s="33"/>
    </row>
    <row r="219" ht="15.75" customHeight="1">
      <c r="C219" s="33"/>
      <c r="D219" s="33"/>
      <c r="E219" s="33"/>
      <c r="F219" s="33"/>
    </row>
    <row r="220" ht="15.75" customHeight="1">
      <c r="C220" s="33"/>
      <c r="D220" s="33"/>
      <c r="E220" s="33"/>
      <c r="F220" s="33"/>
    </row>
    <row r="221" ht="15.75" customHeight="1">
      <c r="C221" s="33"/>
      <c r="D221" s="33"/>
      <c r="E221" s="33"/>
      <c r="F221" s="33"/>
    </row>
    <row r="222" ht="15.75" customHeight="1">
      <c r="C222" s="33"/>
      <c r="D222" s="33"/>
      <c r="E222" s="33"/>
      <c r="F222" s="33"/>
    </row>
    <row r="223" ht="15.75" customHeight="1">
      <c r="C223" s="33"/>
      <c r="D223" s="33"/>
      <c r="E223" s="33"/>
      <c r="F223" s="33"/>
    </row>
    <row r="224" ht="15.75" customHeight="1">
      <c r="C224" s="33"/>
      <c r="D224" s="33"/>
      <c r="E224" s="33"/>
      <c r="F224" s="33"/>
    </row>
    <row r="225" ht="15.75" customHeight="1">
      <c r="C225" s="33"/>
      <c r="D225" s="33"/>
      <c r="E225" s="33"/>
      <c r="F225" s="33"/>
    </row>
    <row r="226" ht="15.75" customHeight="1">
      <c r="C226" s="33"/>
      <c r="D226" s="33"/>
      <c r="E226" s="33"/>
      <c r="F226" s="33"/>
    </row>
    <row r="227" ht="15.75" customHeight="1">
      <c r="C227" s="33"/>
      <c r="D227" s="33"/>
      <c r="E227" s="33"/>
      <c r="F227" s="33"/>
    </row>
    <row r="228" ht="15.75" customHeight="1">
      <c r="C228" s="33"/>
      <c r="D228" s="33"/>
      <c r="E228" s="33"/>
      <c r="F228" s="33"/>
    </row>
    <row r="229" ht="15.75" customHeight="1">
      <c r="C229" s="33"/>
      <c r="D229" s="33"/>
      <c r="E229" s="33"/>
      <c r="F229" s="33"/>
    </row>
    <row r="230" ht="15.75" customHeight="1">
      <c r="C230" s="33"/>
      <c r="D230" s="33"/>
      <c r="E230" s="33"/>
      <c r="F230" s="33"/>
    </row>
    <row r="231" ht="15.75" customHeight="1">
      <c r="C231" s="33"/>
      <c r="D231" s="33"/>
      <c r="E231" s="33"/>
      <c r="F231" s="33"/>
    </row>
    <row r="232" ht="15.75" customHeight="1">
      <c r="C232" s="33"/>
      <c r="D232" s="33"/>
      <c r="E232" s="33"/>
      <c r="F232" s="33"/>
    </row>
    <row r="233" ht="15.75" customHeight="1">
      <c r="C233" s="33"/>
      <c r="D233" s="33"/>
      <c r="E233" s="33"/>
      <c r="F233" s="33"/>
    </row>
    <row r="234" ht="15.75" customHeight="1">
      <c r="C234" s="33"/>
      <c r="D234" s="33"/>
      <c r="E234" s="33"/>
      <c r="F234" s="33"/>
    </row>
    <row r="235" ht="15.75" customHeight="1">
      <c r="C235" s="33"/>
      <c r="D235" s="33"/>
      <c r="E235" s="33"/>
      <c r="F235" s="33"/>
    </row>
    <row r="236" ht="15.75" customHeight="1">
      <c r="C236" s="33"/>
      <c r="D236" s="33"/>
      <c r="E236" s="33"/>
      <c r="F236" s="33"/>
    </row>
    <row r="237" ht="15.75" customHeight="1">
      <c r="C237" s="33"/>
      <c r="D237" s="33"/>
      <c r="E237" s="33"/>
      <c r="F237" s="33"/>
    </row>
    <row r="238" ht="15.75" customHeight="1">
      <c r="C238" s="33"/>
      <c r="D238" s="33"/>
      <c r="E238" s="33"/>
      <c r="F238" s="33"/>
    </row>
    <row r="239" ht="15.75" customHeight="1">
      <c r="C239" s="33"/>
      <c r="D239" s="33"/>
      <c r="E239" s="33"/>
      <c r="F239" s="33"/>
    </row>
    <row r="240" ht="15.75" customHeight="1">
      <c r="C240" s="33"/>
      <c r="D240" s="33"/>
      <c r="E240" s="33"/>
      <c r="F240" s="33"/>
    </row>
    <row r="241" ht="15.75" customHeight="1">
      <c r="C241" s="33"/>
      <c r="D241" s="33"/>
      <c r="E241" s="33"/>
      <c r="F241" s="33"/>
    </row>
    <row r="242" ht="15.75" customHeight="1">
      <c r="C242" s="33"/>
      <c r="D242" s="33"/>
      <c r="E242" s="33"/>
      <c r="F242" s="33"/>
    </row>
    <row r="243" ht="15.75" customHeight="1">
      <c r="C243" s="33"/>
      <c r="D243" s="33"/>
      <c r="E243" s="33"/>
      <c r="F243" s="33"/>
    </row>
    <row r="244" ht="15.75" customHeight="1">
      <c r="C244" s="33"/>
      <c r="D244" s="33"/>
      <c r="E244" s="33"/>
      <c r="F244" s="33"/>
    </row>
    <row r="245" ht="15.75" customHeight="1">
      <c r="C245" s="33"/>
      <c r="D245" s="33"/>
      <c r="E245" s="33"/>
      <c r="F245" s="33"/>
    </row>
    <row r="246" ht="15.75" customHeight="1">
      <c r="C246" s="33"/>
      <c r="D246" s="33"/>
      <c r="E246" s="33"/>
      <c r="F246" s="33"/>
    </row>
    <row r="247" ht="15.75" customHeight="1">
      <c r="C247" s="33"/>
      <c r="D247" s="33"/>
      <c r="E247" s="33"/>
      <c r="F247" s="33"/>
    </row>
    <row r="248" ht="15.75" customHeight="1">
      <c r="C248" s="33"/>
      <c r="D248" s="33"/>
      <c r="E248" s="33"/>
      <c r="F248" s="33"/>
    </row>
    <row r="249" ht="15.75" customHeight="1">
      <c r="C249" s="33"/>
      <c r="D249" s="33"/>
      <c r="E249" s="33"/>
      <c r="F249" s="33"/>
    </row>
    <row r="250" ht="15.75" customHeight="1">
      <c r="C250" s="33"/>
      <c r="D250" s="33"/>
      <c r="E250" s="33"/>
      <c r="F250" s="33"/>
    </row>
    <row r="251" ht="15.75" customHeight="1">
      <c r="C251" s="33"/>
      <c r="D251" s="33"/>
      <c r="E251" s="33"/>
      <c r="F251" s="33"/>
    </row>
    <row r="252" ht="15.75" customHeight="1">
      <c r="C252" s="33"/>
      <c r="D252" s="33"/>
      <c r="E252" s="33"/>
      <c r="F252" s="33"/>
    </row>
    <row r="253" ht="15.75" customHeight="1">
      <c r="C253" s="33"/>
      <c r="D253" s="33"/>
      <c r="E253" s="33"/>
      <c r="F253" s="33"/>
    </row>
    <row r="254" ht="15.75" customHeight="1">
      <c r="C254" s="33"/>
      <c r="D254" s="33"/>
      <c r="E254" s="33"/>
      <c r="F254" s="33"/>
    </row>
    <row r="255" ht="15.75" customHeight="1">
      <c r="C255" s="33"/>
      <c r="D255" s="33"/>
      <c r="E255" s="33"/>
      <c r="F255" s="33"/>
    </row>
    <row r="256" ht="15.75" customHeight="1">
      <c r="C256" s="33"/>
      <c r="D256" s="33"/>
      <c r="E256" s="33"/>
      <c r="F256" s="33"/>
    </row>
    <row r="257" ht="15.75" customHeight="1">
      <c r="C257" s="33"/>
      <c r="D257" s="33"/>
      <c r="E257" s="33"/>
      <c r="F257" s="33"/>
    </row>
    <row r="258" ht="15.75" customHeight="1">
      <c r="C258" s="33"/>
      <c r="D258" s="33"/>
      <c r="E258" s="33"/>
      <c r="F258" s="33"/>
    </row>
    <row r="259" ht="15.75" customHeight="1">
      <c r="C259" s="33"/>
      <c r="D259" s="33"/>
      <c r="E259" s="33"/>
      <c r="F259" s="33"/>
    </row>
    <row r="260" ht="15.75" customHeight="1">
      <c r="C260" s="33"/>
      <c r="D260" s="33"/>
      <c r="E260" s="33"/>
      <c r="F260" s="33"/>
    </row>
    <row r="261" ht="15.75" customHeight="1">
      <c r="C261" s="33"/>
      <c r="D261" s="33"/>
      <c r="E261" s="33"/>
      <c r="F261" s="33"/>
    </row>
    <row r="262" ht="15.75" customHeight="1">
      <c r="C262" s="33"/>
      <c r="D262" s="33"/>
      <c r="E262" s="33"/>
      <c r="F262" s="33"/>
    </row>
    <row r="263" ht="15.75" customHeight="1">
      <c r="C263" s="33"/>
      <c r="D263" s="33"/>
      <c r="E263" s="33"/>
      <c r="F263" s="33"/>
    </row>
    <row r="264" ht="15.75" customHeight="1">
      <c r="C264" s="33"/>
      <c r="D264" s="33"/>
      <c r="E264" s="33"/>
      <c r="F264" s="33"/>
    </row>
    <row r="265" ht="15.75" customHeight="1">
      <c r="C265" s="33"/>
      <c r="D265" s="33"/>
      <c r="E265" s="33"/>
      <c r="F265" s="33"/>
    </row>
    <row r="266" ht="15.75" customHeight="1">
      <c r="C266" s="33"/>
      <c r="D266" s="33"/>
      <c r="E266" s="33"/>
      <c r="F266" s="33"/>
    </row>
    <row r="267" ht="15.75" customHeight="1">
      <c r="C267" s="33"/>
      <c r="D267" s="33"/>
      <c r="E267" s="33"/>
      <c r="F267" s="33"/>
    </row>
    <row r="268" ht="15.75" customHeight="1">
      <c r="C268" s="33"/>
      <c r="D268" s="33"/>
      <c r="E268" s="33"/>
      <c r="F268" s="33"/>
    </row>
    <row r="269" ht="15.75" customHeight="1">
      <c r="C269" s="33"/>
      <c r="D269" s="33"/>
      <c r="E269" s="33"/>
      <c r="F269" s="33"/>
    </row>
    <row r="270" ht="15.75" customHeight="1">
      <c r="C270" s="33"/>
      <c r="D270" s="33"/>
      <c r="E270" s="33"/>
      <c r="F270" s="33"/>
    </row>
    <row r="271" ht="15.75" customHeight="1">
      <c r="C271" s="33"/>
      <c r="D271" s="33"/>
      <c r="E271" s="33"/>
      <c r="F271" s="33"/>
    </row>
    <row r="272" ht="15.75" customHeight="1">
      <c r="C272" s="33"/>
      <c r="D272" s="33"/>
      <c r="E272" s="33"/>
      <c r="F272" s="33"/>
    </row>
    <row r="273" ht="15.75" customHeight="1">
      <c r="C273" s="33"/>
      <c r="D273" s="33"/>
      <c r="E273" s="33"/>
      <c r="F273" s="33"/>
    </row>
    <row r="274" ht="15.75" customHeight="1">
      <c r="C274" s="33"/>
      <c r="D274" s="33"/>
      <c r="E274" s="33"/>
      <c r="F274" s="33"/>
    </row>
    <row r="275" ht="15.75" customHeight="1">
      <c r="C275" s="33"/>
      <c r="D275" s="33"/>
      <c r="E275" s="33"/>
      <c r="F275" s="33"/>
    </row>
    <row r="276" ht="15.75" customHeight="1">
      <c r="C276" s="33"/>
      <c r="D276" s="33"/>
      <c r="E276" s="33"/>
      <c r="F276" s="33"/>
    </row>
    <row r="277" ht="15.75" customHeight="1">
      <c r="C277" s="33"/>
      <c r="D277" s="33"/>
      <c r="E277" s="33"/>
      <c r="F277" s="33"/>
    </row>
    <row r="278" ht="15.75" customHeight="1">
      <c r="C278" s="33"/>
      <c r="D278" s="33"/>
      <c r="E278" s="33"/>
      <c r="F278" s="33"/>
    </row>
    <row r="279" ht="15.75" customHeight="1">
      <c r="C279" s="33"/>
      <c r="D279" s="33"/>
      <c r="E279" s="33"/>
      <c r="F279" s="33"/>
    </row>
    <row r="280" ht="15.75" customHeight="1">
      <c r="C280" s="33"/>
      <c r="D280" s="33"/>
      <c r="E280" s="33"/>
      <c r="F280" s="33"/>
    </row>
    <row r="281" ht="15.75" customHeight="1">
      <c r="C281" s="33"/>
      <c r="D281" s="33"/>
      <c r="E281" s="33"/>
      <c r="F281" s="33"/>
    </row>
    <row r="282" ht="15.75" customHeight="1">
      <c r="C282" s="33"/>
      <c r="D282" s="33"/>
      <c r="E282" s="33"/>
      <c r="F282" s="33"/>
    </row>
    <row r="283" ht="15.75" customHeight="1">
      <c r="C283" s="33"/>
      <c r="D283" s="33"/>
      <c r="E283" s="33"/>
      <c r="F283" s="33"/>
    </row>
    <row r="284" ht="15.75" customHeight="1">
      <c r="C284" s="33"/>
      <c r="D284" s="33"/>
      <c r="E284" s="33"/>
      <c r="F284" s="33"/>
    </row>
    <row r="285" ht="15.75" customHeight="1">
      <c r="C285" s="33"/>
      <c r="D285" s="33"/>
      <c r="E285" s="33"/>
      <c r="F285" s="33"/>
    </row>
    <row r="286" ht="15.75" customHeight="1">
      <c r="C286" s="33"/>
      <c r="D286" s="33"/>
      <c r="E286" s="33"/>
      <c r="F286" s="33"/>
    </row>
    <row r="287" ht="15.75" customHeight="1">
      <c r="C287" s="33"/>
      <c r="D287" s="33"/>
      <c r="E287" s="33"/>
      <c r="F287" s="33"/>
    </row>
    <row r="288" ht="15.75" customHeight="1">
      <c r="C288" s="33"/>
      <c r="D288" s="33"/>
      <c r="E288" s="33"/>
      <c r="F288" s="33"/>
    </row>
    <row r="289" ht="15.75" customHeight="1">
      <c r="C289" s="33"/>
      <c r="D289" s="33"/>
      <c r="E289" s="33"/>
      <c r="F289" s="33"/>
    </row>
    <row r="290" ht="15.75" customHeight="1">
      <c r="C290" s="33"/>
      <c r="D290" s="33"/>
      <c r="E290" s="33"/>
      <c r="F290" s="33"/>
    </row>
    <row r="291" ht="15.75" customHeight="1">
      <c r="C291" s="33"/>
      <c r="D291" s="33"/>
      <c r="E291" s="33"/>
      <c r="F291" s="33"/>
    </row>
    <row r="292" ht="15.75" customHeight="1">
      <c r="C292" s="33"/>
      <c r="D292" s="33"/>
      <c r="E292" s="33"/>
      <c r="F292" s="33"/>
    </row>
    <row r="293" ht="15.75" customHeight="1">
      <c r="C293" s="33"/>
      <c r="D293" s="33"/>
      <c r="E293" s="33"/>
      <c r="F293" s="33"/>
    </row>
    <row r="294" ht="15.75" customHeight="1">
      <c r="C294" s="33"/>
      <c r="D294" s="33"/>
      <c r="E294" s="33"/>
      <c r="F294" s="33"/>
    </row>
    <row r="295" ht="15.75" customHeight="1">
      <c r="C295" s="33"/>
      <c r="D295" s="33"/>
      <c r="E295" s="33"/>
      <c r="F295" s="33"/>
    </row>
    <row r="296" ht="15.75" customHeight="1">
      <c r="C296" s="33"/>
      <c r="D296" s="33"/>
      <c r="E296" s="33"/>
      <c r="F296" s="33"/>
    </row>
    <row r="297" ht="15.75" customHeight="1">
      <c r="C297" s="33"/>
      <c r="D297" s="33"/>
      <c r="E297" s="33"/>
      <c r="F297" s="33"/>
    </row>
    <row r="298" ht="15.75" customHeight="1">
      <c r="C298" s="33"/>
      <c r="D298" s="33"/>
      <c r="E298" s="33"/>
      <c r="F298" s="33"/>
    </row>
    <row r="299" ht="15.75" customHeight="1">
      <c r="C299" s="33"/>
      <c r="D299" s="33"/>
      <c r="E299" s="33"/>
      <c r="F299" s="33"/>
    </row>
    <row r="300" ht="15.75" customHeight="1">
      <c r="C300" s="33"/>
      <c r="D300" s="33"/>
      <c r="E300" s="33"/>
      <c r="F300" s="33"/>
    </row>
    <row r="301" ht="15.75" customHeight="1">
      <c r="C301" s="33"/>
      <c r="D301" s="33"/>
      <c r="E301" s="33"/>
      <c r="F301" s="33"/>
    </row>
    <row r="302" ht="15.75" customHeight="1">
      <c r="C302" s="33"/>
      <c r="D302" s="33"/>
      <c r="E302" s="33"/>
      <c r="F302" s="33"/>
    </row>
    <row r="303" ht="15.75" customHeight="1">
      <c r="C303" s="33"/>
      <c r="D303" s="33"/>
      <c r="E303" s="33"/>
      <c r="F303" s="33"/>
    </row>
    <row r="304" ht="15.75" customHeight="1">
      <c r="C304" s="33"/>
      <c r="D304" s="33"/>
      <c r="E304" s="33"/>
      <c r="F304" s="33"/>
    </row>
    <row r="305" ht="15.75" customHeight="1">
      <c r="C305" s="33"/>
      <c r="D305" s="33"/>
      <c r="E305" s="33"/>
      <c r="F305" s="33"/>
    </row>
    <row r="306" ht="15.75" customHeight="1">
      <c r="C306" s="33"/>
      <c r="D306" s="33"/>
      <c r="E306" s="33"/>
      <c r="F306" s="33"/>
    </row>
    <row r="307" ht="15.75" customHeight="1">
      <c r="C307" s="33"/>
      <c r="D307" s="33"/>
      <c r="E307" s="33"/>
      <c r="F307" s="33"/>
    </row>
    <row r="308" ht="15.75" customHeight="1">
      <c r="C308" s="33"/>
      <c r="D308" s="33"/>
      <c r="E308" s="33"/>
      <c r="F308" s="33"/>
    </row>
    <row r="309" ht="15.75" customHeight="1">
      <c r="C309" s="33"/>
      <c r="D309" s="33"/>
      <c r="E309" s="33"/>
      <c r="F309" s="33"/>
    </row>
    <row r="310" ht="15.75" customHeight="1">
      <c r="C310" s="33"/>
      <c r="D310" s="33"/>
      <c r="E310" s="33"/>
      <c r="F310" s="33"/>
    </row>
    <row r="311" ht="15.75" customHeight="1">
      <c r="C311" s="33"/>
      <c r="D311" s="33"/>
      <c r="E311" s="33"/>
      <c r="F311" s="33"/>
    </row>
    <row r="312" ht="15.75" customHeight="1">
      <c r="C312" s="33"/>
      <c r="D312" s="33"/>
      <c r="E312" s="33"/>
      <c r="F312" s="33"/>
    </row>
    <row r="313" ht="15.75" customHeight="1">
      <c r="C313" s="33"/>
      <c r="D313" s="33"/>
      <c r="E313" s="33"/>
      <c r="F313" s="33"/>
    </row>
    <row r="314" ht="15.75" customHeight="1">
      <c r="C314" s="33"/>
      <c r="D314" s="33"/>
      <c r="E314" s="33"/>
      <c r="F314" s="33"/>
    </row>
    <row r="315" ht="15.75" customHeight="1">
      <c r="C315" s="33"/>
      <c r="D315" s="33"/>
      <c r="E315" s="33"/>
      <c r="F315" s="33"/>
    </row>
    <row r="316" ht="15.75" customHeight="1">
      <c r="C316" s="33"/>
      <c r="D316" s="33"/>
      <c r="E316" s="33"/>
      <c r="F316" s="33"/>
    </row>
    <row r="317" ht="15.75" customHeight="1">
      <c r="C317" s="33"/>
      <c r="D317" s="33"/>
      <c r="E317" s="33"/>
      <c r="F317" s="33"/>
    </row>
    <row r="318" ht="15.75" customHeight="1">
      <c r="C318" s="33"/>
      <c r="D318" s="33"/>
      <c r="E318" s="33"/>
      <c r="F318" s="33"/>
    </row>
    <row r="319" ht="15.75" customHeight="1">
      <c r="C319" s="33"/>
      <c r="D319" s="33"/>
      <c r="E319" s="33"/>
      <c r="F319" s="33"/>
    </row>
    <row r="320" ht="15.75" customHeight="1">
      <c r="C320" s="33"/>
      <c r="D320" s="33"/>
      <c r="E320" s="33"/>
      <c r="F320" s="33"/>
    </row>
    <row r="321" ht="15.75" customHeight="1">
      <c r="C321" s="33"/>
      <c r="D321" s="33"/>
      <c r="E321" s="33"/>
      <c r="F321" s="33"/>
    </row>
    <row r="322" ht="15.75" customHeight="1">
      <c r="C322" s="33"/>
      <c r="D322" s="33"/>
      <c r="E322" s="33"/>
      <c r="F322" s="33"/>
    </row>
    <row r="323" ht="15.75" customHeight="1">
      <c r="C323" s="33"/>
      <c r="D323" s="33"/>
      <c r="E323" s="33"/>
      <c r="F323" s="33"/>
    </row>
    <row r="324" ht="15.75" customHeight="1">
      <c r="C324" s="33"/>
      <c r="D324" s="33"/>
      <c r="E324" s="33"/>
      <c r="F324" s="33"/>
    </row>
    <row r="325" ht="15.75" customHeight="1">
      <c r="C325" s="33"/>
      <c r="D325" s="33"/>
      <c r="E325" s="33"/>
      <c r="F325" s="33"/>
    </row>
    <row r="326" ht="15.75" customHeight="1">
      <c r="C326" s="33"/>
      <c r="D326" s="33"/>
      <c r="E326" s="33"/>
      <c r="F326" s="33"/>
    </row>
    <row r="327" ht="15.75" customHeight="1">
      <c r="C327" s="33"/>
      <c r="D327" s="33"/>
      <c r="E327" s="33"/>
      <c r="F327" s="33"/>
    </row>
    <row r="328" ht="15.75" customHeight="1">
      <c r="C328" s="33"/>
      <c r="D328" s="33"/>
      <c r="E328" s="33"/>
      <c r="F328" s="33"/>
    </row>
    <row r="329" ht="15.75" customHeight="1">
      <c r="C329" s="33"/>
      <c r="D329" s="33"/>
      <c r="E329" s="33"/>
      <c r="F329" s="33"/>
    </row>
    <row r="330" ht="15.75" customHeight="1">
      <c r="C330" s="33"/>
      <c r="D330" s="33"/>
      <c r="E330" s="33"/>
      <c r="F330" s="33"/>
    </row>
    <row r="331" ht="15.75" customHeight="1">
      <c r="C331" s="33"/>
      <c r="D331" s="33"/>
      <c r="E331" s="33"/>
      <c r="F331" s="33"/>
    </row>
    <row r="332" ht="15.75" customHeight="1">
      <c r="C332" s="33"/>
      <c r="D332" s="33"/>
      <c r="E332" s="33"/>
      <c r="F332" s="33"/>
    </row>
    <row r="333" ht="15.75" customHeight="1">
      <c r="C333" s="33"/>
      <c r="D333" s="33"/>
      <c r="E333" s="33"/>
      <c r="F333" s="33"/>
    </row>
    <row r="334" ht="15.75" customHeight="1">
      <c r="C334" s="33"/>
      <c r="D334" s="33"/>
      <c r="E334" s="33"/>
      <c r="F334" s="33"/>
    </row>
    <row r="335" ht="15.75" customHeight="1">
      <c r="C335" s="33"/>
      <c r="D335" s="33"/>
      <c r="E335" s="33"/>
      <c r="F335" s="33"/>
    </row>
    <row r="336" ht="15.75" customHeight="1">
      <c r="C336" s="33"/>
      <c r="D336" s="33"/>
      <c r="E336" s="33"/>
      <c r="F336" s="33"/>
    </row>
    <row r="337" ht="15.75" customHeight="1">
      <c r="C337" s="33"/>
      <c r="D337" s="33"/>
      <c r="E337" s="33"/>
      <c r="F337" s="33"/>
    </row>
    <row r="338" ht="15.75" customHeight="1">
      <c r="C338" s="33"/>
      <c r="D338" s="33"/>
      <c r="E338" s="33"/>
      <c r="F338" s="33"/>
    </row>
    <row r="339" ht="15.75" customHeight="1">
      <c r="C339" s="33"/>
      <c r="D339" s="33"/>
      <c r="E339" s="33"/>
      <c r="F339" s="33"/>
    </row>
    <row r="340" ht="15.75" customHeight="1">
      <c r="C340" s="33"/>
      <c r="D340" s="33"/>
      <c r="E340" s="33"/>
      <c r="F340" s="33"/>
    </row>
    <row r="341" ht="15.75" customHeight="1">
      <c r="C341" s="33"/>
      <c r="D341" s="33"/>
      <c r="E341" s="33"/>
      <c r="F341" s="33"/>
    </row>
    <row r="342" ht="15.75" customHeight="1">
      <c r="C342" s="33"/>
      <c r="D342" s="33"/>
      <c r="E342" s="33"/>
      <c r="F342" s="33"/>
    </row>
    <row r="343" ht="15.75" customHeight="1">
      <c r="C343" s="33"/>
      <c r="D343" s="33"/>
      <c r="E343" s="33"/>
      <c r="F343" s="33"/>
    </row>
    <row r="344" ht="15.75" customHeight="1">
      <c r="C344" s="33"/>
      <c r="D344" s="33"/>
      <c r="E344" s="33"/>
      <c r="F344" s="33"/>
    </row>
    <row r="345" ht="15.75" customHeight="1">
      <c r="C345" s="33"/>
      <c r="D345" s="33"/>
      <c r="E345" s="33"/>
      <c r="F345" s="33"/>
    </row>
    <row r="346" ht="15.75" customHeight="1">
      <c r="C346" s="33"/>
      <c r="D346" s="33"/>
      <c r="E346" s="33"/>
      <c r="F346" s="33"/>
    </row>
    <row r="347" ht="15.75" customHeight="1">
      <c r="C347" s="33"/>
      <c r="D347" s="33"/>
      <c r="E347" s="33"/>
      <c r="F347" s="33"/>
    </row>
    <row r="348" ht="15.75" customHeight="1">
      <c r="C348" s="33"/>
      <c r="D348" s="33"/>
      <c r="E348" s="33"/>
      <c r="F348" s="33"/>
    </row>
    <row r="349" ht="15.75" customHeight="1">
      <c r="C349" s="33"/>
      <c r="D349" s="33"/>
      <c r="E349" s="33"/>
      <c r="F349" s="33"/>
    </row>
    <row r="350" ht="15.75" customHeight="1">
      <c r="C350" s="33"/>
      <c r="D350" s="33"/>
      <c r="E350" s="33"/>
      <c r="F350" s="33"/>
    </row>
    <row r="351" ht="15.75" customHeight="1">
      <c r="C351" s="33"/>
      <c r="D351" s="33"/>
      <c r="E351" s="33"/>
      <c r="F351" s="33"/>
    </row>
    <row r="352" ht="15.75" customHeight="1">
      <c r="C352" s="33"/>
      <c r="D352" s="33"/>
      <c r="E352" s="33"/>
      <c r="F352" s="33"/>
    </row>
    <row r="353" ht="15.75" customHeight="1">
      <c r="C353" s="33"/>
      <c r="D353" s="33"/>
      <c r="E353" s="33"/>
      <c r="F353" s="33"/>
    </row>
    <row r="354" ht="15.75" customHeight="1">
      <c r="C354" s="33"/>
      <c r="D354" s="33"/>
      <c r="E354" s="33"/>
      <c r="F354" s="33"/>
    </row>
    <row r="355" ht="15.75" customHeight="1">
      <c r="C355" s="33"/>
      <c r="D355" s="33"/>
      <c r="E355" s="33"/>
      <c r="F355" s="33"/>
    </row>
    <row r="356" ht="15.75" customHeight="1">
      <c r="C356" s="33"/>
      <c r="D356" s="33"/>
      <c r="E356" s="33"/>
      <c r="F356" s="33"/>
    </row>
    <row r="357" ht="15.75" customHeight="1">
      <c r="C357" s="33"/>
      <c r="D357" s="33"/>
      <c r="E357" s="33"/>
      <c r="F357" s="33"/>
    </row>
    <row r="358" ht="15.75" customHeight="1">
      <c r="C358" s="33"/>
      <c r="D358" s="33"/>
      <c r="E358" s="33"/>
      <c r="F358" s="33"/>
    </row>
    <row r="359" ht="15.75" customHeight="1">
      <c r="C359" s="33"/>
      <c r="D359" s="33"/>
      <c r="E359" s="33"/>
      <c r="F359" s="33"/>
    </row>
    <row r="360" ht="15.75" customHeight="1">
      <c r="C360" s="33"/>
      <c r="D360" s="33"/>
      <c r="E360" s="33"/>
      <c r="F360" s="33"/>
    </row>
    <row r="361" ht="15.75" customHeight="1">
      <c r="C361" s="33"/>
      <c r="D361" s="33"/>
      <c r="E361" s="33"/>
      <c r="F361" s="33"/>
    </row>
    <row r="362" ht="15.75" customHeight="1">
      <c r="C362" s="33"/>
      <c r="D362" s="33"/>
      <c r="E362" s="33"/>
      <c r="F362" s="33"/>
    </row>
    <row r="363" ht="15.75" customHeight="1">
      <c r="C363" s="33"/>
      <c r="D363" s="33"/>
      <c r="E363" s="33"/>
      <c r="F363" s="33"/>
    </row>
    <row r="364" ht="15.75" customHeight="1">
      <c r="C364" s="33"/>
      <c r="D364" s="33"/>
      <c r="E364" s="33"/>
      <c r="F364" s="33"/>
    </row>
    <row r="365" ht="15.75" customHeight="1">
      <c r="C365" s="33"/>
      <c r="D365" s="33"/>
      <c r="E365" s="33"/>
      <c r="F365" s="33"/>
    </row>
    <row r="366" ht="15.75" customHeight="1">
      <c r="C366" s="33"/>
      <c r="D366" s="33"/>
      <c r="E366" s="33"/>
      <c r="F366" s="33"/>
    </row>
    <row r="367" ht="15.75" customHeight="1">
      <c r="C367" s="33"/>
      <c r="D367" s="33"/>
      <c r="E367" s="33"/>
      <c r="F367" s="33"/>
    </row>
    <row r="368" ht="15.75" customHeight="1">
      <c r="C368" s="33"/>
      <c r="D368" s="33"/>
      <c r="E368" s="33"/>
      <c r="F368" s="33"/>
    </row>
    <row r="369" ht="15.75" customHeight="1">
      <c r="C369" s="33"/>
      <c r="D369" s="33"/>
      <c r="E369" s="33"/>
      <c r="F369" s="33"/>
    </row>
    <row r="370" ht="15.75" customHeight="1">
      <c r="C370" s="33"/>
      <c r="D370" s="33"/>
      <c r="E370" s="33"/>
      <c r="F370" s="33"/>
    </row>
    <row r="371" ht="15.75" customHeight="1">
      <c r="C371" s="33"/>
      <c r="D371" s="33"/>
      <c r="E371" s="33"/>
      <c r="F371" s="33"/>
    </row>
    <row r="372" ht="15.75" customHeight="1">
      <c r="C372" s="33"/>
      <c r="D372" s="33"/>
      <c r="E372" s="33"/>
      <c r="F372" s="33"/>
    </row>
    <row r="373" ht="15.75" customHeight="1">
      <c r="C373" s="33"/>
      <c r="D373" s="33"/>
      <c r="E373" s="33"/>
      <c r="F373" s="33"/>
    </row>
    <row r="374" ht="15.75" customHeight="1">
      <c r="C374" s="33"/>
      <c r="D374" s="33"/>
      <c r="E374" s="33"/>
      <c r="F374" s="33"/>
    </row>
    <row r="375" ht="15.75" customHeight="1">
      <c r="C375" s="33"/>
      <c r="D375" s="33"/>
      <c r="E375" s="33"/>
      <c r="F375" s="33"/>
    </row>
    <row r="376" ht="15.75" customHeight="1">
      <c r="C376" s="33"/>
      <c r="D376" s="33"/>
      <c r="E376" s="33"/>
      <c r="F376" s="33"/>
    </row>
    <row r="377" ht="15.75" customHeight="1">
      <c r="C377" s="33"/>
      <c r="D377" s="33"/>
      <c r="E377" s="33"/>
      <c r="F377" s="33"/>
    </row>
    <row r="378" ht="15.75" customHeight="1">
      <c r="C378" s="33"/>
      <c r="D378" s="33"/>
      <c r="E378" s="33"/>
      <c r="F378" s="33"/>
    </row>
    <row r="379" ht="15.75" customHeight="1">
      <c r="C379" s="33"/>
      <c r="D379" s="33"/>
      <c r="E379" s="33"/>
      <c r="F379" s="33"/>
    </row>
    <row r="380" ht="15.75" customHeight="1">
      <c r="C380" s="33"/>
      <c r="D380" s="33"/>
      <c r="E380" s="33"/>
      <c r="F380" s="33"/>
    </row>
    <row r="381" ht="15.75" customHeight="1">
      <c r="C381" s="33"/>
      <c r="D381" s="33"/>
      <c r="E381" s="33"/>
      <c r="F381" s="33"/>
    </row>
    <row r="382" ht="15.75" customHeight="1">
      <c r="C382" s="33"/>
      <c r="D382" s="33"/>
      <c r="E382" s="33"/>
      <c r="F382" s="33"/>
    </row>
    <row r="383" ht="15.75" customHeight="1">
      <c r="C383" s="33"/>
      <c r="D383" s="33"/>
      <c r="E383" s="33"/>
      <c r="F383" s="33"/>
    </row>
    <row r="384" ht="15.75" customHeight="1">
      <c r="C384" s="33"/>
      <c r="D384" s="33"/>
      <c r="E384" s="33"/>
      <c r="F384" s="33"/>
    </row>
    <row r="385" ht="15.75" customHeight="1">
      <c r="C385" s="33"/>
      <c r="D385" s="33"/>
      <c r="E385" s="33"/>
      <c r="F385" s="33"/>
    </row>
    <row r="386" ht="15.75" customHeight="1">
      <c r="C386" s="33"/>
      <c r="D386" s="33"/>
      <c r="E386" s="33"/>
      <c r="F386" s="33"/>
    </row>
    <row r="387" ht="15.75" customHeight="1">
      <c r="C387" s="33"/>
      <c r="D387" s="33"/>
      <c r="E387" s="33"/>
      <c r="F387" s="33"/>
    </row>
    <row r="388" ht="15.75" customHeight="1">
      <c r="C388" s="33"/>
      <c r="D388" s="33"/>
      <c r="E388" s="33"/>
      <c r="F388" s="33"/>
    </row>
    <row r="389" ht="15.75" customHeight="1">
      <c r="C389" s="33"/>
      <c r="D389" s="33"/>
      <c r="E389" s="33"/>
      <c r="F389" s="33"/>
    </row>
    <row r="390" ht="15.75" customHeight="1">
      <c r="C390" s="33"/>
      <c r="D390" s="33"/>
      <c r="E390" s="33"/>
      <c r="F390" s="33"/>
    </row>
    <row r="391" ht="15.75" customHeight="1">
      <c r="C391" s="33"/>
      <c r="D391" s="33"/>
      <c r="E391" s="33"/>
      <c r="F391" s="33"/>
    </row>
    <row r="392" ht="15.75" customHeight="1">
      <c r="C392" s="33"/>
      <c r="D392" s="33"/>
      <c r="E392" s="33"/>
      <c r="F392" s="33"/>
    </row>
    <row r="393" ht="15.75" customHeight="1">
      <c r="C393" s="33"/>
      <c r="D393" s="33"/>
      <c r="E393" s="33"/>
      <c r="F393" s="33"/>
    </row>
    <row r="394" ht="15.75" customHeight="1">
      <c r="C394" s="33"/>
      <c r="D394" s="33"/>
      <c r="E394" s="33"/>
      <c r="F394" s="33"/>
    </row>
    <row r="395" ht="15.75" customHeight="1">
      <c r="C395" s="33"/>
      <c r="D395" s="33"/>
      <c r="E395" s="33"/>
      <c r="F395" s="33"/>
    </row>
    <row r="396" ht="15.75" customHeight="1">
      <c r="C396" s="33"/>
      <c r="D396" s="33"/>
      <c r="E396" s="33"/>
      <c r="F396" s="33"/>
    </row>
    <row r="397" ht="15.75" customHeight="1">
      <c r="C397" s="33"/>
      <c r="D397" s="33"/>
      <c r="E397" s="33"/>
      <c r="F397" s="33"/>
    </row>
    <row r="398" ht="15.75" customHeight="1">
      <c r="C398" s="33"/>
      <c r="D398" s="33"/>
      <c r="E398" s="33"/>
      <c r="F398" s="33"/>
    </row>
    <row r="399" ht="15.75" customHeight="1">
      <c r="C399" s="33"/>
      <c r="D399" s="33"/>
      <c r="E399" s="33"/>
      <c r="F399" s="33"/>
    </row>
    <row r="400" ht="15.75" customHeight="1">
      <c r="C400" s="33"/>
      <c r="D400" s="33"/>
      <c r="E400" s="33"/>
      <c r="F400" s="33"/>
    </row>
    <row r="401" ht="15.75" customHeight="1">
      <c r="C401" s="33"/>
      <c r="D401" s="33"/>
      <c r="E401" s="33"/>
      <c r="F401" s="33"/>
    </row>
    <row r="402" ht="15.75" customHeight="1">
      <c r="C402" s="33"/>
      <c r="D402" s="33"/>
      <c r="E402" s="33"/>
      <c r="F402" s="33"/>
    </row>
    <row r="403" ht="15.75" customHeight="1">
      <c r="C403" s="33"/>
      <c r="D403" s="33"/>
      <c r="E403" s="33"/>
      <c r="F403" s="33"/>
    </row>
    <row r="404" ht="15.75" customHeight="1">
      <c r="C404" s="33"/>
      <c r="D404" s="33"/>
      <c r="E404" s="33"/>
      <c r="F404" s="33"/>
    </row>
    <row r="405" ht="15.75" customHeight="1">
      <c r="C405" s="33"/>
      <c r="D405" s="33"/>
      <c r="E405" s="33"/>
      <c r="F405" s="33"/>
    </row>
    <row r="406" ht="15.75" customHeight="1">
      <c r="C406" s="33"/>
      <c r="D406" s="33"/>
      <c r="E406" s="33"/>
      <c r="F406" s="33"/>
    </row>
    <row r="407" ht="15.75" customHeight="1">
      <c r="C407" s="33"/>
      <c r="D407" s="33"/>
      <c r="E407" s="33"/>
      <c r="F407" s="33"/>
    </row>
    <row r="408" ht="15.75" customHeight="1">
      <c r="C408" s="33"/>
      <c r="D408" s="33"/>
      <c r="E408" s="33"/>
      <c r="F408" s="33"/>
    </row>
    <row r="409" ht="15.75" customHeight="1">
      <c r="C409" s="33"/>
      <c r="D409" s="33"/>
      <c r="E409" s="33"/>
      <c r="F409" s="33"/>
    </row>
    <row r="410" ht="15.75" customHeight="1">
      <c r="C410" s="33"/>
      <c r="D410" s="33"/>
      <c r="E410" s="33"/>
      <c r="F410" s="33"/>
    </row>
    <row r="411" ht="15.75" customHeight="1">
      <c r="C411" s="33"/>
      <c r="D411" s="33"/>
      <c r="E411" s="33"/>
      <c r="F411" s="33"/>
    </row>
    <row r="412" ht="15.75" customHeight="1">
      <c r="C412" s="33"/>
      <c r="D412" s="33"/>
      <c r="E412" s="33"/>
      <c r="F412" s="33"/>
    </row>
    <row r="413" ht="15.75" customHeight="1">
      <c r="C413" s="33"/>
      <c r="D413" s="33"/>
      <c r="E413" s="33"/>
      <c r="F413" s="33"/>
    </row>
    <row r="414" ht="15.75" customHeight="1">
      <c r="C414" s="33"/>
      <c r="D414" s="33"/>
      <c r="E414" s="33"/>
      <c r="F414" s="33"/>
    </row>
    <row r="415" ht="15.75" customHeight="1">
      <c r="C415" s="33"/>
      <c r="D415" s="33"/>
      <c r="E415" s="33"/>
      <c r="F415" s="33"/>
    </row>
    <row r="416" ht="15.75" customHeight="1">
      <c r="C416" s="33"/>
      <c r="D416" s="33"/>
      <c r="E416" s="33"/>
      <c r="F416" s="33"/>
    </row>
    <row r="417" ht="15.75" customHeight="1">
      <c r="C417" s="33"/>
      <c r="D417" s="33"/>
      <c r="E417" s="33"/>
      <c r="F417" s="33"/>
    </row>
    <row r="418" ht="15.75" customHeight="1">
      <c r="C418" s="33"/>
      <c r="D418" s="33"/>
      <c r="E418" s="33"/>
      <c r="F418" s="33"/>
    </row>
    <row r="419" ht="15.75" customHeight="1">
      <c r="C419" s="33"/>
      <c r="D419" s="33"/>
      <c r="E419" s="33"/>
      <c r="F419" s="33"/>
    </row>
    <row r="420" ht="15.75" customHeight="1">
      <c r="C420" s="33"/>
      <c r="D420" s="33"/>
      <c r="E420" s="33"/>
      <c r="F420" s="33"/>
    </row>
    <row r="421" ht="15.75" customHeight="1">
      <c r="C421" s="33"/>
      <c r="D421" s="33"/>
      <c r="E421" s="33"/>
      <c r="F421" s="33"/>
    </row>
    <row r="422" ht="15.75" customHeight="1">
      <c r="C422" s="33"/>
      <c r="D422" s="33"/>
      <c r="E422" s="33"/>
      <c r="F422" s="33"/>
    </row>
    <row r="423" ht="15.75" customHeight="1">
      <c r="C423" s="33"/>
      <c r="D423" s="33"/>
      <c r="E423" s="33"/>
      <c r="F423" s="33"/>
    </row>
    <row r="424" ht="15.75" customHeight="1">
      <c r="C424" s="33"/>
      <c r="D424" s="33"/>
      <c r="E424" s="33"/>
      <c r="F424" s="33"/>
    </row>
    <row r="425" ht="15.75" customHeight="1">
      <c r="C425" s="33"/>
      <c r="D425" s="33"/>
      <c r="E425" s="33"/>
      <c r="F425" s="33"/>
    </row>
    <row r="426" ht="15.75" customHeight="1">
      <c r="C426" s="33"/>
      <c r="D426" s="33"/>
      <c r="E426" s="33"/>
      <c r="F426" s="33"/>
    </row>
    <row r="427" ht="15.75" customHeight="1">
      <c r="C427" s="33"/>
      <c r="D427" s="33"/>
      <c r="E427" s="33"/>
      <c r="F427" s="33"/>
    </row>
    <row r="428" ht="15.75" customHeight="1">
      <c r="C428" s="33"/>
      <c r="D428" s="33"/>
      <c r="E428" s="33"/>
      <c r="F428" s="33"/>
    </row>
    <row r="429" ht="15.75" customHeight="1">
      <c r="C429" s="33"/>
      <c r="D429" s="33"/>
      <c r="E429" s="33"/>
      <c r="F429" s="33"/>
    </row>
    <row r="430" ht="15.75" customHeight="1">
      <c r="C430" s="33"/>
      <c r="D430" s="33"/>
      <c r="E430" s="33"/>
      <c r="F430" s="33"/>
    </row>
    <row r="431" ht="15.75" customHeight="1">
      <c r="C431" s="33"/>
      <c r="D431" s="33"/>
      <c r="E431" s="33"/>
      <c r="F431" s="33"/>
    </row>
    <row r="432" ht="15.75" customHeight="1">
      <c r="C432" s="33"/>
      <c r="D432" s="33"/>
      <c r="E432" s="33"/>
      <c r="F432" s="33"/>
    </row>
    <row r="433" ht="15.75" customHeight="1">
      <c r="C433" s="33"/>
      <c r="D433" s="33"/>
      <c r="E433" s="33"/>
      <c r="F433" s="33"/>
    </row>
    <row r="434" ht="15.75" customHeight="1">
      <c r="C434" s="33"/>
      <c r="D434" s="33"/>
      <c r="E434" s="33"/>
      <c r="F434" s="33"/>
    </row>
    <row r="435" ht="15.75" customHeight="1">
      <c r="C435" s="33"/>
      <c r="D435" s="33"/>
      <c r="E435" s="33"/>
      <c r="F435" s="33"/>
    </row>
    <row r="436" ht="15.75" customHeight="1">
      <c r="C436" s="33"/>
      <c r="D436" s="33"/>
      <c r="E436" s="33"/>
      <c r="F436" s="33"/>
    </row>
    <row r="437" ht="15.75" customHeight="1">
      <c r="C437" s="33"/>
      <c r="D437" s="33"/>
      <c r="E437" s="33"/>
      <c r="F437" s="33"/>
    </row>
    <row r="438" ht="15.75" customHeight="1">
      <c r="C438" s="33"/>
      <c r="D438" s="33"/>
      <c r="E438" s="33"/>
      <c r="F438" s="33"/>
    </row>
    <row r="439" ht="15.75" customHeight="1">
      <c r="C439" s="33"/>
      <c r="D439" s="33"/>
      <c r="E439" s="33"/>
      <c r="F439" s="33"/>
    </row>
    <row r="440" ht="15.75" customHeight="1">
      <c r="C440" s="33"/>
      <c r="D440" s="33"/>
      <c r="E440" s="33"/>
      <c r="F440" s="33"/>
    </row>
    <row r="441" ht="15.75" customHeight="1">
      <c r="C441" s="33"/>
      <c r="D441" s="33"/>
      <c r="E441" s="33"/>
      <c r="F441" s="33"/>
    </row>
    <row r="442" ht="15.75" customHeight="1">
      <c r="C442" s="33"/>
      <c r="D442" s="33"/>
      <c r="E442" s="33"/>
      <c r="F442" s="33"/>
    </row>
    <row r="443" ht="15.75" customHeight="1">
      <c r="C443" s="33"/>
      <c r="D443" s="33"/>
      <c r="E443" s="33"/>
      <c r="F443" s="33"/>
    </row>
    <row r="444" ht="15.75" customHeight="1">
      <c r="C444" s="33"/>
      <c r="D444" s="33"/>
      <c r="E444" s="33"/>
      <c r="F444" s="33"/>
    </row>
    <row r="445" ht="15.75" customHeight="1">
      <c r="C445" s="33"/>
      <c r="D445" s="33"/>
      <c r="E445" s="33"/>
      <c r="F445" s="33"/>
    </row>
    <row r="446" ht="15.75" customHeight="1">
      <c r="C446" s="33"/>
      <c r="D446" s="33"/>
      <c r="E446" s="33"/>
      <c r="F446" s="33"/>
    </row>
    <row r="447" ht="15.75" customHeight="1">
      <c r="C447" s="33"/>
      <c r="D447" s="33"/>
      <c r="E447" s="33"/>
      <c r="F447" s="33"/>
    </row>
    <row r="448" ht="15.75" customHeight="1">
      <c r="C448" s="33"/>
      <c r="D448" s="33"/>
      <c r="E448" s="33"/>
      <c r="F448" s="33"/>
    </row>
    <row r="449" ht="15.75" customHeight="1">
      <c r="C449" s="33"/>
      <c r="D449" s="33"/>
      <c r="E449" s="33"/>
      <c r="F449" s="33"/>
    </row>
    <row r="450" ht="15.75" customHeight="1">
      <c r="C450" s="33"/>
      <c r="D450" s="33"/>
      <c r="E450" s="33"/>
      <c r="F450" s="33"/>
    </row>
    <row r="451" ht="15.75" customHeight="1">
      <c r="C451" s="33"/>
      <c r="D451" s="33"/>
      <c r="E451" s="33"/>
      <c r="F451" s="33"/>
    </row>
    <row r="452" ht="15.75" customHeight="1">
      <c r="C452" s="33"/>
      <c r="D452" s="33"/>
      <c r="E452" s="33"/>
      <c r="F452" s="33"/>
    </row>
    <row r="453" ht="15.75" customHeight="1">
      <c r="C453" s="33"/>
      <c r="D453" s="33"/>
      <c r="E453" s="33"/>
      <c r="F453" s="33"/>
    </row>
    <row r="454" ht="15.75" customHeight="1">
      <c r="C454" s="33"/>
      <c r="D454" s="33"/>
      <c r="E454" s="33"/>
      <c r="F454" s="33"/>
    </row>
    <row r="455" ht="15.75" customHeight="1">
      <c r="C455" s="33"/>
      <c r="D455" s="33"/>
      <c r="E455" s="33"/>
      <c r="F455" s="33"/>
    </row>
    <row r="456" ht="15.75" customHeight="1">
      <c r="C456" s="33"/>
      <c r="D456" s="33"/>
      <c r="E456" s="33"/>
      <c r="F456" s="33"/>
    </row>
    <row r="457" ht="15.75" customHeight="1">
      <c r="C457" s="33"/>
      <c r="D457" s="33"/>
      <c r="E457" s="33"/>
      <c r="F457" s="33"/>
    </row>
    <row r="458" ht="15.75" customHeight="1">
      <c r="C458" s="33"/>
      <c r="D458" s="33"/>
      <c r="E458" s="33"/>
      <c r="F458" s="33"/>
    </row>
    <row r="459" ht="15.75" customHeight="1">
      <c r="C459" s="33"/>
      <c r="D459" s="33"/>
      <c r="E459" s="33"/>
      <c r="F459" s="33"/>
    </row>
    <row r="460" ht="15.75" customHeight="1">
      <c r="C460" s="33"/>
      <c r="D460" s="33"/>
      <c r="E460" s="33"/>
      <c r="F460" s="33"/>
    </row>
    <row r="461" ht="15.75" customHeight="1">
      <c r="C461" s="33"/>
      <c r="D461" s="33"/>
      <c r="E461" s="33"/>
      <c r="F461" s="33"/>
    </row>
    <row r="462" ht="15.75" customHeight="1">
      <c r="C462" s="33"/>
      <c r="D462" s="33"/>
      <c r="E462" s="33"/>
      <c r="F462" s="33"/>
    </row>
    <row r="463" ht="15.75" customHeight="1">
      <c r="C463" s="33"/>
      <c r="D463" s="33"/>
      <c r="E463" s="33"/>
      <c r="F463" s="33"/>
    </row>
    <row r="464" ht="15.75" customHeight="1">
      <c r="C464" s="33"/>
      <c r="D464" s="33"/>
      <c r="E464" s="33"/>
      <c r="F464" s="33"/>
    </row>
    <row r="465" ht="15.75" customHeight="1">
      <c r="C465" s="33"/>
      <c r="D465" s="33"/>
      <c r="E465" s="33"/>
      <c r="F465" s="33"/>
    </row>
    <row r="466" ht="15.75" customHeight="1">
      <c r="C466" s="33"/>
      <c r="D466" s="33"/>
      <c r="E466" s="33"/>
      <c r="F466" s="33"/>
    </row>
    <row r="467" ht="15.75" customHeight="1">
      <c r="C467" s="33"/>
      <c r="D467" s="33"/>
      <c r="E467" s="33"/>
      <c r="F467" s="33"/>
    </row>
    <row r="468" ht="15.75" customHeight="1">
      <c r="C468" s="33"/>
      <c r="D468" s="33"/>
      <c r="E468" s="33"/>
      <c r="F468" s="33"/>
    </row>
    <row r="469" ht="15.75" customHeight="1">
      <c r="C469" s="33"/>
      <c r="D469" s="33"/>
      <c r="E469" s="33"/>
      <c r="F469" s="33"/>
    </row>
    <row r="470" ht="15.75" customHeight="1">
      <c r="C470" s="33"/>
      <c r="D470" s="33"/>
      <c r="E470" s="33"/>
      <c r="F470" s="33"/>
    </row>
    <row r="471" ht="15.75" customHeight="1">
      <c r="C471" s="33"/>
      <c r="D471" s="33"/>
      <c r="E471" s="33"/>
      <c r="F471" s="33"/>
    </row>
    <row r="472" ht="15.75" customHeight="1">
      <c r="C472" s="33"/>
      <c r="D472" s="33"/>
      <c r="E472" s="33"/>
      <c r="F472" s="33"/>
    </row>
    <row r="473" ht="15.75" customHeight="1">
      <c r="C473" s="33"/>
      <c r="D473" s="33"/>
      <c r="E473" s="33"/>
      <c r="F473" s="33"/>
    </row>
    <row r="474" ht="15.75" customHeight="1">
      <c r="C474" s="33"/>
      <c r="D474" s="33"/>
      <c r="E474" s="33"/>
      <c r="F474" s="33"/>
    </row>
    <row r="475" ht="15.75" customHeight="1">
      <c r="C475" s="33"/>
      <c r="D475" s="33"/>
      <c r="E475" s="33"/>
      <c r="F475" s="33"/>
    </row>
    <row r="476" ht="15.75" customHeight="1">
      <c r="C476" s="33"/>
      <c r="D476" s="33"/>
      <c r="E476" s="33"/>
      <c r="F476" s="33"/>
    </row>
    <row r="477" ht="15.75" customHeight="1">
      <c r="C477" s="33"/>
      <c r="D477" s="33"/>
      <c r="E477" s="33"/>
      <c r="F477" s="33"/>
    </row>
    <row r="478" ht="15.75" customHeight="1">
      <c r="C478" s="33"/>
      <c r="D478" s="33"/>
      <c r="E478" s="33"/>
      <c r="F478" s="33"/>
    </row>
    <row r="479" ht="15.75" customHeight="1">
      <c r="C479" s="33"/>
      <c r="D479" s="33"/>
      <c r="E479" s="33"/>
      <c r="F479" s="33"/>
    </row>
    <row r="480" ht="15.75" customHeight="1">
      <c r="C480" s="33"/>
      <c r="D480" s="33"/>
      <c r="E480" s="33"/>
      <c r="F480" s="33"/>
    </row>
    <row r="481" ht="15.75" customHeight="1">
      <c r="C481" s="33"/>
      <c r="D481" s="33"/>
      <c r="E481" s="33"/>
      <c r="F481" s="33"/>
    </row>
    <row r="482" ht="15.75" customHeight="1">
      <c r="C482" s="33"/>
      <c r="D482" s="33"/>
      <c r="E482" s="33"/>
      <c r="F482" s="33"/>
    </row>
    <row r="483" ht="15.75" customHeight="1">
      <c r="C483" s="33"/>
      <c r="D483" s="33"/>
      <c r="E483" s="33"/>
      <c r="F483" s="33"/>
    </row>
    <row r="484" ht="15.75" customHeight="1">
      <c r="C484" s="33"/>
      <c r="D484" s="33"/>
      <c r="E484" s="33"/>
      <c r="F484" s="33"/>
    </row>
    <row r="485" ht="15.75" customHeight="1">
      <c r="C485" s="33"/>
      <c r="D485" s="33"/>
      <c r="E485" s="33"/>
      <c r="F485" s="33"/>
    </row>
    <row r="486" ht="15.75" customHeight="1">
      <c r="C486" s="33"/>
      <c r="D486" s="33"/>
      <c r="E486" s="33"/>
      <c r="F486" s="33"/>
    </row>
    <row r="487" ht="15.75" customHeight="1">
      <c r="C487" s="33"/>
      <c r="D487" s="33"/>
      <c r="E487" s="33"/>
      <c r="F487" s="33"/>
    </row>
    <row r="488" ht="15.75" customHeight="1">
      <c r="C488" s="33"/>
      <c r="D488" s="33"/>
      <c r="E488" s="33"/>
      <c r="F488" s="33"/>
    </row>
    <row r="489" ht="15.75" customHeight="1">
      <c r="C489" s="33"/>
      <c r="D489" s="33"/>
      <c r="E489" s="33"/>
      <c r="F489" s="33"/>
    </row>
    <row r="490" ht="15.75" customHeight="1">
      <c r="C490" s="33"/>
      <c r="D490" s="33"/>
      <c r="E490" s="33"/>
      <c r="F490" s="33"/>
    </row>
    <row r="491" ht="15.75" customHeight="1">
      <c r="C491" s="33"/>
      <c r="D491" s="33"/>
      <c r="E491" s="33"/>
      <c r="F491" s="33"/>
    </row>
    <row r="492" ht="15.75" customHeight="1">
      <c r="C492" s="33"/>
      <c r="D492" s="33"/>
      <c r="E492" s="33"/>
      <c r="F492" s="33"/>
    </row>
    <row r="493" ht="15.75" customHeight="1">
      <c r="C493" s="33"/>
      <c r="D493" s="33"/>
      <c r="E493" s="33"/>
      <c r="F493" s="33"/>
    </row>
    <row r="494" ht="15.75" customHeight="1">
      <c r="C494" s="33"/>
      <c r="D494" s="33"/>
      <c r="E494" s="33"/>
      <c r="F494" s="33"/>
    </row>
    <row r="495" ht="15.75" customHeight="1">
      <c r="C495" s="33"/>
      <c r="D495" s="33"/>
      <c r="E495" s="33"/>
      <c r="F495" s="33"/>
    </row>
    <row r="496" ht="15.75" customHeight="1">
      <c r="C496" s="33"/>
      <c r="D496" s="33"/>
      <c r="E496" s="33"/>
      <c r="F496" s="33"/>
    </row>
    <row r="497" ht="15.75" customHeight="1">
      <c r="C497" s="33"/>
      <c r="D497" s="33"/>
      <c r="E497" s="33"/>
      <c r="F497" s="33"/>
    </row>
    <row r="498" ht="15.75" customHeight="1">
      <c r="C498" s="33"/>
      <c r="D498" s="33"/>
      <c r="E498" s="33"/>
      <c r="F498" s="33"/>
    </row>
    <row r="499" ht="15.75" customHeight="1">
      <c r="C499" s="33"/>
      <c r="D499" s="33"/>
      <c r="E499" s="33"/>
      <c r="F499" s="33"/>
    </row>
    <row r="500" ht="15.75" customHeight="1">
      <c r="C500" s="33"/>
      <c r="D500" s="33"/>
      <c r="E500" s="33"/>
      <c r="F500" s="33"/>
    </row>
    <row r="501" ht="15.75" customHeight="1">
      <c r="C501" s="33"/>
      <c r="D501" s="33"/>
      <c r="E501" s="33"/>
      <c r="F501" s="33"/>
    </row>
    <row r="502" ht="15.75" customHeight="1">
      <c r="C502" s="33"/>
      <c r="D502" s="33"/>
      <c r="E502" s="33"/>
      <c r="F502" s="33"/>
    </row>
    <row r="503" ht="15.75" customHeight="1">
      <c r="C503" s="33"/>
      <c r="D503" s="33"/>
      <c r="E503" s="33"/>
      <c r="F503" s="33"/>
    </row>
    <row r="504" ht="15.75" customHeight="1">
      <c r="C504" s="33"/>
      <c r="D504" s="33"/>
      <c r="E504" s="33"/>
      <c r="F504" s="33"/>
    </row>
    <row r="505" ht="15.75" customHeight="1">
      <c r="C505" s="33"/>
      <c r="D505" s="33"/>
      <c r="E505" s="33"/>
      <c r="F505" s="33"/>
    </row>
    <row r="506" ht="15.75" customHeight="1">
      <c r="C506" s="33"/>
      <c r="D506" s="33"/>
      <c r="E506" s="33"/>
      <c r="F506" s="33"/>
    </row>
    <row r="507" ht="15.75" customHeight="1">
      <c r="C507" s="33"/>
      <c r="D507" s="33"/>
      <c r="E507" s="33"/>
      <c r="F507" s="33"/>
    </row>
    <row r="508" ht="15.75" customHeight="1">
      <c r="C508" s="33"/>
      <c r="D508" s="33"/>
      <c r="E508" s="33"/>
      <c r="F508" s="33"/>
    </row>
    <row r="509" ht="15.75" customHeight="1">
      <c r="C509" s="33"/>
      <c r="D509" s="33"/>
      <c r="E509" s="33"/>
      <c r="F509" s="33"/>
    </row>
    <row r="510" ht="15.75" customHeight="1">
      <c r="C510" s="33"/>
      <c r="D510" s="33"/>
      <c r="E510" s="33"/>
      <c r="F510" s="33"/>
    </row>
    <row r="511" ht="15.75" customHeight="1">
      <c r="C511" s="33"/>
      <c r="D511" s="33"/>
      <c r="E511" s="33"/>
      <c r="F511" s="33"/>
    </row>
    <row r="512" ht="15.75" customHeight="1">
      <c r="C512" s="33"/>
      <c r="D512" s="33"/>
      <c r="E512" s="33"/>
      <c r="F512" s="33"/>
    </row>
    <row r="513" ht="15.75" customHeight="1">
      <c r="C513" s="33"/>
      <c r="D513" s="33"/>
      <c r="E513" s="33"/>
      <c r="F513" s="33"/>
    </row>
    <row r="514" ht="15.75" customHeight="1">
      <c r="C514" s="33"/>
      <c r="D514" s="33"/>
      <c r="E514" s="33"/>
      <c r="F514" s="33"/>
    </row>
    <row r="515" ht="15.75" customHeight="1">
      <c r="C515" s="33"/>
      <c r="D515" s="33"/>
      <c r="E515" s="33"/>
      <c r="F515" s="33"/>
    </row>
    <row r="516" ht="15.75" customHeight="1">
      <c r="C516" s="33"/>
      <c r="D516" s="33"/>
      <c r="E516" s="33"/>
      <c r="F516" s="33"/>
    </row>
    <row r="517" ht="15.75" customHeight="1">
      <c r="C517" s="33"/>
      <c r="D517" s="33"/>
      <c r="E517" s="33"/>
      <c r="F517" s="33"/>
    </row>
    <row r="518" ht="15.75" customHeight="1">
      <c r="C518" s="33"/>
      <c r="D518" s="33"/>
      <c r="E518" s="33"/>
      <c r="F518" s="33"/>
    </row>
    <row r="519" ht="15.75" customHeight="1">
      <c r="C519" s="33"/>
      <c r="D519" s="33"/>
      <c r="E519" s="33"/>
      <c r="F519" s="33"/>
    </row>
    <row r="520" ht="15.75" customHeight="1">
      <c r="C520" s="33"/>
      <c r="D520" s="33"/>
      <c r="E520" s="33"/>
      <c r="F520" s="33"/>
    </row>
    <row r="521" ht="15.75" customHeight="1">
      <c r="C521" s="33"/>
      <c r="D521" s="33"/>
      <c r="E521" s="33"/>
      <c r="F521" s="33"/>
    </row>
    <row r="522" ht="15.75" customHeight="1">
      <c r="C522" s="33"/>
      <c r="D522" s="33"/>
      <c r="E522" s="33"/>
      <c r="F522" s="33"/>
    </row>
    <row r="523" ht="15.75" customHeight="1">
      <c r="C523" s="33"/>
      <c r="D523" s="33"/>
      <c r="E523" s="33"/>
      <c r="F523" s="33"/>
    </row>
    <row r="524" ht="15.75" customHeight="1">
      <c r="C524" s="33"/>
      <c r="D524" s="33"/>
      <c r="E524" s="33"/>
      <c r="F524" s="33"/>
    </row>
    <row r="525" ht="15.75" customHeight="1">
      <c r="C525" s="33"/>
      <c r="D525" s="33"/>
      <c r="E525" s="33"/>
      <c r="F525" s="33"/>
    </row>
    <row r="526" ht="15.75" customHeight="1">
      <c r="C526" s="33"/>
      <c r="D526" s="33"/>
      <c r="E526" s="33"/>
      <c r="F526" s="33"/>
    </row>
    <row r="527" ht="15.75" customHeight="1">
      <c r="C527" s="33"/>
      <c r="D527" s="33"/>
      <c r="E527" s="33"/>
      <c r="F527" s="33"/>
    </row>
    <row r="528" ht="15.75" customHeight="1">
      <c r="C528" s="33"/>
      <c r="D528" s="33"/>
      <c r="E528" s="33"/>
      <c r="F528" s="33"/>
    </row>
    <row r="529" ht="15.75" customHeight="1">
      <c r="C529" s="33"/>
      <c r="D529" s="33"/>
      <c r="E529" s="33"/>
      <c r="F529" s="33"/>
    </row>
    <row r="530" ht="15.75" customHeight="1">
      <c r="C530" s="33"/>
      <c r="D530" s="33"/>
      <c r="E530" s="33"/>
      <c r="F530" s="33"/>
    </row>
    <row r="531" ht="15.75" customHeight="1">
      <c r="C531" s="33"/>
      <c r="D531" s="33"/>
      <c r="E531" s="33"/>
      <c r="F531" s="33"/>
    </row>
    <row r="532" ht="15.75" customHeight="1">
      <c r="C532" s="33"/>
      <c r="D532" s="33"/>
      <c r="E532" s="33"/>
      <c r="F532" s="33"/>
    </row>
    <row r="533" ht="15.75" customHeight="1">
      <c r="C533" s="33"/>
      <c r="D533" s="33"/>
      <c r="E533" s="33"/>
      <c r="F533" s="33"/>
    </row>
    <row r="534" ht="15.75" customHeight="1">
      <c r="C534" s="33"/>
      <c r="D534" s="33"/>
      <c r="E534" s="33"/>
      <c r="F534" s="33"/>
    </row>
    <row r="535" ht="15.75" customHeight="1">
      <c r="C535" s="33"/>
      <c r="D535" s="33"/>
      <c r="E535" s="33"/>
      <c r="F535" s="33"/>
    </row>
    <row r="536" ht="15.75" customHeight="1">
      <c r="C536" s="33"/>
      <c r="D536" s="33"/>
      <c r="E536" s="33"/>
      <c r="F536" s="33"/>
    </row>
    <row r="537" ht="15.75" customHeight="1">
      <c r="C537" s="33"/>
      <c r="D537" s="33"/>
      <c r="E537" s="33"/>
      <c r="F537" s="33"/>
    </row>
    <row r="538" ht="15.75" customHeight="1">
      <c r="C538" s="33"/>
      <c r="D538" s="33"/>
      <c r="E538" s="33"/>
      <c r="F538" s="33"/>
    </row>
    <row r="539" ht="15.75" customHeight="1">
      <c r="C539" s="33"/>
      <c r="D539" s="33"/>
      <c r="E539" s="33"/>
      <c r="F539" s="33"/>
    </row>
    <row r="540" ht="15.75" customHeight="1">
      <c r="C540" s="33"/>
      <c r="D540" s="33"/>
      <c r="E540" s="33"/>
      <c r="F540" s="33"/>
    </row>
    <row r="541" ht="15.75" customHeight="1">
      <c r="C541" s="33"/>
      <c r="D541" s="33"/>
      <c r="E541" s="33"/>
      <c r="F541" s="33"/>
    </row>
    <row r="542" ht="15.75" customHeight="1">
      <c r="C542" s="33"/>
      <c r="D542" s="33"/>
      <c r="E542" s="33"/>
      <c r="F542" s="33"/>
    </row>
    <row r="543" ht="15.75" customHeight="1">
      <c r="C543" s="33"/>
      <c r="D543" s="33"/>
      <c r="E543" s="33"/>
      <c r="F543" s="33"/>
    </row>
    <row r="544" ht="15.75" customHeight="1">
      <c r="C544" s="33"/>
      <c r="D544" s="33"/>
      <c r="E544" s="33"/>
      <c r="F544" s="33"/>
    </row>
    <row r="545" ht="15.75" customHeight="1">
      <c r="C545" s="33"/>
      <c r="D545" s="33"/>
      <c r="E545" s="33"/>
      <c r="F545" s="33"/>
    </row>
    <row r="546" ht="15.75" customHeight="1">
      <c r="C546" s="33"/>
      <c r="D546" s="33"/>
      <c r="E546" s="33"/>
      <c r="F546" s="33"/>
    </row>
    <row r="547" ht="15.75" customHeight="1">
      <c r="C547" s="33"/>
      <c r="D547" s="33"/>
      <c r="E547" s="33"/>
      <c r="F547" s="33"/>
    </row>
    <row r="548" ht="15.75" customHeight="1">
      <c r="C548" s="33"/>
      <c r="D548" s="33"/>
      <c r="E548" s="33"/>
      <c r="F548" s="33"/>
    </row>
    <row r="549" ht="15.75" customHeight="1">
      <c r="C549" s="33"/>
      <c r="D549" s="33"/>
      <c r="E549" s="33"/>
      <c r="F549" s="33"/>
    </row>
    <row r="550" ht="15.75" customHeight="1">
      <c r="C550" s="33"/>
      <c r="D550" s="33"/>
      <c r="E550" s="33"/>
      <c r="F550" s="33"/>
    </row>
    <row r="551" ht="15.75" customHeight="1">
      <c r="C551" s="33"/>
      <c r="D551" s="33"/>
      <c r="E551" s="33"/>
      <c r="F551" s="33"/>
    </row>
    <row r="552" ht="15.75" customHeight="1">
      <c r="C552" s="33"/>
      <c r="D552" s="33"/>
      <c r="E552" s="33"/>
      <c r="F552" s="33"/>
    </row>
    <row r="553" ht="15.75" customHeight="1">
      <c r="C553" s="33"/>
      <c r="D553" s="33"/>
      <c r="E553" s="33"/>
      <c r="F553" s="33"/>
    </row>
    <row r="554" ht="15.75" customHeight="1">
      <c r="C554" s="33"/>
      <c r="D554" s="33"/>
      <c r="E554" s="33"/>
      <c r="F554" s="33"/>
    </row>
    <row r="555" ht="15.75" customHeight="1">
      <c r="C555" s="33"/>
      <c r="D555" s="33"/>
      <c r="E555" s="33"/>
      <c r="F555" s="33"/>
    </row>
    <row r="556" ht="15.75" customHeight="1">
      <c r="C556" s="33"/>
      <c r="D556" s="33"/>
      <c r="E556" s="33"/>
      <c r="F556" s="33"/>
    </row>
    <row r="557" ht="15.75" customHeight="1">
      <c r="C557" s="33"/>
      <c r="D557" s="33"/>
      <c r="E557" s="33"/>
      <c r="F557" s="33"/>
    </row>
    <row r="558" ht="15.75" customHeight="1">
      <c r="C558" s="33"/>
      <c r="D558" s="33"/>
      <c r="E558" s="33"/>
      <c r="F558" s="33"/>
    </row>
    <row r="559" ht="15.75" customHeight="1">
      <c r="C559" s="33"/>
      <c r="D559" s="33"/>
      <c r="E559" s="33"/>
      <c r="F559" s="33"/>
    </row>
    <row r="560" ht="15.75" customHeight="1">
      <c r="C560" s="33"/>
      <c r="D560" s="33"/>
      <c r="E560" s="33"/>
      <c r="F560" s="33"/>
    </row>
    <row r="561" ht="15.75" customHeight="1">
      <c r="C561" s="33"/>
      <c r="D561" s="33"/>
      <c r="E561" s="33"/>
      <c r="F561" s="33"/>
    </row>
    <row r="562" ht="15.75" customHeight="1">
      <c r="C562" s="33"/>
      <c r="D562" s="33"/>
      <c r="E562" s="33"/>
      <c r="F562" s="33"/>
    </row>
    <row r="563" ht="15.75" customHeight="1">
      <c r="C563" s="33"/>
      <c r="D563" s="33"/>
      <c r="E563" s="33"/>
      <c r="F563" s="33"/>
    </row>
    <row r="564" ht="15.75" customHeight="1">
      <c r="C564" s="33"/>
      <c r="D564" s="33"/>
      <c r="E564" s="33"/>
      <c r="F564" s="33"/>
    </row>
    <row r="565" ht="15.75" customHeight="1">
      <c r="C565" s="33"/>
      <c r="D565" s="33"/>
      <c r="E565" s="33"/>
      <c r="F565" s="33"/>
    </row>
    <row r="566" ht="15.75" customHeight="1">
      <c r="C566" s="33"/>
      <c r="D566" s="33"/>
      <c r="E566" s="33"/>
      <c r="F566" s="33"/>
    </row>
    <row r="567" ht="15.75" customHeight="1">
      <c r="C567" s="33"/>
      <c r="D567" s="33"/>
      <c r="E567" s="33"/>
      <c r="F567" s="33"/>
    </row>
    <row r="568" ht="15.75" customHeight="1">
      <c r="C568" s="33"/>
      <c r="D568" s="33"/>
      <c r="E568" s="33"/>
      <c r="F568" s="33"/>
    </row>
    <row r="569" ht="15.75" customHeight="1">
      <c r="C569" s="33"/>
      <c r="D569" s="33"/>
      <c r="E569" s="33"/>
      <c r="F569" s="33"/>
    </row>
    <row r="570" ht="15.75" customHeight="1">
      <c r="C570" s="33"/>
      <c r="D570" s="33"/>
      <c r="E570" s="33"/>
      <c r="F570" s="33"/>
    </row>
    <row r="571" ht="15.75" customHeight="1">
      <c r="C571" s="33"/>
      <c r="D571" s="33"/>
      <c r="E571" s="33"/>
      <c r="F571" s="33"/>
    </row>
    <row r="572" ht="15.75" customHeight="1">
      <c r="C572" s="33"/>
      <c r="D572" s="33"/>
      <c r="E572" s="33"/>
      <c r="F572" s="33"/>
    </row>
    <row r="573" ht="15.75" customHeight="1">
      <c r="C573" s="33"/>
      <c r="D573" s="33"/>
      <c r="E573" s="33"/>
      <c r="F573" s="33"/>
    </row>
    <row r="574" ht="15.75" customHeight="1">
      <c r="C574" s="33"/>
      <c r="D574" s="33"/>
      <c r="E574" s="33"/>
      <c r="F574" s="33"/>
    </row>
    <row r="575" ht="15.75" customHeight="1">
      <c r="C575" s="33"/>
      <c r="D575" s="33"/>
      <c r="E575" s="33"/>
      <c r="F575" s="33"/>
    </row>
    <row r="576" ht="15.75" customHeight="1">
      <c r="C576" s="33"/>
      <c r="D576" s="33"/>
      <c r="E576" s="33"/>
      <c r="F576" s="33"/>
    </row>
    <row r="577" ht="15.75" customHeight="1">
      <c r="C577" s="33"/>
      <c r="D577" s="33"/>
      <c r="E577" s="33"/>
      <c r="F577" s="33"/>
    </row>
    <row r="578" ht="15.75" customHeight="1">
      <c r="C578" s="33"/>
      <c r="D578" s="33"/>
      <c r="E578" s="33"/>
      <c r="F578" s="33"/>
    </row>
    <row r="579" ht="15.75" customHeight="1">
      <c r="C579" s="33"/>
      <c r="D579" s="33"/>
      <c r="E579" s="33"/>
      <c r="F579" s="33"/>
    </row>
    <row r="580" ht="15.75" customHeight="1">
      <c r="C580" s="33"/>
      <c r="D580" s="33"/>
      <c r="E580" s="33"/>
      <c r="F580" s="33"/>
    </row>
    <row r="581" ht="15.75" customHeight="1">
      <c r="C581" s="33"/>
      <c r="D581" s="33"/>
      <c r="E581" s="33"/>
      <c r="F581" s="33"/>
    </row>
    <row r="582" ht="15.75" customHeight="1">
      <c r="C582" s="33"/>
      <c r="D582" s="33"/>
      <c r="E582" s="33"/>
      <c r="F582" s="33"/>
    </row>
    <row r="583" ht="15.75" customHeight="1">
      <c r="C583" s="33"/>
      <c r="D583" s="33"/>
      <c r="E583" s="33"/>
      <c r="F583" s="33"/>
    </row>
    <row r="584" ht="15.75" customHeight="1">
      <c r="C584" s="33"/>
      <c r="D584" s="33"/>
      <c r="E584" s="33"/>
      <c r="F584" s="33"/>
    </row>
    <row r="585" ht="15.75" customHeight="1">
      <c r="C585" s="33"/>
      <c r="D585" s="33"/>
      <c r="E585" s="33"/>
      <c r="F585" s="33"/>
    </row>
    <row r="586" ht="15.75" customHeight="1">
      <c r="C586" s="33"/>
      <c r="D586" s="33"/>
      <c r="E586" s="33"/>
      <c r="F586" s="33"/>
    </row>
    <row r="587" ht="15.75" customHeight="1">
      <c r="C587" s="33"/>
      <c r="D587" s="33"/>
      <c r="E587" s="33"/>
      <c r="F587" s="33"/>
    </row>
    <row r="588" ht="15.75" customHeight="1">
      <c r="C588" s="33"/>
      <c r="D588" s="33"/>
      <c r="E588" s="33"/>
      <c r="F588" s="33"/>
    </row>
    <row r="589" ht="15.75" customHeight="1">
      <c r="C589" s="33"/>
      <c r="D589" s="33"/>
      <c r="E589" s="33"/>
      <c r="F589" s="33"/>
    </row>
    <row r="590" ht="15.75" customHeight="1">
      <c r="C590" s="33"/>
      <c r="D590" s="33"/>
      <c r="E590" s="33"/>
      <c r="F590" s="33"/>
    </row>
    <row r="591" ht="15.75" customHeight="1">
      <c r="C591" s="33"/>
      <c r="D591" s="33"/>
      <c r="E591" s="33"/>
      <c r="F591" s="33"/>
    </row>
    <row r="592" ht="15.75" customHeight="1">
      <c r="C592" s="33"/>
      <c r="D592" s="33"/>
      <c r="E592" s="33"/>
      <c r="F592" s="33"/>
    </row>
    <row r="593" ht="15.75" customHeight="1">
      <c r="C593" s="33"/>
      <c r="D593" s="33"/>
      <c r="E593" s="33"/>
      <c r="F593" s="33"/>
    </row>
    <row r="594" ht="15.75" customHeight="1">
      <c r="C594" s="33"/>
      <c r="D594" s="33"/>
      <c r="E594" s="33"/>
      <c r="F594" s="33"/>
    </row>
    <row r="595" ht="15.75" customHeight="1">
      <c r="C595" s="33"/>
      <c r="D595" s="33"/>
      <c r="E595" s="33"/>
      <c r="F595" s="33"/>
    </row>
    <row r="596" ht="15.75" customHeight="1">
      <c r="C596" s="33"/>
      <c r="D596" s="33"/>
      <c r="E596" s="33"/>
      <c r="F596" s="33"/>
    </row>
    <row r="597" ht="15.75" customHeight="1">
      <c r="C597" s="33"/>
      <c r="D597" s="33"/>
      <c r="E597" s="33"/>
      <c r="F597" s="33"/>
    </row>
    <row r="598" ht="15.75" customHeight="1">
      <c r="C598" s="33"/>
      <c r="D598" s="33"/>
      <c r="E598" s="33"/>
      <c r="F598" s="33"/>
    </row>
    <row r="599" ht="15.75" customHeight="1">
      <c r="C599" s="33"/>
      <c r="D599" s="33"/>
      <c r="E599" s="33"/>
      <c r="F599" s="33"/>
    </row>
    <row r="600" ht="15.75" customHeight="1">
      <c r="C600" s="33"/>
      <c r="D600" s="33"/>
      <c r="E600" s="33"/>
      <c r="F600" s="33"/>
    </row>
    <row r="601" ht="15.75" customHeight="1">
      <c r="C601" s="33"/>
      <c r="D601" s="33"/>
      <c r="E601" s="33"/>
      <c r="F601" s="33"/>
    </row>
    <row r="602" ht="15.75" customHeight="1">
      <c r="C602" s="33"/>
      <c r="D602" s="33"/>
      <c r="E602" s="33"/>
      <c r="F602" s="33"/>
    </row>
    <row r="603" ht="15.75" customHeight="1">
      <c r="C603" s="33"/>
      <c r="D603" s="33"/>
      <c r="E603" s="33"/>
      <c r="F603" s="33"/>
    </row>
    <row r="604" ht="15.75" customHeight="1">
      <c r="C604" s="33"/>
      <c r="D604" s="33"/>
      <c r="E604" s="33"/>
      <c r="F604" s="33"/>
    </row>
    <row r="605" ht="15.75" customHeight="1">
      <c r="C605" s="33"/>
      <c r="D605" s="33"/>
      <c r="E605" s="33"/>
      <c r="F605" s="33"/>
    </row>
    <row r="606" ht="15.75" customHeight="1">
      <c r="C606" s="33"/>
      <c r="D606" s="33"/>
      <c r="E606" s="33"/>
      <c r="F606" s="33"/>
    </row>
    <row r="607" ht="15.75" customHeight="1">
      <c r="C607" s="33"/>
      <c r="D607" s="33"/>
      <c r="E607" s="33"/>
      <c r="F607" s="33"/>
    </row>
    <row r="608" ht="15.75" customHeight="1">
      <c r="C608" s="33"/>
      <c r="D608" s="33"/>
      <c r="E608" s="33"/>
      <c r="F608" s="33"/>
    </row>
    <row r="609" ht="15.75" customHeight="1">
      <c r="C609" s="33"/>
      <c r="D609" s="33"/>
      <c r="E609" s="33"/>
      <c r="F609" s="33"/>
    </row>
    <row r="610" ht="15.75" customHeight="1">
      <c r="C610" s="33"/>
      <c r="D610" s="33"/>
      <c r="E610" s="33"/>
      <c r="F610" s="33"/>
    </row>
    <row r="611" ht="15.75" customHeight="1">
      <c r="C611" s="33"/>
      <c r="D611" s="33"/>
      <c r="E611" s="33"/>
      <c r="F611" s="33"/>
    </row>
    <row r="612" ht="15.75" customHeight="1">
      <c r="C612" s="33"/>
      <c r="D612" s="33"/>
      <c r="E612" s="33"/>
      <c r="F612" s="33"/>
    </row>
    <row r="613" ht="15.75" customHeight="1">
      <c r="C613" s="33"/>
      <c r="D613" s="33"/>
      <c r="E613" s="33"/>
      <c r="F613" s="33"/>
    </row>
    <row r="614" ht="15.75" customHeight="1">
      <c r="C614" s="33"/>
      <c r="D614" s="33"/>
      <c r="E614" s="33"/>
      <c r="F614" s="33"/>
    </row>
    <row r="615" ht="15.75" customHeight="1">
      <c r="C615" s="33"/>
      <c r="D615" s="33"/>
      <c r="E615" s="33"/>
      <c r="F615" s="33"/>
    </row>
    <row r="616" ht="15.75" customHeight="1">
      <c r="C616" s="33"/>
      <c r="D616" s="33"/>
      <c r="E616" s="33"/>
      <c r="F616" s="33"/>
    </row>
    <row r="617" ht="15.75" customHeight="1">
      <c r="C617" s="33"/>
      <c r="D617" s="33"/>
      <c r="E617" s="33"/>
      <c r="F617" s="33"/>
    </row>
    <row r="618" ht="15.75" customHeight="1">
      <c r="C618" s="33"/>
      <c r="D618" s="33"/>
      <c r="E618" s="33"/>
      <c r="F618" s="33"/>
    </row>
    <row r="619" ht="15.75" customHeight="1">
      <c r="C619" s="33"/>
      <c r="D619" s="33"/>
      <c r="E619" s="33"/>
      <c r="F619" s="33"/>
    </row>
    <row r="620" ht="15.75" customHeight="1">
      <c r="C620" s="33"/>
      <c r="D620" s="33"/>
      <c r="E620" s="33"/>
      <c r="F620" s="33"/>
    </row>
    <row r="621" ht="15.75" customHeight="1">
      <c r="C621" s="33"/>
      <c r="D621" s="33"/>
      <c r="E621" s="33"/>
      <c r="F621" s="33"/>
    </row>
    <row r="622" ht="15.75" customHeight="1">
      <c r="C622" s="33"/>
      <c r="D622" s="33"/>
      <c r="E622" s="33"/>
      <c r="F622" s="33"/>
    </row>
    <row r="623" ht="15.75" customHeight="1">
      <c r="C623" s="33"/>
      <c r="D623" s="33"/>
      <c r="E623" s="33"/>
      <c r="F623" s="33"/>
    </row>
    <row r="624" ht="15.75" customHeight="1">
      <c r="C624" s="33"/>
      <c r="D624" s="33"/>
      <c r="E624" s="33"/>
      <c r="F624" s="33"/>
    </row>
    <row r="625" ht="15.75" customHeight="1">
      <c r="C625" s="33"/>
      <c r="D625" s="33"/>
      <c r="E625" s="33"/>
      <c r="F625" s="33"/>
    </row>
    <row r="626" ht="15.75" customHeight="1">
      <c r="C626" s="33"/>
      <c r="D626" s="33"/>
      <c r="E626" s="33"/>
      <c r="F626" s="33"/>
    </row>
    <row r="627" ht="15.75" customHeight="1">
      <c r="C627" s="33"/>
      <c r="D627" s="33"/>
      <c r="E627" s="33"/>
      <c r="F627" s="33"/>
    </row>
    <row r="628" ht="15.75" customHeight="1">
      <c r="C628" s="33"/>
      <c r="D628" s="33"/>
      <c r="E628" s="33"/>
      <c r="F628" s="33"/>
    </row>
    <row r="629" ht="15.75" customHeight="1">
      <c r="C629" s="33"/>
      <c r="D629" s="33"/>
      <c r="E629" s="33"/>
      <c r="F629" s="33"/>
    </row>
    <row r="630" ht="15.75" customHeight="1">
      <c r="C630" s="33"/>
      <c r="D630" s="33"/>
      <c r="E630" s="33"/>
      <c r="F630" s="33"/>
    </row>
    <row r="631" ht="15.75" customHeight="1">
      <c r="C631" s="33"/>
      <c r="D631" s="33"/>
      <c r="E631" s="33"/>
      <c r="F631" s="33"/>
    </row>
    <row r="632" ht="15.75" customHeight="1">
      <c r="C632" s="33"/>
      <c r="D632" s="33"/>
      <c r="E632" s="33"/>
      <c r="F632" s="33"/>
    </row>
    <row r="633" ht="15.75" customHeight="1">
      <c r="C633" s="33"/>
      <c r="D633" s="33"/>
      <c r="E633" s="33"/>
      <c r="F633" s="33"/>
    </row>
    <row r="634" ht="15.75" customHeight="1">
      <c r="C634" s="33"/>
      <c r="D634" s="33"/>
      <c r="E634" s="33"/>
      <c r="F634" s="33"/>
    </row>
    <row r="635" ht="15.75" customHeight="1">
      <c r="C635" s="33"/>
      <c r="D635" s="33"/>
      <c r="E635" s="33"/>
      <c r="F635" s="33"/>
    </row>
    <row r="636" ht="15.75" customHeight="1">
      <c r="C636" s="33"/>
      <c r="D636" s="33"/>
      <c r="E636" s="33"/>
      <c r="F636" s="33"/>
    </row>
    <row r="637" ht="15.75" customHeight="1">
      <c r="C637" s="33"/>
      <c r="D637" s="33"/>
      <c r="E637" s="33"/>
      <c r="F637" s="33"/>
    </row>
    <row r="638" ht="15.75" customHeight="1">
      <c r="C638" s="33"/>
      <c r="D638" s="33"/>
      <c r="E638" s="33"/>
      <c r="F638" s="33"/>
    </row>
    <row r="639" ht="15.75" customHeight="1">
      <c r="C639" s="33"/>
      <c r="D639" s="33"/>
      <c r="E639" s="33"/>
      <c r="F639" s="33"/>
    </row>
    <row r="640" ht="15.75" customHeight="1">
      <c r="C640" s="33"/>
      <c r="D640" s="33"/>
      <c r="E640" s="33"/>
      <c r="F640" s="33"/>
    </row>
    <row r="641" ht="15.75" customHeight="1">
      <c r="C641" s="33"/>
      <c r="D641" s="33"/>
      <c r="E641" s="33"/>
      <c r="F641" s="33"/>
    </row>
    <row r="642" ht="15.75" customHeight="1">
      <c r="C642" s="33"/>
      <c r="D642" s="33"/>
      <c r="E642" s="33"/>
      <c r="F642" s="33"/>
    </row>
    <row r="643" ht="15.75" customHeight="1">
      <c r="C643" s="33"/>
      <c r="D643" s="33"/>
      <c r="E643" s="33"/>
      <c r="F643" s="33"/>
    </row>
    <row r="644" ht="15.75" customHeight="1">
      <c r="C644" s="33"/>
      <c r="D644" s="33"/>
      <c r="E644" s="33"/>
      <c r="F644" s="33"/>
    </row>
    <row r="645" ht="15.75" customHeight="1">
      <c r="C645" s="33"/>
      <c r="D645" s="33"/>
      <c r="E645" s="33"/>
      <c r="F645" s="33"/>
    </row>
    <row r="646" ht="15.75" customHeight="1">
      <c r="C646" s="33"/>
      <c r="D646" s="33"/>
      <c r="E646" s="33"/>
      <c r="F646" s="33"/>
    </row>
    <row r="647" ht="15.75" customHeight="1">
      <c r="C647" s="33"/>
      <c r="D647" s="33"/>
      <c r="E647" s="33"/>
      <c r="F647" s="33"/>
    </row>
    <row r="648" ht="15.75" customHeight="1">
      <c r="C648" s="33"/>
      <c r="D648" s="33"/>
      <c r="E648" s="33"/>
      <c r="F648" s="33"/>
    </row>
    <row r="649" ht="15.75" customHeight="1">
      <c r="C649" s="33"/>
      <c r="D649" s="33"/>
      <c r="E649" s="33"/>
      <c r="F649" s="33"/>
    </row>
    <row r="650" ht="15.75" customHeight="1">
      <c r="C650" s="33"/>
      <c r="D650" s="33"/>
      <c r="E650" s="33"/>
      <c r="F650" s="33"/>
    </row>
    <row r="651" ht="15.75" customHeight="1">
      <c r="C651" s="33"/>
      <c r="D651" s="33"/>
      <c r="E651" s="33"/>
      <c r="F651" s="33"/>
    </row>
    <row r="652" ht="15.75" customHeight="1">
      <c r="C652" s="33"/>
      <c r="D652" s="33"/>
      <c r="E652" s="33"/>
      <c r="F652" s="33"/>
    </row>
    <row r="653" ht="15.75" customHeight="1">
      <c r="C653" s="33"/>
      <c r="D653" s="33"/>
      <c r="E653" s="33"/>
      <c r="F653" s="33"/>
    </row>
    <row r="654" ht="15.75" customHeight="1">
      <c r="C654" s="33"/>
      <c r="D654" s="33"/>
      <c r="E654" s="33"/>
      <c r="F654" s="33"/>
    </row>
    <row r="655" ht="15.75" customHeight="1">
      <c r="C655" s="33"/>
      <c r="D655" s="33"/>
      <c r="E655" s="33"/>
      <c r="F655" s="33"/>
    </row>
    <row r="656" ht="15.75" customHeight="1">
      <c r="C656" s="33"/>
      <c r="D656" s="33"/>
      <c r="E656" s="33"/>
      <c r="F656" s="33"/>
    </row>
    <row r="657" ht="15.75" customHeight="1">
      <c r="C657" s="33"/>
      <c r="D657" s="33"/>
      <c r="E657" s="33"/>
      <c r="F657" s="33"/>
    </row>
    <row r="658" ht="15.75" customHeight="1">
      <c r="C658" s="33"/>
      <c r="D658" s="33"/>
      <c r="E658" s="33"/>
      <c r="F658" s="33"/>
    </row>
    <row r="659" ht="15.75" customHeight="1">
      <c r="C659" s="33"/>
      <c r="D659" s="33"/>
      <c r="E659" s="33"/>
      <c r="F659" s="33"/>
    </row>
    <row r="660" ht="15.75" customHeight="1">
      <c r="C660" s="33"/>
      <c r="D660" s="33"/>
      <c r="E660" s="33"/>
      <c r="F660" s="33"/>
    </row>
    <row r="661" ht="15.75" customHeight="1">
      <c r="C661" s="33"/>
      <c r="D661" s="33"/>
      <c r="E661" s="33"/>
      <c r="F661" s="33"/>
    </row>
    <row r="662" ht="15.75" customHeight="1">
      <c r="C662" s="33"/>
      <c r="D662" s="33"/>
      <c r="E662" s="33"/>
      <c r="F662" s="33"/>
    </row>
    <row r="663" ht="15.75" customHeight="1">
      <c r="C663" s="33"/>
      <c r="D663" s="33"/>
      <c r="E663" s="33"/>
      <c r="F663" s="33"/>
    </row>
    <row r="664" ht="15.75" customHeight="1">
      <c r="C664" s="33"/>
      <c r="D664" s="33"/>
      <c r="E664" s="33"/>
      <c r="F664" s="33"/>
    </row>
    <row r="665" ht="15.75" customHeight="1">
      <c r="C665" s="33"/>
      <c r="D665" s="33"/>
      <c r="E665" s="33"/>
      <c r="F665" s="33"/>
    </row>
    <row r="666" ht="15.75" customHeight="1">
      <c r="C666" s="33"/>
      <c r="D666" s="33"/>
      <c r="E666" s="33"/>
      <c r="F666" s="33"/>
    </row>
    <row r="667" ht="15.75" customHeight="1">
      <c r="C667" s="33"/>
      <c r="D667" s="33"/>
      <c r="E667" s="33"/>
      <c r="F667" s="33"/>
    </row>
    <row r="668" ht="15.75" customHeight="1">
      <c r="C668" s="33"/>
      <c r="D668" s="33"/>
      <c r="E668" s="33"/>
      <c r="F668" s="33"/>
    </row>
    <row r="669" ht="15.75" customHeight="1">
      <c r="C669" s="33"/>
      <c r="D669" s="33"/>
      <c r="E669" s="33"/>
      <c r="F669" s="33"/>
    </row>
    <row r="670" ht="15.75" customHeight="1">
      <c r="C670" s="33"/>
      <c r="D670" s="33"/>
      <c r="E670" s="33"/>
      <c r="F670" s="33"/>
    </row>
    <row r="671" ht="15.75" customHeight="1">
      <c r="C671" s="33"/>
      <c r="D671" s="33"/>
      <c r="E671" s="33"/>
      <c r="F671" s="33"/>
    </row>
    <row r="672" ht="15.75" customHeight="1">
      <c r="C672" s="33"/>
      <c r="D672" s="33"/>
      <c r="E672" s="33"/>
      <c r="F672" s="33"/>
    </row>
    <row r="673" ht="15.75" customHeight="1">
      <c r="C673" s="33"/>
      <c r="D673" s="33"/>
      <c r="E673" s="33"/>
      <c r="F673" s="33"/>
    </row>
    <row r="674" ht="15.75" customHeight="1">
      <c r="C674" s="33"/>
      <c r="D674" s="33"/>
      <c r="E674" s="33"/>
      <c r="F674" s="33"/>
    </row>
    <row r="675" ht="15.75" customHeight="1">
      <c r="C675" s="33"/>
      <c r="D675" s="33"/>
      <c r="E675" s="33"/>
      <c r="F675" s="33"/>
    </row>
    <row r="676" ht="15.75" customHeight="1">
      <c r="C676" s="33"/>
      <c r="D676" s="33"/>
      <c r="E676" s="33"/>
      <c r="F676" s="33"/>
    </row>
    <row r="677" ht="15.75" customHeight="1">
      <c r="C677" s="33"/>
      <c r="D677" s="33"/>
      <c r="E677" s="33"/>
      <c r="F677" s="33"/>
    </row>
    <row r="678" ht="15.75" customHeight="1">
      <c r="C678" s="33"/>
      <c r="D678" s="33"/>
      <c r="E678" s="33"/>
      <c r="F678" s="33"/>
    </row>
    <row r="679" ht="15.75" customHeight="1">
      <c r="C679" s="33"/>
      <c r="D679" s="33"/>
      <c r="E679" s="33"/>
      <c r="F679" s="33"/>
    </row>
    <row r="680" ht="15.75" customHeight="1">
      <c r="C680" s="33"/>
      <c r="D680" s="33"/>
      <c r="E680" s="33"/>
      <c r="F680" s="33"/>
    </row>
    <row r="681" ht="15.75" customHeight="1">
      <c r="C681" s="33"/>
      <c r="D681" s="33"/>
      <c r="E681" s="33"/>
      <c r="F681" s="33"/>
    </row>
    <row r="682" ht="15.75" customHeight="1">
      <c r="C682" s="33"/>
      <c r="D682" s="33"/>
      <c r="E682" s="33"/>
      <c r="F682" s="33"/>
    </row>
    <row r="683" ht="15.75" customHeight="1">
      <c r="C683" s="33"/>
      <c r="D683" s="33"/>
      <c r="E683" s="33"/>
      <c r="F683" s="33"/>
    </row>
    <row r="684" ht="15.75" customHeight="1">
      <c r="C684" s="33"/>
      <c r="D684" s="33"/>
      <c r="E684" s="33"/>
      <c r="F684" s="33"/>
    </row>
    <row r="685" ht="15.75" customHeight="1">
      <c r="C685" s="33"/>
      <c r="D685" s="33"/>
      <c r="E685" s="33"/>
      <c r="F685" s="33"/>
    </row>
    <row r="686" ht="15.75" customHeight="1">
      <c r="C686" s="33"/>
      <c r="D686" s="33"/>
      <c r="E686" s="33"/>
      <c r="F686" s="33"/>
    </row>
    <row r="687" ht="15.75" customHeight="1">
      <c r="C687" s="33"/>
      <c r="D687" s="33"/>
      <c r="E687" s="33"/>
      <c r="F687" s="33"/>
    </row>
    <row r="688" ht="15.75" customHeight="1">
      <c r="C688" s="33"/>
      <c r="D688" s="33"/>
      <c r="E688" s="33"/>
      <c r="F688" s="33"/>
    </row>
    <row r="689" ht="15.75" customHeight="1">
      <c r="C689" s="33"/>
      <c r="D689" s="33"/>
      <c r="E689" s="33"/>
      <c r="F689" s="33"/>
    </row>
    <row r="690" ht="15.75" customHeight="1">
      <c r="C690" s="33"/>
      <c r="D690" s="33"/>
      <c r="E690" s="33"/>
      <c r="F690" s="33"/>
    </row>
    <row r="691" ht="15.75" customHeight="1">
      <c r="C691" s="33"/>
      <c r="D691" s="33"/>
      <c r="E691" s="33"/>
      <c r="F691" s="33"/>
    </row>
    <row r="692" ht="15.75" customHeight="1">
      <c r="C692" s="33"/>
      <c r="D692" s="33"/>
      <c r="E692" s="33"/>
      <c r="F692" s="33"/>
    </row>
    <row r="693" ht="15.75" customHeight="1">
      <c r="C693" s="33"/>
      <c r="D693" s="33"/>
      <c r="E693" s="33"/>
      <c r="F693" s="33"/>
    </row>
    <row r="694" ht="15.75" customHeight="1">
      <c r="C694" s="33"/>
      <c r="D694" s="33"/>
      <c r="E694" s="33"/>
      <c r="F694" s="33"/>
    </row>
    <row r="695" ht="15.75" customHeight="1">
      <c r="C695" s="33"/>
      <c r="D695" s="33"/>
      <c r="E695" s="33"/>
      <c r="F695" s="33"/>
    </row>
    <row r="696" ht="15.75" customHeight="1">
      <c r="C696" s="33"/>
      <c r="D696" s="33"/>
      <c r="E696" s="33"/>
      <c r="F696" s="33"/>
    </row>
    <row r="697" ht="15.75" customHeight="1">
      <c r="C697" s="33"/>
      <c r="D697" s="33"/>
      <c r="E697" s="33"/>
      <c r="F697" s="33"/>
    </row>
    <row r="698" ht="15.75" customHeight="1">
      <c r="C698" s="33"/>
      <c r="D698" s="33"/>
      <c r="E698" s="33"/>
      <c r="F698" s="33"/>
    </row>
    <row r="699" ht="15.75" customHeight="1">
      <c r="C699" s="33"/>
      <c r="D699" s="33"/>
      <c r="E699" s="33"/>
      <c r="F699" s="33"/>
    </row>
    <row r="700" ht="15.75" customHeight="1">
      <c r="C700" s="33"/>
      <c r="D700" s="33"/>
      <c r="E700" s="33"/>
      <c r="F700" s="33"/>
    </row>
    <row r="701" ht="15.75" customHeight="1">
      <c r="C701" s="33"/>
      <c r="D701" s="33"/>
      <c r="E701" s="33"/>
      <c r="F701" s="33"/>
    </row>
    <row r="702" ht="15.75" customHeight="1">
      <c r="C702" s="33"/>
      <c r="D702" s="33"/>
      <c r="E702" s="33"/>
      <c r="F702" s="33"/>
    </row>
    <row r="703" ht="15.75" customHeight="1">
      <c r="C703" s="33"/>
      <c r="D703" s="33"/>
      <c r="E703" s="33"/>
      <c r="F703" s="33"/>
    </row>
    <row r="704" ht="15.75" customHeight="1">
      <c r="C704" s="33"/>
      <c r="D704" s="33"/>
      <c r="E704" s="33"/>
      <c r="F704" s="33"/>
    </row>
    <row r="705" ht="15.75" customHeight="1">
      <c r="C705" s="33"/>
      <c r="D705" s="33"/>
      <c r="E705" s="33"/>
      <c r="F705" s="33"/>
    </row>
    <row r="706" ht="15.75" customHeight="1">
      <c r="C706" s="33"/>
      <c r="D706" s="33"/>
      <c r="E706" s="33"/>
      <c r="F706" s="33"/>
    </row>
    <row r="707" ht="15.75" customHeight="1">
      <c r="C707" s="33"/>
      <c r="D707" s="33"/>
      <c r="E707" s="33"/>
      <c r="F707" s="33"/>
    </row>
    <row r="708" ht="15.75" customHeight="1">
      <c r="C708" s="33"/>
      <c r="D708" s="33"/>
      <c r="E708" s="33"/>
      <c r="F708" s="33"/>
    </row>
    <row r="709" ht="15.75" customHeight="1">
      <c r="C709" s="33"/>
      <c r="D709" s="33"/>
      <c r="E709" s="33"/>
      <c r="F709" s="33"/>
    </row>
    <row r="710" ht="15.75" customHeight="1">
      <c r="C710" s="33"/>
      <c r="D710" s="33"/>
      <c r="E710" s="33"/>
      <c r="F710" s="33"/>
    </row>
    <row r="711" ht="15.75" customHeight="1">
      <c r="C711" s="33"/>
      <c r="D711" s="33"/>
      <c r="E711" s="33"/>
      <c r="F711" s="33"/>
    </row>
    <row r="712" ht="15.75" customHeight="1">
      <c r="C712" s="33"/>
      <c r="D712" s="33"/>
      <c r="E712" s="33"/>
      <c r="F712" s="33"/>
    </row>
    <row r="713" ht="15.75" customHeight="1">
      <c r="C713" s="33"/>
      <c r="D713" s="33"/>
      <c r="E713" s="33"/>
      <c r="F713" s="33"/>
    </row>
    <row r="714" ht="15.75" customHeight="1">
      <c r="C714" s="33"/>
      <c r="D714" s="33"/>
      <c r="E714" s="33"/>
      <c r="F714" s="33"/>
    </row>
    <row r="715" ht="15.75" customHeight="1">
      <c r="C715" s="33"/>
      <c r="D715" s="33"/>
      <c r="E715" s="33"/>
      <c r="F715" s="33"/>
    </row>
    <row r="716" ht="15.75" customHeight="1">
      <c r="C716" s="33"/>
      <c r="D716" s="33"/>
      <c r="E716" s="33"/>
      <c r="F716" s="33"/>
    </row>
    <row r="717" ht="15.75" customHeight="1">
      <c r="C717" s="33"/>
      <c r="D717" s="33"/>
      <c r="E717" s="33"/>
      <c r="F717" s="33"/>
    </row>
    <row r="718" ht="15.75" customHeight="1">
      <c r="C718" s="33"/>
      <c r="D718" s="33"/>
      <c r="E718" s="33"/>
      <c r="F718" s="33"/>
    </row>
    <row r="719" ht="15.75" customHeight="1">
      <c r="C719" s="33"/>
      <c r="D719" s="33"/>
      <c r="E719" s="33"/>
      <c r="F719" s="33"/>
    </row>
    <row r="720" ht="15.75" customHeight="1">
      <c r="C720" s="33"/>
      <c r="D720" s="33"/>
      <c r="E720" s="33"/>
      <c r="F720" s="33"/>
    </row>
    <row r="721" ht="15.75" customHeight="1">
      <c r="C721" s="33"/>
      <c r="D721" s="33"/>
      <c r="E721" s="33"/>
      <c r="F721" s="33"/>
    </row>
    <row r="722" ht="15.75" customHeight="1">
      <c r="C722" s="33"/>
      <c r="D722" s="33"/>
      <c r="E722" s="33"/>
      <c r="F722" s="33"/>
    </row>
    <row r="723" ht="15.75" customHeight="1">
      <c r="C723" s="33"/>
      <c r="D723" s="33"/>
      <c r="E723" s="33"/>
      <c r="F723" s="33"/>
    </row>
    <row r="724" ht="15.75" customHeight="1">
      <c r="C724" s="33"/>
      <c r="D724" s="33"/>
      <c r="E724" s="33"/>
      <c r="F724" s="33"/>
    </row>
    <row r="725" ht="15.75" customHeight="1">
      <c r="C725" s="33"/>
      <c r="D725" s="33"/>
      <c r="E725" s="33"/>
      <c r="F725" s="33"/>
    </row>
    <row r="726" ht="15.75" customHeight="1">
      <c r="C726" s="33"/>
      <c r="D726" s="33"/>
      <c r="E726" s="33"/>
      <c r="F726" s="33"/>
    </row>
    <row r="727" ht="15.75" customHeight="1">
      <c r="C727" s="33"/>
      <c r="D727" s="33"/>
      <c r="E727" s="33"/>
      <c r="F727" s="33"/>
    </row>
    <row r="728" ht="15.75" customHeight="1">
      <c r="C728" s="33"/>
      <c r="D728" s="33"/>
      <c r="E728" s="33"/>
      <c r="F728" s="33"/>
    </row>
    <row r="729" ht="15.75" customHeight="1">
      <c r="C729" s="33"/>
      <c r="D729" s="33"/>
      <c r="E729" s="33"/>
      <c r="F729" s="33"/>
    </row>
    <row r="730" ht="15.75" customHeight="1">
      <c r="C730" s="33"/>
      <c r="D730" s="33"/>
      <c r="E730" s="33"/>
      <c r="F730" s="33"/>
    </row>
    <row r="731" ht="15.75" customHeight="1">
      <c r="C731" s="33"/>
      <c r="D731" s="33"/>
      <c r="E731" s="33"/>
      <c r="F731" s="33"/>
    </row>
    <row r="732" ht="15.75" customHeight="1">
      <c r="C732" s="33"/>
      <c r="D732" s="33"/>
      <c r="E732" s="33"/>
      <c r="F732" s="33"/>
    </row>
    <row r="733" ht="15.75" customHeight="1">
      <c r="C733" s="33"/>
      <c r="D733" s="33"/>
      <c r="E733" s="33"/>
      <c r="F733" s="33"/>
    </row>
    <row r="734" ht="15.75" customHeight="1">
      <c r="C734" s="33"/>
      <c r="D734" s="33"/>
      <c r="E734" s="33"/>
      <c r="F734" s="33"/>
    </row>
    <row r="735" ht="15.75" customHeight="1">
      <c r="C735" s="33"/>
      <c r="D735" s="33"/>
      <c r="E735" s="33"/>
      <c r="F735" s="33"/>
    </row>
    <row r="736" ht="15.75" customHeight="1">
      <c r="C736" s="33"/>
      <c r="D736" s="33"/>
      <c r="E736" s="33"/>
      <c r="F736" s="33"/>
    </row>
    <row r="737" ht="15.75" customHeight="1">
      <c r="C737" s="33"/>
      <c r="D737" s="33"/>
      <c r="E737" s="33"/>
      <c r="F737" s="33"/>
    </row>
    <row r="738" ht="15.75" customHeight="1">
      <c r="C738" s="33"/>
      <c r="D738" s="33"/>
      <c r="E738" s="33"/>
      <c r="F738" s="33"/>
    </row>
    <row r="739" ht="15.75" customHeight="1">
      <c r="C739" s="33"/>
      <c r="D739" s="33"/>
      <c r="E739" s="33"/>
      <c r="F739" s="33"/>
    </row>
    <row r="740" ht="15.75" customHeight="1">
      <c r="C740" s="33"/>
      <c r="D740" s="33"/>
      <c r="E740" s="33"/>
      <c r="F740" s="33"/>
    </row>
    <row r="741" ht="15.75" customHeight="1">
      <c r="C741" s="33"/>
      <c r="D741" s="33"/>
      <c r="E741" s="33"/>
      <c r="F741" s="33"/>
    </row>
    <row r="742" ht="15.75" customHeight="1">
      <c r="C742" s="33"/>
      <c r="D742" s="33"/>
      <c r="E742" s="33"/>
      <c r="F742" s="33"/>
    </row>
    <row r="743" ht="15.75" customHeight="1">
      <c r="C743" s="33"/>
      <c r="D743" s="33"/>
      <c r="E743" s="33"/>
      <c r="F743" s="33"/>
    </row>
    <row r="744" ht="15.75" customHeight="1">
      <c r="C744" s="33"/>
      <c r="D744" s="33"/>
      <c r="E744" s="33"/>
      <c r="F744" s="33"/>
    </row>
    <row r="745" ht="15.75" customHeight="1">
      <c r="C745" s="33"/>
      <c r="D745" s="33"/>
      <c r="E745" s="33"/>
      <c r="F745" s="33"/>
    </row>
    <row r="746" ht="15.75" customHeight="1">
      <c r="C746" s="33"/>
      <c r="D746" s="33"/>
      <c r="E746" s="33"/>
      <c r="F746" s="33"/>
    </row>
    <row r="747" ht="15.75" customHeight="1">
      <c r="C747" s="33"/>
      <c r="D747" s="33"/>
      <c r="E747" s="33"/>
      <c r="F747" s="33"/>
    </row>
    <row r="748" ht="15.75" customHeight="1">
      <c r="C748" s="33"/>
      <c r="D748" s="33"/>
      <c r="E748" s="33"/>
      <c r="F748" s="33"/>
    </row>
    <row r="749" ht="15.75" customHeight="1">
      <c r="C749" s="33"/>
      <c r="D749" s="33"/>
      <c r="E749" s="33"/>
      <c r="F749" s="33"/>
    </row>
    <row r="750" ht="15.75" customHeight="1">
      <c r="C750" s="33"/>
      <c r="D750" s="33"/>
      <c r="E750" s="33"/>
      <c r="F750" s="33"/>
    </row>
    <row r="751" ht="15.75" customHeight="1">
      <c r="C751" s="33"/>
      <c r="D751" s="33"/>
      <c r="E751" s="33"/>
      <c r="F751" s="33"/>
    </row>
    <row r="752" ht="15.75" customHeight="1">
      <c r="C752" s="33"/>
      <c r="D752" s="33"/>
      <c r="E752" s="33"/>
      <c r="F752" s="33"/>
    </row>
    <row r="753" ht="15.75" customHeight="1">
      <c r="C753" s="33"/>
      <c r="D753" s="33"/>
      <c r="E753" s="33"/>
      <c r="F753" s="33"/>
    </row>
    <row r="754" ht="15.75" customHeight="1">
      <c r="C754" s="33"/>
      <c r="D754" s="33"/>
      <c r="E754" s="33"/>
      <c r="F754" s="33"/>
    </row>
    <row r="755" ht="15.75" customHeight="1">
      <c r="C755" s="33"/>
      <c r="D755" s="33"/>
      <c r="E755" s="33"/>
      <c r="F755" s="33"/>
    </row>
    <row r="756" ht="15.75" customHeight="1">
      <c r="C756" s="33"/>
      <c r="D756" s="33"/>
      <c r="E756" s="33"/>
      <c r="F756" s="33"/>
    </row>
    <row r="757" ht="15.75" customHeight="1">
      <c r="C757" s="33"/>
      <c r="D757" s="33"/>
      <c r="E757" s="33"/>
      <c r="F757" s="33"/>
    </row>
    <row r="758" ht="15.75" customHeight="1">
      <c r="C758" s="33"/>
      <c r="D758" s="33"/>
      <c r="E758" s="33"/>
      <c r="F758" s="33"/>
    </row>
    <row r="759" ht="15.75" customHeight="1">
      <c r="C759" s="33"/>
      <c r="D759" s="33"/>
      <c r="E759" s="33"/>
      <c r="F759" s="33"/>
    </row>
    <row r="760" ht="15.75" customHeight="1">
      <c r="C760" s="33"/>
      <c r="D760" s="33"/>
      <c r="E760" s="33"/>
      <c r="F760" s="33"/>
    </row>
    <row r="761" ht="15.75" customHeight="1">
      <c r="C761" s="33"/>
      <c r="D761" s="33"/>
      <c r="E761" s="33"/>
      <c r="F761" s="33"/>
    </row>
    <row r="762" ht="15.75" customHeight="1">
      <c r="C762" s="33"/>
      <c r="D762" s="33"/>
      <c r="E762" s="33"/>
      <c r="F762" s="33"/>
    </row>
    <row r="763" ht="15.75" customHeight="1">
      <c r="C763" s="33"/>
      <c r="D763" s="33"/>
      <c r="E763" s="33"/>
      <c r="F763" s="33"/>
    </row>
    <row r="764" ht="15.75" customHeight="1">
      <c r="C764" s="33"/>
      <c r="D764" s="33"/>
      <c r="E764" s="33"/>
      <c r="F764" s="33"/>
    </row>
    <row r="765" ht="15.75" customHeight="1">
      <c r="C765" s="33"/>
      <c r="D765" s="33"/>
      <c r="E765" s="33"/>
      <c r="F765" s="33"/>
    </row>
    <row r="766" ht="15.75" customHeight="1">
      <c r="C766" s="33"/>
      <c r="D766" s="33"/>
      <c r="E766" s="33"/>
      <c r="F766" s="33"/>
    </row>
    <row r="767" ht="15.75" customHeight="1">
      <c r="C767" s="33"/>
      <c r="D767" s="33"/>
      <c r="E767" s="33"/>
      <c r="F767" s="33"/>
    </row>
    <row r="768" ht="15.75" customHeight="1">
      <c r="C768" s="33"/>
      <c r="D768" s="33"/>
      <c r="E768" s="33"/>
      <c r="F768" s="33"/>
    </row>
    <row r="769" ht="15.75" customHeight="1">
      <c r="C769" s="33"/>
      <c r="D769" s="33"/>
      <c r="E769" s="33"/>
      <c r="F769" s="33"/>
    </row>
    <row r="770" ht="15.75" customHeight="1">
      <c r="C770" s="33"/>
      <c r="D770" s="33"/>
      <c r="E770" s="33"/>
      <c r="F770" s="33"/>
    </row>
    <row r="771" ht="15.75" customHeight="1">
      <c r="C771" s="33"/>
      <c r="D771" s="33"/>
      <c r="E771" s="33"/>
      <c r="F771" s="33"/>
    </row>
    <row r="772" ht="15.75" customHeight="1">
      <c r="C772" s="33"/>
      <c r="D772" s="33"/>
      <c r="E772" s="33"/>
      <c r="F772" s="33"/>
    </row>
    <row r="773" ht="15.75" customHeight="1">
      <c r="C773" s="33"/>
      <c r="D773" s="33"/>
      <c r="E773" s="33"/>
      <c r="F773" s="33"/>
    </row>
    <row r="774" ht="15.75" customHeight="1">
      <c r="C774" s="33"/>
      <c r="D774" s="33"/>
      <c r="E774" s="33"/>
      <c r="F774" s="33"/>
    </row>
    <row r="775" ht="15.75" customHeight="1">
      <c r="C775" s="33"/>
      <c r="D775" s="33"/>
      <c r="E775" s="33"/>
      <c r="F775" s="33"/>
    </row>
    <row r="776" ht="15.75" customHeight="1">
      <c r="C776" s="33"/>
      <c r="D776" s="33"/>
      <c r="E776" s="33"/>
      <c r="F776" s="33"/>
    </row>
    <row r="777" ht="15.75" customHeight="1">
      <c r="C777" s="33"/>
      <c r="D777" s="33"/>
      <c r="E777" s="33"/>
      <c r="F777" s="33"/>
    </row>
    <row r="778" ht="15.75" customHeight="1">
      <c r="C778" s="33"/>
      <c r="D778" s="33"/>
      <c r="E778" s="33"/>
      <c r="F778" s="33"/>
    </row>
    <row r="779" ht="15.75" customHeight="1">
      <c r="C779" s="33"/>
      <c r="D779" s="33"/>
      <c r="E779" s="33"/>
      <c r="F779" s="33"/>
    </row>
    <row r="780" ht="15.75" customHeight="1">
      <c r="C780" s="33"/>
      <c r="D780" s="33"/>
      <c r="E780" s="33"/>
      <c r="F780" s="33"/>
    </row>
    <row r="781" ht="15.75" customHeight="1">
      <c r="C781" s="33"/>
      <c r="D781" s="33"/>
      <c r="E781" s="33"/>
      <c r="F781" s="33"/>
    </row>
    <row r="782" ht="15.75" customHeight="1">
      <c r="C782" s="33"/>
      <c r="D782" s="33"/>
      <c r="E782" s="33"/>
      <c r="F782" s="33"/>
    </row>
    <row r="783" ht="15.75" customHeight="1">
      <c r="C783" s="33"/>
      <c r="D783" s="33"/>
      <c r="E783" s="33"/>
      <c r="F783" s="33"/>
    </row>
    <row r="784" ht="15.75" customHeight="1">
      <c r="C784" s="33"/>
      <c r="D784" s="33"/>
      <c r="E784" s="33"/>
      <c r="F784" s="33"/>
    </row>
    <row r="785" ht="15.75" customHeight="1">
      <c r="C785" s="33"/>
      <c r="D785" s="33"/>
      <c r="E785" s="33"/>
      <c r="F785" s="33"/>
    </row>
    <row r="786" ht="15.75" customHeight="1">
      <c r="C786" s="33"/>
      <c r="D786" s="33"/>
      <c r="E786" s="33"/>
      <c r="F786" s="33"/>
    </row>
    <row r="787" ht="15.75" customHeight="1">
      <c r="C787" s="33"/>
      <c r="D787" s="33"/>
      <c r="E787" s="33"/>
      <c r="F787" s="33"/>
    </row>
    <row r="788" ht="15.75" customHeight="1">
      <c r="C788" s="33"/>
      <c r="D788" s="33"/>
      <c r="E788" s="33"/>
      <c r="F788" s="33"/>
    </row>
    <row r="789" ht="15.75" customHeight="1">
      <c r="C789" s="33"/>
      <c r="D789" s="33"/>
      <c r="E789" s="33"/>
      <c r="F789" s="33"/>
    </row>
    <row r="790" ht="15.75" customHeight="1">
      <c r="C790" s="33"/>
      <c r="D790" s="33"/>
      <c r="E790" s="33"/>
      <c r="F790" s="33"/>
    </row>
    <row r="791" ht="15.75" customHeight="1">
      <c r="C791" s="33"/>
      <c r="D791" s="33"/>
      <c r="E791" s="33"/>
      <c r="F791" s="33"/>
    </row>
    <row r="792" ht="15.75" customHeight="1">
      <c r="C792" s="33"/>
      <c r="D792" s="33"/>
      <c r="E792" s="33"/>
      <c r="F792" s="33"/>
    </row>
    <row r="793" ht="15.75" customHeight="1">
      <c r="C793" s="33"/>
      <c r="D793" s="33"/>
      <c r="E793" s="33"/>
      <c r="F793" s="33"/>
    </row>
    <row r="794" ht="15.75" customHeight="1">
      <c r="C794" s="33"/>
      <c r="D794" s="33"/>
      <c r="E794" s="33"/>
      <c r="F794" s="33"/>
    </row>
    <row r="795" ht="15.75" customHeight="1">
      <c r="C795" s="33"/>
      <c r="D795" s="33"/>
      <c r="E795" s="33"/>
      <c r="F795" s="33"/>
    </row>
    <row r="796" ht="15.75" customHeight="1">
      <c r="C796" s="33"/>
      <c r="D796" s="33"/>
      <c r="E796" s="33"/>
      <c r="F796" s="33"/>
    </row>
    <row r="797" ht="15.75" customHeight="1">
      <c r="C797" s="33"/>
      <c r="D797" s="33"/>
      <c r="E797" s="33"/>
      <c r="F797" s="33"/>
    </row>
    <row r="798" ht="15.75" customHeight="1">
      <c r="C798" s="33"/>
      <c r="D798" s="33"/>
      <c r="E798" s="33"/>
      <c r="F798" s="33"/>
    </row>
    <row r="799" ht="15.75" customHeight="1">
      <c r="C799" s="33"/>
      <c r="D799" s="33"/>
      <c r="E799" s="33"/>
      <c r="F799" s="33"/>
    </row>
    <row r="800" ht="15.75" customHeight="1">
      <c r="C800" s="33"/>
      <c r="D800" s="33"/>
      <c r="E800" s="33"/>
      <c r="F800" s="33"/>
    </row>
    <row r="801" ht="15.75" customHeight="1">
      <c r="C801" s="33"/>
      <c r="D801" s="33"/>
      <c r="E801" s="33"/>
      <c r="F801" s="33"/>
    </row>
    <row r="802" ht="15.75" customHeight="1">
      <c r="C802" s="33"/>
      <c r="D802" s="33"/>
      <c r="E802" s="33"/>
      <c r="F802" s="33"/>
    </row>
    <row r="803" ht="15.75" customHeight="1">
      <c r="C803" s="33"/>
      <c r="D803" s="33"/>
      <c r="E803" s="33"/>
      <c r="F803" s="33"/>
    </row>
    <row r="804" ht="15.75" customHeight="1">
      <c r="C804" s="33"/>
      <c r="D804" s="33"/>
      <c r="E804" s="33"/>
      <c r="F804" s="33"/>
    </row>
    <row r="805" ht="15.75" customHeight="1">
      <c r="C805" s="33"/>
      <c r="D805" s="33"/>
      <c r="E805" s="33"/>
      <c r="F805" s="33"/>
    </row>
    <row r="806" ht="15.75" customHeight="1">
      <c r="C806" s="33"/>
      <c r="D806" s="33"/>
      <c r="E806" s="33"/>
      <c r="F806" s="33"/>
    </row>
    <row r="807" ht="15.75" customHeight="1">
      <c r="C807" s="33"/>
      <c r="D807" s="33"/>
      <c r="E807" s="33"/>
      <c r="F807" s="33"/>
    </row>
    <row r="808" ht="15.75" customHeight="1">
      <c r="C808" s="33"/>
      <c r="D808" s="33"/>
      <c r="E808" s="33"/>
      <c r="F808" s="33"/>
    </row>
    <row r="809" ht="15.75" customHeight="1">
      <c r="C809" s="33"/>
      <c r="D809" s="33"/>
      <c r="E809" s="33"/>
      <c r="F809" s="33"/>
    </row>
    <row r="810" ht="15.75" customHeight="1">
      <c r="C810" s="33"/>
      <c r="D810" s="33"/>
      <c r="E810" s="33"/>
      <c r="F810" s="33"/>
    </row>
    <row r="811" ht="15.75" customHeight="1">
      <c r="C811" s="33"/>
      <c r="D811" s="33"/>
      <c r="E811" s="33"/>
      <c r="F811" s="33"/>
    </row>
    <row r="812" ht="15.75" customHeight="1">
      <c r="C812" s="33"/>
      <c r="D812" s="33"/>
      <c r="E812" s="33"/>
      <c r="F812" s="33"/>
    </row>
    <row r="813" ht="15.75" customHeight="1">
      <c r="C813" s="33"/>
      <c r="D813" s="33"/>
      <c r="E813" s="33"/>
      <c r="F813" s="33"/>
    </row>
    <row r="814" ht="15.75" customHeight="1">
      <c r="C814" s="33"/>
      <c r="D814" s="33"/>
      <c r="E814" s="33"/>
      <c r="F814" s="33"/>
    </row>
    <row r="815" ht="15.75" customHeight="1">
      <c r="C815" s="33"/>
      <c r="D815" s="33"/>
      <c r="E815" s="33"/>
      <c r="F815" s="33"/>
    </row>
    <row r="816" ht="15.75" customHeight="1">
      <c r="C816" s="33"/>
      <c r="D816" s="33"/>
      <c r="E816" s="33"/>
      <c r="F816" s="33"/>
    </row>
    <row r="817" ht="15.75" customHeight="1">
      <c r="C817" s="33"/>
      <c r="D817" s="33"/>
      <c r="E817" s="33"/>
      <c r="F817" s="33"/>
    </row>
    <row r="818" ht="15.75" customHeight="1">
      <c r="C818" s="33"/>
      <c r="D818" s="33"/>
      <c r="E818" s="33"/>
      <c r="F818" s="33"/>
    </row>
    <row r="819" ht="15.75" customHeight="1">
      <c r="C819" s="33"/>
      <c r="D819" s="33"/>
      <c r="E819" s="33"/>
      <c r="F819" s="33"/>
    </row>
    <row r="820" ht="15.75" customHeight="1">
      <c r="C820" s="33"/>
      <c r="D820" s="33"/>
      <c r="E820" s="33"/>
      <c r="F820" s="33"/>
    </row>
    <row r="821" ht="15.75" customHeight="1">
      <c r="C821" s="33"/>
      <c r="D821" s="33"/>
      <c r="E821" s="33"/>
      <c r="F821" s="33"/>
    </row>
    <row r="822" ht="15.75" customHeight="1">
      <c r="C822" s="33"/>
      <c r="D822" s="33"/>
      <c r="E822" s="33"/>
      <c r="F822" s="33"/>
    </row>
    <row r="823" ht="15.75" customHeight="1">
      <c r="C823" s="33"/>
      <c r="D823" s="33"/>
      <c r="E823" s="33"/>
      <c r="F823" s="33"/>
    </row>
    <row r="824" ht="15.75" customHeight="1">
      <c r="C824" s="33"/>
      <c r="D824" s="33"/>
      <c r="E824" s="33"/>
      <c r="F824" s="33"/>
    </row>
    <row r="825" ht="15.75" customHeight="1">
      <c r="C825" s="33"/>
      <c r="D825" s="33"/>
      <c r="E825" s="33"/>
      <c r="F825" s="33"/>
    </row>
    <row r="826" ht="15.75" customHeight="1">
      <c r="C826" s="33"/>
      <c r="D826" s="33"/>
      <c r="E826" s="33"/>
      <c r="F826" s="33"/>
    </row>
    <row r="827" ht="15.75" customHeight="1">
      <c r="C827" s="33"/>
      <c r="D827" s="33"/>
      <c r="E827" s="33"/>
      <c r="F827" s="33"/>
    </row>
    <row r="828" ht="15.75" customHeight="1">
      <c r="C828" s="33"/>
      <c r="D828" s="33"/>
      <c r="E828" s="33"/>
      <c r="F828" s="33"/>
    </row>
    <row r="829" ht="15.75" customHeight="1">
      <c r="C829" s="33"/>
      <c r="D829" s="33"/>
      <c r="E829" s="33"/>
      <c r="F829" s="33"/>
    </row>
    <row r="830" ht="15.75" customHeight="1">
      <c r="C830" s="33"/>
      <c r="D830" s="33"/>
      <c r="E830" s="33"/>
      <c r="F830" s="33"/>
    </row>
    <row r="831" ht="15.75" customHeight="1">
      <c r="C831" s="33"/>
      <c r="D831" s="33"/>
      <c r="E831" s="33"/>
      <c r="F831" s="33"/>
    </row>
    <row r="832" ht="15.75" customHeight="1">
      <c r="C832" s="33"/>
      <c r="D832" s="33"/>
      <c r="E832" s="33"/>
      <c r="F832" s="33"/>
    </row>
    <row r="833" ht="15.75" customHeight="1">
      <c r="C833" s="33"/>
      <c r="D833" s="33"/>
      <c r="E833" s="33"/>
      <c r="F833" s="33"/>
    </row>
    <row r="834" ht="15.75" customHeight="1">
      <c r="C834" s="33"/>
      <c r="D834" s="33"/>
      <c r="E834" s="33"/>
      <c r="F834" s="33"/>
    </row>
    <row r="835" ht="15.75" customHeight="1">
      <c r="C835" s="33"/>
      <c r="D835" s="33"/>
      <c r="E835" s="33"/>
      <c r="F835" s="33"/>
    </row>
    <row r="836" ht="15.75" customHeight="1">
      <c r="C836" s="33"/>
      <c r="D836" s="33"/>
      <c r="E836" s="33"/>
      <c r="F836" s="33"/>
    </row>
    <row r="837" ht="15.75" customHeight="1">
      <c r="C837" s="33"/>
      <c r="D837" s="33"/>
      <c r="E837" s="33"/>
      <c r="F837" s="33"/>
    </row>
    <row r="838" ht="15.75" customHeight="1">
      <c r="C838" s="33"/>
      <c r="D838" s="33"/>
      <c r="E838" s="33"/>
      <c r="F838" s="33"/>
    </row>
    <row r="839" ht="15.75" customHeight="1">
      <c r="C839" s="33"/>
      <c r="D839" s="33"/>
      <c r="E839" s="33"/>
      <c r="F839" s="33"/>
    </row>
    <row r="840" ht="15.75" customHeight="1">
      <c r="C840" s="33"/>
      <c r="D840" s="33"/>
      <c r="E840" s="33"/>
      <c r="F840" s="33"/>
    </row>
    <row r="841" ht="15.75" customHeight="1">
      <c r="C841" s="33"/>
      <c r="D841" s="33"/>
      <c r="E841" s="33"/>
      <c r="F841" s="33"/>
    </row>
    <row r="842" ht="15.75" customHeight="1">
      <c r="C842" s="33"/>
      <c r="D842" s="33"/>
      <c r="E842" s="33"/>
      <c r="F842" s="33"/>
    </row>
    <row r="843" ht="15.75" customHeight="1">
      <c r="C843" s="33"/>
      <c r="D843" s="33"/>
      <c r="E843" s="33"/>
      <c r="F843" s="33"/>
    </row>
    <row r="844" ht="15.75" customHeight="1">
      <c r="C844" s="33"/>
      <c r="D844" s="33"/>
      <c r="E844" s="33"/>
      <c r="F844" s="33"/>
    </row>
    <row r="845" ht="15.75" customHeight="1">
      <c r="C845" s="33"/>
      <c r="D845" s="33"/>
      <c r="E845" s="33"/>
      <c r="F845" s="33"/>
    </row>
    <row r="846" ht="15.75" customHeight="1">
      <c r="C846" s="33"/>
      <c r="D846" s="33"/>
      <c r="E846" s="33"/>
      <c r="F846" s="33"/>
    </row>
    <row r="847" ht="15.75" customHeight="1">
      <c r="C847" s="33"/>
      <c r="D847" s="33"/>
      <c r="E847" s="33"/>
      <c r="F847" s="33"/>
    </row>
    <row r="848" ht="15.75" customHeight="1">
      <c r="C848" s="33"/>
      <c r="D848" s="33"/>
      <c r="E848" s="33"/>
      <c r="F848" s="33"/>
    </row>
    <row r="849" ht="15.75" customHeight="1">
      <c r="C849" s="33"/>
      <c r="D849" s="33"/>
      <c r="E849" s="33"/>
      <c r="F849" s="33"/>
    </row>
    <row r="850" ht="15.75" customHeight="1">
      <c r="C850" s="33"/>
      <c r="D850" s="33"/>
      <c r="E850" s="33"/>
      <c r="F850" s="33"/>
    </row>
    <row r="851" ht="15.75" customHeight="1">
      <c r="C851" s="33"/>
      <c r="D851" s="33"/>
      <c r="E851" s="33"/>
      <c r="F851" s="33"/>
    </row>
    <row r="852" ht="15.75" customHeight="1">
      <c r="C852" s="33"/>
      <c r="D852" s="33"/>
      <c r="E852" s="33"/>
      <c r="F852" s="33"/>
    </row>
    <row r="853" ht="15.75" customHeight="1">
      <c r="C853" s="33"/>
      <c r="D853" s="33"/>
      <c r="E853" s="33"/>
      <c r="F853" s="33"/>
    </row>
    <row r="854" ht="15.75" customHeight="1">
      <c r="C854" s="33"/>
      <c r="D854" s="33"/>
      <c r="E854" s="33"/>
      <c r="F854" s="33"/>
    </row>
    <row r="855" ht="15.75" customHeight="1">
      <c r="C855" s="33"/>
      <c r="D855" s="33"/>
      <c r="E855" s="33"/>
      <c r="F855" s="33"/>
    </row>
    <row r="856" ht="15.75" customHeight="1">
      <c r="C856" s="33"/>
      <c r="D856" s="33"/>
      <c r="E856" s="33"/>
      <c r="F856" s="33"/>
    </row>
    <row r="857" ht="15.75" customHeight="1">
      <c r="C857" s="33"/>
      <c r="D857" s="33"/>
      <c r="E857" s="33"/>
      <c r="F857" s="33"/>
    </row>
    <row r="858" ht="15.75" customHeight="1">
      <c r="C858" s="33"/>
      <c r="D858" s="33"/>
      <c r="E858" s="33"/>
      <c r="F858" s="33"/>
    </row>
    <row r="859" ht="15.75" customHeight="1">
      <c r="C859" s="33"/>
      <c r="D859" s="33"/>
      <c r="E859" s="33"/>
      <c r="F859" s="33"/>
    </row>
    <row r="860" ht="15.75" customHeight="1">
      <c r="C860" s="33"/>
      <c r="D860" s="33"/>
      <c r="E860" s="33"/>
      <c r="F860" s="33"/>
    </row>
    <row r="861" ht="15.75" customHeight="1">
      <c r="C861" s="33"/>
      <c r="D861" s="33"/>
      <c r="E861" s="33"/>
      <c r="F861" s="33"/>
    </row>
    <row r="862" ht="15.75" customHeight="1">
      <c r="C862" s="33"/>
      <c r="D862" s="33"/>
      <c r="E862" s="33"/>
      <c r="F862" s="33"/>
    </row>
    <row r="863" ht="15.75" customHeight="1">
      <c r="C863" s="33"/>
      <c r="D863" s="33"/>
      <c r="E863" s="33"/>
      <c r="F863" s="33"/>
    </row>
    <row r="864" ht="15.75" customHeight="1">
      <c r="C864" s="33"/>
      <c r="D864" s="33"/>
      <c r="E864" s="33"/>
      <c r="F864" s="33"/>
    </row>
    <row r="865" ht="15.75" customHeight="1">
      <c r="C865" s="33"/>
      <c r="D865" s="33"/>
      <c r="E865" s="33"/>
      <c r="F865" s="33"/>
    </row>
    <row r="866" ht="15.75" customHeight="1">
      <c r="C866" s="33"/>
      <c r="D866" s="33"/>
      <c r="E866" s="33"/>
      <c r="F866" s="33"/>
    </row>
    <row r="867" ht="15.75" customHeight="1">
      <c r="C867" s="33"/>
      <c r="D867" s="33"/>
      <c r="E867" s="33"/>
      <c r="F867" s="33"/>
    </row>
    <row r="868" ht="15.75" customHeight="1">
      <c r="C868" s="33"/>
      <c r="D868" s="33"/>
      <c r="E868" s="33"/>
      <c r="F868" s="33"/>
    </row>
    <row r="869" ht="15.75" customHeight="1">
      <c r="C869" s="33"/>
      <c r="D869" s="33"/>
      <c r="E869" s="33"/>
      <c r="F869" s="33"/>
    </row>
    <row r="870" ht="15.75" customHeight="1">
      <c r="C870" s="33"/>
      <c r="D870" s="33"/>
      <c r="E870" s="33"/>
      <c r="F870" s="33"/>
    </row>
    <row r="871" ht="15.75" customHeight="1">
      <c r="C871" s="33"/>
      <c r="D871" s="33"/>
      <c r="E871" s="33"/>
      <c r="F871" s="33"/>
    </row>
    <row r="872" ht="15.75" customHeight="1">
      <c r="C872" s="33"/>
      <c r="D872" s="33"/>
      <c r="E872" s="33"/>
      <c r="F872" s="33"/>
    </row>
    <row r="873" ht="15.75" customHeight="1">
      <c r="C873" s="33"/>
      <c r="D873" s="33"/>
      <c r="E873" s="33"/>
      <c r="F873" s="33"/>
    </row>
    <row r="874" ht="15.75" customHeight="1">
      <c r="C874" s="33"/>
      <c r="D874" s="33"/>
      <c r="E874" s="33"/>
      <c r="F874" s="33"/>
    </row>
    <row r="875" ht="15.75" customHeight="1">
      <c r="C875" s="33"/>
      <c r="D875" s="33"/>
      <c r="E875" s="33"/>
      <c r="F875" s="33"/>
    </row>
    <row r="876" ht="15.75" customHeight="1">
      <c r="C876" s="33"/>
      <c r="D876" s="33"/>
      <c r="E876" s="33"/>
      <c r="F876" s="33"/>
    </row>
    <row r="877" ht="15.75" customHeight="1">
      <c r="C877" s="33"/>
      <c r="D877" s="33"/>
      <c r="E877" s="33"/>
      <c r="F877" s="33"/>
    </row>
    <row r="878" ht="15.75" customHeight="1">
      <c r="C878" s="33"/>
      <c r="D878" s="33"/>
      <c r="E878" s="33"/>
      <c r="F878" s="33"/>
    </row>
    <row r="879" ht="15.75" customHeight="1">
      <c r="C879" s="33"/>
      <c r="D879" s="33"/>
      <c r="E879" s="33"/>
      <c r="F879" s="33"/>
    </row>
    <row r="880" ht="15.75" customHeight="1">
      <c r="C880" s="33"/>
      <c r="D880" s="33"/>
      <c r="E880" s="33"/>
      <c r="F880" s="33"/>
    </row>
    <row r="881" ht="15.75" customHeight="1">
      <c r="C881" s="33"/>
      <c r="D881" s="33"/>
      <c r="E881" s="33"/>
      <c r="F881" s="33"/>
    </row>
    <row r="882" ht="15.75" customHeight="1">
      <c r="C882" s="33"/>
      <c r="D882" s="33"/>
      <c r="E882" s="33"/>
      <c r="F882" s="33"/>
    </row>
    <row r="883" ht="15.75" customHeight="1">
      <c r="C883" s="33"/>
      <c r="D883" s="33"/>
      <c r="E883" s="33"/>
      <c r="F883" s="33"/>
    </row>
    <row r="884" ht="15.75" customHeight="1">
      <c r="C884" s="33"/>
      <c r="D884" s="33"/>
      <c r="E884" s="33"/>
      <c r="F884" s="33"/>
    </row>
    <row r="885" ht="15.75" customHeight="1">
      <c r="C885" s="33"/>
      <c r="D885" s="33"/>
      <c r="E885" s="33"/>
      <c r="F885" s="33"/>
    </row>
    <row r="886" ht="15.75" customHeight="1">
      <c r="C886" s="33"/>
      <c r="D886" s="33"/>
      <c r="E886" s="33"/>
      <c r="F886" s="33"/>
    </row>
    <row r="887" ht="15.75" customHeight="1">
      <c r="C887" s="33"/>
      <c r="D887" s="33"/>
      <c r="E887" s="33"/>
      <c r="F887" s="33"/>
    </row>
    <row r="888" ht="15.75" customHeight="1">
      <c r="C888" s="33"/>
      <c r="D888" s="33"/>
      <c r="E888" s="33"/>
      <c r="F888" s="33"/>
    </row>
    <row r="889" ht="15.75" customHeight="1">
      <c r="C889" s="33"/>
      <c r="D889" s="33"/>
      <c r="E889" s="33"/>
      <c r="F889" s="33"/>
    </row>
    <row r="890" ht="15.75" customHeight="1">
      <c r="C890" s="33"/>
      <c r="D890" s="33"/>
      <c r="E890" s="33"/>
      <c r="F890" s="33"/>
    </row>
    <row r="891" ht="15.75" customHeight="1">
      <c r="C891" s="33"/>
      <c r="D891" s="33"/>
      <c r="E891" s="33"/>
      <c r="F891" s="33"/>
    </row>
    <row r="892" ht="15.75" customHeight="1">
      <c r="C892" s="33"/>
      <c r="D892" s="33"/>
      <c r="E892" s="33"/>
      <c r="F892" s="33"/>
    </row>
    <row r="893" ht="15.75" customHeight="1">
      <c r="C893" s="33"/>
      <c r="D893" s="33"/>
      <c r="E893" s="33"/>
      <c r="F893" s="33"/>
    </row>
    <row r="894" ht="15.75" customHeight="1">
      <c r="C894" s="33"/>
      <c r="D894" s="33"/>
      <c r="E894" s="33"/>
      <c r="F894" s="33"/>
    </row>
    <row r="895" ht="15.75" customHeight="1">
      <c r="C895" s="33"/>
      <c r="D895" s="33"/>
      <c r="E895" s="33"/>
      <c r="F895" s="33"/>
    </row>
    <row r="896" ht="15.75" customHeight="1">
      <c r="C896" s="33"/>
      <c r="D896" s="33"/>
      <c r="E896" s="33"/>
      <c r="F896" s="33"/>
    </row>
    <row r="897" ht="15.75" customHeight="1">
      <c r="C897" s="33"/>
      <c r="D897" s="33"/>
      <c r="E897" s="33"/>
      <c r="F897" s="33"/>
    </row>
    <row r="898" ht="15.75" customHeight="1">
      <c r="C898" s="33"/>
      <c r="D898" s="33"/>
      <c r="E898" s="33"/>
      <c r="F898" s="33"/>
    </row>
    <row r="899" ht="15.75" customHeight="1">
      <c r="C899" s="33"/>
      <c r="D899" s="33"/>
      <c r="E899" s="33"/>
      <c r="F899" s="33"/>
    </row>
    <row r="900" ht="15.75" customHeight="1">
      <c r="C900" s="33"/>
      <c r="D900" s="33"/>
      <c r="E900" s="33"/>
      <c r="F900" s="33"/>
    </row>
    <row r="901" ht="15.75" customHeight="1">
      <c r="C901" s="33"/>
      <c r="D901" s="33"/>
      <c r="E901" s="33"/>
      <c r="F901" s="33"/>
    </row>
    <row r="902" ht="15.75" customHeight="1">
      <c r="C902" s="33"/>
      <c r="D902" s="33"/>
      <c r="E902" s="33"/>
      <c r="F902" s="33"/>
    </row>
    <row r="903" ht="15.75" customHeight="1">
      <c r="C903" s="33"/>
      <c r="D903" s="33"/>
      <c r="E903" s="33"/>
      <c r="F903" s="33"/>
    </row>
    <row r="904" ht="15.75" customHeight="1">
      <c r="C904" s="33"/>
      <c r="D904" s="33"/>
      <c r="E904" s="33"/>
      <c r="F904" s="33"/>
    </row>
    <row r="905" ht="15.75" customHeight="1">
      <c r="C905" s="33"/>
      <c r="D905" s="33"/>
      <c r="E905" s="33"/>
      <c r="F905" s="33"/>
    </row>
    <row r="906" ht="15.75" customHeight="1">
      <c r="C906" s="33"/>
      <c r="D906" s="33"/>
      <c r="E906" s="33"/>
      <c r="F906" s="33"/>
    </row>
    <row r="907" ht="15.75" customHeight="1">
      <c r="C907" s="33"/>
      <c r="D907" s="33"/>
      <c r="E907" s="33"/>
      <c r="F907" s="33"/>
    </row>
    <row r="908" ht="15.75" customHeight="1">
      <c r="C908" s="33"/>
      <c r="D908" s="33"/>
      <c r="E908" s="33"/>
      <c r="F908" s="33"/>
    </row>
    <row r="909" ht="15.75" customHeight="1">
      <c r="C909" s="33"/>
      <c r="D909" s="33"/>
      <c r="E909" s="33"/>
      <c r="F909" s="33"/>
    </row>
    <row r="910" ht="15.75" customHeight="1">
      <c r="C910" s="33"/>
      <c r="D910" s="33"/>
      <c r="E910" s="33"/>
      <c r="F910" s="33"/>
    </row>
    <row r="911" ht="15.75" customHeight="1">
      <c r="C911" s="33"/>
      <c r="D911" s="33"/>
      <c r="E911" s="33"/>
      <c r="F911" s="33"/>
    </row>
    <row r="912" ht="15.75" customHeight="1">
      <c r="C912" s="33"/>
      <c r="D912" s="33"/>
      <c r="E912" s="33"/>
      <c r="F912" s="33"/>
    </row>
    <row r="913" ht="15.75" customHeight="1">
      <c r="C913" s="33"/>
      <c r="D913" s="33"/>
      <c r="E913" s="33"/>
      <c r="F913" s="33"/>
    </row>
    <row r="914" ht="15.75" customHeight="1">
      <c r="C914" s="33"/>
      <c r="D914" s="33"/>
      <c r="E914" s="33"/>
      <c r="F914" s="33"/>
    </row>
    <row r="915" ht="15.75" customHeight="1">
      <c r="C915" s="33"/>
      <c r="D915" s="33"/>
      <c r="E915" s="33"/>
      <c r="F915" s="33"/>
    </row>
    <row r="916" ht="15.75" customHeight="1">
      <c r="C916" s="33"/>
      <c r="D916" s="33"/>
      <c r="E916" s="33"/>
      <c r="F916" s="33"/>
    </row>
    <row r="917" ht="15.75" customHeight="1">
      <c r="C917" s="33"/>
      <c r="D917" s="33"/>
      <c r="E917" s="33"/>
      <c r="F917" s="33"/>
    </row>
    <row r="918" ht="15.75" customHeight="1">
      <c r="C918" s="33"/>
      <c r="D918" s="33"/>
      <c r="E918" s="33"/>
      <c r="F918" s="33"/>
    </row>
    <row r="919" ht="15.75" customHeight="1">
      <c r="C919" s="33"/>
      <c r="D919" s="33"/>
      <c r="E919" s="33"/>
      <c r="F919" s="33"/>
    </row>
    <row r="920" ht="15.75" customHeight="1">
      <c r="C920" s="33"/>
      <c r="D920" s="33"/>
      <c r="E920" s="33"/>
      <c r="F920" s="33"/>
    </row>
    <row r="921" ht="15.75" customHeight="1">
      <c r="C921" s="33"/>
      <c r="D921" s="33"/>
      <c r="E921" s="33"/>
      <c r="F921" s="33"/>
    </row>
    <row r="922" ht="15.75" customHeight="1">
      <c r="C922" s="33"/>
      <c r="D922" s="33"/>
      <c r="E922" s="33"/>
      <c r="F922" s="33"/>
    </row>
    <row r="923" ht="15.75" customHeight="1">
      <c r="C923" s="33"/>
      <c r="D923" s="33"/>
      <c r="E923" s="33"/>
      <c r="F923" s="33"/>
    </row>
    <row r="924" ht="15.75" customHeight="1">
      <c r="C924" s="33"/>
      <c r="D924" s="33"/>
      <c r="E924" s="33"/>
      <c r="F924" s="33"/>
    </row>
    <row r="925" ht="15.75" customHeight="1">
      <c r="C925" s="33"/>
      <c r="D925" s="33"/>
      <c r="E925" s="33"/>
      <c r="F925" s="33"/>
    </row>
    <row r="926" ht="15.75" customHeight="1">
      <c r="C926" s="33"/>
      <c r="D926" s="33"/>
      <c r="E926" s="33"/>
      <c r="F926" s="33"/>
    </row>
    <row r="927" ht="15.75" customHeight="1">
      <c r="C927" s="33"/>
      <c r="D927" s="33"/>
      <c r="E927" s="33"/>
      <c r="F927" s="33"/>
    </row>
    <row r="928" ht="15.75" customHeight="1">
      <c r="C928" s="33"/>
      <c r="D928" s="33"/>
      <c r="E928" s="33"/>
      <c r="F928" s="33"/>
    </row>
    <row r="929" ht="15.75" customHeight="1">
      <c r="C929" s="33"/>
      <c r="D929" s="33"/>
      <c r="E929" s="33"/>
      <c r="F929" s="33"/>
    </row>
    <row r="930" ht="15.75" customHeight="1">
      <c r="C930" s="33"/>
      <c r="D930" s="33"/>
      <c r="E930" s="33"/>
      <c r="F930" s="33"/>
    </row>
    <row r="931" ht="15.75" customHeight="1">
      <c r="C931" s="33"/>
      <c r="D931" s="33"/>
      <c r="E931" s="33"/>
      <c r="F931" s="33"/>
    </row>
    <row r="932" ht="15.75" customHeight="1">
      <c r="C932" s="33"/>
      <c r="D932" s="33"/>
      <c r="E932" s="33"/>
      <c r="F932" s="33"/>
    </row>
    <row r="933" ht="15.75" customHeight="1">
      <c r="C933" s="33"/>
      <c r="D933" s="33"/>
      <c r="E933" s="33"/>
      <c r="F933" s="33"/>
    </row>
    <row r="934" ht="15.75" customHeight="1">
      <c r="C934" s="33"/>
      <c r="D934" s="33"/>
      <c r="E934" s="33"/>
      <c r="F934" s="33"/>
    </row>
    <row r="935" ht="15.75" customHeight="1">
      <c r="C935" s="33"/>
      <c r="D935" s="33"/>
      <c r="E935" s="33"/>
      <c r="F935" s="33"/>
    </row>
    <row r="936" ht="15.75" customHeight="1">
      <c r="C936" s="33"/>
      <c r="D936" s="33"/>
      <c r="E936" s="33"/>
      <c r="F936" s="33"/>
    </row>
    <row r="937" ht="15.75" customHeight="1">
      <c r="C937" s="33"/>
      <c r="D937" s="33"/>
      <c r="E937" s="33"/>
      <c r="F937" s="33"/>
    </row>
    <row r="938" ht="15.75" customHeight="1">
      <c r="C938" s="33"/>
      <c r="D938" s="33"/>
      <c r="E938" s="33"/>
      <c r="F938" s="33"/>
    </row>
    <row r="939" ht="15.75" customHeight="1">
      <c r="C939" s="33"/>
      <c r="D939" s="33"/>
      <c r="E939" s="33"/>
      <c r="F939" s="33"/>
    </row>
    <row r="940" ht="15.75" customHeight="1">
      <c r="C940" s="33"/>
      <c r="D940" s="33"/>
      <c r="E940" s="33"/>
      <c r="F940" s="33"/>
    </row>
    <row r="941" ht="15.75" customHeight="1">
      <c r="C941" s="33"/>
      <c r="D941" s="33"/>
      <c r="E941" s="33"/>
      <c r="F941" s="33"/>
    </row>
    <row r="942" ht="15.75" customHeight="1">
      <c r="C942" s="33"/>
      <c r="D942" s="33"/>
      <c r="E942" s="33"/>
      <c r="F942" s="33"/>
    </row>
    <row r="943" ht="15.75" customHeight="1">
      <c r="C943" s="33"/>
      <c r="D943" s="33"/>
      <c r="E943" s="33"/>
      <c r="F943" s="33"/>
    </row>
    <row r="944" ht="15.75" customHeight="1">
      <c r="C944" s="33"/>
      <c r="D944" s="33"/>
      <c r="E944" s="33"/>
      <c r="F944" s="33"/>
    </row>
    <row r="945" ht="15.75" customHeight="1">
      <c r="C945" s="33"/>
      <c r="D945" s="33"/>
      <c r="E945" s="33"/>
      <c r="F945" s="33"/>
    </row>
    <row r="946" ht="15.75" customHeight="1">
      <c r="C946" s="33"/>
      <c r="D946" s="33"/>
      <c r="E946" s="33"/>
      <c r="F946" s="33"/>
    </row>
    <row r="947" ht="15.75" customHeight="1">
      <c r="C947" s="33"/>
      <c r="D947" s="33"/>
      <c r="E947" s="33"/>
      <c r="F947" s="33"/>
    </row>
    <row r="948" ht="15.75" customHeight="1">
      <c r="C948" s="33"/>
      <c r="D948" s="33"/>
      <c r="E948" s="33"/>
      <c r="F948" s="33"/>
    </row>
    <row r="949" ht="15.75" customHeight="1">
      <c r="C949" s="33"/>
      <c r="D949" s="33"/>
      <c r="E949" s="33"/>
      <c r="F949" s="33"/>
    </row>
    <row r="950" ht="15.75" customHeight="1">
      <c r="C950" s="33"/>
      <c r="D950" s="33"/>
      <c r="E950" s="33"/>
      <c r="F950" s="33"/>
    </row>
    <row r="951" ht="15.75" customHeight="1">
      <c r="C951" s="33"/>
      <c r="D951" s="33"/>
      <c r="E951" s="33"/>
      <c r="F951" s="33"/>
    </row>
    <row r="952" ht="15.75" customHeight="1">
      <c r="C952" s="33"/>
      <c r="D952" s="33"/>
      <c r="E952" s="33"/>
      <c r="F952" s="33"/>
    </row>
    <row r="953" ht="15.75" customHeight="1">
      <c r="C953" s="33"/>
      <c r="D953" s="33"/>
      <c r="E953" s="33"/>
      <c r="F953" s="33"/>
    </row>
    <row r="954" ht="15.75" customHeight="1">
      <c r="C954" s="33"/>
      <c r="D954" s="33"/>
      <c r="E954" s="33"/>
      <c r="F954" s="33"/>
    </row>
    <row r="955" ht="15.75" customHeight="1">
      <c r="C955" s="33"/>
      <c r="D955" s="33"/>
      <c r="E955" s="33"/>
      <c r="F955" s="33"/>
    </row>
    <row r="956" ht="15.75" customHeight="1">
      <c r="C956" s="33"/>
      <c r="D956" s="33"/>
      <c r="E956" s="33"/>
      <c r="F956" s="33"/>
    </row>
    <row r="957" ht="15.75" customHeight="1">
      <c r="C957" s="33"/>
      <c r="D957" s="33"/>
      <c r="E957" s="33"/>
      <c r="F957" s="33"/>
    </row>
    <row r="958" ht="15.75" customHeight="1">
      <c r="C958" s="33"/>
      <c r="D958" s="33"/>
      <c r="E958" s="33"/>
      <c r="F958" s="33"/>
    </row>
    <row r="959" ht="15.75" customHeight="1">
      <c r="C959" s="33"/>
      <c r="D959" s="33"/>
      <c r="E959" s="33"/>
      <c r="F959" s="33"/>
    </row>
    <row r="960" ht="15.75" customHeight="1">
      <c r="C960" s="33"/>
      <c r="D960" s="33"/>
      <c r="E960" s="33"/>
      <c r="F960" s="33"/>
    </row>
    <row r="961" ht="15.75" customHeight="1">
      <c r="C961" s="33"/>
      <c r="D961" s="33"/>
      <c r="E961" s="33"/>
      <c r="F961" s="33"/>
    </row>
    <row r="962" ht="15.75" customHeight="1">
      <c r="C962" s="33"/>
      <c r="D962" s="33"/>
      <c r="E962" s="33"/>
      <c r="F962" s="33"/>
    </row>
    <row r="963" ht="15.75" customHeight="1">
      <c r="C963" s="33"/>
      <c r="D963" s="33"/>
      <c r="E963" s="33"/>
      <c r="F963" s="33"/>
    </row>
    <row r="964" ht="15.75" customHeight="1">
      <c r="C964" s="33"/>
      <c r="D964" s="33"/>
      <c r="E964" s="33"/>
      <c r="F964" s="33"/>
    </row>
    <row r="965" ht="15.75" customHeight="1">
      <c r="C965" s="33"/>
      <c r="D965" s="33"/>
      <c r="E965" s="33"/>
      <c r="F965" s="33"/>
    </row>
    <row r="966" ht="15.75" customHeight="1">
      <c r="C966" s="33"/>
      <c r="D966" s="33"/>
      <c r="E966" s="33"/>
      <c r="F966" s="33"/>
    </row>
    <row r="967" ht="15.75" customHeight="1">
      <c r="C967" s="33"/>
      <c r="D967" s="33"/>
      <c r="E967" s="33"/>
      <c r="F967" s="33"/>
    </row>
    <row r="968" ht="15.75" customHeight="1">
      <c r="C968" s="33"/>
      <c r="D968" s="33"/>
      <c r="E968" s="33"/>
      <c r="F968" s="33"/>
    </row>
    <row r="969" ht="15.75" customHeight="1">
      <c r="C969" s="33"/>
      <c r="D969" s="33"/>
      <c r="E969" s="33"/>
      <c r="F969" s="33"/>
    </row>
    <row r="970" ht="15.75" customHeight="1">
      <c r="C970" s="33"/>
      <c r="D970" s="33"/>
      <c r="E970" s="33"/>
      <c r="F970" s="33"/>
    </row>
    <row r="971" ht="15.75" customHeight="1">
      <c r="C971" s="33"/>
      <c r="D971" s="33"/>
      <c r="E971" s="33"/>
      <c r="F971" s="33"/>
    </row>
    <row r="972" ht="15.75" customHeight="1">
      <c r="C972" s="33"/>
      <c r="D972" s="33"/>
      <c r="E972" s="33"/>
      <c r="F972" s="33"/>
    </row>
    <row r="973" ht="15.75" customHeight="1">
      <c r="C973" s="33"/>
      <c r="D973" s="33"/>
      <c r="E973" s="33"/>
      <c r="F973" s="33"/>
    </row>
    <row r="974" ht="15.75" customHeight="1">
      <c r="C974" s="33"/>
      <c r="D974" s="33"/>
      <c r="E974" s="33"/>
      <c r="F974" s="33"/>
    </row>
    <row r="975" ht="15.75" customHeight="1">
      <c r="C975" s="33"/>
      <c r="D975" s="33"/>
      <c r="E975" s="33"/>
      <c r="F975" s="33"/>
    </row>
    <row r="976" ht="15.75" customHeight="1">
      <c r="C976" s="33"/>
      <c r="D976" s="33"/>
      <c r="E976" s="33"/>
      <c r="F976" s="33"/>
    </row>
    <row r="977" ht="15.75" customHeight="1">
      <c r="C977" s="33"/>
      <c r="D977" s="33"/>
      <c r="E977" s="33"/>
      <c r="F977" s="33"/>
    </row>
    <row r="978" ht="15.75" customHeight="1">
      <c r="C978" s="33"/>
      <c r="D978" s="33"/>
      <c r="E978" s="33"/>
      <c r="F978" s="33"/>
    </row>
    <row r="979" ht="15.75" customHeight="1">
      <c r="C979" s="33"/>
      <c r="D979" s="33"/>
      <c r="E979" s="33"/>
      <c r="F979" s="33"/>
    </row>
    <row r="980" ht="15.75" customHeight="1">
      <c r="C980" s="33"/>
      <c r="D980" s="33"/>
      <c r="E980" s="33"/>
      <c r="F980" s="33"/>
    </row>
    <row r="981" ht="15.75" customHeight="1">
      <c r="C981" s="33"/>
      <c r="D981" s="33"/>
      <c r="E981" s="33"/>
      <c r="F981" s="33"/>
    </row>
    <row r="982" ht="15.75" customHeight="1">
      <c r="C982" s="33"/>
      <c r="D982" s="33"/>
      <c r="E982" s="33"/>
      <c r="F982" s="33"/>
    </row>
    <row r="983" ht="15.75" customHeight="1">
      <c r="C983" s="33"/>
      <c r="D983" s="33"/>
      <c r="E983" s="33"/>
      <c r="F983" s="33"/>
    </row>
    <row r="984" ht="15.75" customHeight="1">
      <c r="C984" s="33"/>
      <c r="D984" s="33"/>
      <c r="E984" s="33"/>
      <c r="F984" s="33"/>
    </row>
    <row r="985" ht="15.75" customHeight="1">
      <c r="C985" s="33"/>
      <c r="D985" s="33"/>
      <c r="E985" s="33"/>
      <c r="F985" s="33"/>
    </row>
    <row r="986" ht="15.75" customHeight="1">
      <c r="C986" s="33"/>
      <c r="D986" s="33"/>
      <c r="E986" s="33"/>
      <c r="F986" s="33"/>
    </row>
    <row r="987" ht="15.75" customHeight="1">
      <c r="C987" s="33"/>
      <c r="D987" s="33"/>
      <c r="E987" s="33"/>
      <c r="F987" s="33"/>
    </row>
    <row r="988" ht="15.75" customHeight="1">
      <c r="C988" s="33"/>
      <c r="D988" s="33"/>
      <c r="E988" s="33"/>
      <c r="F988" s="33"/>
    </row>
    <row r="989" ht="15.75" customHeight="1">
      <c r="C989" s="33"/>
      <c r="D989" s="33"/>
      <c r="E989" s="33"/>
      <c r="F989" s="33"/>
    </row>
    <row r="990" ht="15.75" customHeight="1">
      <c r="C990" s="33"/>
      <c r="D990" s="33"/>
      <c r="E990" s="33"/>
      <c r="F990" s="33"/>
    </row>
    <row r="991" ht="15.75" customHeight="1">
      <c r="C991" s="33"/>
      <c r="D991" s="33"/>
      <c r="E991" s="33"/>
      <c r="F991" s="33"/>
    </row>
    <row r="992" ht="15.75" customHeight="1">
      <c r="C992" s="33"/>
      <c r="D992" s="33"/>
      <c r="E992" s="33"/>
      <c r="F992" s="33"/>
    </row>
    <row r="993" ht="15.75" customHeight="1">
      <c r="C993" s="33"/>
      <c r="D993" s="33"/>
      <c r="E993" s="33"/>
      <c r="F993" s="33"/>
    </row>
    <row r="994" ht="15.75" customHeight="1">
      <c r="C994" s="33"/>
      <c r="D994" s="33"/>
      <c r="E994" s="33"/>
      <c r="F994" s="33"/>
    </row>
    <row r="995" ht="15.75" customHeight="1">
      <c r="C995" s="33"/>
      <c r="D995" s="33"/>
      <c r="E995" s="33"/>
      <c r="F995" s="33"/>
    </row>
    <row r="996" ht="15.75" customHeight="1">
      <c r="C996" s="33"/>
      <c r="D996" s="33"/>
      <c r="E996" s="33"/>
      <c r="F996" s="33"/>
    </row>
    <row r="997" ht="15.75" customHeight="1">
      <c r="C997" s="33"/>
      <c r="D997" s="33"/>
      <c r="E997" s="33"/>
      <c r="F997" s="33"/>
    </row>
    <row r="998" ht="15.75" customHeight="1">
      <c r="C998" s="33"/>
      <c r="D998" s="33"/>
      <c r="E998" s="33"/>
      <c r="F998" s="33"/>
    </row>
    <row r="999" ht="15.75" customHeight="1">
      <c r="C999" s="33"/>
      <c r="D999" s="33"/>
      <c r="E999" s="33"/>
      <c r="F999" s="33"/>
    </row>
    <row r="1000" ht="15.75" customHeight="1">
      <c r="C1000" s="33"/>
      <c r="D1000" s="33"/>
      <c r="E1000" s="33"/>
      <c r="F1000" s="33"/>
    </row>
    <row r="1001" ht="15.75" customHeight="1">
      <c r="C1001" s="33"/>
      <c r="D1001" s="33"/>
      <c r="E1001" s="33"/>
      <c r="F1001" s="33"/>
    </row>
    <row r="1002" ht="15.75" customHeight="1">
      <c r="C1002" s="33"/>
      <c r="D1002" s="33"/>
      <c r="E1002" s="33"/>
      <c r="F1002" s="33"/>
    </row>
    <row r="1003" ht="15.75" customHeight="1">
      <c r="C1003" s="33"/>
      <c r="D1003" s="33"/>
      <c r="E1003" s="33"/>
      <c r="F1003" s="33"/>
    </row>
    <row r="1004" ht="15.75" customHeight="1">
      <c r="C1004" s="33"/>
      <c r="D1004" s="33"/>
      <c r="E1004" s="33"/>
      <c r="F1004" s="33"/>
    </row>
    <row r="1005" ht="15.75" customHeight="1">
      <c r="C1005" s="33"/>
      <c r="D1005" s="33"/>
      <c r="E1005" s="33"/>
      <c r="F1005" s="33"/>
    </row>
    <row r="1006" ht="15.75" customHeight="1">
      <c r="C1006" s="33"/>
      <c r="D1006" s="33"/>
      <c r="E1006" s="33"/>
      <c r="F1006" s="33"/>
    </row>
    <row r="1007" ht="15.75" customHeight="1">
      <c r="C1007" s="33"/>
      <c r="D1007" s="33"/>
      <c r="E1007" s="33"/>
      <c r="F1007" s="33"/>
    </row>
    <row r="1008" ht="15.75" customHeight="1">
      <c r="C1008" s="33"/>
      <c r="D1008" s="33"/>
      <c r="E1008" s="33"/>
      <c r="F1008" s="33"/>
    </row>
    <row r="1009" ht="15.75" customHeight="1">
      <c r="C1009" s="33"/>
      <c r="D1009" s="33"/>
      <c r="E1009" s="33"/>
      <c r="F1009" s="33"/>
    </row>
    <row r="1010" ht="15.75" customHeight="1">
      <c r="C1010" s="33"/>
      <c r="D1010" s="33"/>
      <c r="E1010" s="33"/>
      <c r="F1010" s="33"/>
    </row>
    <row r="1011" ht="15.75" customHeight="1">
      <c r="C1011" s="33"/>
      <c r="D1011" s="33"/>
      <c r="E1011" s="33"/>
      <c r="F1011" s="33"/>
    </row>
    <row r="1012" ht="15.75" customHeight="1">
      <c r="C1012" s="33"/>
      <c r="D1012" s="33"/>
      <c r="E1012" s="33"/>
      <c r="F1012" s="33"/>
    </row>
    <row r="1013" ht="15.75" customHeight="1">
      <c r="C1013" s="33"/>
      <c r="D1013" s="33"/>
      <c r="E1013" s="33"/>
      <c r="F1013" s="33"/>
    </row>
    <row r="1014" ht="15.75" customHeight="1">
      <c r="C1014" s="33"/>
      <c r="D1014" s="33"/>
      <c r="E1014" s="33"/>
      <c r="F1014" s="33"/>
    </row>
    <row r="1015" ht="15.75" customHeight="1">
      <c r="C1015" s="33"/>
      <c r="D1015" s="33"/>
      <c r="E1015" s="33"/>
      <c r="F1015" s="33"/>
    </row>
    <row r="1016" ht="15.75" customHeight="1">
      <c r="C1016" s="33"/>
      <c r="D1016" s="33"/>
      <c r="E1016" s="33"/>
      <c r="F1016" s="33"/>
    </row>
    <row r="1017" ht="15.75" customHeight="1">
      <c r="C1017" s="33"/>
      <c r="D1017" s="33"/>
      <c r="E1017" s="33"/>
      <c r="F1017" s="33"/>
    </row>
    <row r="1018" ht="15.75" customHeight="1">
      <c r="C1018" s="33"/>
      <c r="D1018" s="33"/>
      <c r="E1018" s="33"/>
      <c r="F1018" s="33"/>
    </row>
    <row r="1019" ht="15.75" customHeight="1">
      <c r="C1019" s="33"/>
      <c r="D1019" s="33"/>
      <c r="E1019" s="33"/>
      <c r="F1019" s="33"/>
    </row>
    <row r="1020" ht="15.75" customHeight="1">
      <c r="C1020" s="33"/>
      <c r="D1020" s="33"/>
      <c r="E1020" s="33"/>
      <c r="F1020" s="33"/>
    </row>
    <row r="1021" ht="15.75" customHeight="1">
      <c r="C1021" s="33"/>
      <c r="D1021" s="33"/>
      <c r="E1021" s="33"/>
      <c r="F1021" s="33"/>
    </row>
    <row r="1022" ht="15.75" customHeight="1">
      <c r="C1022" s="33"/>
      <c r="D1022" s="33"/>
      <c r="E1022" s="33"/>
      <c r="F1022" s="3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6.13"/>
    <col customWidth="1" min="3" max="4" width="13.38"/>
    <col customWidth="1" min="5" max="5" width="12.63"/>
  </cols>
  <sheetData>
    <row r="1" ht="15.75" customHeight="1">
      <c r="A1" s="5" t="s">
        <v>3</v>
      </c>
      <c r="B1" s="5" t="s">
        <v>4</v>
      </c>
      <c r="C1" s="4" t="s">
        <v>5</v>
      </c>
      <c r="D1" s="38" t="s">
        <v>102</v>
      </c>
      <c r="E1" s="29" t="s">
        <v>106</v>
      </c>
      <c r="F1" s="29" t="s">
        <v>107</v>
      </c>
      <c r="G1" s="30"/>
    </row>
    <row r="2" ht="15.75" customHeight="1">
      <c r="A2" s="14" t="s">
        <v>11</v>
      </c>
      <c r="B2" s="14" t="s">
        <v>25</v>
      </c>
      <c r="C2" s="15" t="s">
        <v>26</v>
      </c>
      <c r="D2" s="39">
        <v>0.3</v>
      </c>
      <c r="E2" s="32">
        <v>0.45</v>
      </c>
      <c r="F2" s="32">
        <v>0.2</v>
      </c>
    </row>
    <row r="3" ht="15.75" customHeight="1">
      <c r="A3" s="14" t="s">
        <v>11</v>
      </c>
      <c r="B3" s="14" t="s">
        <v>27</v>
      </c>
      <c r="C3" s="15" t="s">
        <v>28</v>
      </c>
      <c r="D3" s="39">
        <v>0.3</v>
      </c>
      <c r="E3" s="32">
        <v>0.4</v>
      </c>
      <c r="F3" s="32">
        <v>0.2</v>
      </c>
    </row>
    <row r="4" ht="15.75" customHeight="1">
      <c r="A4" s="14" t="s">
        <v>11</v>
      </c>
      <c r="B4" s="14" t="s">
        <v>29</v>
      </c>
      <c r="C4" s="15" t="s">
        <v>30</v>
      </c>
      <c r="D4" s="39">
        <v>0.4</v>
      </c>
      <c r="E4" s="32">
        <v>0.45</v>
      </c>
      <c r="F4" s="32">
        <v>0.3</v>
      </c>
    </row>
    <row r="5" ht="15.75" customHeight="1">
      <c r="A5" s="14" t="s">
        <v>11</v>
      </c>
      <c r="B5" s="14" t="s">
        <v>31</v>
      </c>
      <c r="C5" s="15" t="s">
        <v>32</v>
      </c>
      <c r="D5" s="39">
        <v>0.7</v>
      </c>
      <c r="E5" s="32">
        <v>0.55</v>
      </c>
      <c r="F5" s="32">
        <v>0.8</v>
      </c>
    </row>
    <row r="6" ht="15.75" customHeight="1">
      <c r="A6" s="14" t="s">
        <v>18</v>
      </c>
      <c r="B6" s="14" t="s">
        <v>33</v>
      </c>
      <c r="C6" s="15" t="s">
        <v>30</v>
      </c>
      <c r="D6" s="39">
        <v>0.99</v>
      </c>
      <c r="E6" s="32">
        <v>0.8</v>
      </c>
      <c r="F6" s="32">
        <v>0.99</v>
      </c>
    </row>
    <row r="7" ht="15.75" customHeight="1">
      <c r="A7" s="14" t="s">
        <v>18</v>
      </c>
      <c r="B7" s="14" t="s">
        <v>34</v>
      </c>
      <c r="C7" s="15" t="s">
        <v>26</v>
      </c>
      <c r="D7" s="39">
        <v>0.35</v>
      </c>
      <c r="E7" s="32">
        <v>0.45</v>
      </c>
      <c r="F7" s="32">
        <v>0.2</v>
      </c>
    </row>
    <row r="8" ht="15.75" customHeight="1">
      <c r="A8" s="14" t="s">
        <v>18</v>
      </c>
      <c r="B8" s="14" t="s">
        <v>35</v>
      </c>
      <c r="C8" s="15" t="s">
        <v>26</v>
      </c>
      <c r="D8" s="39">
        <v>0.65</v>
      </c>
      <c r="E8" s="32">
        <v>0.55</v>
      </c>
      <c r="F8" s="32">
        <v>0.8</v>
      </c>
    </row>
    <row r="9" ht="15.75" customHeight="1">
      <c r="A9" s="14" t="s">
        <v>18</v>
      </c>
      <c r="B9" s="14" t="s">
        <v>36</v>
      </c>
      <c r="C9" s="15" t="s">
        <v>37</v>
      </c>
      <c r="D9" s="39">
        <v>0.1</v>
      </c>
      <c r="E9" s="32">
        <v>0.3</v>
      </c>
      <c r="F9" s="32">
        <v>0.01</v>
      </c>
    </row>
    <row r="10" ht="15.75" customHeight="1">
      <c r="A10" s="14" t="s">
        <v>18</v>
      </c>
      <c r="B10" s="14" t="s">
        <v>38</v>
      </c>
      <c r="C10" s="15" t="s">
        <v>39</v>
      </c>
      <c r="D10" s="39">
        <v>0.8</v>
      </c>
      <c r="E10" s="32">
        <v>0.65</v>
      </c>
      <c r="F10" s="32">
        <v>0.9</v>
      </c>
    </row>
    <row r="11" ht="15.75" customHeight="1">
      <c r="A11" s="14" t="s">
        <v>8</v>
      </c>
      <c r="B11" s="14" t="s">
        <v>40</v>
      </c>
      <c r="C11" s="15" t="s">
        <v>39</v>
      </c>
      <c r="D11" s="39">
        <v>0.6</v>
      </c>
      <c r="E11" s="32">
        <v>0.55</v>
      </c>
      <c r="F11" s="32">
        <v>0.7</v>
      </c>
    </row>
    <row r="12" ht="15.75" customHeight="1">
      <c r="A12" s="14" t="s">
        <v>8</v>
      </c>
      <c r="B12" s="14" t="s">
        <v>41</v>
      </c>
      <c r="C12" s="15" t="s">
        <v>42</v>
      </c>
      <c r="D12" s="39">
        <v>0.5</v>
      </c>
      <c r="E12" s="32">
        <v>0.5</v>
      </c>
      <c r="F12" s="32">
        <v>0.5</v>
      </c>
    </row>
    <row r="13" ht="15.75" customHeight="1">
      <c r="A13" s="14" t="s">
        <v>8</v>
      </c>
      <c r="B13" s="14" t="s">
        <v>43</v>
      </c>
      <c r="C13" s="15" t="s">
        <v>28</v>
      </c>
      <c r="D13" s="39">
        <v>0.1</v>
      </c>
      <c r="E13" s="32">
        <v>0.2</v>
      </c>
      <c r="F13" s="32">
        <v>0.05</v>
      </c>
    </row>
    <row r="14" ht="15.75" customHeight="1">
      <c r="A14" s="14" t="s">
        <v>8</v>
      </c>
      <c r="B14" s="14" t="s">
        <v>44</v>
      </c>
      <c r="C14" s="15" t="s">
        <v>45</v>
      </c>
      <c r="D14" s="39">
        <v>0.1</v>
      </c>
      <c r="E14" s="32">
        <v>0.3</v>
      </c>
      <c r="F14" s="32">
        <v>0.01</v>
      </c>
    </row>
    <row r="15" ht="15.75" customHeight="1">
      <c r="A15" s="14" t="s">
        <v>8</v>
      </c>
      <c r="B15" s="14" t="s">
        <v>46</v>
      </c>
      <c r="C15" s="15" t="s">
        <v>45</v>
      </c>
      <c r="D15" s="39">
        <v>0.1</v>
      </c>
      <c r="E15" s="32">
        <v>0.3</v>
      </c>
      <c r="F15" s="32">
        <v>0.01</v>
      </c>
    </row>
    <row r="16" ht="15.75" customHeight="1">
      <c r="A16" s="14" t="s">
        <v>16</v>
      </c>
      <c r="B16" s="14" t="s">
        <v>47</v>
      </c>
      <c r="C16" s="15" t="s">
        <v>30</v>
      </c>
      <c r="D16" s="39">
        <v>0.6</v>
      </c>
      <c r="E16" s="32">
        <v>0.55</v>
      </c>
      <c r="F16" s="32">
        <v>0.7</v>
      </c>
    </row>
    <row r="17" ht="15.75" customHeight="1">
      <c r="A17" s="14" t="s">
        <v>16</v>
      </c>
      <c r="B17" s="14" t="s">
        <v>48</v>
      </c>
      <c r="C17" s="15" t="s">
        <v>30</v>
      </c>
      <c r="D17" s="39">
        <v>0.5</v>
      </c>
      <c r="E17" s="32">
        <v>0.5</v>
      </c>
      <c r="F17" s="32">
        <v>0.5</v>
      </c>
    </row>
    <row r="18" ht="15.75" customHeight="1">
      <c r="A18" s="14" t="s">
        <v>16</v>
      </c>
      <c r="B18" s="14" t="s">
        <v>49</v>
      </c>
      <c r="C18" s="15" t="s">
        <v>50</v>
      </c>
      <c r="D18" s="39">
        <v>0.7</v>
      </c>
      <c r="E18" s="32">
        <v>0.6</v>
      </c>
      <c r="F18" s="32">
        <v>0.8</v>
      </c>
    </row>
    <row r="19" ht="15.75" customHeight="1">
      <c r="A19" s="14" t="s">
        <v>16</v>
      </c>
      <c r="B19" s="14" t="s">
        <v>51</v>
      </c>
      <c r="C19" s="15" t="s">
        <v>30</v>
      </c>
      <c r="D19" s="39">
        <v>0.5</v>
      </c>
      <c r="E19" s="32">
        <v>0.5</v>
      </c>
      <c r="F19" s="32">
        <v>0.5</v>
      </c>
    </row>
    <row r="20" ht="15.75" customHeight="1">
      <c r="A20" s="14" t="s">
        <v>16</v>
      </c>
      <c r="B20" s="14" t="s">
        <v>52</v>
      </c>
      <c r="C20" s="15" t="s">
        <v>42</v>
      </c>
      <c r="D20" s="39">
        <v>0.5</v>
      </c>
      <c r="E20" s="32">
        <v>0.5</v>
      </c>
      <c r="F20" s="32">
        <v>0.5</v>
      </c>
    </row>
    <row r="21" ht="15.75" customHeight="1">
      <c r="A21" s="14" t="s">
        <v>14</v>
      </c>
      <c r="B21" s="14" t="s">
        <v>53</v>
      </c>
      <c r="C21" s="15" t="s">
        <v>28</v>
      </c>
      <c r="D21" s="39">
        <v>0.6</v>
      </c>
      <c r="E21" s="32">
        <v>0.55</v>
      </c>
      <c r="F21" s="32">
        <v>0.7</v>
      </c>
    </row>
    <row r="22" ht="15.75" customHeight="1">
      <c r="A22" s="14" t="s">
        <v>14</v>
      </c>
      <c r="B22" s="14" t="s">
        <v>54</v>
      </c>
      <c r="C22" s="15" t="s">
        <v>39</v>
      </c>
      <c r="D22" s="39">
        <v>0.4</v>
      </c>
      <c r="E22" s="32">
        <v>0.45</v>
      </c>
      <c r="F22" s="32">
        <v>0.3</v>
      </c>
    </row>
    <row r="23" ht="15.75" customHeight="1">
      <c r="A23" s="14" t="s">
        <v>14</v>
      </c>
      <c r="B23" s="14" t="s">
        <v>55</v>
      </c>
      <c r="C23" s="15" t="s">
        <v>32</v>
      </c>
      <c r="D23" s="39">
        <v>0.6</v>
      </c>
      <c r="E23" s="32">
        <v>0.55</v>
      </c>
      <c r="F23" s="32">
        <v>0.7</v>
      </c>
    </row>
    <row r="24" ht="15.75" customHeight="1">
      <c r="A24" s="14" t="s">
        <v>14</v>
      </c>
      <c r="B24" s="14" t="s">
        <v>57</v>
      </c>
      <c r="C24" s="15" t="s">
        <v>32</v>
      </c>
      <c r="D24" s="39">
        <v>0.4</v>
      </c>
      <c r="E24" s="32">
        <v>0.45</v>
      </c>
      <c r="F24" s="32">
        <v>0.6</v>
      </c>
    </row>
    <row r="25" ht="15.75" customHeight="1">
      <c r="A25" s="14" t="s">
        <v>14</v>
      </c>
      <c r="B25" s="14" t="s">
        <v>58</v>
      </c>
      <c r="C25" s="15" t="s">
        <v>37</v>
      </c>
      <c r="D25" s="39">
        <v>0.25</v>
      </c>
      <c r="E25" s="32">
        <v>0.4</v>
      </c>
      <c r="F25" s="32">
        <v>0.15</v>
      </c>
    </row>
    <row r="26" ht="15.75" customHeight="1">
      <c r="A26" s="14" t="s">
        <v>9</v>
      </c>
      <c r="B26" s="14" t="s">
        <v>59</v>
      </c>
      <c r="C26" s="15" t="s">
        <v>30</v>
      </c>
      <c r="D26" s="39">
        <v>0.5</v>
      </c>
      <c r="E26" s="32">
        <v>0.5</v>
      </c>
      <c r="F26" s="32">
        <v>0.5</v>
      </c>
    </row>
    <row r="27" ht="15.75" customHeight="1">
      <c r="A27" s="14" t="s">
        <v>9</v>
      </c>
      <c r="B27" s="14" t="s">
        <v>60</v>
      </c>
      <c r="C27" s="15" t="s">
        <v>32</v>
      </c>
      <c r="D27" s="39">
        <v>0.5</v>
      </c>
      <c r="E27" s="32">
        <v>0.5</v>
      </c>
      <c r="F27" s="32">
        <v>0.5</v>
      </c>
    </row>
    <row r="28" ht="15.75" customHeight="1">
      <c r="A28" s="14" t="s">
        <v>9</v>
      </c>
      <c r="B28" s="14" t="s">
        <v>61</v>
      </c>
      <c r="C28" s="15" t="s">
        <v>28</v>
      </c>
      <c r="D28" s="39">
        <v>0.25</v>
      </c>
      <c r="E28" s="32">
        <v>0.2</v>
      </c>
      <c r="F28" s="32">
        <v>0.3</v>
      </c>
    </row>
    <row r="29" ht="15.75" customHeight="1">
      <c r="A29" s="14" t="s">
        <v>9</v>
      </c>
      <c r="B29" s="14" t="s">
        <v>62</v>
      </c>
      <c r="C29" s="15" t="s">
        <v>28</v>
      </c>
      <c r="D29" s="39">
        <v>0.73</v>
      </c>
      <c r="E29" s="32">
        <v>0.6</v>
      </c>
      <c r="F29" s="32">
        <v>0.85</v>
      </c>
    </row>
    <row r="30" ht="15.75" customHeight="1">
      <c r="A30" s="14" t="s">
        <v>9</v>
      </c>
      <c r="B30" s="14" t="s">
        <v>63</v>
      </c>
      <c r="C30" s="15" t="s">
        <v>28</v>
      </c>
      <c r="D30" s="39">
        <v>0.8</v>
      </c>
      <c r="E30" s="32">
        <v>0.7</v>
      </c>
      <c r="F30" s="32">
        <v>0.9</v>
      </c>
    </row>
    <row r="31" ht="15.75" customHeight="1">
      <c r="A31" s="14" t="s">
        <v>64</v>
      </c>
      <c r="B31" s="14" t="s">
        <v>65</v>
      </c>
      <c r="C31" s="15" t="s">
        <v>32</v>
      </c>
      <c r="D31" s="39">
        <v>0.5</v>
      </c>
      <c r="E31" s="32">
        <v>0.5</v>
      </c>
      <c r="F31" s="32">
        <v>0.5</v>
      </c>
    </row>
    <row r="32" ht="15.75" customHeight="1">
      <c r="A32" s="14" t="s">
        <v>64</v>
      </c>
      <c r="B32" s="14" t="s">
        <v>66</v>
      </c>
      <c r="C32" s="15" t="s">
        <v>26</v>
      </c>
      <c r="D32" s="39">
        <v>0.4</v>
      </c>
      <c r="E32" s="32">
        <v>0.45</v>
      </c>
      <c r="F32" s="32">
        <v>0.3</v>
      </c>
    </row>
    <row r="33" ht="15.75" customHeight="1">
      <c r="A33" s="14" t="s">
        <v>64</v>
      </c>
      <c r="B33" s="14" t="s">
        <v>67</v>
      </c>
      <c r="C33" s="15" t="s">
        <v>32</v>
      </c>
      <c r="D33" s="39">
        <v>0.6</v>
      </c>
      <c r="E33" s="32">
        <v>0.55</v>
      </c>
      <c r="F33" s="32">
        <v>0.7</v>
      </c>
    </row>
    <row r="34" ht="15.75" customHeight="1">
      <c r="A34" s="14" t="s">
        <v>64</v>
      </c>
      <c r="B34" s="14" t="s">
        <v>68</v>
      </c>
      <c r="C34" s="15" t="s">
        <v>39</v>
      </c>
      <c r="D34" s="39">
        <v>0.4</v>
      </c>
      <c r="E34" s="32">
        <v>0.45</v>
      </c>
      <c r="F34" s="32">
        <v>0.3</v>
      </c>
    </row>
    <row r="35" ht="15.75" customHeight="1">
      <c r="A35" s="14" t="s">
        <v>64</v>
      </c>
      <c r="B35" s="14" t="s">
        <v>69</v>
      </c>
      <c r="C35" s="15" t="s">
        <v>28</v>
      </c>
      <c r="D35" s="39">
        <v>0.9</v>
      </c>
      <c r="E35" s="32">
        <v>0.8</v>
      </c>
      <c r="F35" s="32">
        <v>0.99</v>
      </c>
    </row>
    <row r="36" ht="15.75" customHeight="1">
      <c r="A36" s="14" t="s">
        <v>7</v>
      </c>
      <c r="B36" s="14" t="s">
        <v>70</v>
      </c>
      <c r="C36" s="15" t="s">
        <v>32</v>
      </c>
      <c r="D36" s="39">
        <v>0.55</v>
      </c>
      <c r="E36" s="32">
        <v>0.52</v>
      </c>
      <c r="F36" s="32">
        <v>0.6</v>
      </c>
    </row>
    <row r="37" ht="15.75" customHeight="1">
      <c r="A37" s="14" t="s">
        <v>7</v>
      </c>
      <c r="B37" s="14" t="s">
        <v>71</v>
      </c>
      <c r="C37" s="15" t="s">
        <v>28</v>
      </c>
      <c r="D37" s="39">
        <v>0.8</v>
      </c>
      <c r="E37" s="32">
        <v>0.65</v>
      </c>
      <c r="F37" s="32">
        <v>0.9</v>
      </c>
    </row>
    <row r="38" ht="15.75" customHeight="1">
      <c r="A38" s="14" t="s">
        <v>7</v>
      </c>
      <c r="B38" s="14" t="s">
        <v>72</v>
      </c>
      <c r="C38" s="15" t="s">
        <v>42</v>
      </c>
      <c r="D38" s="39">
        <v>0.4</v>
      </c>
      <c r="E38" s="32">
        <v>0.45</v>
      </c>
      <c r="F38" s="32">
        <v>0.3</v>
      </c>
    </row>
    <row r="39" ht="15.75" customHeight="1">
      <c r="A39" s="14" t="s">
        <v>7</v>
      </c>
      <c r="B39" s="14" t="s">
        <v>73</v>
      </c>
      <c r="C39" s="15" t="s">
        <v>45</v>
      </c>
      <c r="D39" s="39">
        <v>0.1</v>
      </c>
      <c r="E39" s="32">
        <v>0.2</v>
      </c>
      <c r="F39" s="32">
        <v>0.01</v>
      </c>
    </row>
    <row r="40" ht="15.75" customHeight="1">
      <c r="A40" s="14" t="s">
        <v>7</v>
      </c>
      <c r="B40" s="14" t="s">
        <v>74</v>
      </c>
      <c r="C40" s="15" t="s">
        <v>30</v>
      </c>
      <c r="D40" s="39">
        <v>0.2</v>
      </c>
      <c r="E40" s="32">
        <v>0.3</v>
      </c>
      <c r="F40" s="32">
        <v>0.15</v>
      </c>
    </row>
    <row r="41" ht="15.75" customHeight="1">
      <c r="A41" s="14" t="s">
        <v>75</v>
      </c>
      <c r="B41" s="14" t="s">
        <v>76</v>
      </c>
      <c r="C41" s="15" t="s">
        <v>28</v>
      </c>
      <c r="D41" s="39">
        <v>0.3</v>
      </c>
      <c r="E41" s="32">
        <v>0.4</v>
      </c>
      <c r="F41" s="32">
        <v>0.2</v>
      </c>
    </row>
    <row r="42" ht="15.75" customHeight="1">
      <c r="A42" s="14" t="s">
        <v>75</v>
      </c>
      <c r="B42" s="14" t="s">
        <v>77</v>
      </c>
      <c r="C42" s="15" t="s">
        <v>32</v>
      </c>
      <c r="D42" s="39">
        <v>0.9</v>
      </c>
      <c r="E42" s="32">
        <v>0.7</v>
      </c>
      <c r="F42" s="32">
        <v>0.99</v>
      </c>
    </row>
    <row r="43" ht="15.75" customHeight="1">
      <c r="A43" s="14" t="s">
        <v>75</v>
      </c>
      <c r="B43" s="14" t="s">
        <v>78</v>
      </c>
      <c r="C43" s="15" t="s">
        <v>32</v>
      </c>
      <c r="D43" s="39">
        <v>0.4</v>
      </c>
      <c r="E43" s="32">
        <v>0.45</v>
      </c>
      <c r="F43" s="32">
        <v>0.3</v>
      </c>
    </row>
    <row r="44" ht="15.75" customHeight="1">
      <c r="A44" s="14" t="s">
        <v>75</v>
      </c>
      <c r="B44" s="14" t="s">
        <v>79</v>
      </c>
      <c r="C44" s="15" t="s">
        <v>28</v>
      </c>
      <c r="D44" s="39">
        <v>0.2</v>
      </c>
      <c r="E44" s="32">
        <v>0.3</v>
      </c>
      <c r="F44" s="32">
        <v>0.1</v>
      </c>
    </row>
    <row r="45" ht="15.75" customHeight="1">
      <c r="A45" s="14" t="s">
        <v>75</v>
      </c>
      <c r="B45" s="14" t="s">
        <v>80</v>
      </c>
      <c r="C45" s="15" t="s">
        <v>45</v>
      </c>
      <c r="D45" s="39">
        <v>0.6</v>
      </c>
      <c r="E45" s="32">
        <v>0.55</v>
      </c>
      <c r="F45" s="32">
        <v>0.7</v>
      </c>
    </row>
    <row r="46" ht="15.75" customHeight="1">
      <c r="A46" s="14" t="s">
        <v>13</v>
      </c>
      <c r="B46" s="14" t="s">
        <v>82</v>
      </c>
      <c r="C46" s="15" t="s">
        <v>32</v>
      </c>
      <c r="D46" s="39">
        <v>0.6</v>
      </c>
      <c r="E46" s="32">
        <v>0.55</v>
      </c>
      <c r="F46" s="32">
        <v>0.7</v>
      </c>
    </row>
    <row r="47" ht="15.75" customHeight="1">
      <c r="A47" s="14" t="s">
        <v>13</v>
      </c>
      <c r="B47" s="14" t="s">
        <v>83</v>
      </c>
      <c r="C47" s="15" t="s">
        <v>39</v>
      </c>
      <c r="D47" s="39">
        <v>0.6</v>
      </c>
      <c r="E47" s="32">
        <v>0.55</v>
      </c>
      <c r="F47" s="32">
        <v>0.7</v>
      </c>
    </row>
    <row r="48" ht="15.75" customHeight="1">
      <c r="A48" s="14" t="s">
        <v>13</v>
      </c>
      <c r="B48" s="14" t="s">
        <v>84</v>
      </c>
      <c r="C48" s="15" t="s">
        <v>30</v>
      </c>
      <c r="D48" s="39">
        <v>0.55</v>
      </c>
      <c r="E48" s="32">
        <v>0.5</v>
      </c>
      <c r="F48" s="32">
        <v>0.6</v>
      </c>
    </row>
    <row r="49" ht="15.75" customHeight="1">
      <c r="A49" s="14" t="s">
        <v>13</v>
      </c>
      <c r="B49" s="14" t="s">
        <v>85</v>
      </c>
      <c r="C49" s="15" t="s">
        <v>30</v>
      </c>
      <c r="D49" s="39">
        <v>0.6</v>
      </c>
      <c r="E49" s="32">
        <v>0.55</v>
      </c>
      <c r="F49" s="32">
        <v>0.7</v>
      </c>
    </row>
    <row r="50" ht="15.75" customHeight="1">
      <c r="A50" s="14" t="s">
        <v>13</v>
      </c>
      <c r="B50" s="14" t="s">
        <v>86</v>
      </c>
      <c r="C50" s="15" t="s">
        <v>32</v>
      </c>
      <c r="D50" s="39">
        <v>0.4</v>
      </c>
      <c r="E50" s="32">
        <v>0.45</v>
      </c>
      <c r="F50" s="32">
        <v>0.3</v>
      </c>
    </row>
    <row r="51" ht="15.75" customHeight="1">
      <c r="A51" s="14" t="s">
        <v>10</v>
      </c>
      <c r="B51" s="14" t="s">
        <v>87</v>
      </c>
      <c r="C51" s="15" t="s">
        <v>30</v>
      </c>
      <c r="D51" s="39">
        <v>0.9</v>
      </c>
      <c r="E51" s="32">
        <v>0.7</v>
      </c>
      <c r="F51" s="32">
        <v>0.99</v>
      </c>
    </row>
    <row r="52" ht="15.75" customHeight="1">
      <c r="A52" s="14" t="s">
        <v>10</v>
      </c>
      <c r="B52" s="14" t="s">
        <v>88</v>
      </c>
      <c r="C52" s="15" t="s">
        <v>30</v>
      </c>
      <c r="D52" s="39">
        <v>0.99</v>
      </c>
      <c r="E52" s="32">
        <v>0.9</v>
      </c>
      <c r="F52" s="32">
        <v>1.0</v>
      </c>
    </row>
    <row r="53" ht="15.75" customHeight="1">
      <c r="A53" s="14" t="s">
        <v>10</v>
      </c>
      <c r="B53" s="14" t="s">
        <v>89</v>
      </c>
      <c r="C53" s="15" t="s">
        <v>26</v>
      </c>
      <c r="D53" s="39">
        <v>0.7</v>
      </c>
      <c r="E53" s="32">
        <v>0.6</v>
      </c>
      <c r="F53" s="32">
        <v>0.8</v>
      </c>
    </row>
    <row r="54" ht="15.75" customHeight="1">
      <c r="A54" s="14" t="s">
        <v>10</v>
      </c>
      <c r="B54" s="14" t="s">
        <v>90</v>
      </c>
      <c r="C54" s="15" t="s">
        <v>32</v>
      </c>
      <c r="D54" s="39">
        <v>0.75</v>
      </c>
      <c r="E54" s="32">
        <v>0.6</v>
      </c>
      <c r="F54" s="32">
        <v>0.85</v>
      </c>
    </row>
    <row r="55" ht="15.75" customHeight="1">
      <c r="A55" s="14" t="s">
        <v>10</v>
      </c>
      <c r="B55" s="20" t="s">
        <v>91</v>
      </c>
      <c r="C55" s="15" t="s">
        <v>50</v>
      </c>
      <c r="D55" s="39">
        <v>0.55</v>
      </c>
      <c r="E55" s="32">
        <v>0.5</v>
      </c>
      <c r="F55" s="32">
        <v>0.6</v>
      </c>
    </row>
    <row r="56" ht="15.75" customHeight="1">
      <c r="A56" s="14" t="s">
        <v>17</v>
      </c>
      <c r="B56" s="14" t="s">
        <v>92</v>
      </c>
      <c r="C56" s="15" t="s">
        <v>32</v>
      </c>
      <c r="D56" s="39">
        <v>0.7</v>
      </c>
      <c r="E56" s="32">
        <v>0.6</v>
      </c>
      <c r="F56" s="32">
        <v>0.8</v>
      </c>
    </row>
    <row r="57" ht="15.75" customHeight="1">
      <c r="A57" s="14" t="s">
        <v>17</v>
      </c>
      <c r="B57" s="14" t="s">
        <v>93</v>
      </c>
      <c r="C57" s="15" t="s">
        <v>32</v>
      </c>
      <c r="D57" s="39">
        <v>0.3</v>
      </c>
      <c r="E57" s="32">
        <v>0.4</v>
      </c>
      <c r="F57" s="32">
        <v>0.2</v>
      </c>
    </row>
    <row r="58" ht="15.75" customHeight="1">
      <c r="A58" s="14" t="s">
        <v>17</v>
      </c>
      <c r="B58" s="14" t="s">
        <v>94</v>
      </c>
      <c r="C58" s="15" t="s">
        <v>30</v>
      </c>
      <c r="D58" s="39">
        <v>0.2</v>
      </c>
      <c r="E58" s="32">
        <v>0.3</v>
      </c>
      <c r="F58" s="32">
        <v>0.15</v>
      </c>
    </row>
    <row r="59" ht="15.75" customHeight="1">
      <c r="A59" s="14" t="s">
        <v>17</v>
      </c>
      <c r="B59" s="14" t="s">
        <v>95</v>
      </c>
      <c r="C59" s="15" t="s">
        <v>32</v>
      </c>
      <c r="D59" s="39">
        <v>0.4</v>
      </c>
      <c r="E59" s="32">
        <v>0.45</v>
      </c>
      <c r="F59" s="32">
        <v>0.3</v>
      </c>
    </row>
    <row r="60" ht="15.75" customHeight="1">
      <c r="A60" s="14" t="s">
        <v>17</v>
      </c>
      <c r="B60" s="14" t="s">
        <v>96</v>
      </c>
      <c r="C60" s="15" t="s">
        <v>32</v>
      </c>
      <c r="D60" s="39">
        <v>0.75</v>
      </c>
      <c r="E60" s="32">
        <v>0.6</v>
      </c>
      <c r="F60" s="32">
        <v>0.9</v>
      </c>
    </row>
    <row r="61">
      <c r="C61" s="33"/>
      <c r="D61" s="33"/>
      <c r="E61" s="33"/>
      <c r="F61" s="33"/>
    </row>
    <row r="62">
      <c r="C62" s="33"/>
      <c r="D62" s="33"/>
      <c r="E62" s="33"/>
      <c r="F62" s="33"/>
    </row>
    <row r="63">
      <c r="C63" s="33"/>
      <c r="D63" s="33"/>
      <c r="E63" s="33"/>
      <c r="F63" s="33"/>
    </row>
    <row r="64">
      <c r="C64" s="33"/>
      <c r="D64" s="33"/>
      <c r="E64" s="33"/>
      <c r="F64" s="33"/>
    </row>
    <row r="65">
      <c r="C65" s="33"/>
      <c r="D65" s="33"/>
      <c r="E65" s="33"/>
      <c r="F65" s="33"/>
    </row>
    <row r="66">
      <c r="C66" s="33"/>
      <c r="D66" s="33"/>
      <c r="E66" s="33"/>
      <c r="F66" s="33"/>
    </row>
    <row r="67">
      <c r="C67" s="33"/>
      <c r="D67" s="33"/>
      <c r="E67" s="33"/>
      <c r="F67" s="33"/>
    </row>
    <row r="68">
      <c r="C68" s="33"/>
      <c r="D68" s="33"/>
      <c r="E68" s="33"/>
      <c r="F68" s="33"/>
    </row>
    <row r="69">
      <c r="C69" s="33"/>
      <c r="D69" s="33"/>
      <c r="E69" s="33"/>
      <c r="F69" s="33"/>
    </row>
    <row r="70">
      <c r="C70" s="33"/>
      <c r="D70" s="33"/>
      <c r="E70" s="33"/>
      <c r="F70" s="33"/>
    </row>
    <row r="71">
      <c r="C71" s="33"/>
      <c r="D71" s="33"/>
      <c r="E71" s="33"/>
      <c r="F71" s="33"/>
    </row>
    <row r="72">
      <c r="C72" s="33"/>
      <c r="D72" s="33"/>
      <c r="E72" s="33"/>
      <c r="F72" s="33"/>
    </row>
    <row r="73">
      <c r="C73" s="33"/>
      <c r="D73" s="33"/>
      <c r="E73" s="33"/>
      <c r="F73" s="33"/>
    </row>
    <row r="74">
      <c r="C74" s="33"/>
      <c r="D74" s="33"/>
      <c r="E74" s="33"/>
      <c r="F74" s="33"/>
    </row>
    <row r="75">
      <c r="C75" s="33"/>
      <c r="D75" s="33"/>
      <c r="E75" s="33"/>
      <c r="F75" s="33"/>
    </row>
    <row r="76">
      <c r="C76" s="33"/>
      <c r="D76" s="33"/>
      <c r="E76" s="33"/>
      <c r="F76" s="33"/>
    </row>
    <row r="77">
      <c r="C77" s="33"/>
      <c r="D77" s="33"/>
      <c r="E77" s="33"/>
      <c r="F77" s="33"/>
    </row>
    <row r="78">
      <c r="C78" s="33"/>
      <c r="D78" s="33"/>
      <c r="E78" s="33"/>
      <c r="F78" s="33"/>
    </row>
    <row r="79">
      <c r="C79" s="33"/>
      <c r="D79" s="33"/>
      <c r="E79" s="33"/>
      <c r="F79" s="33"/>
    </row>
    <row r="80">
      <c r="C80" s="33"/>
      <c r="D80" s="33"/>
      <c r="E80" s="33"/>
      <c r="F80" s="33"/>
    </row>
    <row r="81">
      <c r="C81" s="33"/>
      <c r="D81" s="33"/>
      <c r="E81" s="33"/>
      <c r="F81" s="33"/>
    </row>
    <row r="82" ht="15.75" customHeight="1">
      <c r="C82" s="33"/>
      <c r="D82" s="33"/>
      <c r="E82" s="33"/>
      <c r="F82" s="33"/>
    </row>
    <row r="83" ht="15.75" customHeight="1">
      <c r="C83" s="33"/>
      <c r="D83" s="33"/>
      <c r="E83" s="33"/>
      <c r="F83" s="33"/>
    </row>
    <row r="84" ht="15.75" customHeight="1">
      <c r="C84" s="33"/>
      <c r="D84" s="33"/>
      <c r="E84" s="33"/>
      <c r="F84" s="33"/>
    </row>
    <row r="85" ht="15.75" customHeight="1">
      <c r="C85" s="33"/>
      <c r="D85" s="33"/>
      <c r="E85" s="33"/>
      <c r="F85" s="33"/>
    </row>
    <row r="86" ht="15.75" customHeight="1">
      <c r="C86" s="33"/>
      <c r="D86" s="33"/>
      <c r="E86" s="33"/>
      <c r="F86" s="33"/>
    </row>
    <row r="87" ht="15.75" customHeight="1">
      <c r="C87" s="33"/>
      <c r="D87" s="33"/>
      <c r="E87" s="33"/>
      <c r="F87" s="33"/>
    </row>
    <row r="88" ht="15.75" customHeight="1">
      <c r="C88" s="33"/>
      <c r="D88" s="33"/>
      <c r="E88" s="33"/>
      <c r="F88" s="33"/>
    </row>
    <row r="89" ht="15.75" customHeight="1">
      <c r="C89" s="33"/>
      <c r="D89" s="33"/>
      <c r="E89" s="33"/>
      <c r="F89" s="33"/>
    </row>
    <row r="90" ht="15.75" customHeight="1">
      <c r="C90" s="33"/>
      <c r="D90" s="33"/>
      <c r="E90" s="33"/>
      <c r="F90" s="33"/>
    </row>
    <row r="91" ht="15.75" customHeight="1">
      <c r="C91" s="33"/>
      <c r="D91" s="33"/>
      <c r="E91" s="33"/>
      <c r="F91" s="33"/>
    </row>
    <row r="92" ht="15.75" customHeight="1">
      <c r="C92" s="33"/>
      <c r="D92" s="33"/>
      <c r="E92" s="33"/>
      <c r="F92" s="33"/>
    </row>
    <row r="93" ht="15.75" customHeight="1">
      <c r="C93" s="33"/>
      <c r="D93" s="33"/>
      <c r="E93" s="33"/>
      <c r="F93" s="33"/>
    </row>
    <row r="94" ht="15.75" customHeight="1">
      <c r="C94" s="33"/>
      <c r="D94" s="33"/>
      <c r="E94" s="33"/>
      <c r="F94" s="33"/>
    </row>
    <row r="95" ht="15.75" customHeight="1">
      <c r="C95" s="33"/>
      <c r="D95" s="33"/>
      <c r="E95" s="33"/>
      <c r="F95" s="33"/>
    </row>
    <row r="96" ht="15.75" customHeight="1">
      <c r="C96" s="33"/>
      <c r="D96" s="33"/>
      <c r="E96" s="33"/>
      <c r="F96" s="33"/>
    </row>
    <row r="97" ht="15.75" customHeight="1">
      <c r="C97" s="33"/>
      <c r="D97" s="33"/>
      <c r="E97" s="33"/>
      <c r="F97" s="33"/>
    </row>
    <row r="98" ht="15.75" customHeight="1">
      <c r="C98" s="33"/>
      <c r="D98" s="33"/>
      <c r="E98" s="33"/>
      <c r="F98" s="33"/>
    </row>
    <row r="99" ht="15.75" customHeight="1">
      <c r="C99" s="33"/>
      <c r="D99" s="33"/>
      <c r="E99" s="33"/>
      <c r="F99" s="33"/>
    </row>
    <row r="100" ht="15.75" customHeight="1">
      <c r="C100" s="33"/>
      <c r="D100" s="33"/>
      <c r="E100" s="33"/>
      <c r="F100" s="33"/>
    </row>
    <row r="101" ht="15.75" customHeight="1">
      <c r="C101" s="33"/>
      <c r="D101" s="33"/>
      <c r="E101" s="33"/>
      <c r="F101" s="33"/>
    </row>
    <row r="102" ht="15.75" customHeight="1">
      <c r="C102" s="33"/>
      <c r="D102" s="33"/>
      <c r="E102" s="33"/>
      <c r="F102" s="33"/>
    </row>
    <row r="103" ht="15.75" customHeight="1">
      <c r="C103" s="33"/>
      <c r="D103" s="33"/>
      <c r="E103" s="33"/>
      <c r="F103" s="33"/>
    </row>
    <row r="104" ht="15.75" customHeight="1">
      <c r="C104" s="33"/>
      <c r="D104" s="33"/>
      <c r="E104" s="33"/>
      <c r="F104" s="33"/>
    </row>
    <row r="105" ht="15.75" customHeight="1">
      <c r="C105" s="33"/>
      <c r="D105" s="33"/>
      <c r="E105" s="33"/>
      <c r="F105" s="33"/>
    </row>
    <row r="106" ht="15.75" customHeight="1">
      <c r="C106" s="33"/>
      <c r="D106" s="33"/>
      <c r="E106" s="33"/>
      <c r="F106" s="33"/>
    </row>
    <row r="107" ht="15.75" customHeight="1">
      <c r="C107" s="33"/>
      <c r="D107" s="33"/>
      <c r="E107" s="33"/>
      <c r="F107" s="33"/>
    </row>
    <row r="108" ht="15.75" customHeight="1">
      <c r="C108" s="33"/>
      <c r="D108" s="33"/>
      <c r="E108" s="33"/>
      <c r="F108" s="33"/>
    </row>
    <row r="109" ht="15.75" customHeight="1">
      <c r="C109" s="33"/>
      <c r="D109" s="33"/>
      <c r="E109" s="33"/>
      <c r="F109" s="33"/>
    </row>
    <row r="110" ht="15.75" customHeight="1">
      <c r="C110" s="33"/>
      <c r="D110" s="33"/>
      <c r="E110" s="33"/>
      <c r="F110" s="33"/>
    </row>
    <row r="111" ht="15.75" customHeight="1">
      <c r="C111" s="33"/>
      <c r="D111" s="33"/>
      <c r="E111" s="33"/>
      <c r="F111" s="33"/>
    </row>
    <row r="112" ht="15.75" customHeight="1">
      <c r="C112" s="33"/>
      <c r="D112" s="33"/>
      <c r="E112" s="33"/>
      <c r="F112" s="33"/>
    </row>
    <row r="113" ht="15.75" customHeight="1">
      <c r="C113" s="33"/>
      <c r="D113" s="33"/>
      <c r="E113" s="33"/>
      <c r="F113" s="33"/>
    </row>
    <row r="114" ht="15.75" customHeight="1">
      <c r="C114" s="33"/>
      <c r="D114" s="33"/>
      <c r="E114" s="33"/>
      <c r="F114" s="33"/>
    </row>
    <row r="115" ht="15.75" customHeight="1">
      <c r="C115" s="33"/>
      <c r="D115" s="33"/>
      <c r="E115" s="33"/>
      <c r="F115" s="33"/>
    </row>
    <row r="116" ht="15.75" customHeight="1">
      <c r="C116" s="33"/>
      <c r="D116" s="33"/>
      <c r="E116" s="33"/>
      <c r="F116" s="33"/>
    </row>
    <row r="117" ht="15.75" customHeight="1">
      <c r="C117" s="33"/>
      <c r="D117" s="33"/>
      <c r="E117" s="33"/>
      <c r="F117" s="33"/>
    </row>
    <row r="118" ht="15.75" customHeight="1">
      <c r="C118" s="33"/>
      <c r="D118" s="33"/>
      <c r="E118" s="33"/>
      <c r="F118" s="33"/>
    </row>
    <row r="119" ht="15.75" customHeight="1">
      <c r="C119" s="33"/>
      <c r="D119" s="33"/>
      <c r="E119" s="33"/>
      <c r="F119" s="33"/>
    </row>
    <row r="120" ht="15.75" customHeight="1">
      <c r="C120" s="33"/>
      <c r="D120" s="33"/>
      <c r="E120" s="33"/>
      <c r="F120" s="33"/>
    </row>
    <row r="121" ht="15.75" customHeight="1">
      <c r="C121" s="33"/>
      <c r="D121" s="33"/>
      <c r="E121" s="33"/>
      <c r="F121" s="33"/>
    </row>
    <row r="122" ht="15.75" customHeight="1">
      <c r="C122" s="33"/>
      <c r="D122" s="33"/>
      <c r="E122" s="33"/>
      <c r="F122" s="33"/>
    </row>
    <row r="123" ht="15.75" customHeight="1">
      <c r="C123" s="33"/>
      <c r="D123" s="33"/>
      <c r="E123" s="33"/>
      <c r="F123" s="33"/>
    </row>
    <row r="124" ht="15.75" customHeight="1">
      <c r="C124" s="33"/>
      <c r="D124" s="33"/>
      <c r="E124" s="33"/>
      <c r="F124" s="33"/>
    </row>
    <row r="125" ht="15.75" customHeight="1">
      <c r="C125" s="33"/>
      <c r="D125" s="33"/>
      <c r="E125" s="33"/>
      <c r="F125" s="33"/>
    </row>
    <row r="126" ht="15.75" customHeight="1">
      <c r="C126" s="33"/>
      <c r="D126" s="33"/>
      <c r="E126" s="33"/>
      <c r="F126" s="33"/>
    </row>
    <row r="127" ht="15.75" customHeight="1">
      <c r="C127" s="33"/>
      <c r="D127" s="33"/>
      <c r="E127" s="33"/>
      <c r="F127" s="33"/>
    </row>
    <row r="128" ht="15.75" customHeight="1">
      <c r="C128" s="33"/>
      <c r="D128" s="33"/>
      <c r="E128" s="33"/>
      <c r="F128" s="33"/>
    </row>
    <row r="129" ht="15.75" customHeight="1">
      <c r="C129" s="33"/>
      <c r="D129" s="33"/>
      <c r="E129" s="33"/>
      <c r="F129" s="33"/>
    </row>
    <row r="130" ht="15.75" customHeight="1">
      <c r="C130" s="33"/>
      <c r="D130" s="33"/>
      <c r="E130" s="33"/>
      <c r="F130" s="33"/>
    </row>
    <row r="131" ht="15.75" customHeight="1">
      <c r="C131" s="33"/>
      <c r="D131" s="33"/>
      <c r="E131" s="33"/>
      <c r="F131" s="33"/>
    </row>
    <row r="132" ht="15.75" customHeight="1">
      <c r="C132" s="33"/>
      <c r="D132" s="33"/>
      <c r="E132" s="33"/>
      <c r="F132" s="33"/>
    </row>
    <row r="133" ht="15.75" customHeight="1">
      <c r="C133" s="33"/>
      <c r="D133" s="33"/>
      <c r="E133" s="33"/>
      <c r="F133" s="33"/>
    </row>
    <row r="134" ht="15.75" customHeight="1">
      <c r="C134" s="33"/>
      <c r="D134" s="33"/>
      <c r="E134" s="33"/>
      <c r="F134" s="33"/>
    </row>
    <row r="135" ht="15.75" customHeight="1">
      <c r="C135" s="33"/>
      <c r="D135" s="33"/>
      <c r="E135" s="33"/>
      <c r="F135" s="33"/>
    </row>
    <row r="136" ht="15.75" customHeight="1">
      <c r="C136" s="33"/>
      <c r="D136" s="33"/>
      <c r="E136" s="33"/>
      <c r="F136" s="33"/>
    </row>
    <row r="137" ht="15.75" customHeight="1">
      <c r="C137" s="33"/>
      <c r="D137" s="33"/>
      <c r="E137" s="33"/>
      <c r="F137" s="33"/>
    </row>
    <row r="138" ht="15.75" customHeight="1">
      <c r="C138" s="33"/>
      <c r="D138" s="33"/>
      <c r="E138" s="33"/>
      <c r="F138" s="33"/>
    </row>
    <row r="139" ht="15.75" customHeight="1">
      <c r="C139" s="33"/>
      <c r="D139" s="33"/>
      <c r="E139" s="33"/>
      <c r="F139" s="33"/>
    </row>
    <row r="140" ht="15.75" customHeight="1">
      <c r="C140" s="33"/>
      <c r="D140" s="33"/>
      <c r="E140" s="33"/>
      <c r="F140" s="33"/>
    </row>
    <row r="141" ht="15.75" customHeight="1">
      <c r="C141" s="33"/>
      <c r="D141" s="33"/>
      <c r="E141" s="33"/>
      <c r="F141" s="33"/>
    </row>
    <row r="142" ht="15.75" customHeight="1">
      <c r="C142" s="33"/>
      <c r="D142" s="33"/>
      <c r="E142" s="33"/>
      <c r="F142" s="33"/>
    </row>
    <row r="143" ht="15.75" customHeight="1">
      <c r="C143" s="33"/>
      <c r="D143" s="33"/>
      <c r="E143" s="33"/>
      <c r="F143" s="33"/>
    </row>
    <row r="144" ht="15.75" customHeight="1">
      <c r="C144" s="33"/>
      <c r="D144" s="33"/>
      <c r="E144" s="33"/>
      <c r="F144" s="33"/>
    </row>
    <row r="145" ht="15.75" customHeight="1">
      <c r="C145" s="33"/>
      <c r="D145" s="33"/>
      <c r="E145" s="33"/>
      <c r="F145" s="33"/>
    </row>
    <row r="146" ht="15.75" customHeight="1">
      <c r="C146" s="33"/>
      <c r="D146" s="33"/>
      <c r="E146" s="33"/>
      <c r="F146" s="33"/>
    </row>
    <row r="147" ht="15.75" customHeight="1">
      <c r="C147" s="33"/>
      <c r="D147" s="33"/>
      <c r="E147" s="33"/>
      <c r="F147" s="33"/>
    </row>
    <row r="148" ht="15.75" customHeight="1">
      <c r="C148" s="33"/>
      <c r="D148" s="33"/>
      <c r="E148" s="33"/>
      <c r="F148" s="33"/>
    </row>
    <row r="149" ht="15.75" customHeight="1">
      <c r="C149" s="33"/>
      <c r="D149" s="33"/>
      <c r="E149" s="33"/>
      <c r="F149" s="33"/>
    </row>
    <row r="150" ht="15.75" customHeight="1">
      <c r="C150" s="33"/>
      <c r="D150" s="33"/>
      <c r="E150" s="33"/>
      <c r="F150" s="33"/>
    </row>
    <row r="151" ht="15.75" customHeight="1">
      <c r="C151" s="33"/>
      <c r="D151" s="33"/>
      <c r="E151" s="33"/>
      <c r="F151" s="33"/>
    </row>
    <row r="152" ht="15.75" customHeight="1">
      <c r="C152" s="33"/>
      <c r="D152" s="33"/>
      <c r="E152" s="33"/>
      <c r="F152" s="33"/>
    </row>
    <row r="153" ht="15.75" customHeight="1">
      <c r="C153" s="33"/>
      <c r="D153" s="33"/>
      <c r="E153" s="33"/>
      <c r="F153" s="33"/>
    </row>
    <row r="154" ht="15.75" customHeight="1">
      <c r="C154" s="33"/>
      <c r="D154" s="33"/>
      <c r="E154" s="33"/>
      <c r="F154" s="33"/>
    </row>
    <row r="155" ht="15.75" customHeight="1">
      <c r="C155" s="33"/>
      <c r="D155" s="33"/>
      <c r="E155" s="33"/>
      <c r="F155" s="33"/>
    </row>
    <row r="156" ht="15.75" customHeight="1">
      <c r="C156" s="33"/>
      <c r="D156" s="33"/>
      <c r="E156" s="33"/>
      <c r="F156" s="33"/>
    </row>
    <row r="157" ht="15.75" customHeight="1">
      <c r="C157" s="33"/>
      <c r="D157" s="33"/>
      <c r="E157" s="33"/>
      <c r="F157" s="33"/>
    </row>
    <row r="158" ht="15.75" customHeight="1">
      <c r="C158" s="33"/>
      <c r="D158" s="33"/>
      <c r="E158" s="33"/>
      <c r="F158" s="33"/>
    </row>
    <row r="159" ht="15.75" customHeight="1">
      <c r="C159" s="33"/>
      <c r="D159" s="33"/>
      <c r="E159" s="33"/>
      <c r="F159" s="33"/>
    </row>
    <row r="160" ht="15.75" customHeight="1">
      <c r="C160" s="33"/>
      <c r="D160" s="33"/>
      <c r="E160" s="33"/>
      <c r="F160" s="33"/>
    </row>
    <row r="161" ht="15.75" customHeight="1">
      <c r="C161" s="33"/>
      <c r="D161" s="33"/>
      <c r="E161" s="33"/>
      <c r="F161" s="33"/>
    </row>
    <row r="162" ht="15.75" customHeight="1">
      <c r="C162" s="33"/>
      <c r="D162" s="33"/>
      <c r="E162" s="33"/>
      <c r="F162" s="33"/>
    </row>
    <row r="163" ht="15.75" customHeight="1">
      <c r="C163" s="33"/>
      <c r="D163" s="33"/>
      <c r="E163" s="33"/>
      <c r="F163" s="33"/>
    </row>
    <row r="164" ht="15.75" customHeight="1">
      <c r="C164" s="33"/>
      <c r="D164" s="33"/>
      <c r="E164" s="33"/>
      <c r="F164" s="33"/>
    </row>
    <row r="165" ht="15.75" customHeight="1">
      <c r="C165" s="33"/>
      <c r="D165" s="33"/>
      <c r="E165" s="33"/>
      <c r="F165" s="33"/>
    </row>
    <row r="166" ht="15.75" customHeight="1">
      <c r="C166" s="33"/>
      <c r="D166" s="33"/>
      <c r="E166" s="33"/>
      <c r="F166" s="33"/>
    </row>
    <row r="167" ht="15.75" customHeight="1">
      <c r="C167" s="33"/>
      <c r="D167" s="33"/>
      <c r="E167" s="33"/>
      <c r="F167" s="33"/>
    </row>
    <row r="168" ht="15.75" customHeight="1">
      <c r="C168" s="33"/>
      <c r="D168" s="33"/>
      <c r="E168" s="33"/>
      <c r="F168" s="33"/>
    </row>
    <row r="169" ht="15.75" customHeight="1">
      <c r="C169" s="33"/>
      <c r="D169" s="33"/>
      <c r="E169" s="33"/>
      <c r="F169" s="33"/>
    </row>
    <row r="170" ht="15.75" customHeight="1">
      <c r="C170" s="33"/>
      <c r="D170" s="33"/>
      <c r="E170" s="33"/>
      <c r="F170" s="33"/>
    </row>
    <row r="171" ht="15.75" customHeight="1">
      <c r="C171" s="33"/>
      <c r="D171" s="33"/>
      <c r="E171" s="33"/>
      <c r="F171" s="33"/>
    </row>
    <row r="172" ht="15.75" customHeight="1">
      <c r="C172" s="33"/>
      <c r="D172" s="33"/>
      <c r="E172" s="33"/>
      <c r="F172" s="33"/>
    </row>
    <row r="173" ht="15.75" customHeight="1">
      <c r="C173" s="33"/>
      <c r="D173" s="33"/>
      <c r="E173" s="33"/>
      <c r="F173" s="33"/>
    </row>
    <row r="174" ht="15.75" customHeight="1">
      <c r="C174" s="33"/>
      <c r="D174" s="33"/>
      <c r="E174" s="33"/>
      <c r="F174" s="33"/>
    </row>
    <row r="175" ht="15.75" customHeight="1">
      <c r="C175" s="33"/>
      <c r="D175" s="33"/>
      <c r="E175" s="33"/>
      <c r="F175" s="33"/>
    </row>
    <row r="176" ht="15.75" customHeight="1">
      <c r="C176" s="33"/>
      <c r="D176" s="33"/>
      <c r="E176" s="33"/>
      <c r="F176" s="33"/>
    </row>
    <row r="177" ht="15.75" customHeight="1">
      <c r="C177" s="33"/>
      <c r="D177" s="33"/>
      <c r="E177" s="33"/>
      <c r="F177" s="33"/>
    </row>
    <row r="178" ht="15.75" customHeight="1">
      <c r="C178" s="33"/>
      <c r="D178" s="33"/>
      <c r="E178" s="33"/>
      <c r="F178" s="33"/>
    </row>
    <row r="179" ht="15.75" customHeight="1">
      <c r="C179" s="33"/>
      <c r="D179" s="33"/>
      <c r="E179" s="33"/>
      <c r="F179" s="33"/>
    </row>
    <row r="180" ht="15.75" customHeight="1">
      <c r="C180" s="33"/>
      <c r="D180" s="33"/>
      <c r="E180" s="33"/>
      <c r="F180" s="33"/>
    </row>
    <row r="181" ht="15.75" customHeight="1">
      <c r="C181" s="33"/>
      <c r="D181" s="33"/>
      <c r="E181" s="33"/>
      <c r="F181" s="33"/>
    </row>
    <row r="182" ht="15.75" customHeight="1">
      <c r="C182" s="33"/>
      <c r="D182" s="33"/>
      <c r="E182" s="33"/>
      <c r="F182" s="33"/>
    </row>
    <row r="183" ht="15.75" customHeight="1">
      <c r="C183" s="33"/>
      <c r="D183" s="33"/>
      <c r="E183" s="33"/>
      <c r="F183" s="33"/>
    </row>
    <row r="184" ht="15.75" customHeight="1">
      <c r="C184" s="33"/>
      <c r="D184" s="33"/>
      <c r="E184" s="33"/>
      <c r="F184" s="33"/>
    </row>
    <row r="185" ht="15.75" customHeight="1">
      <c r="C185" s="33"/>
      <c r="D185" s="33"/>
      <c r="E185" s="33"/>
      <c r="F185" s="33"/>
    </row>
    <row r="186" ht="15.75" customHeight="1">
      <c r="C186" s="33"/>
      <c r="D186" s="33"/>
      <c r="E186" s="33"/>
      <c r="F186" s="33"/>
    </row>
    <row r="187" ht="15.75" customHeight="1">
      <c r="C187" s="33"/>
      <c r="D187" s="33"/>
      <c r="E187" s="33"/>
      <c r="F187" s="33"/>
    </row>
    <row r="188" ht="15.75" customHeight="1">
      <c r="C188" s="33"/>
      <c r="D188" s="33"/>
      <c r="E188" s="33"/>
      <c r="F188" s="33"/>
    </row>
    <row r="189" ht="15.75" customHeight="1">
      <c r="C189" s="33"/>
      <c r="D189" s="33"/>
      <c r="E189" s="33"/>
      <c r="F189" s="33"/>
    </row>
    <row r="190" ht="15.75" customHeight="1">
      <c r="C190" s="33"/>
      <c r="D190" s="33"/>
      <c r="E190" s="33"/>
      <c r="F190" s="33"/>
    </row>
    <row r="191" ht="15.75" customHeight="1">
      <c r="C191" s="33"/>
      <c r="D191" s="33"/>
      <c r="E191" s="33"/>
      <c r="F191" s="33"/>
    </row>
    <row r="192" ht="15.75" customHeight="1">
      <c r="C192" s="33"/>
      <c r="D192" s="33"/>
      <c r="E192" s="33"/>
      <c r="F192" s="33"/>
    </row>
    <row r="193" ht="15.75" customHeight="1">
      <c r="C193" s="33"/>
      <c r="D193" s="33"/>
      <c r="E193" s="33"/>
      <c r="F193" s="33"/>
    </row>
    <row r="194" ht="15.75" customHeight="1">
      <c r="C194" s="33"/>
      <c r="D194" s="33"/>
      <c r="E194" s="33"/>
      <c r="F194" s="33"/>
    </row>
    <row r="195" ht="15.75" customHeight="1">
      <c r="C195" s="33"/>
      <c r="D195" s="33"/>
      <c r="E195" s="33"/>
      <c r="F195" s="33"/>
    </row>
    <row r="196" ht="15.75" customHeight="1">
      <c r="C196" s="33"/>
      <c r="D196" s="33"/>
      <c r="E196" s="33"/>
      <c r="F196" s="33"/>
    </row>
    <row r="197" ht="15.75" customHeight="1">
      <c r="C197" s="33"/>
      <c r="D197" s="33"/>
      <c r="E197" s="33"/>
      <c r="F197" s="33"/>
    </row>
    <row r="198" ht="15.75" customHeight="1">
      <c r="C198" s="33"/>
      <c r="D198" s="33"/>
      <c r="E198" s="33"/>
      <c r="F198" s="33"/>
    </row>
    <row r="199" ht="15.75" customHeight="1">
      <c r="C199" s="33"/>
      <c r="D199" s="33"/>
      <c r="E199" s="33"/>
      <c r="F199" s="33"/>
    </row>
    <row r="200" ht="15.75" customHeight="1">
      <c r="C200" s="33"/>
      <c r="D200" s="33"/>
      <c r="E200" s="33"/>
      <c r="F200" s="33"/>
    </row>
    <row r="201" ht="15.75" customHeight="1">
      <c r="C201" s="33"/>
      <c r="D201" s="33"/>
      <c r="E201" s="33"/>
      <c r="F201" s="33"/>
    </row>
    <row r="202" ht="15.75" customHeight="1">
      <c r="C202" s="33"/>
      <c r="D202" s="33"/>
      <c r="E202" s="33"/>
      <c r="F202" s="33"/>
    </row>
    <row r="203" ht="15.75" customHeight="1">
      <c r="C203" s="33"/>
      <c r="D203" s="33"/>
      <c r="E203" s="33"/>
      <c r="F203" s="33"/>
    </row>
    <row r="204" ht="15.75" customHeight="1">
      <c r="C204" s="33"/>
      <c r="D204" s="33"/>
      <c r="E204" s="33"/>
      <c r="F204" s="33"/>
    </row>
    <row r="205" ht="15.75" customHeight="1">
      <c r="C205" s="33"/>
      <c r="D205" s="33"/>
      <c r="E205" s="33"/>
      <c r="F205" s="33"/>
    </row>
    <row r="206" ht="15.75" customHeight="1">
      <c r="C206" s="33"/>
      <c r="D206" s="33"/>
      <c r="E206" s="33"/>
      <c r="F206" s="33"/>
    </row>
    <row r="207" ht="15.75" customHeight="1">
      <c r="C207" s="33"/>
      <c r="D207" s="33"/>
      <c r="E207" s="33"/>
      <c r="F207" s="33"/>
    </row>
    <row r="208" ht="15.75" customHeight="1">
      <c r="C208" s="33"/>
      <c r="D208" s="33"/>
      <c r="E208" s="33"/>
      <c r="F208" s="33"/>
    </row>
    <row r="209" ht="15.75" customHeight="1">
      <c r="C209" s="33"/>
      <c r="D209" s="33"/>
      <c r="E209" s="33"/>
      <c r="F209" s="33"/>
    </row>
    <row r="210" ht="15.75" customHeight="1">
      <c r="C210" s="33"/>
      <c r="D210" s="33"/>
      <c r="E210" s="33"/>
      <c r="F210" s="33"/>
    </row>
    <row r="211" ht="15.75" customHeight="1">
      <c r="C211" s="33"/>
      <c r="D211" s="33"/>
      <c r="E211" s="33"/>
      <c r="F211" s="33"/>
    </row>
    <row r="212" ht="15.75" customHeight="1">
      <c r="C212" s="33"/>
      <c r="D212" s="33"/>
      <c r="E212" s="33"/>
      <c r="F212" s="33"/>
    </row>
    <row r="213" ht="15.75" customHeight="1">
      <c r="C213" s="33"/>
      <c r="D213" s="33"/>
      <c r="E213" s="33"/>
      <c r="F213" s="33"/>
    </row>
    <row r="214" ht="15.75" customHeight="1">
      <c r="C214" s="33"/>
      <c r="D214" s="33"/>
      <c r="E214" s="33"/>
      <c r="F214" s="33"/>
    </row>
    <row r="215" ht="15.75" customHeight="1">
      <c r="C215" s="33"/>
      <c r="D215" s="33"/>
      <c r="E215" s="33"/>
      <c r="F215" s="33"/>
    </row>
    <row r="216" ht="15.75" customHeight="1">
      <c r="C216" s="33"/>
      <c r="D216" s="33"/>
      <c r="E216" s="33"/>
      <c r="F216" s="33"/>
    </row>
    <row r="217" ht="15.75" customHeight="1">
      <c r="C217" s="33"/>
      <c r="D217" s="33"/>
      <c r="E217" s="33"/>
      <c r="F217" s="33"/>
    </row>
    <row r="218" ht="15.75" customHeight="1">
      <c r="C218" s="33"/>
      <c r="D218" s="33"/>
      <c r="E218" s="33"/>
      <c r="F218" s="33"/>
    </row>
    <row r="219" ht="15.75" customHeight="1">
      <c r="C219" s="33"/>
      <c r="D219" s="33"/>
      <c r="E219" s="33"/>
      <c r="F219" s="33"/>
    </row>
    <row r="220" ht="15.75" customHeight="1">
      <c r="C220" s="33"/>
      <c r="D220" s="33"/>
      <c r="E220" s="33"/>
      <c r="F220" s="33"/>
    </row>
    <row r="221" ht="15.75" customHeight="1">
      <c r="C221" s="33"/>
      <c r="D221" s="33"/>
      <c r="E221" s="33"/>
      <c r="F221" s="33"/>
    </row>
    <row r="222" ht="15.75" customHeight="1">
      <c r="C222" s="33"/>
      <c r="D222" s="33"/>
      <c r="E222" s="33"/>
      <c r="F222" s="33"/>
    </row>
    <row r="223" ht="15.75" customHeight="1">
      <c r="C223" s="33"/>
      <c r="D223" s="33"/>
      <c r="E223" s="33"/>
      <c r="F223" s="33"/>
    </row>
    <row r="224" ht="15.75" customHeight="1">
      <c r="C224" s="33"/>
      <c r="D224" s="33"/>
      <c r="E224" s="33"/>
      <c r="F224" s="33"/>
    </row>
    <row r="225" ht="15.75" customHeight="1">
      <c r="C225" s="33"/>
      <c r="D225" s="33"/>
      <c r="E225" s="33"/>
      <c r="F225" s="33"/>
    </row>
    <row r="226" ht="15.75" customHeight="1">
      <c r="C226" s="33"/>
      <c r="D226" s="33"/>
      <c r="E226" s="33"/>
      <c r="F226" s="33"/>
    </row>
    <row r="227" ht="15.75" customHeight="1">
      <c r="C227" s="33"/>
      <c r="D227" s="33"/>
      <c r="E227" s="33"/>
      <c r="F227" s="33"/>
    </row>
    <row r="228" ht="15.75" customHeight="1">
      <c r="C228" s="33"/>
      <c r="D228" s="33"/>
      <c r="E228" s="33"/>
      <c r="F228" s="33"/>
    </row>
    <row r="229" ht="15.75" customHeight="1">
      <c r="C229" s="33"/>
      <c r="D229" s="33"/>
      <c r="E229" s="33"/>
      <c r="F229" s="33"/>
    </row>
    <row r="230" ht="15.75" customHeight="1">
      <c r="C230" s="33"/>
      <c r="D230" s="33"/>
      <c r="E230" s="33"/>
      <c r="F230" s="33"/>
    </row>
    <row r="231" ht="15.75" customHeight="1">
      <c r="C231" s="33"/>
      <c r="D231" s="33"/>
      <c r="E231" s="33"/>
      <c r="F231" s="33"/>
    </row>
    <row r="232" ht="15.75" customHeight="1">
      <c r="C232" s="33"/>
      <c r="D232" s="33"/>
      <c r="E232" s="33"/>
      <c r="F232" s="33"/>
    </row>
    <row r="233" ht="15.75" customHeight="1">
      <c r="C233" s="33"/>
      <c r="D233" s="33"/>
      <c r="E233" s="33"/>
      <c r="F233" s="33"/>
    </row>
    <row r="234" ht="15.75" customHeight="1">
      <c r="C234" s="33"/>
      <c r="D234" s="33"/>
      <c r="E234" s="33"/>
      <c r="F234" s="33"/>
    </row>
    <row r="235" ht="15.75" customHeight="1">
      <c r="C235" s="33"/>
      <c r="D235" s="33"/>
      <c r="E235" s="33"/>
      <c r="F235" s="33"/>
    </row>
    <row r="236" ht="15.75" customHeight="1">
      <c r="C236" s="33"/>
      <c r="D236" s="33"/>
      <c r="E236" s="33"/>
      <c r="F236" s="33"/>
    </row>
    <row r="237" ht="15.75" customHeight="1">
      <c r="C237" s="33"/>
      <c r="D237" s="33"/>
      <c r="E237" s="33"/>
      <c r="F237" s="33"/>
    </row>
    <row r="238" ht="15.75" customHeight="1">
      <c r="C238" s="33"/>
      <c r="D238" s="33"/>
      <c r="E238" s="33"/>
      <c r="F238" s="33"/>
    </row>
    <row r="239" ht="15.75" customHeight="1">
      <c r="C239" s="33"/>
      <c r="D239" s="33"/>
      <c r="E239" s="33"/>
      <c r="F239" s="33"/>
    </row>
    <row r="240" ht="15.75" customHeight="1">
      <c r="C240" s="33"/>
      <c r="D240" s="33"/>
      <c r="E240" s="33"/>
      <c r="F240" s="33"/>
    </row>
    <row r="241" ht="15.75" customHeight="1">
      <c r="C241" s="33"/>
      <c r="D241" s="33"/>
      <c r="E241" s="33"/>
      <c r="F241" s="33"/>
    </row>
    <row r="242" ht="15.75" customHeight="1">
      <c r="C242" s="33"/>
      <c r="D242" s="33"/>
      <c r="E242" s="33"/>
      <c r="F242" s="33"/>
    </row>
    <row r="243" ht="15.75" customHeight="1">
      <c r="C243" s="33"/>
      <c r="D243" s="33"/>
      <c r="E243" s="33"/>
      <c r="F243" s="33"/>
    </row>
    <row r="244" ht="15.75" customHeight="1">
      <c r="C244" s="33"/>
      <c r="D244" s="33"/>
      <c r="E244" s="33"/>
      <c r="F244" s="33"/>
    </row>
    <row r="245" ht="15.75" customHeight="1">
      <c r="C245" s="33"/>
      <c r="D245" s="33"/>
      <c r="E245" s="33"/>
      <c r="F245" s="33"/>
    </row>
    <row r="246" ht="15.75" customHeight="1">
      <c r="C246" s="33"/>
      <c r="D246" s="33"/>
      <c r="E246" s="33"/>
      <c r="F246" s="33"/>
    </row>
    <row r="247" ht="15.75" customHeight="1">
      <c r="C247" s="33"/>
      <c r="D247" s="33"/>
      <c r="E247" s="33"/>
      <c r="F247" s="33"/>
    </row>
    <row r="248" ht="15.75" customHeight="1">
      <c r="C248" s="33"/>
      <c r="D248" s="33"/>
      <c r="E248" s="33"/>
      <c r="F248" s="33"/>
    </row>
    <row r="249" ht="15.75" customHeight="1">
      <c r="C249" s="33"/>
      <c r="D249" s="33"/>
      <c r="E249" s="33"/>
      <c r="F249" s="33"/>
    </row>
    <row r="250" ht="15.75" customHeight="1">
      <c r="C250" s="33"/>
      <c r="D250" s="33"/>
      <c r="E250" s="33"/>
      <c r="F250" s="33"/>
    </row>
    <row r="251" ht="15.75" customHeight="1">
      <c r="C251" s="33"/>
      <c r="D251" s="33"/>
      <c r="E251" s="33"/>
      <c r="F251" s="33"/>
    </row>
    <row r="252" ht="15.75" customHeight="1">
      <c r="C252" s="33"/>
      <c r="D252" s="33"/>
      <c r="E252" s="33"/>
      <c r="F252" s="33"/>
    </row>
    <row r="253" ht="15.75" customHeight="1">
      <c r="C253" s="33"/>
      <c r="D253" s="33"/>
      <c r="E253" s="33"/>
      <c r="F253" s="33"/>
    </row>
    <row r="254" ht="15.75" customHeight="1">
      <c r="C254" s="33"/>
      <c r="D254" s="33"/>
      <c r="E254" s="33"/>
      <c r="F254" s="33"/>
    </row>
    <row r="255" ht="15.75" customHeight="1">
      <c r="C255" s="33"/>
      <c r="D255" s="33"/>
      <c r="E255" s="33"/>
      <c r="F255" s="33"/>
    </row>
    <row r="256" ht="15.75" customHeight="1">
      <c r="C256" s="33"/>
      <c r="D256" s="33"/>
      <c r="E256" s="33"/>
      <c r="F256" s="33"/>
    </row>
    <row r="257" ht="15.75" customHeight="1">
      <c r="C257" s="33"/>
      <c r="D257" s="33"/>
      <c r="E257" s="33"/>
      <c r="F257" s="33"/>
    </row>
    <row r="258" ht="15.75" customHeight="1">
      <c r="C258" s="33"/>
      <c r="D258" s="33"/>
      <c r="E258" s="33"/>
      <c r="F258" s="33"/>
    </row>
    <row r="259" ht="15.75" customHeight="1">
      <c r="C259" s="33"/>
      <c r="D259" s="33"/>
      <c r="E259" s="33"/>
      <c r="F259" s="33"/>
    </row>
    <row r="260" ht="15.75" customHeight="1">
      <c r="C260" s="33"/>
      <c r="D260" s="33"/>
      <c r="E260" s="33"/>
      <c r="F260" s="33"/>
    </row>
    <row r="261" ht="15.75" customHeight="1">
      <c r="C261" s="33"/>
      <c r="D261" s="33"/>
      <c r="E261" s="33"/>
      <c r="F261" s="33"/>
    </row>
    <row r="262" ht="15.75" customHeight="1">
      <c r="C262" s="33"/>
      <c r="D262" s="33"/>
      <c r="E262" s="33"/>
      <c r="F262" s="33"/>
    </row>
    <row r="263" ht="15.75" customHeight="1">
      <c r="C263" s="33"/>
      <c r="D263" s="33"/>
      <c r="E263" s="33"/>
      <c r="F263" s="33"/>
    </row>
    <row r="264" ht="15.75" customHeight="1">
      <c r="C264" s="33"/>
      <c r="D264" s="33"/>
      <c r="E264" s="33"/>
      <c r="F264" s="33"/>
    </row>
    <row r="265" ht="15.75" customHeight="1">
      <c r="C265" s="33"/>
      <c r="D265" s="33"/>
      <c r="E265" s="33"/>
      <c r="F265" s="33"/>
    </row>
    <row r="266" ht="15.75" customHeight="1">
      <c r="C266" s="33"/>
      <c r="D266" s="33"/>
      <c r="E266" s="33"/>
      <c r="F266" s="33"/>
    </row>
    <row r="267" ht="15.75" customHeight="1">
      <c r="C267" s="33"/>
      <c r="D267" s="33"/>
      <c r="E267" s="33"/>
      <c r="F267" s="33"/>
    </row>
    <row r="268" ht="15.75" customHeight="1">
      <c r="C268" s="33"/>
      <c r="D268" s="33"/>
      <c r="E268" s="33"/>
      <c r="F268" s="33"/>
    </row>
    <row r="269" ht="15.75" customHeight="1">
      <c r="C269" s="33"/>
      <c r="D269" s="33"/>
      <c r="E269" s="33"/>
      <c r="F269" s="33"/>
    </row>
    <row r="270" ht="15.75" customHeight="1">
      <c r="C270" s="33"/>
      <c r="D270" s="33"/>
      <c r="E270" s="33"/>
      <c r="F270" s="33"/>
    </row>
    <row r="271" ht="15.75" customHeight="1">
      <c r="C271" s="33"/>
      <c r="D271" s="33"/>
      <c r="E271" s="33"/>
      <c r="F271" s="33"/>
    </row>
    <row r="272" ht="15.75" customHeight="1">
      <c r="C272" s="33"/>
      <c r="D272" s="33"/>
      <c r="E272" s="33"/>
      <c r="F272" s="33"/>
    </row>
    <row r="273" ht="15.75" customHeight="1">
      <c r="C273" s="33"/>
      <c r="D273" s="33"/>
      <c r="E273" s="33"/>
      <c r="F273" s="33"/>
    </row>
    <row r="274" ht="15.75" customHeight="1">
      <c r="C274" s="33"/>
      <c r="D274" s="33"/>
      <c r="E274" s="33"/>
      <c r="F274" s="33"/>
    </row>
    <row r="275" ht="15.75" customHeight="1">
      <c r="C275" s="33"/>
      <c r="D275" s="33"/>
      <c r="E275" s="33"/>
      <c r="F275" s="33"/>
    </row>
    <row r="276" ht="15.75" customHeight="1">
      <c r="C276" s="33"/>
      <c r="D276" s="33"/>
      <c r="E276" s="33"/>
      <c r="F276" s="33"/>
    </row>
    <row r="277" ht="15.75" customHeight="1">
      <c r="C277" s="33"/>
      <c r="D277" s="33"/>
      <c r="E277" s="33"/>
      <c r="F277" s="33"/>
    </row>
    <row r="278" ht="15.75" customHeight="1">
      <c r="C278" s="33"/>
      <c r="D278" s="33"/>
      <c r="E278" s="33"/>
      <c r="F278" s="33"/>
    </row>
    <row r="279" ht="15.75" customHeight="1">
      <c r="C279" s="33"/>
      <c r="D279" s="33"/>
      <c r="E279" s="33"/>
      <c r="F279" s="33"/>
    </row>
    <row r="280" ht="15.75" customHeight="1">
      <c r="C280" s="33"/>
      <c r="D280" s="33"/>
      <c r="E280" s="33"/>
      <c r="F280" s="33"/>
    </row>
    <row r="281" ht="15.75" customHeight="1">
      <c r="C281" s="33"/>
      <c r="D281" s="33"/>
      <c r="E281" s="33"/>
      <c r="F281" s="33"/>
    </row>
    <row r="282" ht="15.75" customHeight="1">
      <c r="C282" s="33"/>
      <c r="D282" s="33"/>
      <c r="E282" s="33"/>
      <c r="F282" s="33"/>
    </row>
    <row r="283" ht="15.75" customHeight="1">
      <c r="C283" s="33"/>
      <c r="D283" s="33"/>
      <c r="E283" s="33"/>
      <c r="F283" s="33"/>
    </row>
    <row r="284" ht="15.75" customHeight="1">
      <c r="C284" s="33"/>
      <c r="D284" s="33"/>
      <c r="E284" s="33"/>
      <c r="F284" s="33"/>
    </row>
    <row r="285" ht="15.75" customHeight="1">
      <c r="C285" s="33"/>
      <c r="D285" s="33"/>
      <c r="E285" s="33"/>
      <c r="F285" s="33"/>
    </row>
    <row r="286" ht="15.75" customHeight="1">
      <c r="C286" s="33"/>
      <c r="D286" s="33"/>
      <c r="E286" s="33"/>
      <c r="F286" s="33"/>
    </row>
    <row r="287" ht="15.75" customHeight="1">
      <c r="C287" s="33"/>
      <c r="D287" s="33"/>
      <c r="E287" s="33"/>
      <c r="F287" s="33"/>
    </row>
    <row r="288" ht="15.75" customHeight="1">
      <c r="C288" s="33"/>
      <c r="D288" s="33"/>
      <c r="E288" s="33"/>
      <c r="F288" s="33"/>
    </row>
    <row r="289" ht="15.75" customHeight="1">
      <c r="C289" s="33"/>
      <c r="D289" s="33"/>
      <c r="E289" s="33"/>
      <c r="F289" s="33"/>
    </row>
    <row r="290" ht="15.75" customHeight="1">
      <c r="C290" s="33"/>
      <c r="D290" s="33"/>
      <c r="E290" s="33"/>
      <c r="F290" s="33"/>
    </row>
    <row r="291" ht="15.75" customHeight="1">
      <c r="C291" s="33"/>
      <c r="D291" s="33"/>
      <c r="E291" s="33"/>
      <c r="F291" s="33"/>
    </row>
    <row r="292" ht="15.75" customHeight="1">
      <c r="C292" s="33"/>
      <c r="D292" s="33"/>
      <c r="E292" s="33"/>
      <c r="F292" s="33"/>
    </row>
    <row r="293" ht="15.75" customHeight="1">
      <c r="C293" s="33"/>
      <c r="D293" s="33"/>
      <c r="E293" s="33"/>
      <c r="F293" s="33"/>
    </row>
    <row r="294" ht="15.75" customHeight="1">
      <c r="C294" s="33"/>
      <c r="D294" s="33"/>
      <c r="E294" s="33"/>
      <c r="F294" s="33"/>
    </row>
    <row r="295" ht="15.75" customHeight="1">
      <c r="C295" s="33"/>
      <c r="D295" s="33"/>
      <c r="E295" s="33"/>
      <c r="F295" s="33"/>
    </row>
    <row r="296" ht="15.75" customHeight="1">
      <c r="C296" s="33"/>
      <c r="D296" s="33"/>
      <c r="E296" s="33"/>
      <c r="F296" s="33"/>
    </row>
    <row r="297" ht="15.75" customHeight="1">
      <c r="C297" s="33"/>
      <c r="D297" s="33"/>
      <c r="E297" s="33"/>
      <c r="F297" s="33"/>
    </row>
    <row r="298" ht="15.75" customHeight="1">
      <c r="C298" s="33"/>
      <c r="D298" s="33"/>
      <c r="E298" s="33"/>
      <c r="F298" s="33"/>
    </row>
    <row r="299" ht="15.75" customHeight="1">
      <c r="C299" s="33"/>
      <c r="D299" s="33"/>
      <c r="E299" s="33"/>
      <c r="F299" s="33"/>
    </row>
    <row r="300" ht="15.75" customHeight="1">
      <c r="C300" s="33"/>
      <c r="D300" s="33"/>
      <c r="E300" s="33"/>
      <c r="F300" s="33"/>
    </row>
    <row r="301" ht="15.75" customHeight="1">
      <c r="C301" s="33"/>
      <c r="D301" s="33"/>
      <c r="E301" s="33"/>
      <c r="F301" s="33"/>
    </row>
    <row r="302" ht="15.75" customHeight="1">
      <c r="C302" s="33"/>
      <c r="D302" s="33"/>
      <c r="E302" s="33"/>
      <c r="F302" s="33"/>
    </row>
    <row r="303" ht="15.75" customHeight="1">
      <c r="C303" s="33"/>
      <c r="D303" s="33"/>
      <c r="E303" s="33"/>
      <c r="F303" s="33"/>
    </row>
    <row r="304" ht="15.75" customHeight="1">
      <c r="C304" s="33"/>
      <c r="D304" s="33"/>
      <c r="E304" s="33"/>
      <c r="F304" s="33"/>
    </row>
    <row r="305" ht="15.75" customHeight="1">
      <c r="C305" s="33"/>
      <c r="D305" s="33"/>
      <c r="E305" s="33"/>
      <c r="F305" s="33"/>
    </row>
    <row r="306" ht="15.75" customHeight="1">
      <c r="C306" s="33"/>
      <c r="D306" s="33"/>
      <c r="E306" s="33"/>
      <c r="F306" s="33"/>
    </row>
    <row r="307" ht="15.75" customHeight="1">
      <c r="C307" s="33"/>
      <c r="D307" s="33"/>
      <c r="E307" s="33"/>
      <c r="F307" s="33"/>
    </row>
    <row r="308" ht="15.75" customHeight="1">
      <c r="C308" s="33"/>
      <c r="D308" s="33"/>
      <c r="E308" s="33"/>
      <c r="F308" s="33"/>
    </row>
    <row r="309" ht="15.75" customHeight="1">
      <c r="C309" s="33"/>
      <c r="D309" s="33"/>
      <c r="E309" s="33"/>
      <c r="F309" s="33"/>
    </row>
    <row r="310" ht="15.75" customHeight="1">
      <c r="C310" s="33"/>
      <c r="D310" s="33"/>
      <c r="E310" s="33"/>
      <c r="F310" s="33"/>
    </row>
    <row r="311" ht="15.75" customHeight="1">
      <c r="C311" s="33"/>
      <c r="D311" s="33"/>
      <c r="E311" s="33"/>
      <c r="F311" s="33"/>
    </row>
    <row r="312" ht="15.75" customHeight="1">
      <c r="C312" s="33"/>
      <c r="D312" s="33"/>
      <c r="E312" s="33"/>
      <c r="F312" s="33"/>
    </row>
    <row r="313" ht="15.75" customHeight="1">
      <c r="C313" s="33"/>
      <c r="D313" s="33"/>
      <c r="E313" s="33"/>
      <c r="F313" s="33"/>
    </row>
    <row r="314" ht="15.75" customHeight="1">
      <c r="C314" s="33"/>
      <c r="D314" s="33"/>
      <c r="E314" s="33"/>
      <c r="F314" s="33"/>
    </row>
    <row r="315" ht="15.75" customHeight="1">
      <c r="C315" s="33"/>
      <c r="D315" s="33"/>
      <c r="E315" s="33"/>
      <c r="F315" s="33"/>
    </row>
    <row r="316" ht="15.75" customHeight="1">
      <c r="C316" s="33"/>
      <c r="D316" s="33"/>
      <c r="E316" s="33"/>
      <c r="F316" s="33"/>
    </row>
    <row r="317" ht="15.75" customHeight="1">
      <c r="C317" s="33"/>
      <c r="D317" s="33"/>
      <c r="E317" s="33"/>
      <c r="F317" s="33"/>
    </row>
    <row r="318" ht="15.75" customHeight="1">
      <c r="C318" s="33"/>
      <c r="D318" s="33"/>
      <c r="E318" s="33"/>
      <c r="F318" s="33"/>
    </row>
    <row r="319" ht="15.75" customHeight="1">
      <c r="C319" s="33"/>
      <c r="D319" s="33"/>
      <c r="E319" s="33"/>
      <c r="F319" s="33"/>
    </row>
    <row r="320" ht="15.75" customHeight="1">
      <c r="C320" s="33"/>
      <c r="D320" s="33"/>
      <c r="E320" s="33"/>
      <c r="F320" s="33"/>
    </row>
    <row r="321" ht="15.75" customHeight="1">
      <c r="C321" s="33"/>
      <c r="D321" s="33"/>
      <c r="E321" s="33"/>
      <c r="F321" s="33"/>
    </row>
    <row r="322" ht="15.75" customHeight="1">
      <c r="C322" s="33"/>
      <c r="D322" s="33"/>
      <c r="E322" s="33"/>
      <c r="F322" s="33"/>
    </row>
    <row r="323" ht="15.75" customHeight="1">
      <c r="C323" s="33"/>
      <c r="D323" s="33"/>
      <c r="E323" s="33"/>
      <c r="F323" s="33"/>
    </row>
    <row r="324" ht="15.75" customHeight="1">
      <c r="C324" s="33"/>
      <c r="D324" s="33"/>
      <c r="E324" s="33"/>
      <c r="F324" s="33"/>
    </row>
    <row r="325" ht="15.75" customHeight="1">
      <c r="C325" s="33"/>
      <c r="D325" s="33"/>
      <c r="E325" s="33"/>
      <c r="F325" s="33"/>
    </row>
    <row r="326" ht="15.75" customHeight="1">
      <c r="C326" s="33"/>
      <c r="D326" s="33"/>
      <c r="E326" s="33"/>
      <c r="F326" s="33"/>
    </row>
    <row r="327" ht="15.75" customHeight="1">
      <c r="C327" s="33"/>
      <c r="D327" s="33"/>
      <c r="E327" s="33"/>
      <c r="F327" s="33"/>
    </row>
    <row r="328" ht="15.75" customHeight="1">
      <c r="C328" s="33"/>
      <c r="D328" s="33"/>
      <c r="E328" s="33"/>
      <c r="F328" s="33"/>
    </row>
    <row r="329" ht="15.75" customHeight="1">
      <c r="C329" s="33"/>
      <c r="D329" s="33"/>
      <c r="E329" s="33"/>
      <c r="F329" s="33"/>
    </row>
    <row r="330" ht="15.75" customHeight="1">
      <c r="C330" s="33"/>
      <c r="D330" s="33"/>
      <c r="E330" s="33"/>
      <c r="F330" s="33"/>
    </row>
    <row r="331" ht="15.75" customHeight="1">
      <c r="C331" s="33"/>
      <c r="D331" s="33"/>
      <c r="E331" s="33"/>
      <c r="F331" s="33"/>
    </row>
    <row r="332" ht="15.75" customHeight="1">
      <c r="C332" s="33"/>
      <c r="D332" s="33"/>
      <c r="E332" s="33"/>
      <c r="F332" s="33"/>
    </row>
    <row r="333" ht="15.75" customHeight="1">
      <c r="C333" s="33"/>
      <c r="D333" s="33"/>
      <c r="E333" s="33"/>
      <c r="F333" s="33"/>
    </row>
    <row r="334" ht="15.75" customHeight="1">
      <c r="C334" s="33"/>
      <c r="D334" s="33"/>
      <c r="E334" s="33"/>
      <c r="F334" s="33"/>
    </row>
    <row r="335" ht="15.75" customHeight="1">
      <c r="C335" s="33"/>
      <c r="D335" s="33"/>
      <c r="E335" s="33"/>
      <c r="F335" s="33"/>
    </row>
    <row r="336" ht="15.75" customHeight="1">
      <c r="C336" s="33"/>
      <c r="D336" s="33"/>
      <c r="E336" s="33"/>
      <c r="F336" s="33"/>
    </row>
    <row r="337" ht="15.75" customHeight="1">
      <c r="C337" s="33"/>
      <c r="D337" s="33"/>
      <c r="E337" s="33"/>
      <c r="F337" s="33"/>
    </row>
    <row r="338" ht="15.75" customHeight="1">
      <c r="C338" s="33"/>
      <c r="D338" s="33"/>
      <c r="E338" s="33"/>
      <c r="F338" s="33"/>
    </row>
    <row r="339" ht="15.75" customHeight="1">
      <c r="C339" s="33"/>
      <c r="D339" s="33"/>
      <c r="E339" s="33"/>
      <c r="F339" s="33"/>
    </row>
    <row r="340" ht="15.75" customHeight="1">
      <c r="C340" s="33"/>
      <c r="D340" s="33"/>
      <c r="E340" s="33"/>
      <c r="F340" s="33"/>
    </row>
    <row r="341" ht="15.75" customHeight="1">
      <c r="C341" s="33"/>
      <c r="D341" s="33"/>
      <c r="E341" s="33"/>
      <c r="F341" s="33"/>
    </row>
    <row r="342" ht="15.75" customHeight="1">
      <c r="C342" s="33"/>
      <c r="D342" s="33"/>
      <c r="E342" s="33"/>
      <c r="F342" s="33"/>
    </row>
    <row r="343" ht="15.75" customHeight="1">
      <c r="C343" s="33"/>
      <c r="D343" s="33"/>
      <c r="E343" s="33"/>
      <c r="F343" s="33"/>
    </row>
    <row r="344" ht="15.75" customHeight="1">
      <c r="C344" s="33"/>
      <c r="D344" s="33"/>
      <c r="E344" s="33"/>
      <c r="F344" s="33"/>
    </row>
    <row r="345" ht="15.75" customHeight="1">
      <c r="C345" s="33"/>
      <c r="D345" s="33"/>
      <c r="E345" s="33"/>
      <c r="F345" s="33"/>
    </row>
    <row r="346" ht="15.75" customHeight="1">
      <c r="C346" s="33"/>
      <c r="D346" s="33"/>
      <c r="E346" s="33"/>
      <c r="F346" s="33"/>
    </row>
    <row r="347" ht="15.75" customHeight="1">
      <c r="C347" s="33"/>
      <c r="D347" s="33"/>
      <c r="E347" s="33"/>
      <c r="F347" s="33"/>
    </row>
    <row r="348" ht="15.75" customHeight="1">
      <c r="C348" s="33"/>
      <c r="D348" s="33"/>
      <c r="E348" s="33"/>
      <c r="F348" s="33"/>
    </row>
    <row r="349" ht="15.75" customHeight="1">
      <c r="C349" s="33"/>
      <c r="D349" s="33"/>
      <c r="E349" s="33"/>
      <c r="F349" s="33"/>
    </row>
    <row r="350" ht="15.75" customHeight="1">
      <c r="C350" s="33"/>
      <c r="D350" s="33"/>
      <c r="E350" s="33"/>
      <c r="F350" s="33"/>
    </row>
    <row r="351" ht="15.75" customHeight="1">
      <c r="C351" s="33"/>
      <c r="D351" s="33"/>
      <c r="E351" s="33"/>
      <c r="F351" s="33"/>
    </row>
    <row r="352" ht="15.75" customHeight="1">
      <c r="C352" s="33"/>
      <c r="D352" s="33"/>
      <c r="E352" s="33"/>
      <c r="F352" s="33"/>
    </row>
    <row r="353" ht="15.75" customHeight="1">
      <c r="C353" s="33"/>
      <c r="D353" s="33"/>
      <c r="E353" s="33"/>
      <c r="F353" s="33"/>
    </row>
    <row r="354" ht="15.75" customHeight="1">
      <c r="C354" s="33"/>
      <c r="D354" s="33"/>
      <c r="E354" s="33"/>
      <c r="F354" s="33"/>
    </row>
    <row r="355" ht="15.75" customHeight="1">
      <c r="C355" s="33"/>
      <c r="D355" s="33"/>
      <c r="E355" s="33"/>
      <c r="F355" s="33"/>
    </row>
    <row r="356" ht="15.75" customHeight="1">
      <c r="C356" s="33"/>
      <c r="D356" s="33"/>
      <c r="E356" s="33"/>
      <c r="F356" s="33"/>
    </row>
    <row r="357" ht="15.75" customHeight="1">
      <c r="C357" s="33"/>
      <c r="D357" s="33"/>
      <c r="E357" s="33"/>
      <c r="F357" s="33"/>
    </row>
    <row r="358" ht="15.75" customHeight="1">
      <c r="C358" s="33"/>
      <c r="D358" s="33"/>
      <c r="E358" s="33"/>
      <c r="F358" s="33"/>
    </row>
    <row r="359" ht="15.75" customHeight="1">
      <c r="C359" s="33"/>
      <c r="D359" s="33"/>
      <c r="E359" s="33"/>
      <c r="F359" s="33"/>
    </row>
    <row r="360" ht="15.75" customHeight="1">
      <c r="C360" s="33"/>
      <c r="D360" s="33"/>
      <c r="E360" s="33"/>
      <c r="F360" s="33"/>
    </row>
    <row r="361" ht="15.75" customHeight="1">
      <c r="C361" s="33"/>
      <c r="D361" s="33"/>
      <c r="E361" s="33"/>
      <c r="F361" s="33"/>
    </row>
    <row r="362" ht="15.75" customHeight="1">
      <c r="C362" s="33"/>
      <c r="D362" s="33"/>
      <c r="E362" s="33"/>
      <c r="F362" s="33"/>
    </row>
    <row r="363" ht="15.75" customHeight="1">
      <c r="C363" s="33"/>
      <c r="D363" s="33"/>
      <c r="E363" s="33"/>
      <c r="F363" s="33"/>
    </row>
    <row r="364" ht="15.75" customHeight="1">
      <c r="C364" s="33"/>
      <c r="D364" s="33"/>
      <c r="E364" s="33"/>
      <c r="F364" s="33"/>
    </row>
    <row r="365" ht="15.75" customHeight="1">
      <c r="C365" s="33"/>
      <c r="D365" s="33"/>
      <c r="E365" s="33"/>
      <c r="F365" s="33"/>
    </row>
    <row r="366" ht="15.75" customHeight="1">
      <c r="C366" s="33"/>
      <c r="D366" s="33"/>
      <c r="E366" s="33"/>
      <c r="F366" s="33"/>
    </row>
    <row r="367" ht="15.75" customHeight="1">
      <c r="C367" s="33"/>
      <c r="D367" s="33"/>
      <c r="E367" s="33"/>
      <c r="F367" s="33"/>
    </row>
    <row r="368" ht="15.75" customHeight="1">
      <c r="C368" s="33"/>
      <c r="D368" s="33"/>
      <c r="E368" s="33"/>
      <c r="F368" s="33"/>
    </row>
    <row r="369" ht="15.75" customHeight="1">
      <c r="C369" s="33"/>
      <c r="D369" s="33"/>
      <c r="E369" s="33"/>
      <c r="F369" s="33"/>
    </row>
    <row r="370" ht="15.75" customHeight="1">
      <c r="C370" s="33"/>
      <c r="D370" s="33"/>
      <c r="E370" s="33"/>
      <c r="F370" s="33"/>
    </row>
    <row r="371" ht="15.75" customHeight="1">
      <c r="C371" s="33"/>
      <c r="D371" s="33"/>
      <c r="E371" s="33"/>
      <c r="F371" s="33"/>
    </row>
    <row r="372" ht="15.75" customHeight="1">
      <c r="C372" s="33"/>
      <c r="D372" s="33"/>
      <c r="E372" s="33"/>
      <c r="F372" s="33"/>
    </row>
    <row r="373" ht="15.75" customHeight="1">
      <c r="C373" s="33"/>
      <c r="D373" s="33"/>
      <c r="E373" s="33"/>
      <c r="F373" s="33"/>
    </row>
    <row r="374" ht="15.75" customHeight="1">
      <c r="C374" s="33"/>
      <c r="D374" s="33"/>
      <c r="E374" s="33"/>
      <c r="F374" s="33"/>
    </row>
    <row r="375" ht="15.75" customHeight="1">
      <c r="C375" s="33"/>
      <c r="D375" s="33"/>
      <c r="E375" s="33"/>
      <c r="F375" s="33"/>
    </row>
    <row r="376" ht="15.75" customHeight="1">
      <c r="C376" s="33"/>
      <c r="D376" s="33"/>
      <c r="E376" s="33"/>
      <c r="F376" s="33"/>
    </row>
    <row r="377" ht="15.75" customHeight="1">
      <c r="C377" s="33"/>
      <c r="D377" s="33"/>
      <c r="E377" s="33"/>
      <c r="F377" s="33"/>
    </row>
    <row r="378" ht="15.75" customHeight="1">
      <c r="C378" s="33"/>
      <c r="D378" s="33"/>
      <c r="E378" s="33"/>
      <c r="F378" s="33"/>
    </row>
    <row r="379" ht="15.75" customHeight="1">
      <c r="C379" s="33"/>
      <c r="D379" s="33"/>
      <c r="E379" s="33"/>
      <c r="F379" s="33"/>
    </row>
    <row r="380" ht="15.75" customHeight="1">
      <c r="C380" s="33"/>
      <c r="D380" s="33"/>
      <c r="E380" s="33"/>
      <c r="F380" s="33"/>
    </row>
    <row r="381" ht="15.75" customHeight="1">
      <c r="C381" s="33"/>
      <c r="D381" s="33"/>
      <c r="E381" s="33"/>
      <c r="F381" s="33"/>
    </row>
    <row r="382" ht="15.75" customHeight="1">
      <c r="C382" s="33"/>
      <c r="D382" s="33"/>
      <c r="E382" s="33"/>
      <c r="F382" s="33"/>
    </row>
    <row r="383" ht="15.75" customHeight="1">
      <c r="C383" s="33"/>
      <c r="D383" s="33"/>
      <c r="E383" s="33"/>
      <c r="F383" s="33"/>
    </row>
    <row r="384" ht="15.75" customHeight="1">
      <c r="C384" s="33"/>
      <c r="D384" s="33"/>
      <c r="E384" s="33"/>
      <c r="F384" s="33"/>
    </row>
    <row r="385" ht="15.75" customHeight="1">
      <c r="C385" s="33"/>
      <c r="D385" s="33"/>
      <c r="E385" s="33"/>
      <c r="F385" s="33"/>
    </row>
    <row r="386" ht="15.75" customHeight="1">
      <c r="C386" s="33"/>
      <c r="D386" s="33"/>
      <c r="E386" s="33"/>
      <c r="F386" s="33"/>
    </row>
    <row r="387" ht="15.75" customHeight="1">
      <c r="C387" s="33"/>
      <c r="D387" s="33"/>
      <c r="E387" s="33"/>
      <c r="F387" s="33"/>
    </row>
    <row r="388" ht="15.75" customHeight="1">
      <c r="C388" s="33"/>
      <c r="D388" s="33"/>
      <c r="E388" s="33"/>
      <c r="F388" s="33"/>
    </row>
    <row r="389" ht="15.75" customHeight="1">
      <c r="C389" s="33"/>
      <c r="D389" s="33"/>
      <c r="E389" s="33"/>
      <c r="F389" s="33"/>
    </row>
    <row r="390" ht="15.75" customHeight="1">
      <c r="C390" s="33"/>
      <c r="D390" s="33"/>
      <c r="E390" s="33"/>
      <c r="F390" s="33"/>
    </row>
    <row r="391" ht="15.75" customHeight="1">
      <c r="C391" s="33"/>
      <c r="D391" s="33"/>
      <c r="E391" s="33"/>
      <c r="F391" s="33"/>
    </row>
    <row r="392" ht="15.75" customHeight="1">
      <c r="C392" s="33"/>
      <c r="D392" s="33"/>
      <c r="E392" s="33"/>
      <c r="F392" s="33"/>
    </row>
    <row r="393" ht="15.75" customHeight="1">
      <c r="C393" s="33"/>
      <c r="D393" s="33"/>
      <c r="E393" s="33"/>
      <c r="F393" s="33"/>
    </row>
    <row r="394" ht="15.75" customHeight="1">
      <c r="C394" s="33"/>
      <c r="D394" s="33"/>
      <c r="E394" s="33"/>
      <c r="F394" s="33"/>
    </row>
    <row r="395" ht="15.75" customHeight="1">
      <c r="C395" s="33"/>
      <c r="D395" s="33"/>
      <c r="E395" s="33"/>
      <c r="F395" s="33"/>
    </row>
    <row r="396" ht="15.75" customHeight="1">
      <c r="C396" s="33"/>
      <c r="D396" s="33"/>
      <c r="E396" s="33"/>
      <c r="F396" s="33"/>
    </row>
    <row r="397" ht="15.75" customHeight="1">
      <c r="C397" s="33"/>
      <c r="D397" s="33"/>
      <c r="E397" s="33"/>
      <c r="F397" s="33"/>
    </row>
    <row r="398" ht="15.75" customHeight="1">
      <c r="C398" s="33"/>
      <c r="D398" s="33"/>
      <c r="E398" s="33"/>
      <c r="F398" s="33"/>
    </row>
    <row r="399" ht="15.75" customHeight="1">
      <c r="C399" s="33"/>
      <c r="D399" s="33"/>
      <c r="E399" s="33"/>
      <c r="F399" s="33"/>
    </row>
    <row r="400" ht="15.75" customHeight="1">
      <c r="C400" s="33"/>
      <c r="D400" s="33"/>
      <c r="E400" s="33"/>
      <c r="F400" s="33"/>
    </row>
    <row r="401" ht="15.75" customHeight="1">
      <c r="C401" s="33"/>
      <c r="D401" s="33"/>
      <c r="E401" s="33"/>
      <c r="F401" s="33"/>
    </row>
    <row r="402" ht="15.75" customHeight="1">
      <c r="C402" s="33"/>
      <c r="D402" s="33"/>
      <c r="E402" s="33"/>
      <c r="F402" s="33"/>
    </row>
    <row r="403" ht="15.75" customHeight="1">
      <c r="C403" s="33"/>
      <c r="D403" s="33"/>
      <c r="E403" s="33"/>
      <c r="F403" s="33"/>
    </row>
    <row r="404" ht="15.75" customHeight="1">
      <c r="C404" s="33"/>
      <c r="D404" s="33"/>
      <c r="E404" s="33"/>
      <c r="F404" s="33"/>
    </row>
    <row r="405" ht="15.75" customHeight="1">
      <c r="C405" s="33"/>
      <c r="D405" s="33"/>
      <c r="E405" s="33"/>
      <c r="F405" s="33"/>
    </row>
    <row r="406" ht="15.75" customHeight="1">
      <c r="C406" s="33"/>
      <c r="D406" s="33"/>
      <c r="E406" s="33"/>
      <c r="F406" s="33"/>
    </row>
    <row r="407" ht="15.75" customHeight="1">
      <c r="C407" s="33"/>
      <c r="D407" s="33"/>
      <c r="E407" s="33"/>
      <c r="F407" s="33"/>
    </row>
    <row r="408" ht="15.75" customHeight="1">
      <c r="C408" s="33"/>
      <c r="D408" s="33"/>
      <c r="E408" s="33"/>
      <c r="F408" s="33"/>
    </row>
    <row r="409" ht="15.75" customHeight="1">
      <c r="C409" s="33"/>
      <c r="D409" s="33"/>
      <c r="E409" s="33"/>
      <c r="F409" s="33"/>
    </row>
    <row r="410" ht="15.75" customHeight="1">
      <c r="C410" s="33"/>
      <c r="D410" s="33"/>
      <c r="E410" s="33"/>
      <c r="F410" s="33"/>
    </row>
    <row r="411" ht="15.75" customHeight="1">
      <c r="C411" s="33"/>
      <c r="D411" s="33"/>
      <c r="E411" s="33"/>
      <c r="F411" s="33"/>
    </row>
    <row r="412" ht="15.75" customHeight="1">
      <c r="C412" s="33"/>
      <c r="D412" s="33"/>
      <c r="E412" s="33"/>
      <c r="F412" s="33"/>
    </row>
    <row r="413" ht="15.75" customHeight="1">
      <c r="C413" s="33"/>
      <c r="D413" s="33"/>
      <c r="E413" s="33"/>
      <c r="F413" s="33"/>
    </row>
    <row r="414" ht="15.75" customHeight="1">
      <c r="C414" s="33"/>
      <c r="D414" s="33"/>
      <c r="E414" s="33"/>
      <c r="F414" s="33"/>
    </row>
    <row r="415" ht="15.75" customHeight="1">
      <c r="C415" s="33"/>
      <c r="D415" s="33"/>
      <c r="E415" s="33"/>
      <c r="F415" s="33"/>
    </row>
    <row r="416" ht="15.75" customHeight="1">
      <c r="C416" s="33"/>
      <c r="D416" s="33"/>
      <c r="E416" s="33"/>
      <c r="F416" s="33"/>
    </row>
    <row r="417" ht="15.75" customHeight="1">
      <c r="C417" s="33"/>
      <c r="D417" s="33"/>
      <c r="E417" s="33"/>
      <c r="F417" s="33"/>
    </row>
    <row r="418" ht="15.75" customHeight="1">
      <c r="C418" s="33"/>
      <c r="D418" s="33"/>
      <c r="E418" s="33"/>
      <c r="F418" s="33"/>
    </row>
    <row r="419" ht="15.75" customHeight="1">
      <c r="C419" s="33"/>
      <c r="D419" s="33"/>
      <c r="E419" s="33"/>
      <c r="F419" s="33"/>
    </row>
    <row r="420" ht="15.75" customHeight="1">
      <c r="C420" s="33"/>
      <c r="D420" s="33"/>
      <c r="E420" s="33"/>
      <c r="F420" s="33"/>
    </row>
    <row r="421" ht="15.75" customHeight="1">
      <c r="C421" s="33"/>
      <c r="D421" s="33"/>
      <c r="E421" s="33"/>
      <c r="F421" s="33"/>
    </row>
    <row r="422" ht="15.75" customHeight="1">
      <c r="C422" s="33"/>
      <c r="D422" s="33"/>
      <c r="E422" s="33"/>
      <c r="F422" s="33"/>
    </row>
    <row r="423" ht="15.75" customHeight="1">
      <c r="C423" s="33"/>
      <c r="D423" s="33"/>
      <c r="E423" s="33"/>
      <c r="F423" s="33"/>
    </row>
    <row r="424" ht="15.75" customHeight="1">
      <c r="C424" s="33"/>
      <c r="D424" s="33"/>
      <c r="E424" s="33"/>
      <c r="F424" s="33"/>
    </row>
    <row r="425" ht="15.75" customHeight="1">
      <c r="C425" s="33"/>
      <c r="D425" s="33"/>
      <c r="E425" s="33"/>
      <c r="F425" s="33"/>
    </row>
    <row r="426" ht="15.75" customHeight="1">
      <c r="C426" s="33"/>
      <c r="D426" s="33"/>
      <c r="E426" s="33"/>
      <c r="F426" s="33"/>
    </row>
    <row r="427" ht="15.75" customHeight="1">
      <c r="C427" s="33"/>
      <c r="D427" s="33"/>
      <c r="E427" s="33"/>
      <c r="F427" s="33"/>
    </row>
    <row r="428" ht="15.75" customHeight="1">
      <c r="C428" s="33"/>
      <c r="D428" s="33"/>
      <c r="E428" s="33"/>
      <c r="F428" s="33"/>
    </row>
    <row r="429" ht="15.75" customHeight="1">
      <c r="C429" s="33"/>
      <c r="D429" s="33"/>
      <c r="E429" s="33"/>
      <c r="F429" s="33"/>
    </row>
    <row r="430" ht="15.75" customHeight="1">
      <c r="C430" s="33"/>
      <c r="D430" s="33"/>
      <c r="E430" s="33"/>
      <c r="F430" s="33"/>
    </row>
    <row r="431" ht="15.75" customHeight="1">
      <c r="C431" s="33"/>
      <c r="D431" s="33"/>
      <c r="E431" s="33"/>
      <c r="F431" s="33"/>
    </row>
    <row r="432" ht="15.75" customHeight="1">
      <c r="C432" s="33"/>
      <c r="D432" s="33"/>
      <c r="E432" s="33"/>
      <c r="F432" s="33"/>
    </row>
    <row r="433" ht="15.75" customHeight="1">
      <c r="C433" s="33"/>
      <c r="D433" s="33"/>
      <c r="E433" s="33"/>
      <c r="F433" s="33"/>
    </row>
    <row r="434" ht="15.75" customHeight="1">
      <c r="C434" s="33"/>
      <c r="D434" s="33"/>
      <c r="E434" s="33"/>
      <c r="F434" s="33"/>
    </row>
    <row r="435" ht="15.75" customHeight="1">
      <c r="C435" s="33"/>
      <c r="D435" s="33"/>
      <c r="E435" s="33"/>
      <c r="F435" s="33"/>
    </row>
    <row r="436" ht="15.75" customHeight="1">
      <c r="C436" s="33"/>
      <c r="D436" s="33"/>
      <c r="E436" s="33"/>
      <c r="F436" s="33"/>
    </row>
    <row r="437" ht="15.75" customHeight="1">
      <c r="C437" s="33"/>
      <c r="D437" s="33"/>
      <c r="E437" s="33"/>
      <c r="F437" s="33"/>
    </row>
    <row r="438" ht="15.75" customHeight="1">
      <c r="C438" s="33"/>
      <c r="D438" s="33"/>
      <c r="E438" s="33"/>
      <c r="F438" s="33"/>
    </row>
    <row r="439" ht="15.75" customHeight="1">
      <c r="C439" s="33"/>
      <c r="D439" s="33"/>
      <c r="E439" s="33"/>
      <c r="F439" s="33"/>
    </row>
    <row r="440" ht="15.75" customHeight="1">
      <c r="C440" s="33"/>
      <c r="D440" s="33"/>
      <c r="E440" s="33"/>
      <c r="F440" s="33"/>
    </row>
    <row r="441" ht="15.75" customHeight="1">
      <c r="C441" s="33"/>
      <c r="D441" s="33"/>
      <c r="E441" s="33"/>
      <c r="F441" s="33"/>
    </row>
    <row r="442" ht="15.75" customHeight="1">
      <c r="C442" s="33"/>
      <c r="D442" s="33"/>
      <c r="E442" s="33"/>
      <c r="F442" s="33"/>
    </row>
    <row r="443" ht="15.75" customHeight="1">
      <c r="C443" s="33"/>
      <c r="D443" s="33"/>
      <c r="E443" s="33"/>
      <c r="F443" s="33"/>
    </row>
    <row r="444" ht="15.75" customHeight="1">
      <c r="C444" s="33"/>
      <c r="D444" s="33"/>
      <c r="E444" s="33"/>
      <c r="F444" s="33"/>
    </row>
    <row r="445" ht="15.75" customHeight="1">
      <c r="C445" s="33"/>
      <c r="D445" s="33"/>
      <c r="E445" s="33"/>
      <c r="F445" s="33"/>
    </row>
    <row r="446" ht="15.75" customHeight="1">
      <c r="C446" s="33"/>
      <c r="D446" s="33"/>
      <c r="E446" s="33"/>
      <c r="F446" s="33"/>
    </row>
    <row r="447" ht="15.75" customHeight="1">
      <c r="C447" s="33"/>
      <c r="D447" s="33"/>
      <c r="E447" s="33"/>
      <c r="F447" s="33"/>
    </row>
    <row r="448" ht="15.75" customHeight="1">
      <c r="C448" s="33"/>
      <c r="D448" s="33"/>
      <c r="E448" s="33"/>
      <c r="F448" s="33"/>
    </row>
    <row r="449" ht="15.75" customHeight="1">
      <c r="C449" s="33"/>
      <c r="D449" s="33"/>
      <c r="E449" s="33"/>
      <c r="F449" s="33"/>
    </row>
    <row r="450" ht="15.75" customHeight="1">
      <c r="C450" s="33"/>
      <c r="D450" s="33"/>
      <c r="E450" s="33"/>
      <c r="F450" s="33"/>
    </row>
    <row r="451" ht="15.75" customHeight="1">
      <c r="C451" s="33"/>
      <c r="D451" s="33"/>
      <c r="E451" s="33"/>
      <c r="F451" s="33"/>
    </row>
    <row r="452" ht="15.75" customHeight="1">
      <c r="C452" s="33"/>
      <c r="D452" s="33"/>
      <c r="E452" s="33"/>
      <c r="F452" s="33"/>
    </row>
    <row r="453" ht="15.75" customHeight="1">
      <c r="C453" s="33"/>
      <c r="D453" s="33"/>
      <c r="E453" s="33"/>
      <c r="F453" s="33"/>
    </row>
    <row r="454" ht="15.75" customHeight="1">
      <c r="C454" s="33"/>
      <c r="D454" s="33"/>
      <c r="E454" s="33"/>
      <c r="F454" s="33"/>
    </row>
    <row r="455" ht="15.75" customHeight="1">
      <c r="C455" s="33"/>
      <c r="D455" s="33"/>
      <c r="E455" s="33"/>
      <c r="F455" s="33"/>
    </row>
    <row r="456" ht="15.75" customHeight="1">
      <c r="C456" s="33"/>
      <c r="D456" s="33"/>
      <c r="E456" s="33"/>
      <c r="F456" s="33"/>
    </row>
    <row r="457" ht="15.75" customHeight="1">
      <c r="C457" s="33"/>
      <c r="D457" s="33"/>
      <c r="E457" s="33"/>
      <c r="F457" s="33"/>
    </row>
    <row r="458" ht="15.75" customHeight="1">
      <c r="C458" s="33"/>
      <c r="D458" s="33"/>
      <c r="E458" s="33"/>
      <c r="F458" s="33"/>
    </row>
    <row r="459" ht="15.75" customHeight="1">
      <c r="C459" s="33"/>
      <c r="D459" s="33"/>
      <c r="E459" s="33"/>
      <c r="F459" s="33"/>
    </row>
    <row r="460" ht="15.75" customHeight="1">
      <c r="C460" s="33"/>
      <c r="D460" s="33"/>
      <c r="E460" s="33"/>
      <c r="F460" s="33"/>
    </row>
    <row r="461" ht="15.75" customHeight="1">
      <c r="C461" s="33"/>
      <c r="D461" s="33"/>
      <c r="E461" s="33"/>
      <c r="F461" s="33"/>
    </row>
    <row r="462" ht="15.75" customHeight="1">
      <c r="C462" s="33"/>
      <c r="D462" s="33"/>
      <c r="E462" s="33"/>
      <c r="F462" s="33"/>
    </row>
    <row r="463" ht="15.75" customHeight="1">
      <c r="C463" s="33"/>
      <c r="D463" s="33"/>
      <c r="E463" s="33"/>
      <c r="F463" s="33"/>
    </row>
    <row r="464" ht="15.75" customHeight="1">
      <c r="C464" s="33"/>
      <c r="D464" s="33"/>
      <c r="E464" s="33"/>
      <c r="F464" s="33"/>
    </row>
    <row r="465" ht="15.75" customHeight="1">
      <c r="C465" s="33"/>
      <c r="D465" s="33"/>
      <c r="E465" s="33"/>
      <c r="F465" s="33"/>
    </row>
    <row r="466" ht="15.75" customHeight="1">
      <c r="C466" s="33"/>
      <c r="D466" s="33"/>
      <c r="E466" s="33"/>
      <c r="F466" s="33"/>
    </row>
    <row r="467" ht="15.75" customHeight="1">
      <c r="C467" s="33"/>
      <c r="D467" s="33"/>
      <c r="E467" s="33"/>
      <c r="F467" s="33"/>
    </row>
    <row r="468" ht="15.75" customHeight="1">
      <c r="C468" s="33"/>
      <c r="D468" s="33"/>
      <c r="E468" s="33"/>
      <c r="F468" s="33"/>
    </row>
    <row r="469" ht="15.75" customHeight="1">
      <c r="C469" s="33"/>
      <c r="D469" s="33"/>
      <c r="E469" s="33"/>
      <c r="F469" s="33"/>
    </row>
    <row r="470" ht="15.75" customHeight="1">
      <c r="C470" s="33"/>
      <c r="D470" s="33"/>
      <c r="E470" s="33"/>
      <c r="F470" s="33"/>
    </row>
    <row r="471" ht="15.75" customHeight="1">
      <c r="C471" s="33"/>
      <c r="D471" s="33"/>
      <c r="E471" s="33"/>
      <c r="F471" s="33"/>
    </row>
    <row r="472" ht="15.75" customHeight="1">
      <c r="C472" s="33"/>
      <c r="D472" s="33"/>
      <c r="E472" s="33"/>
      <c r="F472" s="33"/>
    </row>
    <row r="473" ht="15.75" customHeight="1">
      <c r="C473" s="33"/>
      <c r="D473" s="33"/>
      <c r="E473" s="33"/>
      <c r="F473" s="33"/>
    </row>
    <row r="474" ht="15.75" customHeight="1">
      <c r="C474" s="33"/>
      <c r="D474" s="33"/>
      <c r="E474" s="33"/>
      <c r="F474" s="33"/>
    </row>
    <row r="475" ht="15.75" customHeight="1">
      <c r="C475" s="33"/>
      <c r="D475" s="33"/>
      <c r="E475" s="33"/>
      <c r="F475" s="33"/>
    </row>
    <row r="476" ht="15.75" customHeight="1">
      <c r="C476" s="33"/>
      <c r="D476" s="33"/>
      <c r="E476" s="33"/>
      <c r="F476" s="33"/>
    </row>
    <row r="477" ht="15.75" customHeight="1">
      <c r="C477" s="33"/>
      <c r="D477" s="33"/>
      <c r="E477" s="33"/>
      <c r="F477" s="33"/>
    </row>
    <row r="478" ht="15.75" customHeight="1">
      <c r="C478" s="33"/>
      <c r="D478" s="33"/>
      <c r="E478" s="33"/>
      <c r="F478" s="33"/>
    </row>
    <row r="479" ht="15.75" customHeight="1">
      <c r="C479" s="33"/>
      <c r="D479" s="33"/>
      <c r="E479" s="33"/>
      <c r="F479" s="33"/>
    </row>
    <row r="480" ht="15.75" customHeight="1">
      <c r="C480" s="33"/>
      <c r="D480" s="33"/>
      <c r="E480" s="33"/>
      <c r="F480" s="33"/>
    </row>
    <row r="481" ht="15.75" customHeight="1">
      <c r="C481" s="33"/>
      <c r="D481" s="33"/>
      <c r="E481" s="33"/>
      <c r="F481" s="33"/>
    </row>
    <row r="482" ht="15.75" customHeight="1">
      <c r="C482" s="33"/>
      <c r="D482" s="33"/>
      <c r="E482" s="33"/>
      <c r="F482" s="33"/>
    </row>
    <row r="483" ht="15.75" customHeight="1">
      <c r="C483" s="33"/>
      <c r="D483" s="33"/>
      <c r="E483" s="33"/>
      <c r="F483" s="33"/>
    </row>
    <row r="484" ht="15.75" customHeight="1">
      <c r="C484" s="33"/>
      <c r="D484" s="33"/>
      <c r="E484" s="33"/>
      <c r="F484" s="33"/>
    </row>
    <row r="485" ht="15.75" customHeight="1">
      <c r="C485" s="33"/>
      <c r="D485" s="33"/>
      <c r="E485" s="33"/>
      <c r="F485" s="33"/>
    </row>
    <row r="486" ht="15.75" customHeight="1">
      <c r="C486" s="33"/>
      <c r="D486" s="33"/>
      <c r="E486" s="33"/>
      <c r="F486" s="33"/>
    </row>
    <row r="487" ht="15.75" customHeight="1">
      <c r="C487" s="33"/>
      <c r="D487" s="33"/>
      <c r="E487" s="33"/>
      <c r="F487" s="33"/>
    </row>
    <row r="488" ht="15.75" customHeight="1">
      <c r="C488" s="33"/>
      <c r="D488" s="33"/>
      <c r="E488" s="33"/>
      <c r="F488" s="33"/>
    </row>
    <row r="489" ht="15.75" customHeight="1">
      <c r="C489" s="33"/>
      <c r="D489" s="33"/>
      <c r="E489" s="33"/>
      <c r="F489" s="33"/>
    </row>
    <row r="490" ht="15.75" customHeight="1">
      <c r="C490" s="33"/>
      <c r="D490" s="33"/>
      <c r="E490" s="33"/>
      <c r="F490" s="33"/>
    </row>
    <row r="491" ht="15.75" customHeight="1">
      <c r="C491" s="33"/>
      <c r="D491" s="33"/>
      <c r="E491" s="33"/>
      <c r="F491" s="33"/>
    </row>
    <row r="492" ht="15.75" customHeight="1">
      <c r="C492" s="33"/>
      <c r="D492" s="33"/>
      <c r="E492" s="33"/>
      <c r="F492" s="33"/>
    </row>
    <row r="493" ht="15.75" customHeight="1">
      <c r="C493" s="33"/>
      <c r="D493" s="33"/>
      <c r="E493" s="33"/>
      <c r="F493" s="33"/>
    </row>
    <row r="494" ht="15.75" customHeight="1">
      <c r="C494" s="33"/>
      <c r="D494" s="33"/>
      <c r="E494" s="33"/>
      <c r="F494" s="33"/>
    </row>
    <row r="495" ht="15.75" customHeight="1">
      <c r="C495" s="33"/>
      <c r="D495" s="33"/>
      <c r="E495" s="33"/>
      <c r="F495" s="33"/>
    </row>
    <row r="496" ht="15.75" customHeight="1">
      <c r="C496" s="33"/>
      <c r="D496" s="33"/>
      <c r="E496" s="33"/>
      <c r="F496" s="33"/>
    </row>
    <row r="497" ht="15.75" customHeight="1">
      <c r="C497" s="33"/>
      <c r="D497" s="33"/>
      <c r="E497" s="33"/>
      <c r="F497" s="33"/>
    </row>
    <row r="498" ht="15.75" customHeight="1">
      <c r="C498" s="33"/>
      <c r="D498" s="33"/>
      <c r="E498" s="33"/>
      <c r="F498" s="33"/>
    </row>
    <row r="499" ht="15.75" customHeight="1">
      <c r="C499" s="33"/>
      <c r="D499" s="33"/>
      <c r="E499" s="33"/>
      <c r="F499" s="33"/>
    </row>
    <row r="500" ht="15.75" customHeight="1">
      <c r="C500" s="33"/>
      <c r="D500" s="33"/>
      <c r="E500" s="33"/>
      <c r="F500" s="33"/>
    </row>
    <row r="501" ht="15.75" customHeight="1">
      <c r="C501" s="33"/>
      <c r="D501" s="33"/>
      <c r="E501" s="33"/>
      <c r="F501" s="33"/>
    </row>
    <row r="502" ht="15.75" customHeight="1">
      <c r="C502" s="33"/>
      <c r="D502" s="33"/>
      <c r="E502" s="33"/>
      <c r="F502" s="33"/>
    </row>
    <row r="503" ht="15.75" customHeight="1">
      <c r="C503" s="33"/>
      <c r="D503" s="33"/>
      <c r="E503" s="33"/>
      <c r="F503" s="33"/>
    </row>
    <row r="504" ht="15.75" customHeight="1">
      <c r="C504" s="33"/>
      <c r="D504" s="33"/>
      <c r="E504" s="33"/>
      <c r="F504" s="33"/>
    </row>
    <row r="505" ht="15.75" customHeight="1">
      <c r="C505" s="33"/>
      <c r="D505" s="33"/>
      <c r="E505" s="33"/>
      <c r="F505" s="33"/>
    </row>
    <row r="506" ht="15.75" customHeight="1">
      <c r="C506" s="33"/>
      <c r="D506" s="33"/>
      <c r="E506" s="33"/>
      <c r="F506" s="33"/>
    </row>
    <row r="507" ht="15.75" customHeight="1">
      <c r="C507" s="33"/>
      <c r="D507" s="33"/>
      <c r="E507" s="33"/>
      <c r="F507" s="33"/>
    </row>
    <row r="508" ht="15.75" customHeight="1">
      <c r="C508" s="33"/>
      <c r="D508" s="33"/>
      <c r="E508" s="33"/>
      <c r="F508" s="33"/>
    </row>
    <row r="509" ht="15.75" customHeight="1">
      <c r="C509" s="33"/>
      <c r="D509" s="33"/>
      <c r="E509" s="33"/>
      <c r="F509" s="33"/>
    </row>
    <row r="510" ht="15.75" customHeight="1">
      <c r="C510" s="33"/>
      <c r="D510" s="33"/>
      <c r="E510" s="33"/>
      <c r="F510" s="33"/>
    </row>
    <row r="511" ht="15.75" customHeight="1">
      <c r="C511" s="33"/>
      <c r="D511" s="33"/>
      <c r="E511" s="33"/>
      <c r="F511" s="33"/>
    </row>
    <row r="512" ht="15.75" customHeight="1">
      <c r="C512" s="33"/>
      <c r="D512" s="33"/>
      <c r="E512" s="33"/>
      <c r="F512" s="33"/>
    </row>
    <row r="513" ht="15.75" customHeight="1">
      <c r="C513" s="33"/>
      <c r="D513" s="33"/>
      <c r="E513" s="33"/>
      <c r="F513" s="33"/>
    </row>
    <row r="514" ht="15.75" customHeight="1">
      <c r="C514" s="33"/>
      <c r="D514" s="33"/>
      <c r="E514" s="33"/>
      <c r="F514" s="33"/>
    </row>
    <row r="515" ht="15.75" customHeight="1">
      <c r="C515" s="33"/>
      <c r="D515" s="33"/>
      <c r="E515" s="33"/>
      <c r="F515" s="33"/>
    </row>
    <row r="516" ht="15.75" customHeight="1">
      <c r="C516" s="33"/>
      <c r="D516" s="33"/>
      <c r="E516" s="33"/>
      <c r="F516" s="33"/>
    </row>
    <row r="517" ht="15.75" customHeight="1">
      <c r="C517" s="33"/>
      <c r="D517" s="33"/>
      <c r="E517" s="33"/>
      <c r="F517" s="33"/>
    </row>
    <row r="518" ht="15.75" customHeight="1">
      <c r="C518" s="33"/>
      <c r="D518" s="33"/>
      <c r="E518" s="33"/>
      <c r="F518" s="33"/>
    </row>
    <row r="519" ht="15.75" customHeight="1">
      <c r="C519" s="33"/>
      <c r="D519" s="33"/>
      <c r="E519" s="33"/>
      <c r="F519" s="33"/>
    </row>
    <row r="520" ht="15.75" customHeight="1">
      <c r="C520" s="33"/>
      <c r="D520" s="33"/>
      <c r="E520" s="33"/>
      <c r="F520" s="33"/>
    </row>
    <row r="521" ht="15.75" customHeight="1">
      <c r="C521" s="33"/>
      <c r="D521" s="33"/>
      <c r="E521" s="33"/>
      <c r="F521" s="33"/>
    </row>
    <row r="522" ht="15.75" customHeight="1">
      <c r="C522" s="33"/>
      <c r="D522" s="33"/>
      <c r="E522" s="33"/>
      <c r="F522" s="33"/>
    </row>
    <row r="523" ht="15.75" customHeight="1">
      <c r="C523" s="33"/>
      <c r="D523" s="33"/>
      <c r="E523" s="33"/>
      <c r="F523" s="33"/>
    </row>
    <row r="524" ht="15.75" customHeight="1">
      <c r="C524" s="33"/>
      <c r="D524" s="33"/>
      <c r="E524" s="33"/>
      <c r="F524" s="33"/>
    </row>
    <row r="525" ht="15.75" customHeight="1">
      <c r="C525" s="33"/>
      <c r="D525" s="33"/>
      <c r="E525" s="33"/>
      <c r="F525" s="33"/>
    </row>
    <row r="526" ht="15.75" customHeight="1">
      <c r="C526" s="33"/>
      <c r="D526" s="33"/>
      <c r="E526" s="33"/>
      <c r="F526" s="33"/>
    </row>
    <row r="527" ht="15.75" customHeight="1">
      <c r="C527" s="33"/>
      <c r="D527" s="33"/>
      <c r="E527" s="33"/>
      <c r="F527" s="33"/>
    </row>
    <row r="528" ht="15.75" customHeight="1">
      <c r="C528" s="33"/>
      <c r="D528" s="33"/>
      <c r="E528" s="33"/>
      <c r="F528" s="33"/>
    </row>
    <row r="529" ht="15.75" customHeight="1">
      <c r="C529" s="33"/>
      <c r="D529" s="33"/>
      <c r="E529" s="33"/>
      <c r="F529" s="33"/>
    </row>
    <row r="530" ht="15.75" customHeight="1">
      <c r="C530" s="33"/>
      <c r="D530" s="33"/>
      <c r="E530" s="33"/>
      <c r="F530" s="33"/>
    </row>
    <row r="531" ht="15.75" customHeight="1">
      <c r="C531" s="33"/>
      <c r="D531" s="33"/>
      <c r="E531" s="33"/>
      <c r="F531" s="33"/>
    </row>
    <row r="532" ht="15.75" customHeight="1">
      <c r="C532" s="33"/>
      <c r="D532" s="33"/>
      <c r="E532" s="33"/>
      <c r="F532" s="33"/>
    </row>
    <row r="533" ht="15.75" customHeight="1">
      <c r="C533" s="33"/>
      <c r="D533" s="33"/>
      <c r="E533" s="33"/>
      <c r="F533" s="33"/>
    </row>
    <row r="534" ht="15.75" customHeight="1">
      <c r="C534" s="33"/>
      <c r="D534" s="33"/>
      <c r="E534" s="33"/>
      <c r="F534" s="33"/>
    </row>
    <row r="535" ht="15.75" customHeight="1">
      <c r="C535" s="33"/>
      <c r="D535" s="33"/>
      <c r="E535" s="33"/>
      <c r="F535" s="33"/>
    </row>
    <row r="536" ht="15.75" customHeight="1">
      <c r="C536" s="33"/>
      <c r="D536" s="33"/>
      <c r="E536" s="33"/>
      <c r="F536" s="33"/>
    </row>
    <row r="537" ht="15.75" customHeight="1">
      <c r="C537" s="33"/>
      <c r="D537" s="33"/>
      <c r="E537" s="33"/>
      <c r="F537" s="33"/>
    </row>
    <row r="538" ht="15.75" customHeight="1">
      <c r="C538" s="33"/>
      <c r="D538" s="33"/>
      <c r="E538" s="33"/>
      <c r="F538" s="33"/>
    </row>
    <row r="539" ht="15.75" customHeight="1">
      <c r="C539" s="33"/>
      <c r="D539" s="33"/>
      <c r="E539" s="33"/>
      <c r="F539" s="33"/>
    </row>
    <row r="540" ht="15.75" customHeight="1">
      <c r="C540" s="33"/>
      <c r="D540" s="33"/>
      <c r="E540" s="33"/>
      <c r="F540" s="33"/>
    </row>
    <row r="541" ht="15.75" customHeight="1">
      <c r="C541" s="33"/>
      <c r="D541" s="33"/>
      <c r="E541" s="33"/>
      <c r="F541" s="33"/>
    </row>
    <row r="542" ht="15.75" customHeight="1">
      <c r="C542" s="33"/>
      <c r="D542" s="33"/>
      <c r="E542" s="33"/>
      <c r="F542" s="33"/>
    </row>
    <row r="543" ht="15.75" customHeight="1">
      <c r="C543" s="33"/>
      <c r="D543" s="33"/>
      <c r="E543" s="33"/>
      <c r="F543" s="33"/>
    </row>
    <row r="544" ht="15.75" customHeight="1">
      <c r="C544" s="33"/>
      <c r="D544" s="33"/>
      <c r="E544" s="33"/>
      <c r="F544" s="33"/>
    </row>
    <row r="545" ht="15.75" customHeight="1">
      <c r="C545" s="33"/>
      <c r="D545" s="33"/>
      <c r="E545" s="33"/>
      <c r="F545" s="33"/>
    </row>
    <row r="546" ht="15.75" customHeight="1">
      <c r="C546" s="33"/>
      <c r="D546" s="33"/>
      <c r="E546" s="33"/>
      <c r="F546" s="33"/>
    </row>
    <row r="547" ht="15.75" customHeight="1">
      <c r="C547" s="33"/>
      <c r="D547" s="33"/>
      <c r="E547" s="33"/>
      <c r="F547" s="33"/>
    </row>
    <row r="548" ht="15.75" customHeight="1">
      <c r="C548" s="33"/>
      <c r="D548" s="33"/>
      <c r="E548" s="33"/>
      <c r="F548" s="33"/>
    </row>
    <row r="549" ht="15.75" customHeight="1">
      <c r="C549" s="33"/>
      <c r="D549" s="33"/>
      <c r="E549" s="33"/>
      <c r="F549" s="33"/>
    </row>
    <row r="550" ht="15.75" customHeight="1">
      <c r="C550" s="33"/>
      <c r="D550" s="33"/>
      <c r="E550" s="33"/>
      <c r="F550" s="33"/>
    </row>
    <row r="551" ht="15.75" customHeight="1">
      <c r="C551" s="33"/>
      <c r="D551" s="33"/>
      <c r="E551" s="33"/>
      <c r="F551" s="33"/>
    </row>
    <row r="552" ht="15.75" customHeight="1">
      <c r="C552" s="33"/>
      <c r="D552" s="33"/>
      <c r="E552" s="33"/>
      <c r="F552" s="33"/>
    </row>
    <row r="553" ht="15.75" customHeight="1">
      <c r="C553" s="33"/>
      <c r="D553" s="33"/>
      <c r="E553" s="33"/>
      <c r="F553" s="33"/>
    </row>
    <row r="554" ht="15.75" customHeight="1">
      <c r="C554" s="33"/>
      <c r="D554" s="33"/>
      <c r="E554" s="33"/>
      <c r="F554" s="33"/>
    </row>
    <row r="555" ht="15.75" customHeight="1">
      <c r="C555" s="33"/>
      <c r="D555" s="33"/>
      <c r="E555" s="33"/>
      <c r="F555" s="33"/>
    </row>
    <row r="556" ht="15.75" customHeight="1">
      <c r="C556" s="33"/>
      <c r="D556" s="33"/>
      <c r="E556" s="33"/>
      <c r="F556" s="33"/>
    </row>
    <row r="557" ht="15.75" customHeight="1">
      <c r="C557" s="33"/>
      <c r="D557" s="33"/>
      <c r="E557" s="33"/>
      <c r="F557" s="33"/>
    </row>
    <row r="558" ht="15.75" customHeight="1">
      <c r="C558" s="33"/>
      <c r="D558" s="33"/>
      <c r="E558" s="33"/>
      <c r="F558" s="33"/>
    </row>
    <row r="559" ht="15.75" customHeight="1">
      <c r="C559" s="33"/>
      <c r="D559" s="33"/>
      <c r="E559" s="33"/>
      <c r="F559" s="33"/>
    </row>
    <row r="560" ht="15.75" customHeight="1">
      <c r="C560" s="33"/>
      <c r="D560" s="33"/>
      <c r="E560" s="33"/>
      <c r="F560" s="33"/>
    </row>
    <row r="561" ht="15.75" customHeight="1">
      <c r="C561" s="33"/>
      <c r="D561" s="33"/>
      <c r="E561" s="33"/>
      <c r="F561" s="33"/>
    </row>
    <row r="562" ht="15.75" customHeight="1">
      <c r="C562" s="33"/>
      <c r="D562" s="33"/>
      <c r="E562" s="33"/>
      <c r="F562" s="33"/>
    </row>
    <row r="563" ht="15.75" customHeight="1">
      <c r="C563" s="33"/>
      <c r="D563" s="33"/>
      <c r="E563" s="33"/>
      <c r="F563" s="33"/>
    </row>
    <row r="564" ht="15.75" customHeight="1">
      <c r="C564" s="33"/>
      <c r="D564" s="33"/>
      <c r="E564" s="33"/>
      <c r="F564" s="33"/>
    </row>
    <row r="565" ht="15.75" customHeight="1">
      <c r="C565" s="33"/>
      <c r="D565" s="33"/>
      <c r="E565" s="33"/>
      <c r="F565" s="33"/>
    </row>
    <row r="566" ht="15.75" customHeight="1">
      <c r="C566" s="33"/>
      <c r="D566" s="33"/>
      <c r="E566" s="33"/>
      <c r="F566" s="33"/>
    </row>
    <row r="567" ht="15.75" customHeight="1">
      <c r="C567" s="33"/>
      <c r="D567" s="33"/>
      <c r="E567" s="33"/>
      <c r="F567" s="33"/>
    </row>
    <row r="568" ht="15.75" customHeight="1">
      <c r="C568" s="33"/>
      <c r="D568" s="33"/>
      <c r="E568" s="33"/>
      <c r="F568" s="33"/>
    </row>
    <row r="569" ht="15.75" customHeight="1">
      <c r="C569" s="33"/>
      <c r="D569" s="33"/>
      <c r="E569" s="33"/>
      <c r="F569" s="33"/>
    </row>
    <row r="570" ht="15.75" customHeight="1">
      <c r="C570" s="33"/>
      <c r="D570" s="33"/>
      <c r="E570" s="33"/>
      <c r="F570" s="33"/>
    </row>
    <row r="571" ht="15.75" customHeight="1">
      <c r="C571" s="33"/>
      <c r="D571" s="33"/>
      <c r="E571" s="33"/>
      <c r="F571" s="33"/>
    </row>
    <row r="572" ht="15.75" customHeight="1">
      <c r="C572" s="33"/>
      <c r="D572" s="33"/>
      <c r="E572" s="33"/>
      <c r="F572" s="33"/>
    </row>
    <row r="573" ht="15.75" customHeight="1">
      <c r="C573" s="33"/>
      <c r="D573" s="33"/>
      <c r="E573" s="33"/>
      <c r="F573" s="33"/>
    </row>
    <row r="574" ht="15.75" customHeight="1">
      <c r="C574" s="33"/>
      <c r="D574" s="33"/>
      <c r="E574" s="33"/>
      <c r="F574" s="33"/>
    </row>
    <row r="575" ht="15.75" customHeight="1">
      <c r="C575" s="33"/>
      <c r="D575" s="33"/>
      <c r="E575" s="33"/>
      <c r="F575" s="33"/>
    </row>
    <row r="576" ht="15.75" customHeight="1">
      <c r="C576" s="33"/>
      <c r="D576" s="33"/>
      <c r="E576" s="33"/>
      <c r="F576" s="33"/>
    </row>
    <row r="577" ht="15.75" customHeight="1">
      <c r="C577" s="33"/>
      <c r="D577" s="33"/>
      <c r="E577" s="33"/>
      <c r="F577" s="33"/>
    </row>
    <row r="578" ht="15.75" customHeight="1">
      <c r="C578" s="33"/>
      <c r="D578" s="33"/>
      <c r="E578" s="33"/>
      <c r="F578" s="33"/>
    </row>
    <row r="579" ht="15.75" customHeight="1">
      <c r="C579" s="33"/>
      <c r="D579" s="33"/>
      <c r="E579" s="33"/>
      <c r="F579" s="33"/>
    </row>
    <row r="580" ht="15.75" customHeight="1">
      <c r="C580" s="33"/>
      <c r="D580" s="33"/>
      <c r="E580" s="33"/>
      <c r="F580" s="33"/>
    </row>
    <row r="581" ht="15.75" customHeight="1">
      <c r="C581" s="33"/>
      <c r="D581" s="33"/>
      <c r="E581" s="33"/>
      <c r="F581" s="33"/>
    </row>
    <row r="582" ht="15.75" customHeight="1">
      <c r="C582" s="33"/>
      <c r="D582" s="33"/>
      <c r="E582" s="33"/>
      <c r="F582" s="33"/>
    </row>
    <row r="583" ht="15.75" customHeight="1">
      <c r="C583" s="33"/>
      <c r="D583" s="33"/>
      <c r="E583" s="33"/>
      <c r="F583" s="33"/>
    </row>
    <row r="584" ht="15.75" customHeight="1">
      <c r="C584" s="33"/>
      <c r="D584" s="33"/>
      <c r="E584" s="33"/>
      <c r="F584" s="33"/>
    </row>
    <row r="585" ht="15.75" customHeight="1">
      <c r="C585" s="33"/>
      <c r="D585" s="33"/>
      <c r="E585" s="33"/>
      <c r="F585" s="33"/>
    </row>
    <row r="586" ht="15.75" customHeight="1">
      <c r="C586" s="33"/>
      <c r="D586" s="33"/>
      <c r="E586" s="33"/>
      <c r="F586" s="33"/>
    </row>
    <row r="587" ht="15.75" customHeight="1">
      <c r="C587" s="33"/>
      <c r="D587" s="33"/>
      <c r="E587" s="33"/>
      <c r="F587" s="33"/>
    </row>
    <row r="588" ht="15.75" customHeight="1">
      <c r="C588" s="33"/>
      <c r="D588" s="33"/>
      <c r="E588" s="33"/>
      <c r="F588" s="33"/>
    </row>
    <row r="589" ht="15.75" customHeight="1">
      <c r="C589" s="33"/>
      <c r="D589" s="33"/>
      <c r="E589" s="33"/>
      <c r="F589" s="33"/>
    </row>
    <row r="590" ht="15.75" customHeight="1">
      <c r="C590" s="33"/>
      <c r="D590" s="33"/>
      <c r="E590" s="33"/>
      <c r="F590" s="33"/>
    </row>
    <row r="591" ht="15.75" customHeight="1">
      <c r="C591" s="33"/>
      <c r="D591" s="33"/>
      <c r="E591" s="33"/>
      <c r="F591" s="33"/>
    </row>
    <row r="592" ht="15.75" customHeight="1">
      <c r="C592" s="33"/>
      <c r="D592" s="33"/>
      <c r="E592" s="33"/>
      <c r="F592" s="33"/>
    </row>
    <row r="593" ht="15.75" customHeight="1">
      <c r="C593" s="33"/>
      <c r="D593" s="33"/>
      <c r="E593" s="33"/>
      <c r="F593" s="33"/>
    </row>
    <row r="594" ht="15.75" customHeight="1">
      <c r="C594" s="33"/>
      <c r="D594" s="33"/>
      <c r="E594" s="33"/>
      <c r="F594" s="33"/>
    </row>
    <row r="595" ht="15.75" customHeight="1">
      <c r="C595" s="33"/>
      <c r="D595" s="33"/>
      <c r="E595" s="33"/>
      <c r="F595" s="33"/>
    </row>
    <row r="596" ht="15.75" customHeight="1">
      <c r="C596" s="33"/>
      <c r="D596" s="33"/>
      <c r="E596" s="33"/>
      <c r="F596" s="33"/>
    </row>
    <row r="597" ht="15.75" customHeight="1">
      <c r="C597" s="33"/>
      <c r="D597" s="33"/>
      <c r="E597" s="33"/>
      <c r="F597" s="33"/>
    </row>
    <row r="598" ht="15.75" customHeight="1">
      <c r="C598" s="33"/>
      <c r="D598" s="33"/>
      <c r="E598" s="33"/>
      <c r="F598" s="33"/>
    </row>
    <row r="599" ht="15.75" customHeight="1">
      <c r="C599" s="33"/>
      <c r="D599" s="33"/>
      <c r="E599" s="33"/>
      <c r="F599" s="33"/>
    </row>
    <row r="600" ht="15.75" customHeight="1">
      <c r="C600" s="33"/>
      <c r="D600" s="33"/>
      <c r="E600" s="33"/>
      <c r="F600" s="33"/>
    </row>
    <row r="601" ht="15.75" customHeight="1">
      <c r="C601" s="33"/>
      <c r="D601" s="33"/>
      <c r="E601" s="33"/>
      <c r="F601" s="33"/>
    </row>
    <row r="602" ht="15.75" customHeight="1">
      <c r="C602" s="33"/>
      <c r="D602" s="33"/>
      <c r="E602" s="33"/>
      <c r="F602" s="33"/>
    </row>
    <row r="603" ht="15.75" customHeight="1">
      <c r="C603" s="33"/>
      <c r="D603" s="33"/>
      <c r="E603" s="33"/>
      <c r="F603" s="33"/>
    </row>
    <row r="604" ht="15.75" customHeight="1">
      <c r="C604" s="33"/>
      <c r="D604" s="33"/>
      <c r="E604" s="33"/>
      <c r="F604" s="33"/>
    </row>
    <row r="605" ht="15.75" customHeight="1">
      <c r="C605" s="33"/>
      <c r="D605" s="33"/>
      <c r="E605" s="33"/>
      <c r="F605" s="33"/>
    </row>
    <row r="606" ht="15.75" customHeight="1">
      <c r="C606" s="33"/>
      <c r="D606" s="33"/>
      <c r="E606" s="33"/>
      <c r="F606" s="33"/>
    </row>
    <row r="607" ht="15.75" customHeight="1">
      <c r="C607" s="33"/>
      <c r="D607" s="33"/>
      <c r="E607" s="33"/>
      <c r="F607" s="33"/>
    </row>
    <row r="608" ht="15.75" customHeight="1">
      <c r="C608" s="33"/>
      <c r="D608" s="33"/>
      <c r="E608" s="33"/>
      <c r="F608" s="33"/>
    </row>
    <row r="609" ht="15.75" customHeight="1">
      <c r="C609" s="33"/>
      <c r="D609" s="33"/>
      <c r="E609" s="33"/>
      <c r="F609" s="33"/>
    </row>
    <row r="610" ht="15.75" customHeight="1">
      <c r="C610" s="33"/>
      <c r="D610" s="33"/>
      <c r="E610" s="33"/>
      <c r="F610" s="33"/>
    </row>
    <row r="611" ht="15.75" customHeight="1">
      <c r="C611" s="33"/>
      <c r="D611" s="33"/>
      <c r="E611" s="33"/>
      <c r="F611" s="33"/>
    </row>
    <row r="612" ht="15.75" customHeight="1">
      <c r="C612" s="33"/>
      <c r="D612" s="33"/>
      <c r="E612" s="33"/>
      <c r="F612" s="33"/>
    </row>
    <row r="613" ht="15.75" customHeight="1">
      <c r="C613" s="33"/>
      <c r="D613" s="33"/>
      <c r="E613" s="33"/>
      <c r="F613" s="33"/>
    </row>
    <row r="614" ht="15.75" customHeight="1">
      <c r="C614" s="33"/>
      <c r="D614" s="33"/>
      <c r="E614" s="33"/>
      <c r="F614" s="33"/>
    </row>
    <row r="615" ht="15.75" customHeight="1">
      <c r="C615" s="33"/>
      <c r="D615" s="33"/>
      <c r="E615" s="33"/>
      <c r="F615" s="33"/>
    </row>
    <row r="616" ht="15.75" customHeight="1">
      <c r="C616" s="33"/>
      <c r="D616" s="33"/>
      <c r="E616" s="33"/>
      <c r="F616" s="33"/>
    </row>
    <row r="617" ht="15.75" customHeight="1">
      <c r="C617" s="33"/>
      <c r="D617" s="33"/>
      <c r="E617" s="33"/>
      <c r="F617" s="33"/>
    </row>
    <row r="618" ht="15.75" customHeight="1">
      <c r="C618" s="33"/>
      <c r="D618" s="33"/>
      <c r="E618" s="33"/>
      <c r="F618" s="33"/>
    </row>
    <row r="619" ht="15.75" customHeight="1">
      <c r="C619" s="33"/>
      <c r="D619" s="33"/>
      <c r="E619" s="33"/>
      <c r="F619" s="33"/>
    </row>
    <row r="620" ht="15.75" customHeight="1">
      <c r="C620" s="33"/>
      <c r="D620" s="33"/>
      <c r="E620" s="33"/>
      <c r="F620" s="33"/>
    </row>
    <row r="621" ht="15.75" customHeight="1">
      <c r="C621" s="33"/>
      <c r="D621" s="33"/>
      <c r="E621" s="33"/>
      <c r="F621" s="33"/>
    </row>
    <row r="622" ht="15.75" customHeight="1">
      <c r="C622" s="33"/>
      <c r="D622" s="33"/>
      <c r="E622" s="33"/>
      <c r="F622" s="33"/>
    </row>
    <row r="623" ht="15.75" customHeight="1">
      <c r="C623" s="33"/>
      <c r="D623" s="33"/>
      <c r="E623" s="33"/>
      <c r="F623" s="33"/>
    </row>
    <row r="624" ht="15.75" customHeight="1">
      <c r="C624" s="33"/>
      <c r="D624" s="33"/>
      <c r="E624" s="33"/>
      <c r="F624" s="33"/>
    </row>
    <row r="625" ht="15.75" customHeight="1">
      <c r="C625" s="33"/>
      <c r="D625" s="33"/>
      <c r="E625" s="33"/>
      <c r="F625" s="33"/>
    </row>
    <row r="626" ht="15.75" customHeight="1">
      <c r="C626" s="33"/>
      <c r="D626" s="33"/>
      <c r="E626" s="33"/>
      <c r="F626" s="33"/>
    </row>
    <row r="627" ht="15.75" customHeight="1">
      <c r="C627" s="33"/>
      <c r="D627" s="33"/>
      <c r="E627" s="33"/>
      <c r="F627" s="33"/>
    </row>
    <row r="628" ht="15.75" customHeight="1">
      <c r="C628" s="33"/>
      <c r="D628" s="33"/>
      <c r="E628" s="33"/>
      <c r="F628" s="33"/>
    </row>
    <row r="629" ht="15.75" customHeight="1">
      <c r="C629" s="33"/>
      <c r="D629" s="33"/>
      <c r="E629" s="33"/>
      <c r="F629" s="33"/>
    </row>
    <row r="630" ht="15.75" customHeight="1">
      <c r="C630" s="33"/>
      <c r="D630" s="33"/>
      <c r="E630" s="33"/>
      <c r="F630" s="33"/>
    </row>
    <row r="631" ht="15.75" customHeight="1">
      <c r="C631" s="33"/>
      <c r="D631" s="33"/>
      <c r="E631" s="33"/>
      <c r="F631" s="33"/>
    </row>
    <row r="632" ht="15.75" customHeight="1">
      <c r="C632" s="33"/>
      <c r="D632" s="33"/>
      <c r="E632" s="33"/>
      <c r="F632" s="33"/>
    </row>
    <row r="633" ht="15.75" customHeight="1">
      <c r="C633" s="33"/>
      <c r="D633" s="33"/>
      <c r="E633" s="33"/>
      <c r="F633" s="33"/>
    </row>
    <row r="634" ht="15.75" customHeight="1">
      <c r="C634" s="33"/>
      <c r="D634" s="33"/>
      <c r="E634" s="33"/>
      <c r="F634" s="33"/>
    </row>
    <row r="635" ht="15.75" customHeight="1">
      <c r="C635" s="33"/>
      <c r="D635" s="33"/>
      <c r="E635" s="33"/>
      <c r="F635" s="33"/>
    </row>
    <row r="636" ht="15.75" customHeight="1">
      <c r="C636" s="33"/>
      <c r="D636" s="33"/>
      <c r="E636" s="33"/>
      <c r="F636" s="33"/>
    </row>
    <row r="637" ht="15.75" customHeight="1">
      <c r="C637" s="33"/>
      <c r="D637" s="33"/>
      <c r="E637" s="33"/>
      <c r="F637" s="33"/>
    </row>
    <row r="638" ht="15.75" customHeight="1">
      <c r="C638" s="33"/>
      <c r="D638" s="33"/>
      <c r="E638" s="33"/>
      <c r="F638" s="33"/>
    </row>
    <row r="639" ht="15.75" customHeight="1">
      <c r="C639" s="33"/>
      <c r="D639" s="33"/>
      <c r="E639" s="33"/>
      <c r="F639" s="33"/>
    </row>
    <row r="640" ht="15.75" customHeight="1">
      <c r="C640" s="33"/>
      <c r="D640" s="33"/>
      <c r="E640" s="33"/>
      <c r="F640" s="33"/>
    </row>
    <row r="641" ht="15.75" customHeight="1">
      <c r="C641" s="33"/>
      <c r="D641" s="33"/>
      <c r="E641" s="33"/>
      <c r="F641" s="33"/>
    </row>
    <row r="642" ht="15.75" customHeight="1">
      <c r="C642" s="33"/>
      <c r="D642" s="33"/>
      <c r="E642" s="33"/>
      <c r="F642" s="33"/>
    </row>
    <row r="643" ht="15.75" customHeight="1">
      <c r="C643" s="33"/>
      <c r="D643" s="33"/>
      <c r="E643" s="33"/>
      <c r="F643" s="33"/>
    </row>
    <row r="644" ht="15.75" customHeight="1">
      <c r="C644" s="33"/>
      <c r="D644" s="33"/>
      <c r="E644" s="33"/>
      <c r="F644" s="33"/>
    </row>
    <row r="645" ht="15.75" customHeight="1">
      <c r="C645" s="33"/>
      <c r="D645" s="33"/>
      <c r="E645" s="33"/>
      <c r="F645" s="33"/>
    </row>
    <row r="646" ht="15.75" customHeight="1">
      <c r="C646" s="33"/>
      <c r="D646" s="33"/>
      <c r="E646" s="33"/>
      <c r="F646" s="33"/>
    </row>
    <row r="647" ht="15.75" customHeight="1">
      <c r="C647" s="33"/>
      <c r="D647" s="33"/>
      <c r="E647" s="33"/>
      <c r="F647" s="33"/>
    </row>
    <row r="648" ht="15.75" customHeight="1">
      <c r="C648" s="33"/>
      <c r="D648" s="33"/>
      <c r="E648" s="33"/>
      <c r="F648" s="33"/>
    </row>
    <row r="649" ht="15.75" customHeight="1">
      <c r="C649" s="33"/>
      <c r="D649" s="33"/>
      <c r="E649" s="33"/>
      <c r="F649" s="33"/>
    </row>
    <row r="650" ht="15.75" customHeight="1">
      <c r="C650" s="33"/>
      <c r="D650" s="33"/>
      <c r="E650" s="33"/>
      <c r="F650" s="33"/>
    </row>
    <row r="651" ht="15.75" customHeight="1">
      <c r="C651" s="33"/>
      <c r="D651" s="33"/>
      <c r="E651" s="33"/>
      <c r="F651" s="33"/>
    </row>
    <row r="652" ht="15.75" customHeight="1">
      <c r="C652" s="33"/>
      <c r="D652" s="33"/>
      <c r="E652" s="33"/>
      <c r="F652" s="33"/>
    </row>
    <row r="653" ht="15.75" customHeight="1">
      <c r="C653" s="33"/>
      <c r="D653" s="33"/>
      <c r="E653" s="33"/>
      <c r="F653" s="33"/>
    </row>
    <row r="654" ht="15.75" customHeight="1">
      <c r="C654" s="33"/>
      <c r="D654" s="33"/>
      <c r="E654" s="33"/>
      <c r="F654" s="33"/>
    </row>
    <row r="655" ht="15.75" customHeight="1">
      <c r="C655" s="33"/>
      <c r="D655" s="33"/>
      <c r="E655" s="33"/>
      <c r="F655" s="33"/>
    </row>
    <row r="656" ht="15.75" customHeight="1">
      <c r="C656" s="33"/>
      <c r="D656" s="33"/>
      <c r="E656" s="33"/>
      <c r="F656" s="33"/>
    </row>
    <row r="657" ht="15.75" customHeight="1">
      <c r="C657" s="33"/>
      <c r="D657" s="33"/>
      <c r="E657" s="33"/>
      <c r="F657" s="33"/>
    </row>
    <row r="658" ht="15.75" customHeight="1">
      <c r="C658" s="33"/>
      <c r="D658" s="33"/>
      <c r="E658" s="33"/>
      <c r="F658" s="33"/>
    </row>
    <row r="659" ht="15.75" customHeight="1">
      <c r="C659" s="33"/>
      <c r="D659" s="33"/>
      <c r="E659" s="33"/>
      <c r="F659" s="33"/>
    </row>
    <row r="660" ht="15.75" customHeight="1">
      <c r="C660" s="33"/>
      <c r="D660" s="33"/>
      <c r="E660" s="33"/>
      <c r="F660" s="33"/>
    </row>
    <row r="661" ht="15.75" customHeight="1">
      <c r="C661" s="33"/>
      <c r="D661" s="33"/>
      <c r="E661" s="33"/>
      <c r="F661" s="33"/>
    </row>
    <row r="662" ht="15.75" customHeight="1">
      <c r="C662" s="33"/>
      <c r="D662" s="33"/>
      <c r="E662" s="33"/>
      <c r="F662" s="33"/>
    </row>
    <row r="663" ht="15.75" customHeight="1">
      <c r="C663" s="33"/>
      <c r="D663" s="33"/>
      <c r="E663" s="33"/>
      <c r="F663" s="33"/>
    </row>
    <row r="664" ht="15.75" customHeight="1">
      <c r="C664" s="33"/>
      <c r="D664" s="33"/>
      <c r="E664" s="33"/>
      <c r="F664" s="33"/>
    </row>
    <row r="665" ht="15.75" customHeight="1">
      <c r="C665" s="33"/>
      <c r="D665" s="33"/>
      <c r="E665" s="33"/>
      <c r="F665" s="33"/>
    </row>
    <row r="666" ht="15.75" customHeight="1">
      <c r="C666" s="33"/>
      <c r="D666" s="33"/>
      <c r="E666" s="33"/>
      <c r="F666" s="33"/>
    </row>
    <row r="667" ht="15.75" customHeight="1">
      <c r="C667" s="33"/>
      <c r="D667" s="33"/>
      <c r="E667" s="33"/>
      <c r="F667" s="33"/>
    </row>
    <row r="668" ht="15.75" customHeight="1">
      <c r="C668" s="33"/>
      <c r="D668" s="33"/>
      <c r="E668" s="33"/>
      <c r="F668" s="33"/>
    </row>
    <row r="669" ht="15.75" customHeight="1">
      <c r="C669" s="33"/>
      <c r="D669" s="33"/>
      <c r="E669" s="33"/>
      <c r="F669" s="33"/>
    </row>
    <row r="670" ht="15.75" customHeight="1">
      <c r="C670" s="33"/>
      <c r="D670" s="33"/>
      <c r="E670" s="33"/>
      <c r="F670" s="33"/>
    </row>
    <row r="671" ht="15.75" customHeight="1">
      <c r="C671" s="33"/>
      <c r="D671" s="33"/>
      <c r="E671" s="33"/>
      <c r="F671" s="33"/>
    </row>
    <row r="672" ht="15.75" customHeight="1">
      <c r="C672" s="33"/>
      <c r="D672" s="33"/>
      <c r="E672" s="33"/>
      <c r="F672" s="33"/>
    </row>
    <row r="673" ht="15.75" customHeight="1">
      <c r="C673" s="33"/>
      <c r="D673" s="33"/>
      <c r="E673" s="33"/>
      <c r="F673" s="33"/>
    </row>
    <row r="674" ht="15.75" customHeight="1">
      <c r="C674" s="33"/>
      <c r="D674" s="33"/>
      <c r="E674" s="33"/>
      <c r="F674" s="33"/>
    </row>
    <row r="675" ht="15.75" customHeight="1">
      <c r="C675" s="33"/>
      <c r="D675" s="33"/>
      <c r="E675" s="33"/>
      <c r="F675" s="33"/>
    </row>
    <row r="676" ht="15.75" customHeight="1">
      <c r="C676" s="33"/>
      <c r="D676" s="33"/>
      <c r="E676" s="33"/>
      <c r="F676" s="33"/>
    </row>
    <row r="677" ht="15.75" customHeight="1">
      <c r="C677" s="33"/>
      <c r="D677" s="33"/>
      <c r="E677" s="33"/>
      <c r="F677" s="33"/>
    </row>
    <row r="678" ht="15.75" customHeight="1">
      <c r="C678" s="33"/>
      <c r="D678" s="33"/>
      <c r="E678" s="33"/>
      <c r="F678" s="33"/>
    </row>
    <row r="679" ht="15.75" customHeight="1">
      <c r="C679" s="33"/>
      <c r="D679" s="33"/>
      <c r="E679" s="33"/>
      <c r="F679" s="33"/>
    </row>
    <row r="680" ht="15.75" customHeight="1">
      <c r="C680" s="33"/>
      <c r="D680" s="33"/>
      <c r="E680" s="33"/>
      <c r="F680" s="33"/>
    </row>
    <row r="681" ht="15.75" customHeight="1">
      <c r="C681" s="33"/>
      <c r="D681" s="33"/>
      <c r="E681" s="33"/>
      <c r="F681" s="33"/>
    </row>
    <row r="682" ht="15.75" customHeight="1">
      <c r="C682" s="33"/>
      <c r="D682" s="33"/>
      <c r="E682" s="33"/>
      <c r="F682" s="33"/>
    </row>
    <row r="683" ht="15.75" customHeight="1">
      <c r="C683" s="33"/>
      <c r="D683" s="33"/>
      <c r="E683" s="33"/>
      <c r="F683" s="33"/>
    </row>
    <row r="684" ht="15.75" customHeight="1">
      <c r="C684" s="33"/>
      <c r="D684" s="33"/>
      <c r="E684" s="33"/>
      <c r="F684" s="33"/>
    </row>
    <row r="685" ht="15.75" customHeight="1">
      <c r="C685" s="33"/>
      <c r="D685" s="33"/>
      <c r="E685" s="33"/>
      <c r="F685" s="33"/>
    </row>
    <row r="686" ht="15.75" customHeight="1">
      <c r="C686" s="33"/>
      <c r="D686" s="33"/>
      <c r="E686" s="33"/>
      <c r="F686" s="33"/>
    </row>
    <row r="687" ht="15.75" customHeight="1">
      <c r="C687" s="33"/>
      <c r="D687" s="33"/>
      <c r="E687" s="33"/>
      <c r="F687" s="33"/>
    </row>
    <row r="688" ht="15.75" customHeight="1">
      <c r="C688" s="33"/>
      <c r="D688" s="33"/>
      <c r="E688" s="33"/>
      <c r="F688" s="33"/>
    </row>
    <row r="689" ht="15.75" customHeight="1">
      <c r="C689" s="33"/>
      <c r="D689" s="33"/>
      <c r="E689" s="33"/>
      <c r="F689" s="33"/>
    </row>
    <row r="690" ht="15.75" customHeight="1">
      <c r="C690" s="33"/>
      <c r="D690" s="33"/>
      <c r="E690" s="33"/>
      <c r="F690" s="33"/>
    </row>
    <row r="691" ht="15.75" customHeight="1">
      <c r="C691" s="33"/>
      <c r="D691" s="33"/>
      <c r="E691" s="33"/>
      <c r="F691" s="33"/>
    </row>
    <row r="692" ht="15.75" customHeight="1">
      <c r="C692" s="33"/>
      <c r="D692" s="33"/>
      <c r="E692" s="33"/>
      <c r="F692" s="33"/>
    </row>
    <row r="693" ht="15.75" customHeight="1">
      <c r="C693" s="33"/>
      <c r="D693" s="33"/>
      <c r="E693" s="33"/>
      <c r="F693" s="33"/>
    </row>
    <row r="694" ht="15.75" customHeight="1">
      <c r="C694" s="33"/>
      <c r="D694" s="33"/>
      <c r="E694" s="33"/>
      <c r="F694" s="33"/>
    </row>
    <row r="695" ht="15.75" customHeight="1">
      <c r="C695" s="33"/>
      <c r="D695" s="33"/>
      <c r="E695" s="33"/>
      <c r="F695" s="33"/>
    </row>
    <row r="696" ht="15.75" customHeight="1">
      <c r="C696" s="33"/>
      <c r="D696" s="33"/>
      <c r="E696" s="33"/>
      <c r="F696" s="33"/>
    </row>
    <row r="697" ht="15.75" customHeight="1">
      <c r="C697" s="33"/>
      <c r="D697" s="33"/>
      <c r="E697" s="33"/>
      <c r="F697" s="33"/>
    </row>
    <row r="698" ht="15.75" customHeight="1">
      <c r="C698" s="33"/>
      <c r="D698" s="33"/>
      <c r="E698" s="33"/>
      <c r="F698" s="33"/>
    </row>
    <row r="699" ht="15.75" customHeight="1">
      <c r="C699" s="33"/>
      <c r="D699" s="33"/>
      <c r="E699" s="33"/>
      <c r="F699" s="33"/>
    </row>
    <row r="700" ht="15.75" customHeight="1">
      <c r="C700" s="33"/>
      <c r="D700" s="33"/>
      <c r="E700" s="33"/>
      <c r="F700" s="33"/>
    </row>
    <row r="701" ht="15.75" customHeight="1">
      <c r="C701" s="33"/>
      <c r="D701" s="33"/>
      <c r="E701" s="33"/>
      <c r="F701" s="33"/>
    </row>
    <row r="702" ht="15.75" customHeight="1">
      <c r="C702" s="33"/>
      <c r="D702" s="33"/>
      <c r="E702" s="33"/>
      <c r="F702" s="33"/>
    </row>
    <row r="703" ht="15.75" customHeight="1">
      <c r="C703" s="33"/>
      <c r="D703" s="33"/>
      <c r="E703" s="33"/>
      <c r="F703" s="33"/>
    </row>
    <row r="704" ht="15.75" customHeight="1">
      <c r="C704" s="33"/>
      <c r="D704" s="33"/>
      <c r="E704" s="33"/>
      <c r="F704" s="33"/>
    </row>
    <row r="705" ht="15.75" customHeight="1">
      <c r="C705" s="33"/>
      <c r="D705" s="33"/>
      <c r="E705" s="33"/>
      <c r="F705" s="33"/>
    </row>
    <row r="706" ht="15.75" customHeight="1">
      <c r="C706" s="33"/>
      <c r="D706" s="33"/>
      <c r="E706" s="33"/>
      <c r="F706" s="33"/>
    </row>
    <row r="707" ht="15.75" customHeight="1">
      <c r="C707" s="33"/>
      <c r="D707" s="33"/>
      <c r="E707" s="33"/>
      <c r="F707" s="33"/>
    </row>
    <row r="708" ht="15.75" customHeight="1">
      <c r="C708" s="33"/>
      <c r="D708" s="33"/>
      <c r="E708" s="33"/>
      <c r="F708" s="33"/>
    </row>
    <row r="709" ht="15.75" customHeight="1">
      <c r="C709" s="33"/>
      <c r="D709" s="33"/>
      <c r="E709" s="33"/>
      <c r="F709" s="33"/>
    </row>
    <row r="710" ht="15.75" customHeight="1">
      <c r="C710" s="33"/>
      <c r="D710" s="33"/>
      <c r="E710" s="33"/>
      <c r="F710" s="33"/>
    </row>
    <row r="711" ht="15.75" customHeight="1">
      <c r="C711" s="33"/>
      <c r="D711" s="33"/>
      <c r="E711" s="33"/>
      <c r="F711" s="33"/>
    </row>
    <row r="712" ht="15.75" customHeight="1">
      <c r="C712" s="33"/>
      <c r="D712" s="33"/>
      <c r="E712" s="33"/>
      <c r="F712" s="33"/>
    </row>
    <row r="713" ht="15.75" customHeight="1">
      <c r="C713" s="33"/>
      <c r="D713" s="33"/>
      <c r="E713" s="33"/>
      <c r="F713" s="33"/>
    </row>
    <row r="714" ht="15.75" customHeight="1">
      <c r="C714" s="33"/>
      <c r="D714" s="33"/>
      <c r="E714" s="33"/>
      <c r="F714" s="33"/>
    </row>
    <row r="715" ht="15.75" customHeight="1">
      <c r="C715" s="33"/>
      <c r="D715" s="33"/>
      <c r="E715" s="33"/>
      <c r="F715" s="33"/>
    </row>
    <row r="716" ht="15.75" customHeight="1">
      <c r="C716" s="33"/>
      <c r="D716" s="33"/>
      <c r="E716" s="33"/>
      <c r="F716" s="33"/>
    </row>
    <row r="717" ht="15.75" customHeight="1">
      <c r="C717" s="33"/>
      <c r="D717" s="33"/>
      <c r="E717" s="33"/>
      <c r="F717" s="33"/>
    </row>
    <row r="718" ht="15.75" customHeight="1">
      <c r="C718" s="33"/>
      <c r="D718" s="33"/>
      <c r="E718" s="33"/>
      <c r="F718" s="33"/>
    </row>
    <row r="719" ht="15.75" customHeight="1">
      <c r="C719" s="33"/>
      <c r="D719" s="33"/>
      <c r="E719" s="33"/>
      <c r="F719" s="33"/>
    </row>
    <row r="720" ht="15.75" customHeight="1">
      <c r="C720" s="33"/>
      <c r="D720" s="33"/>
      <c r="E720" s="33"/>
      <c r="F720" s="33"/>
    </row>
    <row r="721" ht="15.75" customHeight="1">
      <c r="C721" s="33"/>
      <c r="D721" s="33"/>
      <c r="E721" s="33"/>
      <c r="F721" s="33"/>
    </row>
    <row r="722" ht="15.75" customHeight="1">
      <c r="C722" s="33"/>
      <c r="D722" s="33"/>
      <c r="E722" s="33"/>
      <c r="F722" s="33"/>
    </row>
    <row r="723" ht="15.75" customHeight="1">
      <c r="C723" s="33"/>
      <c r="D723" s="33"/>
      <c r="E723" s="33"/>
      <c r="F723" s="33"/>
    </row>
    <row r="724" ht="15.75" customHeight="1">
      <c r="C724" s="33"/>
      <c r="D724" s="33"/>
      <c r="E724" s="33"/>
      <c r="F724" s="33"/>
    </row>
    <row r="725" ht="15.75" customHeight="1">
      <c r="C725" s="33"/>
      <c r="D725" s="33"/>
      <c r="E725" s="33"/>
      <c r="F725" s="33"/>
    </row>
    <row r="726" ht="15.75" customHeight="1">
      <c r="C726" s="33"/>
      <c r="D726" s="33"/>
      <c r="E726" s="33"/>
      <c r="F726" s="33"/>
    </row>
    <row r="727" ht="15.75" customHeight="1">
      <c r="C727" s="33"/>
      <c r="D727" s="33"/>
      <c r="E727" s="33"/>
      <c r="F727" s="33"/>
    </row>
    <row r="728" ht="15.75" customHeight="1">
      <c r="C728" s="33"/>
      <c r="D728" s="33"/>
      <c r="E728" s="33"/>
      <c r="F728" s="33"/>
    </row>
    <row r="729" ht="15.75" customHeight="1">
      <c r="C729" s="33"/>
      <c r="D729" s="33"/>
      <c r="E729" s="33"/>
      <c r="F729" s="33"/>
    </row>
    <row r="730" ht="15.75" customHeight="1">
      <c r="C730" s="33"/>
      <c r="D730" s="33"/>
      <c r="E730" s="33"/>
      <c r="F730" s="33"/>
    </row>
    <row r="731" ht="15.75" customHeight="1">
      <c r="C731" s="33"/>
      <c r="D731" s="33"/>
      <c r="E731" s="33"/>
      <c r="F731" s="33"/>
    </row>
    <row r="732" ht="15.75" customHeight="1">
      <c r="C732" s="33"/>
      <c r="D732" s="33"/>
      <c r="E732" s="33"/>
      <c r="F732" s="33"/>
    </row>
    <row r="733" ht="15.75" customHeight="1">
      <c r="C733" s="33"/>
      <c r="D733" s="33"/>
      <c r="E733" s="33"/>
      <c r="F733" s="33"/>
    </row>
    <row r="734" ht="15.75" customHeight="1">
      <c r="C734" s="33"/>
      <c r="D734" s="33"/>
      <c r="E734" s="33"/>
      <c r="F734" s="33"/>
    </row>
    <row r="735" ht="15.75" customHeight="1">
      <c r="C735" s="33"/>
      <c r="D735" s="33"/>
      <c r="E735" s="33"/>
      <c r="F735" s="33"/>
    </row>
    <row r="736" ht="15.75" customHeight="1">
      <c r="C736" s="33"/>
      <c r="D736" s="33"/>
      <c r="E736" s="33"/>
      <c r="F736" s="33"/>
    </row>
    <row r="737" ht="15.75" customHeight="1">
      <c r="C737" s="33"/>
      <c r="D737" s="33"/>
      <c r="E737" s="33"/>
      <c r="F737" s="33"/>
    </row>
    <row r="738" ht="15.75" customHeight="1">
      <c r="C738" s="33"/>
      <c r="D738" s="33"/>
      <c r="E738" s="33"/>
      <c r="F738" s="33"/>
    </row>
    <row r="739" ht="15.75" customHeight="1">
      <c r="C739" s="33"/>
      <c r="D739" s="33"/>
      <c r="E739" s="33"/>
      <c r="F739" s="33"/>
    </row>
    <row r="740" ht="15.75" customHeight="1">
      <c r="C740" s="33"/>
      <c r="D740" s="33"/>
      <c r="E740" s="33"/>
      <c r="F740" s="33"/>
    </row>
    <row r="741" ht="15.75" customHeight="1">
      <c r="C741" s="33"/>
      <c r="D741" s="33"/>
      <c r="E741" s="33"/>
      <c r="F741" s="33"/>
    </row>
    <row r="742" ht="15.75" customHeight="1">
      <c r="C742" s="33"/>
      <c r="D742" s="33"/>
      <c r="E742" s="33"/>
      <c r="F742" s="33"/>
    </row>
    <row r="743" ht="15.75" customHeight="1">
      <c r="C743" s="33"/>
      <c r="D743" s="33"/>
      <c r="E743" s="33"/>
      <c r="F743" s="33"/>
    </row>
    <row r="744" ht="15.75" customHeight="1">
      <c r="C744" s="33"/>
      <c r="D744" s="33"/>
      <c r="E744" s="33"/>
      <c r="F744" s="33"/>
    </row>
    <row r="745" ht="15.75" customHeight="1">
      <c r="C745" s="33"/>
      <c r="D745" s="33"/>
      <c r="E745" s="33"/>
      <c r="F745" s="33"/>
    </row>
    <row r="746" ht="15.75" customHeight="1">
      <c r="C746" s="33"/>
      <c r="D746" s="33"/>
      <c r="E746" s="33"/>
      <c r="F746" s="33"/>
    </row>
    <row r="747" ht="15.75" customHeight="1">
      <c r="C747" s="33"/>
      <c r="D747" s="33"/>
      <c r="E747" s="33"/>
      <c r="F747" s="33"/>
    </row>
    <row r="748" ht="15.75" customHeight="1">
      <c r="C748" s="33"/>
      <c r="D748" s="33"/>
      <c r="E748" s="33"/>
      <c r="F748" s="33"/>
    </row>
    <row r="749" ht="15.75" customHeight="1">
      <c r="C749" s="33"/>
      <c r="D749" s="33"/>
      <c r="E749" s="33"/>
      <c r="F749" s="33"/>
    </row>
    <row r="750" ht="15.75" customHeight="1">
      <c r="C750" s="33"/>
      <c r="D750" s="33"/>
      <c r="E750" s="33"/>
      <c r="F750" s="33"/>
    </row>
    <row r="751" ht="15.75" customHeight="1">
      <c r="C751" s="33"/>
      <c r="D751" s="33"/>
      <c r="E751" s="33"/>
      <c r="F751" s="33"/>
    </row>
    <row r="752" ht="15.75" customHeight="1">
      <c r="C752" s="33"/>
      <c r="D752" s="33"/>
      <c r="E752" s="33"/>
      <c r="F752" s="33"/>
    </row>
    <row r="753" ht="15.75" customHeight="1">
      <c r="C753" s="33"/>
      <c r="D753" s="33"/>
      <c r="E753" s="33"/>
      <c r="F753" s="33"/>
    </row>
    <row r="754" ht="15.75" customHeight="1">
      <c r="C754" s="33"/>
      <c r="D754" s="33"/>
      <c r="E754" s="33"/>
      <c r="F754" s="33"/>
    </row>
    <row r="755" ht="15.75" customHeight="1">
      <c r="C755" s="33"/>
      <c r="D755" s="33"/>
      <c r="E755" s="33"/>
      <c r="F755" s="33"/>
    </row>
    <row r="756" ht="15.75" customHeight="1">
      <c r="C756" s="33"/>
      <c r="D756" s="33"/>
      <c r="E756" s="33"/>
      <c r="F756" s="33"/>
    </row>
    <row r="757" ht="15.75" customHeight="1">
      <c r="C757" s="33"/>
      <c r="D757" s="33"/>
      <c r="E757" s="33"/>
      <c r="F757" s="33"/>
    </row>
    <row r="758" ht="15.75" customHeight="1">
      <c r="C758" s="33"/>
      <c r="D758" s="33"/>
      <c r="E758" s="33"/>
      <c r="F758" s="33"/>
    </row>
    <row r="759" ht="15.75" customHeight="1">
      <c r="C759" s="33"/>
      <c r="D759" s="33"/>
      <c r="E759" s="33"/>
      <c r="F759" s="33"/>
    </row>
    <row r="760" ht="15.75" customHeight="1">
      <c r="C760" s="33"/>
      <c r="D760" s="33"/>
      <c r="E760" s="33"/>
      <c r="F760" s="33"/>
    </row>
    <row r="761" ht="15.75" customHeight="1">
      <c r="C761" s="33"/>
      <c r="D761" s="33"/>
      <c r="E761" s="33"/>
      <c r="F761" s="33"/>
    </row>
    <row r="762" ht="15.75" customHeight="1">
      <c r="C762" s="33"/>
      <c r="D762" s="33"/>
      <c r="E762" s="33"/>
      <c r="F762" s="33"/>
    </row>
    <row r="763" ht="15.75" customHeight="1">
      <c r="C763" s="33"/>
      <c r="D763" s="33"/>
      <c r="E763" s="33"/>
      <c r="F763" s="33"/>
    </row>
    <row r="764" ht="15.75" customHeight="1">
      <c r="C764" s="33"/>
      <c r="D764" s="33"/>
      <c r="E764" s="33"/>
      <c r="F764" s="33"/>
    </row>
    <row r="765" ht="15.75" customHeight="1">
      <c r="C765" s="33"/>
      <c r="D765" s="33"/>
      <c r="E765" s="33"/>
      <c r="F765" s="33"/>
    </row>
    <row r="766" ht="15.75" customHeight="1">
      <c r="C766" s="33"/>
      <c r="D766" s="33"/>
      <c r="E766" s="33"/>
      <c r="F766" s="33"/>
    </row>
    <row r="767" ht="15.75" customHeight="1">
      <c r="C767" s="33"/>
      <c r="D767" s="33"/>
      <c r="E767" s="33"/>
      <c r="F767" s="33"/>
    </row>
    <row r="768" ht="15.75" customHeight="1">
      <c r="C768" s="33"/>
      <c r="D768" s="33"/>
      <c r="E768" s="33"/>
      <c r="F768" s="33"/>
    </row>
    <row r="769" ht="15.75" customHeight="1">
      <c r="C769" s="33"/>
      <c r="D769" s="33"/>
      <c r="E769" s="33"/>
      <c r="F769" s="33"/>
    </row>
    <row r="770" ht="15.75" customHeight="1">
      <c r="C770" s="33"/>
      <c r="D770" s="33"/>
      <c r="E770" s="33"/>
      <c r="F770" s="33"/>
    </row>
    <row r="771" ht="15.75" customHeight="1">
      <c r="C771" s="33"/>
      <c r="D771" s="33"/>
      <c r="E771" s="33"/>
      <c r="F771" s="33"/>
    </row>
    <row r="772" ht="15.75" customHeight="1">
      <c r="C772" s="33"/>
      <c r="D772" s="33"/>
      <c r="E772" s="33"/>
      <c r="F772" s="33"/>
    </row>
    <row r="773" ht="15.75" customHeight="1">
      <c r="C773" s="33"/>
      <c r="D773" s="33"/>
      <c r="E773" s="33"/>
      <c r="F773" s="33"/>
    </row>
    <row r="774" ht="15.75" customHeight="1">
      <c r="C774" s="33"/>
      <c r="D774" s="33"/>
      <c r="E774" s="33"/>
      <c r="F774" s="33"/>
    </row>
    <row r="775" ht="15.75" customHeight="1">
      <c r="C775" s="33"/>
      <c r="D775" s="33"/>
      <c r="E775" s="33"/>
      <c r="F775" s="33"/>
    </row>
    <row r="776" ht="15.75" customHeight="1">
      <c r="C776" s="33"/>
      <c r="D776" s="33"/>
      <c r="E776" s="33"/>
      <c r="F776" s="33"/>
    </row>
    <row r="777" ht="15.75" customHeight="1">
      <c r="C777" s="33"/>
      <c r="D777" s="33"/>
      <c r="E777" s="33"/>
      <c r="F777" s="33"/>
    </row>
    <row r="778" ht="15.75" customHeight="1">
      <c r="C778" s="33"/>
      <c r="D778" s="33"/>
      <c r="E778" s="33"/>
      <c r="F778" s="33"/>
    </row>
    <row r="779" ht="15.75" customHeight="1">
      <c r="C779" s="33"/>
      <c r="D779" s="33"/>
      <c r="E779" s="33"/>
      <c r="F779" s="33"/>
    </row>
    <row r="780" ht="15.75" customHeight="1">
      <c r="C780" s="33"/>
      <c r="D780" s="33"/>
      <c r="E780" s="33"/>
      <c r="F780" s="33"/>
    </row>
    <row r="781" ht="15.75" customHeight="1">
      <c r="C781" s="33"/>
      <c r="D781" s="33"/>
      <c r="E781" s="33"/>
      <c r="F781" s="33"/>
    </row>
    <row r="782" ht="15.75" customHeight="1">
      <c r="C782" s="33"/>
      <c r="D782" s="33"/>
      <c r="E782" s="33"/>
      <c r="F782" s="33"/>
    </row>
    <row r="783" ht="15.75" customHeight="1">
      <c r="C783" s="33"/>
      <c r="D783" s="33"/>
      <c r="E783" s="33"/>
      <c r="F783" s="33"/>
    </row>
    <row r="784" ht="15.75" customHeight="1">
      <c r="C784" s="33"/>
      <c r="D784" s="33"/>
      <c r="E784" s="33"/>
      <c r="F784" s="33"/>
    </row>
    <row r="785" ht="15.75" customHeight="1">
      <c r="C785" s="33"/>
      <c r="D785" s="33"/>
      <c r="E785" s="33"/>
      <c r="F785" s="33"/>
    </row>
    <row r="786" ht="15.75" customHeight="1">
      <c r="C786" s="33"/>
      <c r="D786" s="33"/>
      <c r="E786" s="33"/>
      <c r="F786" s="33"/>
    </row>
    <row r="787" ht="15.75" customHeight="1">
      <c r="C787" s="33"/>
      <c r="D787" s="33"/>
      <c r="E787" s="33"/>
      <c r="F787" s="33"/>
    </row>
    <row r="788" ht="15.75" customHeight="1">
      <c r="C788" s="33"/>
      <c r="D788" s="33"/>
      <c r="E788" s="33"/>
      <c r="F788" s="33"/>
    </row>
    <row r="789" ht="15.75" customHeight="1">
      <c r="C789" s="33"/>
      <c r="D789" s="33"/>
      <c r="E789" s="33"/>
      <c r="F789" s="33"/>
    </row>
    <row r="790" ht="15.75" customHeight="1">
      <c r="C790" s="33"/>
      <c r="D790" s="33"/>
      <c r="E790" s="33"/>
      <c r="F790" s="33"/>
    </row>
    <row r="791" ht="15.75" customHeight="1">
      <c r="C791" s="33"/>
      <c r="D791" s="33"/>
      <c r="E791" s="33"/>
      <c r="F791" s="33"/>
    </row>
    <row r="792" ht="15.75" customHeight="1">
      <c r="C792" s="33"/>
      <c r="D792" s="33"/>
      <c r="E792" s="33"/>
      <c r="F792" s="33"/>
    </row>
    <row r="793" ht="15.75" customHeight="1">
      <c r="C793" s="33"/>
      <c r="D793" s="33"/>
      <c r="E793" s="33"/>
      <c r="F793" s="33"/>
    </row>
    <row r="794" ht="15.75" customHeight="1">
      <c r="C794" s="33"/>
      <c r="D794" s="33"/>
      <c r="E794" s="33"/>
      <c r="F794" s="33"/>
    </row>
    <row r="795" ht="15.75" customHeight="1">
      <c r="C795" s="33"/>
      <c r="D795" s="33"/>
      <c r="E795" s="33"/>
      <c r="F795" s="33"/>
    </row>
    <row r="796" ht="15.75" customHeight="1">
      <c r="C796" s="33"/>
      <c r="D796" s="33"/>
      <c r="E796" s="33"/>
      <c r="F796" s="33"/>
    </row>
    <row r="797" ht="15.75" customHeight="1">
      <c r="C797" s="33"/>
      <c r="D797" s="33"/>
      <c r="E797" s="33"/>
      <c r="F797" s="33"/>
    </row>
    <row r="798" ht="15.75" customHeight="1">
      <c r="C798" s="33"/>
      <c r="D798" s="33"/>
      <c r="E798" s="33"/>
      <c r="F798" s="33"/>
    </row>
    <row r="799" ht="15.75" customHeight="1">
      <c r="C799" s="33"/>
      <c r="D799" s="33"/>
      <c r="E799" s="33"/>
      <c r="F799" s="33"/>
    </row>
    <row r="800" ht="15.75" customHeight="1">
      <c r="C800" s="33"/>
      <c r="D800" s="33"/>
      <c r="E800" s="33"/>
      <c r="F800" s="33"/>
    </row>
    <row r="801" ht="15.75" customHeight="1">
      <c r="C801" s="33"/>
      <c r="D801" s="33"/>
      <c r="E801" s="33"/>
      <c r="F801" s="33"/>
    </row>
    <row r="802" ht="15.75" customHeight="1">
      <c r="C802" s="33"/>
      <c r="D802" s="33"/>
      <c r="E802" s="33"/>
      <c r="F802" s="33"/>
    </row>
    <row r="803" ht="15.75" customHeight="1">
      <c r="C803" s="33"/>
      <c r="D803" s="33"/>
      <c r="E803" s="33"/>
      <c r="F803" s="33"/>
    </row>
    <row r="804" ht="15.75" customHeight="1">
      <c r="C804" s="33"/>
      <c r="D804" s="33"/>
      <c r="E804" s="33"/>
      <c r="F804" s="33"/>
    </row>
    <row r="805" ht="15.75" customHeight="1">
      <c r="C805" s="33"/>
      <c r="D805" s="33"/>
      <c r="E805" s="33"/>
      <c r="F805" s="33"/>
    </row>
    <row r="806" ht="15.75" customHeight="1">
      <c r="C806" s="33"/>
      <c r="D806" s="33"/>
      <c r="E806" s="33"/>
      <c r="F806" s="33"/>
    </row>
    <row r="807" ht="15.75" customHeight="1">
      <c r="C807" s="33"/>
      <c r="D807" s="33"/>
      <c r="E807" s="33"/>
      <c r="F807" s="33"/>
    </row>
    <row r="808" ht="15.75" customHeight="1">
      <c r="C808" s="33"/>
      <c r="D808" s="33"/>
      <c r="E808" s="33"/>
      <c r="F808" s="33"/>
    </row>
    <row r="809" ht="15.75" customHeight="1">
      <c r="C809" s="33"/>
      <c r="D809" s="33"/>
      <c r="E809" s="33"/>
      <c r="F809" s="33"/>
    </row>
    <row r="810" ht="15.75" customHeight="1">
      <c r="C810" s="33"/>
      <c r="D810" s="33"/>
      <c r="E810" s="33"/>
      <c r="F810" s="33"/>
    </row>
    <row r="811" ht="15.75" customHeight="1">
      <c r="C811" s="33"/>
      <c r="D811" s="33"/>
      <c r="E811" s="33"/>
      <c r="F811" s="33"/>
    </row>
    <row r="812" ht="15.75" customHeight="1">
      <c r="C812" s="33"/>
      <c r="D812" s="33"/>
      <c r="E812" s="33"/>
      <c r="F812" s="33"/>
    </row>
    <row r="813" ht="15.75" customHeight="1">
      <c r="C813" s="33"/>
      <c r="D813" s="33"/>
      <c r="E813" s="33"/>
      <c r="F813" s="33"/>
    </row>
    <row r="814" ht="15.75" customHeight="1">
      <c r="C814" s="33"/>
      <c r="D814" s="33"/>
      <c r="E814" s="33"/>
      <c r="F814" s="33"/>
    </row>
    <row r="815" ht="15.75" customHeight="1">
      <c r="C815" s="33"/>
      <c r="D815" s="33"/>
      <c r="E815" s="33"/>
      <c r="F815" s="33"/>
    </row>
    <row r="816" ht="15.75" customHeight="1">
      <c r="C816" s="33"/>
      <c r="D816" s="33"/>
      <c r="E816" s="33"/>
      <c r="F816" s="33"/>
    </row>
    <row r="817" ht="15.75" customHeight="1">
      <c r="C817" s="33"/>
      <c r="D817" s="33"/>
      <c r="E817" s="33"/>
      <c r="F817" s="33"/>
    </row>
    <row r="818" ht="15.75" customHeight="1">
      <c r="C818" s="33"/>
      <c r="D818" s="33"/>
      <c r="E818" s="33"/>
      <c r="F818" s="33"/>
    </row>
    <row r="819" ht="15.75" customHeight="1">
      <c r="C819" s="33"/>
      <c r="D819" s="33"/>
      <c r="E819" s="33"/>
      <c r="F819" s="33"/>
    </row>
    <row r="820" ht="15.75" customHeight="1">
      <c r="C820" s="33"/>
      <c r="D820" s="33"/>
      <c r="E820" s="33"/>
      <c r="F820" s="33"/>
    </row>
    <row r="821" ht="15.75" customHeight="1">
      <c r="C821" s="33"/>
      <c r="D821" s="33"/>
      <c r="E821" s="33"/>
      <c r="F821" s="33"/>
    </row>
    <row r="822" ht="15.75" customHeight="1">
      <c r="C822" s="33"/>
      <c r="D822" s="33"/>
      <c r="E822" s="33"/>
      <c r="F822" s="33"/>
    </row>
    <row r="823" ht="15.75" customHeight="1">
      <c r="C823" s="33"/>
      <c r="D823" s="33"/>
      <c r="E823" s="33"/>
      <c r="F823" s="33"/>
    </row>
    <row r="824" ht="15.75" customHeight="1">
      <c r="C824" s="33"/>
      <c r="D824" s="33"/>
      <c r="E824" s="33"/>
      <c r="F824" s="33"/>
    </row>
    <row r="825" ht="15.75" customHeight="1">
      <c r="C825" s="33"/>
      <c r="D825" s="33"/>
      <c r="E825" s="33"/>
      <c r="F825" s="33"/>
    </row>
    <row r="826" ht="15.75" customHeight="1">
      <c r="C826" s="33"/>
      <c r="D826" s="33"/>
      <c r="E826" s="33"/>
      <c r="F826" s="33"/>
    </row>
    <row r="827" ht="15.75" customHeight="1">
      <c r="C827" s="33"/>
      <c r="D827" s="33"/>
      <c r="E827" s="33"/>
      <c r="F827" s="33"/>
    </row>
    <row r="828" ht="15.75" customHeight="1">
      <c r="C828" s="33"/>
      <c r="D828" s="33"/>
      <c r="E828" s="33"/>
      <c r="F828" s="33"/>
    </row>
    <row r="829" ht="15.75" customHeight="1">
      <c r="C829" s="33"/>
      <c r="D829" s="33"/>
      <c r="E829" s="33"/>
      <c r="F829" s="33"/>
    </row>
    <row r="830" ht="15.75" customHeight="1">
      <c r="C830" s="33"/>
      <c r="D830" s="33"/>
      <c r="E830" s="33"/>
      <c r="F830" s="33"/>
    </row>
    <row r="831" ht="15.75" customHeight="1">
      <c r="C831" s="33"/>
      <c r="D831" s="33"/>
      <c r="E831" s="33"/>
      <c r="F831" s="33"/>
    </row>
    <row r="832" ht="15.75" customHeight="1">
      <c r="C832" s="33"/>
      <c r="D832" s="33"/>
      <c r="E832" s="33"/>
      <c r="F832" s="33"/>
    </row>
    <row r="833" ht="15.75" customHeight="1">
      <c r="C833" s="33"/>
      <c r="D833" s="33"/>
      <c r="E833" s="33"/>
      <c r="F833" s="33"/>
    </row>
    <row r="834" ht="15.75" customHeight="1">
      <c r="C834" s="33"/>
      <c r="D834" s="33"/>
      <c r="E834" s="33"/>
      <c r="F834" s="33"/>
    </row>
    <row r="835" ht="15.75" customHeight="1">
      <c r="C835" s="33"/>
      <c r="D835" s="33"/>
      <c r="E835" s="33"/>
      <c r="F835" s="33"/>
    </row>
    <row r="836" ht="15.75" customHeight="1">
      <c r="C836" s="33"/>
      <c r="D836" s="33"/>
      <c r="E836" s="33"/>
      <c r="F836" s="33"/>
    </row>
    <row r="837" ht="15.75" customHeight="1">
      <c r="C837" s="33"/>
      <c r="D837" s="33"/>
      <c r="E837" s="33"/>
      <c r="F837" s="33"/>
    </row>
    <row r="838" ht="15.75" customHeight="1">
      <c r="C838" s="33"/>
      <c r="D838" s="33"/>
      <c r="E838" s="33"/>
      <c r="F838" s="33"/>
    </row>
    <row r="839" ht="15.75" customHeight="1">
      <c r="C839" s="33"/>
      <c r="D839" s="33"/>
      <c r="E839" s="33"/>
      <c r="F839" s="33"/>
    </row>
    <row r="840" ht="15.75" customHeight="1">
      <c r="C840" s="33"/>
      <c r="D840" s="33"/>
      <c r="E840" s="33"/>
      <c r="F840" s="33"/>
    </row>
    <row r="841" ht="15.75" customHeight="1">
      <c r="C841" s="33"/>
      <c r="D841" s="33"/>
      <c r="E841" s="33"/>
      <c r="F841" s="33"/>
    </row>
    <row r="842" ht="15.75" customHeight="1">
      <c r="C842" s="33"/>
      <c r="D842" s="33"/>
      <c r="E842" s="33"/>
      <c r="F842" s="33"/>
    </row>
    <row r="843" ht="15.75" customHeight="1">
      <c r="C843" s="33"/>
      <c r="D843" s="33"/>
      <c r="E843" s="33"/>
      <c r="F843" s="33"/>
    </row>
    <row r="844" ht="15.75" customHeight="1">
      <c r="C844" s="33"/>
      <c r="D844" s="33"/>
      <c r="E844" s="33"/>
      <c r="F844" s="33"/>
    </row>
    <row r="845" ht="15.75" customHeight="1">
      <c r="C845" s="33"/>
      <c r="D845" s="33"/>
      <c r="E845" s="33"/>
      <c r="F845" s="33"/>
    </row>
    <row r="846" ht="15.75" customHeight="1">
      <c r="C846" s="33"/>
      <c r="D846" s="33"/>
      <c r="E846" s="33"/>
      <c r="F846" s="33"/>
    </row>
    <row r="847" ht="15.75" customHeight="1">
      <c r="C847" s="33"/>
      <c r="D847" s="33"/>
      <c r="E847" s="33"/>
      <c r="F847" s="33"/>
    </row>
    <row r="848" ht="15.75" customHeight="1">
      <c r="C848" s="33"/>
      <c r="D848" s="33"/>
      <c r="E848" s="33"/>
      <c r="F848" s="33"/>
    </row>
    <row r="849" ht="15.75" customHeight="1">
      <c r="C849" s="33"/>
      <c r="D849" s="33"/>
      <c r="E849" s="33"/>
      <c r="F849" s="33"/>
    </row>
    <row r="850" ht="15.75" customHeight="1">
      <c r="C850" s="33"/>
      <c r="D850" s="33"/>
      <c r="E850" s="33"/>
      <c r="F850" s="33"/>
    </row>
    <row r="851" ht="15.75" customHeight="1">
      <c r="C851" s="33"/>
      <c r="D851" s="33"/>
      <c r="E851" s="33"/>
      <c r="F851" s="33"/>
    </row>
    <row r="852" ht="15.75" customHeight="1">
      <c r="C852" s="33"/>
      <c r="D852" s="33"/>
      <c r="E852" s="33"/>
      <c r="F852" s="33"/>
    </row>
    <row r="853" ht="15.75" customHeight="1">
      <c r="C853" s="33"/>
      <c r="D853" s="33"/>
      <c r="E853" s="33"/>
      <c r="F853" s="33"/>
    </row>
    <row r="854" ht="15.75" customHeight="1">
      <c r="C854" s="33"/>
      <c r="D854" s="33"/>
      <c r="E854" s="33"/>
      <c r="F854" s="33"/>
    </row>
    <row r="855" ht="15.75" customHeight="1">
      <c r="C855" s="33"/>
      <c r="D855" s="33"/>
      <c r="E855" s="33"/>
      <c r="F855" s="33"/>
    </row>
    <row r="856" ht="15.75" customHeight="1">
      <c r="C856" s="33"/>
      <c r="D856" s="33"/>
      <c r="E856" s="33"/>
      <c r="F856" s="33"/>
    </row>
    <row r="857" ht="15.75" customHeight="1">
      <c r="C857" s="33"/>
      <c r="D857" s="33"/>
      <c r="E857" s="33"/>
      <c r="F857" s="33"/>
    </row>
    <row r="858" ht="15.75" customHeight="1">
      <c r="C858" s="33"/>
      <c r="D858" s="33"/>
      <c r="E858" s="33"/>
      <c r="F858" s="33"/>
    </row>
    <row r="859" ht="15.75" customHeight="1">
      <c r="C859" s="33"/>
      <c r="D859" s="33"/>
      <c r="E859" s="33"/>
      <c r="F859" s="33"/>
    </row>
    <row r="860" ht="15.75" customHeight="1">
      <c r="C860" s="33"/>
      <c r="D860" s="33"/>
      <c r="E860" s="33"/>
      <c r="F860" s="33"/>
    </row>
    <row r="861" ht="15.75" customHeight="1">
      <c r="C861" s="33"/>
      <c r="D861" s="33"/>
      <c r="E861" s="33"/>
      <c r="F861" s="33"/>
    </row>
    <row r="862" ht="15.75" customHeight="1">
      <c r="C862" s="33"/>
      <c r="D862" s="33"/>
      <c r="E862" s="33"/>
      <c r="F862" s="33"/>
    </row>
    <row r="863" ht="15.75" customHeight="1">
      <c r="C863" s="33"/>
      <c r="D863" s="33"/>
      <c r="E863" s="33"/>
      <c r="F863" s="33"/>
    </row>
    <row r="864" ht="15.75" customHeight="1">
      <c r="C864" s="33"/>
      <c r="D864" s="33"/>
      <c r="E864" s="33"/>
      <c r="F864" s="33"/>
    </row>
    <row r="865" ht="15.75" customHeight="1">
      <c r="C865" s="33"/>
      <c r="D865" s="33"/>
      <c r="E865" s="33"/>
      <c r="F865" s="33"/>
    </row>
    <row r="866" ht="15.75" customHeight="1">
      <c r="C866" s="33"/>
      <c r="D866" s="33"/>
      <c r="E866" s="33"/>
      <c r="F866" s="33"/>
    </row>
    <row r="867" ht="15.75" customHeight="1">
      <c r="C867" s="33"/>
      <c r="D867" s="33"/>
      <c r="E867" s="33"/>
      <c r="F867" s="33"/>
    </row>
    <row r="868" ht="15.75" customHeight="1">
      <c r="C868" s="33"/>
      <c r="D868" s="33"/>
      <c r="E868" s="33"/>
      <c r="F868" s="33"/>
    </row>
    <row r="869" ht="15.75" customHeight="1">
      <c r="C869" s="33"/>
      <c r="D869" s="33"/>
      <c r="E869" s="33"/>
      <c r="F869" s="33"/>
    </row>
    <row r="870" ht="15.75" customHeight="1">
      <c r="C870" s="33"/>
      <c r="D870" s="33"/>
      <c r="E870" s="33"/>
      <c r="F870" s="33"/>
    </row>
    <row r="871" ht="15.75" customHeight="1">
      <c r="C871" s="33"/>
      <c r="D871" s="33"/>
      <c r="E871" s="33"/>
      <c r="F871" s="33"/>
    </row>
    <row r="872" ht="15.75" customHeight="1">
      <c r="C872" s="33"/>
      <c r="D872" s="33"/>
      <c r="E872" s="33"/>
      <c r="F872" s="33"/>
    </row>
    <row r="873" ht="15.75" customHeight="1">
      <c r="C873" s="33"/>
      <c r="D873" s="33"/>
      <c r="E873" s="33"/>
      <c r="F873" s="33"/>
    </row>
    <row r="874" ht="15.75" customHeight="1">
      <c r="C874" s="33"/>
      <c r="D874" s="33"/>
      <c r="E874" s="33"/>
      <c r="F874" s="33"/>
    </row>
    <row r="875" ht="15.75" customHeight="1">
      <c r="C875" s="33"/>
      <c r="D875" s="33"/>
      <c r="E875" s="33"/>
      <c r="F875" s="33"/>
    </row>
    <row r="876" ht="15.75" customHeight="1">
      <c r="C876" s="33"/>
      <c r="D876" s="33"/>
      <c r="E876" s="33"/>
      <c r="F876" s="33"/>
    </row>
    <row r="877" ht="15.75" customHeight="1">
      <c r="C877" s="33"/>
      <c r="D877" s="33"/>
      <c r="E877" s="33"/>
      <c r="F877" s="33"/>
    </row>
    <row r="878" ht="15.75" customHeight="1">
      <c r="C878" s="33"/>
      <c r="D878" s="33"/>
      <c r="E878" s="33"/>
      <c r="F878" s="33"/>
    </row>
    <row r="879" ht="15.75" customHeight="1">
      <c r="C879" s="33"/>
      <c r="D879" s="33"/>
      <c r="E879" s="33"/>
      <c r="F879" s="33"/>
    </row>
    <row r="880" ht="15.75" customHeight="1">
      <c r="C880" s="33"/>
      <c r="D880" s="33"/>
      <c r="E880" s="33"/>
      <c r="F880" s="33"/>
    </row>
    <row r="881" ht="15.75" customHeight="1">
      <c r="C881" s="33"/>
      <c r="D881" s="33"/>
      <c r="E881" s="33"/>
      <c r="F881" s="33"/>
    </row>
    <row r="882" ht="15.75" customHeight="1">
      <c r="C882" s="33"/>
      <c r="D882" s="33"/>
      <c r="E882" s="33"/>
      <c r="F882" s="33"/>
    </row>
    <row r="883" ht="15.75" customHeight="1">
      <c r="C883" s="33"/>
      <c r="D883" s="33"/>
      <c r="E883" s="33"/>
      <c r="F883" s="33"/>
    </row>
    <row r="884" ht="15.75" customHeight="1">
      <c r="C884" s="33"/>
      <c r="D884" s="33"/>
      <c r="E884" s="33"/>
      <c r="F884" s="33"/>
    </row>
    <row r="885" ht="15.75" customHeight="1">
      <c r="C885" s="33"/>
      <c r="D885" s="33"/>
      <c r="E885" s="33"/>
      <c r="F885" s="33"/>
    </row>
    <row r="886" ht="15.75" customHeight="1">
      <c r="C886" s="33"/>
      <c r="D886" s="33"/>
      <c r="E886" s="33"/>
      <c r="F886" s="33"/>
    </row>
    <row r="887" ht="15.75" customHeight="1">
      <c r="C887" s="33"/>
      <c r="D887" s="33"/>
      <c r="E887" s="33"/>
      <c r="F887" s="33"/>
    </row>
    <row r="888" ht="15.75" customHeight="1">
      <c r="C888" s="33"/>
      <c r="D888" s="33"/>
      <c r="E888" s="33"/>
      <c r="F888" s="33"/>
    </row>
    <row r="889" ht="15.75" customHeight="1">
      <c r="C889" s="33"/>
      <c r="D889" s="33"/>
      <c r="E889" s="33"/>
      <c r="F889" s="33"/>
    </row>
    <row r="890" ht="15.75" customHeight="1">
      <c r="C890" s="33"/>
      <c r="D890" s="33"/>
      <c r="E890" s="33"/>
      <c r="F890" s="33"/>
    </row>
    <row r="891" ht="15.75" customHeight="1">
      <c r="C891" s="33"/>
      <c r="D891" s="33"/>
      <c r="E891" s="33"/>
      <c r="F891" s="33"/>
    </row>
    <row r="892" ht="15.75" customHeight="1">
      <c r="C892" s="33"/>
      <c r="D892" s="33"/>
      <c r="E892" s="33"/>
      <c r="F892" s="33"/>
    </row>
    <row r="893" ht="15.75" customHeight="1">
      <c r="C893" s="33"/>
      <c r="D893" s="33"/>
      <c r="E893" s="33"/>
      <c r="F893" s="33"/>
    </row>
    <row r="894" ht="15.75" customHeight="1">
      <c r="C894" s="33"/>
      <c r="D894" s="33"/>
      <c r="E894" s="33"/>
      <c r="F894" s="33"/>
    </row>
    <row r="895" ht="15.75" customHeight="1">
      <c r="C895" s="33"/>
      <c r="D895" s="33"/>
      <c r="E895" s="33"/>
      <c r="F895" s="33"/>
    </row>
    <row r="896" ht="15.75" customHeight="1">
      <c r="C896" s="33"/>
      <c r="D896" s="33"/>
      <c r="E896" s="33"/>
      <c r="F896" s="33"/>
    </row>
    <row r="897" ht="15.75" customHeight="1">
      <c r="C897" s="33"/>
      <c r="D897" s="33"/>
      <c r="E897" s="33"/>
      <c r="F897" s="33"/>
    </row>
    <row r="898" ht="15.75" customHeight="1">
      <c r="C898" s="33"/>
      <c r="D898" s="33"/>
      <c r="E898" s="33"/>
      <c r="F898" s="33"/>
    </row>
    <row r="899" ht="15.75" customHeight="1">
      <c r="C899" s="33"/>
      <c r="D899" s="33"/>
      <c r="E899" s="33"/>
      <c r="F899" s="33"/>
    </row>
    <row r="900" ht="15.75" customHeight="1">
      <c r="C900" s="33"/>
      <c r="D900" s="33"/>
      <c r="E900" s="33"/>
      <c r="F900" s="33"/>
    </row>
    <row r="901" ht="15.75" customHeight="1">
      <c r="C901" s="33"/>
      <c r="D901" s="33"/>
      <c r="E901" s="33"/>
      <c r="F901" s="33"/>
    </row>
    <row r="902" ht="15.75" customHeight="1">
      <c r="C902" s="33"/>
      <c r="D902" s="33"/>
      <c r="E902" s="33"/>
      <c r="F902" s="33"/>
    </row>
    <row r="903" ht="15.75" customHeight="1">
      <c r="C903" s="33"/>
      <c r="D903" s="33"/>
      <c r="E903" s="33"/>
      <c r="F903" s="33"/>
    </row>
    <row r="904" ht="15.75" customHeight="1">
      <c r="C904" s="33"/>
      <c r="D904" s="33"/>
      <c r="E904" s="33"/>
      <c r="F904" s="33"/>
    </row>
    <row r="905" ht="15.75" customHeight="1">
      <c r="C905" s="33"/>
      <c r="D905" s="33"/>
      <c r="E905" s="33"/>
      <c r="F905" s="33"/>
    </row>
    <row r="906" ht="15.75" customHeight="1">
      <c r="C906" s="33"/>
      <c r="D906" s="33"/>
      <c r="E906" s="33"/>
      <c r="F906" s="33"/>
    </row>
    <row r="907" ht="15.75" customHeight="1">
      <c r="C907" s="33"/>
      <c r="D907" s="33"/>
      <c r="E907" s="33"/>
      <c r="F907" s="33"/>
    </row>
    <row r="908" ht="15.75" customHeight="1">
      <c r="C908" s="33"/>
      <c r="D908" s="33"/>
      <c r="E908" s="33"/>
      <c r="F908" s="33"/>
    </row>
    <row r="909" ht="15.75" customHeight="1">
      <c r="C909" s="33"/>
      <c r="D909" s="33"/>
      <c r="E909" s="33"/>
      <c r="F909" s="33"/>
    </row>
    <row r="910" ht="15.75" customHeight="1">
      <c r="C910" s="33"/>
      <c r="D910" s="33"/>
      <c r="E910" s="33"/>
      <c r="F910" s="33"/>
    </row>
    <row r="911" ht="15.75" customHeight="1">
      <c r="C911" s="33"/>
      <c r="D911" s="33"/>
      <c r="E911" s="33"/>
      <c r="F911" s="33"/>
    </row>
    <row r="912" ht="15.75" customHeight="1">
      <c r="C912" s="33"/>
      <c r="D912" s="33"/>
      <c r="E912" s="33"/>
      <c r="F912" s="33"/>
    </row>
    <row r="913" ht="15.75" customHeight="1">
      <c r="C913" s="33"/>
      <c r="D913" s="33"/>
      <c r="E913" s="33"/>
      <c r="F913" s="33"/>
    </row>
    <row r="914" ht="15.75" customHeight="1">
      <c r="C914" s="33"/>
      <c r="D914" s="33"/>
      <c r="E914" s="33"/>
      <c r="F914" s="33"/>
    </row>
    <row r="915" ht="15.75" customHeight="1">
      <c r="C915" s="33"/>
      <c r="D915" s="33"/>
      <c r="E915" s="33"/>
      <c r="F915" s="33"/>
    </row>
    <row r="916" ht="15.75" customHeight="1">
      <c r="C916" s="33"/>
      <c r="D916" s="33"/>
      <c r="E916" s="33"/>
      <c r="F916" s="33"/>
    </row>
    <row r="917" ht="15.75" customHeight="1">
      <c r="C917" s="33"/>
      <c r="D917" s="33"/>
      <c r="E917" s="33"/>
      <c r="F917" s="33"/>
    </row>
    <row r="918" ht="15.75" customHeight="1">
      <c r="C918" s="33"/>
      <c r="D918" s="33"/>
      <c r="E918" s="33"/>
      <c r="F918" s="33"/>
    </row>
    <row r="919" ht="15.75" customHeight="1">
      <c r="C919" s="33"/>
      <c r="D919" s="33"/>
      <c r="E919" s="33"/>
      <c r="F919" s="33"/>
    </row>
    <row r="920" ht="15.75" customHeight="1">
      <c r="C920" s="33"/>
      <c r="D920" s="33"/>
      <c r="E920" s="33"/>
      <c r="F920" s="33"/>
    </row>
    <row r="921" ht="15.75" customHeight="1">
      <c r="C921" s="33"/>
      <c r="D921" s="33"/>
      <c r="E921" s="33"/>
      <c r="F921" s="33"/>
    </row>
    <row r="922" ht="15.75" customHeight="1">
      <c r="C922" s="33"/>
      <c r="D922" s="33"/>
      <c r="E922" s="33"/>
      <c r="F922" s="33"/>
    </row>
    <row r="923" ht="15.75" customHeight="1">
      <c r="C923" s="33"/>
      <c r="D923" s="33"/>
      <c r="E923" s="33"/>
      <c r="F923" s="33"/>
    </row>
    <row r="924" ht="15.75" customHeight="1">
      <c r="C924" s="33"/>
      <c r="D924" s="33"/>
      <c r="E924" s="33"/>
      <c r="F924" s="33"/>
    </row>
    <row r="925" ht="15.75" customHeight="1">
      <c r="C925" s="33"/>
      <c r="D925" s="33"/>
      <c r="E925" s="33"/>
      <c r="F925" s="33"/>
    </row>
    <row r="926" ht="15.75" customHeight="1">
      <c r="C926" s="33"/>
      <c r="D926" s="33"/>
      <c r="E926" s="33"/>
      <c r="F926" s="33"/>
    </row>
    <row r="927" ht="15.75" customHeight="1">
      <c r="C927" s="33"/>
      <c r="D927" s="33"/>
      <c r="E927" s="33"/>
      <c r="F927" s="33"/>
    </row>
    <row r="928" ht="15.75" customHeight="1">
      <c r="C928" s="33"/>
      <c r="D928" s="33"/>
      <c r="E928" s="33"/>
      <c r="F928" s="33"/>
    </row>
    <row r="929" ht="15.75" customHeight="1">
      <c r="C929" s="33"/>
      <c r="D929" s="33"/>
      <c r="E929" s="33"/>
      <c r="F929" s="33"/>
    </row>
    <row r="930" ht="15.75" customHeight="1">
      <c r="C930" s="33"/>
      <c r="D930" s="33"/>
      <c r="E930" s="33"/>
      <c r="F930" s="33"/>
    </row>
    <row r="931" ht="15.75" customHeight="1">
      <c r="C931" s="33"/>
      <c r="D931" s="33"/>
      <c r="E931" s="33"/>
      <c r="F931" s="33"/>
    </row>
    <row r="932" ht="15.75" customHeight="1">
      <c r="C932" s="33"/>
      <c r="D932" s="33"/>
      <c r="E932" s="33"/>
      <c r="F932" s="33"/>
    </row>
    <row r="933" ht="15.75" customHeight="1">
      <c r="C933" s="33"/>
      <c r="D933" s="33"/>
      <c r="E933" s="33"/>
      <c r="F933" s="33"/>
    </row>
    <row r="934" ht="15.75" customHeight="1">
      <c r="C934" s="33"/>
      <c r="D934" s="33"/>
      <c r="E934" s="33"/>
      <c r="F934" s="33"/>
    </row>
    <row r="935" ht="15.75" customHeight="1">
      <c r="C935" s="33"/>
      <c r="D935" s="33"/>
      <c r="E935" s="33"/>
      <c r="F935" s="33"/>
    </row>
    <row r="936" ht="15.75" customHeight="1">
      <c r="C936" s="33"/>
      <c r="D936" s="33"/>
      <c r="E936" s="33"/>
      <c r="F936" s="33"/>
    </row>
    <row r="937" ht="15.75" customHeight="1">
      <c r="C937" s="33"/>
      <c r="D937" s="33"/>
      <c r="E937" s="33"/>
      <c r="F937" s="33"/>
    </row>
    <row r="938" ht="15.75" customHeight="1">
      <c r="C938" s="33"/>
      <c r="D938" s="33"/>
      <c r="E938" s="33"/>
      <c r="F938" s="33"/>
    </row>
    <row r="939" ht="15.75" customHeight="1">
      <c r="C939" s="33"/>
      <c r="D939" s="33"/>
      <c r="E939" s="33"/>
      <c r="F939" s="33"/>
    </row>
    <row r="940" ht="15.75" customHeight="1">
      <c r="C940" s="33"/>
      <c r="D940" s="33"/>
      <c r="E940" s="33"/>
      <c r="F940" s="33"/>
    </row>
    <row r="941" ht="15.75" customHeight="1">
      <c r="C941" s="33"/>
      <c r="D941" s="33"/>
      <c r="E941" s="33"/>
      <c r="F941" s="33"/>
    </row>
    <row r="942" ht="15.75" customHeight="1">
      <c r="C942" s="33"/>
      <c r="D942" s="33"/>
      <c r="E942" s="33"/>
      <c r="F942" s="33"/>
    </row>
    <row r="943" ht="15.75" customHeight="1">
      <c r="C943" s="33"/>
      <c r="D943" s="33"/>
      <c r="E943" s="33"/>
      <c r="F943" s="33"/>
    </row>
    <row r="944" ht="15.75" customHeight="1">
      <c r="C944" s="33"/>
      <c r="D944" s="33"/>
      <c r="E944" s="33"/>
      <c r="F944" s="33"/>
    </row>
    <row r="945" ht="15.75" customHeight="1">
      <c r="C945" s="33"/>
      <c r="D945" s="33"/>
      <c r="E945" s="33"/>
      <c r="F945" s="33"/>
    </row>
    <row r="946" ht="15.75" customHeight="1">
      <c r="C946" s="33"/>
      <c r="D946" s="33"/>
      <c r="E946" s="33"/>
      <c r="F946" s="33"/>
    </row>
    <row r="947" ht="15.75" customHeight="1">
      <c r="C947" s="33"/>
      <c r="D947" s="33"/>
      <c r="E947" s="33"/>
      <c r="F947" s="33"/>
    </row>
    <row r="948" ht="15.75" customHeight="1">
      <c r="C948" s="33"/>
      <c r="D948" s="33"/>
      <c r="E948" s="33"/>
      <c r="F948" s="33"/>
    </row>
    <row r="949" ht="15.75" customHeight="1">
      <c r="C949" s="33"/>
      <c r="D949" s="33"/>
      <c r="E949" s="33"/>
      <c r="F949" s="33"/>
    </row>
    <row r="950" ht="15.75" customHeight="1">
      <c r="C950" s="33"/>
      <c r="D950" s="33"/>
      <c r="E950" s="33"/>
      <c r="F950" s="33"/>
    </row>
    <row r="951" ht="15.75" customHeight="1">
      <c r="C951" s="33"/>
      <c r="D951" s="33"/>
      <c r="E951" s="33"/>
      <c r="F951" s="33"/>
    </row>
    <row r="952" ht="15.75" customHeight="1">
      <c r="C952" s="33"/>
      <c r="D952" s="33"/>
      <c r="E952" s="33"/>
      <c r="F952" s="33"/>
    </row>
    <row r="953" ht="15.75" customHeight="1">
      <c r="C953" s="33"/>
      <c r="D953" s="33"/>
      <c r="E953" s="33"/>
      <c r="F953" s="33"/>
    </row>
    <row r="954" ht="15.75" customHeight="1">
      <c r="C954" s="33"/>
      <c r="D954" s="33"/>
      <c r="E954" s="33"/>
      <c r="F954" s="33"/>
    </row>
    <row r="955" ht="15.75" customHeight="1">
      <c r="C955" s="33"/>
      <c r="D955" s="33"/>
      <c r="E955" s="33"/>
      <c r="F955" s="33"/>
    </row>
    <row r="956" ht="15.75" customHeight="1">
      <c r="C956" s="33"/>
      <c r="D956" s="33"/>
      <c r="E956" s="33"/>
      <c r="F956" s="33"/>
    </row>
    <row r="957" ht="15.75" customHeight="1">
      <c r="C957" s="33"/>
      <c r="D957" s="33"/>
      <c r="E957" s="33"/>
      <c r="F957" s="33"/>
    </row>
    <row r="958" ht="15.75" customHeight="1">
      <c r="C958" s="33"/>
      <c r="D958" s="33"/>
      <c r="E958" s="33"/>
      <c r="F958" s="33"/>
    </row>
    <row r="959" ht="15.75" customHeight="1">
      <c r="C959" s="33"/>
      <c r="D959" s="33"/>
      <c r="E959" s="33"/>
      <c r="F959" s="33"/>
    </row>
    <row r="960" ht="15.75" customHeight="1">
      <c r="C960" s="33"/>
      <c r="D960" s="33"/>
      <c r="E960" s="33"/>
      <c r="F960" s="33"/>
    </row>
    <row r="961" ht="15.75" customHeight="1">
      <c r="C961" s="33"/>
      <c r="D961" s="33"/>
      <c r="E961" s="33"/>
      <c r="F961" s="33"/>
    </row>
    <row r="962" ht="15.75" customHeight="1">
      <c r="C962" s="33"/>
      <c r="D962" s="33"/>
      <c r="E962" s="33"/>
      <c r="F962" s="33"/>
    </row>
    <row r="963" ht="15.75" customHeight="1">
      <c r="C963" s="33"/>
      <c r="D963" s="33"/>
      <c r="E963" s="33"/>
      <c r="F963" s="33"/>
    </row>
    <row r="964" ht="15.75" customHeight="1">
      <c r="C964" s="33"/>
      <c r="D964" s="33"/>
      <c r="E964" s="33"/>
      <c r="F964" s="33"/>
    </row>
    <row r="965" ht="15.75" customHeight="1">
      <c r="C965" s="33"/>
      <c r="D965" s="33"/>
      <c r="E965" s="33"/>
      <c r="F965" s="33"/>
    </row>
    <row r="966" ht="15.75" customHeight="1">
      <c r="C966" s="33"/>
      <c r="D966" s="33"/>
      <c r="E966" s="33"/>
      <c r="F966" s="33"/>
    </row>
    <row r="967" ht="15.75" customHeight="1">
      <c r="C967" s="33"/>
      <c r="D967" s="33"/>
      <c r="E967" s="33"/>
      <c r="F967" s="33"/>
    </row>
    <row r="968" ht="15.75" customHeight="1">
      <c r="C968" s="33"/>
      <c r="D968" s="33"/>
      <c r="E968" s="33"/>
      <c r="F968" s="33"/>
    </row>
    <row r="969" ht="15.75" customHeight="1">
      <c r="C969" s="33"/>
      <c r="D969" s="33"/>
      <c r="E969" s="33"/>
      <c r="F969" s="33"/>
    </row>
    <row r="970" ht="15.75" customHeight="1">
      <c r="C970" s="33"/>
      <c r="D970" s="33"/>
      <c r="E970" s="33"/>
      <c r="F970" s="33"/>
    </row>
    <row r="971" ht="15.75" customHeight="1">
      <c r="C971" s="33"/>
      <c r="D971" s="33"/>
      <c r="E971" s="33"/>
      <c r="F971" s="33"/>
    </row>
    <row r="972" ht="15.75" customHeight="1">
      <c r="C972" s="33"/>
      <c r="D972" s="33"/>
      <c r="E972" s="33"/>
      <c r="F972" s="33"/>
    </row>
    <row r="973" ht="15.75" customHeight="1">
      <c r="C973" s="33"/>
      <c r="D973" s="33"/>
      <c r="E973" s="33"/>
      <c r="F973" s="33"/>
    </row>
    <row r="974" ht="15.75" customHeight="1">
      <c r="C974" s="33"/>
      <c r="D974" s="33"/>
      <c r="E974" s="33"/>
      <c r="F974" s="33"/>
    </row>
    <row r="975" ht="15.75" customHeight="1">
      <c r="C975" s="33"/>
      <c r="D975" s="33"/>
      <c r="E975" s="33"/>
      <c r="F975" s="33"/>
    </row>
    <row r="976" ht="15.75" customHeight="1">
      <c r="C976" s="33"/>
      <c r="D976" s="33"/>
      <c r="E976" s="33"/>
      <c r="F976" s="33"/>
    </row>
    <row r="977" ht="15.75" customHeight="1">
      <c r="C977" s="33"/>
      <c r="D977" s="33"/>
      <c r="E977" s="33"/>
      <c r="F977" s="33"/>
    </row>
    <row r="978" ht="15.75" customHeight="1">
      <c r="C978" s="33"/>
      <c r="D978" s="33"/>
      <c r="E978" s="33"/>
      <c r="F978" s="33"/>
    </row>
    <row r="979" ht="15.75" customHeight="1">
      <c r="C979" s="33"/>
      <c r="D979" s="33"/>
      <c r="E979" s="33"/>
      <c r="F979" s="33"/>
    </row>
    <row r="980" ht="15.75" customHeight="1">
      <c r="C980" s="33"/>
      <c r="D980" s="33"/>
      <c r="E980" s="33"/>
      <c r="F980" s="33"/>
    </row>
    <row r="981" ht="15.75" customHeight="1">
      <c r="C981" s="33"/>
      <c r="D981" s="33"/>
      <c r="E981" s="33"/>
      <c r="F981" s="33"/>
    </row>
    <row r="982" ht="15.75" customHeight="1">
      <c r="C982" s="33"/>
      <c r="D982" s="33"/>
      <c r="E982" s="33"/>
      <c r="F982" s="33"/>
    </row>
    <row r="983" ht="15.75" customHeight="1">
      <c r="C983" s="33"/>
      <c r="D983" s="33"/>
      <c r="E983" s="33"/>
      <c r="F983" s="33"/>
    </row>
    <row r="984" ht="15.75" customHeight="1">
      <c r="C984" s="33"/>
      <c r="D984" s="33"/>
      <c r="E984" s="33"/>
      <c r="F984" s="33"/>
    </row>
    <row r="985" ht="15.75" customHeight="1">
      <c r="C985" s="33"/>
      <c r="D985" s="33"/>
      <c r="E985" s="33"/>
      <c r="F985" s="33"/>
    </row>
    <row r="986" ht="15.75" customHeight="1">
      <c r="C986" s="33"/>
      <c r="D986" s="33"/>
      <c r="E986" s="33"/>
      <c r="F986" s="33"/>
    </row>
    <row r="987" ht="15.75" customHeight="1">
      <c r="C987" s="33"/>
      <c r="D987" s="33"/>
      <c r="E987" s="33"/>
      <c r="F987" s="33"/>
    </row>
    <row r="988" ht="15.75" customHeight="1">
      <c r="C988" s="33"/>
      <c r="D988" s="33"/>
      <c r="E988" s="33"/>
      <c r="F988" s="33"/>
    </row>
    <row r="989" ht="15.75" customHeight="1">
      <c r="C989" s="33"/>
      <c r="D989" s="33"/>
      <c r="E989" s="33"/>
      <c r="F989" s="33"/>
    </row>
    <row r="990" ht="15.75" customHeight="1">
      <c r="C990" s="33"/>
      <c r="D990" s="33"/>
      <c r="E990" s="33"/>
      <c r="F990" s="33"/>
    </row>
    <row r="991" ht="15.75" customHeight="1">
      <c r="C991" s="33"/>
      <c r="D991" s="33"/>
      <c r="E991" s="33"/>
      <c r="F991" s="33"/>
    </row>
    <row r="992" ht="15.75" customHeight="1">
      <c r="C992" s="33"/>
      <c r="D992" s="33"/>
      <c r="E992" s="33"/>
      <c r="F992" s="33"/>
    </row>
    <row r="993" ht="15.75" customHeight="1">
      <c r="C993" s="33"/>
      <c r="D993" s="33"/>
      <c r="E993" s="33"/>
      <c r="F993" s="33"/>
    </row>
    <row r="994" ht="15.75" customHeight="1">
      <c r="C994" s="33"/>
      <c r="D994" s="33"/>
      <c r="E994" s="33"/>
      <c r="F994" s="33"/>
    </row>
    <row r="995" ht="15.75" customHeight="1">
      <c r="C995" s="33"/>
      <c r="D995" s="33"/>
      <c r="E995" s="33"/>
      <c r="F995" s="33"/>
    </row>
    <row r="996" ht="15.75" customHeight="1">
      <c r="C996" s="33"/>
      <c r="D996" s="33"/>
      <c r="E996" s="33"/>
      <c r="F996" s="33"/>
    </row>
    <row r="997" ht="15.75" customHeight="1">
      <c r="C997" s="33"/>
      <c r="D997" s="33"/>
      <c r="E997" s="33"/>
      <c r="F997" s="33"/>
    </row>
    <row r="998" ht="15.75" customHeight="1">
      <c r="C998" s="33"/>
      <c r="D998" s="33"/>
      <c r="E998" s="33"/>
      <c r="F998" s="33"/>
    </row>
    <row r="999" ht="15.75" customHeight="1">
      <c r="C999" s="33"/>
      <c r="D999" s="33"/>
      <c r="E999" s="33"/>
      <c r="F999" s="33"/>
    </row>
    <row r="1000" ht="15.75" customHeight="1">
      <c r="C1000" s="33"/>
      <c r="D1000" s="33"/>
      <c r="E1000" s="33"/>
      <c r="F1000" s="33"/>
    </row>
    <row r="1001" ht="15.75" customHeight="1">
      <c r="C1001" s="33"/>
      <c r="D1001" s="33"/>
      <c r="E1001" s="33"/>
      <c r="F1001" s="33"/>
    </row>
    <row r="1002" ht="15.75" customHeight="1">
      <c r="C1002" s="33"/>
      <c r="D1002" s="33"/>
      <c r="E1002" s="33"/>
      <c r="F1002" s="33"/>
    </row>
    <row r="1003" ht="15.75" customHeight="1">
      <c r="C1003" s="33"/>
      <c r="D1003" s="33"/>
      <c r="E1003" s="33"/>
      <c r="F1003" s="33"/>
    </row>
    <row r="1004" ht="15.75" customHeight="1">
      <c r="C1004" s="33"/>
      <c r="D1004" s="33"/>
      <c r="E1004" s="33"/>
      <c r="F1004" s="33"/>
    </row>
    <row r="1005" ht="15.75" customHeight="1">
      <c r="C1005" s="33"/>
      <c r="D1005" s="33"/>
      <c r="E1005" s="33"/>
      <c r="F1005" s="33"/>
    </row>
    <row r="1006" ht="15.75" customHeight="1">
      <c r="C1006" s="33"/>
      <c r="D1006" s="33"/>
      <c r="E1006" s="33"/>
      <c r="F1006" s="33"/>
    </row>
    <row r="1007" ht="15.75" customHeight="1">
      <c r="C1007" s="33"/>
      <c r="D1007" s="33"/>
      <c r="E1007" s="33"/>
      <c r="F1007" s="33"/>
    </row>
    <row r="1008" ht="15.75" customHeight="1">
      <c r="C1008" s="33"/>
      <c r="D1008" s="33"/>
      <c r="E1008" s="33"/>
      <c r="F1008" s="33"/>
    </row>
    <row r="1009" ht="15.75" customHeight="1">
      <c r="C1009" s="33"/>
      <c r="D1009" s="33"/>
      <c r="E1009" s="33"/>
      <c r="F1009" s="33"/>
    </row>
    <row r="1010" ht="15.75" customHeight="1">
      <c r="C1010" s="33"/>
      <c r="D1010" s="33"/>
      <c r="E1010" s="33"/>
      <c r="F1010" s="33"/>
    </row>
    <row r="1011" ht="15.75" customHeight="1">
      <c r="C1011" s="33"/>
      <c r="D1011" s="33"/>
      <c r="E1011" s="33"/>
      <c r="F1011" s="33"/>
    </row>
    <row r="1012" ht="15.75" customHeight="1">
      <c r="C1012" s="33"/>
      <c r="D1012" s="33"/>
      <c r="E1012" s="33"/>
      <c r="F1012" s="33"/>
    </row>
    <row r="1013" ht="15.75" customHeight="1">
      <c r="C1013" s="33"/>
      <c r="D1013" s="33"/>
      <c r="E1013" s="33"/>
      <c r="F1013" s="33"/>
    </row>
    <row r="1014" ht="15.75" customHeight="1">
      <c r="C1014" s="33"/>
      <c r="D1014" s="33"/>
      <c r="E1014" s="33"/>
      <c r="F1014" s="33"/>
    </row>
    <row r="1015" ht="15.75" customHeight="1">
      <c r="C1015" s="33"/>
      <c r="D1015" s="33"/>
      <c r="E1015" s="33"/>
      <c r="F1015" s="33"/>
    </row>
    <row r="1016" ht="15.75" customHeight="1">
      <c r="C1016" s="33"/>
      <c r="D1016" s="33"/>
      <c r="E1016" s="33"/>
      <c r="F1016" s="33"/>
    </row>
    <row r="1017" ht="15.75" customHeight="1">
      <c r="C1017" s="33"/>
      <c r="D1017" s="33"/>
      <c r="E1017" s="33"/>
      <c r="F1017" s="33"/>
    </row>
    <row r="1018" ht="15.75" customHeight="1">
      <c r="C1018" s="33"/>
      <c r="D1018" s="33"/>
      <c r="E1018" s="33"/>
      <c r="F1018" s="33"/>
    </row>
    <row r="1019" ht="15.75" customHeight="1">
      <c r="C1019" s="33"/>
      <c r="D1019" s="33"/>
      <c r="E1019" s="33"/>
      <c r="F1019" s="33"/>
    </row>
    <row r="1020" ht="15.75" customHeight="1">
      <c r="C1020" s="33"/>
      <c r="D1020" s="33"/>
      <c r="E1020" s="33"/>
      <c r="F1020" s="33"/>
    </row>
    <row r="1021" ht="15.75" customHeight="1">
      <c r="C1021" s="33"/>
      <c r="D1021" s="33"/>
      <c r="E1021" s="33"/>
      <c r="F1021" s="33"/>
    </row>
    <row r="1022" ht="15.75" customHeight="1">
      <c r="C1022" s="33"/>
      <c r="D1022" s="33"/>
      <c r="E1022" s="33"/>
      <c r="F1022" s="33"/>
    </row>
  </sheetData>
  <drawing r:id="rId1"/>
</worksheet>
</file>